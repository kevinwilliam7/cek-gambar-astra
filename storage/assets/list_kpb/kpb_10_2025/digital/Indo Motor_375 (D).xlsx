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scindy0050\Desktop\KPB Done\KPB\10. KPB OKT 2025\KPB Digital\DIGITAL INDO MOTOR (DONE)\"/>
    </mc:Choice>
  </mc:AlternateContent>
  <xr:revisionPtr revIDLastSave="0" documentId="13_ncr:1_{B237D327-9FC1-43ED-A41A-11D3E0DAB581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Report Rekap KPB" sheetId="1" r:id="rId1"/>
    <sheet name="Report Detail KPB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1" hidden="1">'Report Detail KPB'!$A$1:$M$376</definedName>
    <definedName name="_xlnm._FilterDatabase" localSheetId="2" hidden="1">Sheet1!$A$1:$O$376</definedName>
    <definedName name="_xlnm.Print_Area" localSheetId="1">'Report Detail KPB'!$A$1:$E$376</definedName>
    <definedName name="_xlnm.Print_Area" localSheetId="0">'Report Rekap KPB'!$A$1:$L$16</definedName>
  </definedNames>
  <calcPr calcId="181029"/>
</workbook>
</file>

<file path=xl/calcChain.xml><?xml version="1.0" encoding="utf-8"?>
<calcChain xmlns="http://schemas.openxmlformats.org/spreadsheetml/2006/main">
  <c r="F6" i="3" l="1"/>
  <c r="F97" i="3"/>
  <c r="F164" i="3"/>
  <c r="F4" i="3"/>
  <c r="F5" i="3"/>
  <c r="F12" i="3"/>
  <c r="F13" i="3"/>
  <c r="F20" i="3"/>
  <c r="F21" i="3"/>
  <c r="F28" i="3"/>
  <c r="F29" i="3"/>
  <c r="F36" i="3"/>
  <c r="F37" i="3"/>
  <c r="F44" i="3"/>
  <c r="F45" i="3"/>
  <c r="F52" i="3"/>
  <c r="F53" i="3"/>
  <c r="F60" i="3"/>
  <c r="F61" i="3"/>
  <c r="F68" i="3"/>
  <c r="F69" i="3"/>
  <c r="F76" i="3"/>
  <c r="F77" i="3"/>
  <c r="F84" i="3"/>
  <c r="F85" i="3"/>
  <c r="F88" i="3"/>
  <c r="F91" i="3"/>
  <c r="F92" i="3"/>
  <c r="F93" i="3"/>
  <c r="F94" i="3"/>
  <c r="F95" i="3"/>
  <c r="F100" i="3"/>
  <c r="F101" i="3"/>
  <c r="F108" i="3"/>
  <c r="F109" i="3"/>
  <c r="F116" i="3"/>
  <c r="F117" i="3"/>
  <c r="F124" i="3"/>
  <c r="F125" i="3"/>
  <c r="F132" i="3"/>
  <c r="F133" i="3"/>
  <c r="F140" i="3"/>
  <c r="F141" i="3"/>
  <c r="F148" i="3"/>
  <c r="F149" i="3"/>
  <c r="F156" i="3"/>
  <c r="F157" i="3"/>
  <c r="F165" i="3"/>
  <c r="F172" i="3"/>
  <c r="F173" i="3"/>
  <c r="F180" i="3"/>
  <c r="F181" i="3"/>
  <c r="F188" i="3"/>
  <c r="F189" i="3"/>
  <c r="F196" i="3"/>
  <c r="F197" i="3"/>
  <c r="F204" i="3"/>
  <c r="F205" i="3"/>
  <c r="F212" i="3"/>
  <c r="F213" i="3"/>
  <c r="F220" i="3"/>
  <c r="F221" i="3"/>
  <c r="F228" i="3"/>
  <c r="F229" i="3"/>
  <c r="F236" i="3"/>
  <c r="F237" i="3"/>
  <c r="F244" i="3"/>
  <c r="F245" i="3"/>
  <c r="F252" i="3"/>
  <c r="F253" i="3"/>
  <c r="F260" i="3"/>
  <c r="F261" i="3"/>
  <c r="F268" i="3"/>
  <c r="F269" i="3"/>
  <c r="F276" i="3"/>
  <c r="F277" i="3"/>
  <c r="F284" i="3"/>
  <c r="F285" i="3"/>
  <c r="F292" i="3"/>
  <c r="F293" i="3"/>
  <c r="F300" i="3"/>
  <c r="F301" i="3"/>
  <c r="F308" i="3"/>
  <c r="F309" i="3"/>
  <c r="F316" i="3"/>
  <c r="F317" i="3"/>
  <c r="F324" i="3"/>
  <c r="F325" i="3"/>
  <c r="F332" i="3"/>
  <c r="F333" i="3"/>
  <c r="F340" i="3"/>
  <c r="F341" i="3"/>
  <c r="F348" i="3"/>
  <c r="F349" i="3"/>
  <c r="F356" i="3"/>
  <c r="F357" i="3"/>
  <c r="F364" i="3"/>
  <c r="F365" i="3"/>
  <c r="F372" i="3"/>
  <c r="F373" i="3"/>
  <c r="F371" i="3" l="1"/>
  <c r="F363" i="3"/>
  <c r="F355" i="3"/>
  <c r="F347" i="3"/>
  <c r="F339" i="3"/>
  <c r="F331" i="3"/>
  <c r="F323" i="3"/>
  <c r="F315" i="3"/>
  <c r="F307" i="3"/>
  <c r="F299" i="3"/>
  <c r="F291" i="3"/>
  <c r="F283" i="3"/>
  <c r="F275" i="3"/>
  <c r="F267" i="3"/>
  <c r="F259" i="3"/>
  <c r="F251" i="3"/>
  <c r="F243" i="3"/>
  <c r="F235" i="3"/>
  <c r="F227" i="3"/>
  <c r="F219" i="3"/>
  <c r="F211" i="3"/>
  <c r="F203" i="3"/>
  <c r="F195" i="3"/>
  <c r="F187" i="3"/>
  <c r="F179" i="3"/>
  <c r="F171" i="3"/>
  <c r="F163" i="3"/>
  <c r="F155" i="3"/>
  <c r="F147" i="3"/>
  <c r="F139" i="3"/>
  <c r="F131" i="3"/>
  <c r="F123" i="3"/>
  <c r="F115" i="3"/>
  <c r="F107" i="3"/>
  <c r="F99" i="3"/>
  <c r="F83" i="3"/>
  <c r="F75" i="3"/>
  <c r="F67" i="3"/>
  <c r="F59" i="3"/>
  <c r="F51" i="3"/>
  <c r="F43" i="3"/>
  <c r="F35" i="3"/>
  <c r="F27" i="3"/>
  <c r="F19" i="3"/>
  <c r="F11" i="3"/>
  <c r="F3" i="3"/>
  <c r="F362" i="3"/>
  <c r="F330" i="3"/>
  <c r="F298" i="3"/>
  <c r="F266" i="3"/>
  <c r="F234" i="3"/>
  <c r="F202" i="3"/>
  <c r="F170" i="3"/>
  <c r="F138" i="3"/>
  <c r="F114" i="3"/>
  <c r="F90" i="3"/>
  <c r="F58" i="3"/>
  <c r="F26" i="3"/>
  <c r="F2" i="3"/>
  <c r="F369" i="3"/>
  <c r="F361" i="3"/>
  <c r="F353" i="3"/>
  <c r="F345" i="3"/>
  <c r="F337" i="3"/>
  <c r="F329" i="3"/>
  <c r="F321" i="3"/>
  <c r="F313" i="3"/>
  <c r="F305" i="3"/>
  <c r="F297" i="3"/>
  <c r="F289" i="3"/>
  <c r="F281" i="3"/>
  <c r="F273" i="3"/>
  <c r="F265" i="3"/>
  <c r="F257" i="3"/>
  <c r="F249" i="3"/>
  <c r="F241" i="3"/>
  <c r="F233" i="3"/>
  <c r="F225" i="3"/>
  <c r="F217" i="3"/>
  <c r="F209" i="3"/>
  <c r="F201" i="3"/>
  <c r="F193" i="3"/>
  <c r="F185" i="3"/>
  <c r="F177" i="3"/>
  <c r="F169" i="3"/>
  <c r="F161" i="3"/>
  <c r="F153" i="3"/>
  <c r="F145" i="3"/>
  <c r="F137" i="3"/>
  <c r="F129" i="3"/>
  <c r="F121" i="3"/>
  <c r="F113" i="3"/>
  <c r="F105" i="3"/>
  <c r="F89" i="3"/>
  <c r="F81" i="3"/>
  <c r="F73" i="3"/>
  <c r="F65" i="3"/>
  <c r="F57" i="3"/>
  <c r="F49" i="3"/>
  <c r="F41" i="3"/>
  <c r="F33" i="3"/>
  <c r="F25" i="3"/>
  <c r="F17" i="3"/>
  <c r="F9" i="3"/>
  <c r="F370" i="3"/>
  <c r="F338" i="3"/>
  <c r="F306" i="3"/>
  <c r="F274" i="3"/>
  <c r="F242" i="3"/>
  <c r="F210" i="3"/>
  <c r="F178" i="3"/>
  <c r="F146" i="3"/>
  <c r="F106" i="3"/>
  <c r="F74" i="3"/>
  <c r="F50" i="3"/>
  <c r="F18" i="3"/>
  <c r="F376" i="3"/>
  <c r="F368" i="3"/>
  <c r="F360" i="3"/>
  <c r="F352" i="3"/>
  <c r="F344" i="3"/>
  <c r="F336" i="3"/>
  <c r="F328" i="3"/>
  <c r="F320" i="3"/>
  <c r="F312" i="3"/>
  <c r="F304" i="3"/>
  <c r="F296" i="3"/>
  <c r="F288" i="3"/>
  <c r="F280" i="3"/>
  <c r="F272" i="3"/>
  <c r="F264" i="3"/>
  <c r="F256" i="3"/>
  <c r="F248" i="3"/>
  <c r="F240" i="3"/>
  <c r="F232" i="3"/>
  <c r="F224" i="3"/>
  <c r="F216" i="3"/>
  <c r="F208" i="3"/>
  <c r="F200" i="3"/>
  <c r="F192" i="3"/>
  <c r="F184" i="3"/>
  <c r="F176" i="3"/>
  <c r="F168" i="3"/>
  <c r="F160" i="3"/>
  <c r="F152" i="3"/>
  <c r="F144" i="3"/>
  <c r="F136" i="3"/>
  <c r="F128" i="3"/>
  <c r="F120" i="3"/>
  <c r="F112" i="3"/>
  <c r="F104" i="3"/>
  <c r="F96" i="3"/>
  <c r="F80" i="3"/>
  <c r="F72" i="3"/>
  <c r="F64" i="3"/>
  <c r="F56" i="3"/>
  <c r="F48" i="3"/>
  <c r="F40" i="3"/>
  <c r="F32" i="3"/>
  <c r="F24" i="3"/>
  <c r="F16" i="3"/>
  <c r="F8" i="3"/>
  <c r="F354" i="3"/>
  <c r="F322" i="3"/>
  <c r="F290" i="3"/>
  <c r="F258" i="3"/>
  <c r="F226" i="3"/>
  <c r="F194" i="3"/>
  <c r="F162" i="3"/>
  <c r="F130" i="3"/>
  <c r="F98" i="3"/>
  <c r="F66" i="3"/>
  <c r="F42" i="3"/>
  <c r="F10" i="3"/>
  <c r="F375" i="3"/>
  <c r="F359" i="3"/>
  <c r="F343" i="3"/>
  <c r="F327" i="3"/>
  <c r="F311" i="3"/>
  <c r="F303" i="3"/>
  <c r="F295" i="3"/>
  <c r="F287" i="3"/>
  <c r="F279" i="3"/>
  <c r="F271" i="3"/>
  <c r="F263" i="3"/>
  <c r="F255" i="3"/>
  <c r="F247" i="3"/>
  <c r="F239" i="3"/>
  <c r="F231" i="3"/>
  <c r="F223" i="3"/>
  <c r="F215" i="3"/>
  <c r="F207" i="3"/>
  <c r="F199" i="3"/>
  <c r="F191" i="3"/>
  <c r="F183" i="3"/>
  <c r="F175" i="3"/>
  <c r="F167" i="3"/>
  <c r="F159" i="3"/>
  <c r="F151" i="3"/>
  <c r="F143" i="3"/>
  <c r="F135" i="3"/>
  <c r="F127" i="3"/>
  <c r="F119" i="3"/>
  <c r="F111" i="3"/>
  <c r="F103" i="3"/>
  <c r="F87" i="3"/>
  <c r="F79" i="3"/>
  <c r="F71" i="3"/>
  <c r="F63" i="3"/>
  <c r="F55" i="3"/>
  <c r="F47" i="3"/>
  <c r="F39" i="3"/>
  <c r="F31" i="3"/>
  <c r="F23" i="3"/>
  <c r="F15" i="3"/>
  <c r="F7" i="3"/>
  <c r="F346" i="3"/>
  <c r="F314" i="3"/>
  <c r="F282" i="3"/>
  <c r="F250" i="3"/>
  <c r="F218" i="3"/>
  <c r="F186" i="3"/>
  <c r="F154" i="3"/>
  <c r="F122" i="3"/>
  <c r="F82" i="3"/>
  <c r="F34" i="3"/>
  <c r="F367" i="3"/>
  <c r="F351" i="3"/>
  <c r="F335" i="3"/>
  <c r="F319" i="3"/>
  <c r="F374" i="3"/>
  <c r="F366" i="3"/>
  <c r="F358" i="3"/>
  <c r="F350" i="3"/>
  <c r="F342" i="3"/>
  <c r="F334" i="3"/>
  <c r="F326" i="3"/>
  <c r="F318" i="3"/>
  <c r="F310" i="3"/>
  <c r="F302" i="3"/>
  <c r="F294" i="3"/>
  <c r="F286" i="3"/>
  <c r="F278" i="3"/>
  <c r="F270" i="3"/>
  <c r="F262" i="3"/>
  <c r="F254" i="3"/>
  <c r="F246" i="3"/>
  <c r="F238" i="3"/>
  <c r="F230" i="3"/>
  <c r="F222" i="3"/>
  <c r="F214" i="3"/>
  <c r="F206" i="3"/>
  <c r="F198" i="3"/>
  <c r="F190" i="3"/>
  <c r="F182" i="3"/>
  <c r="F174" i="3"/>
  <c r="F166" i="3"/>
  <c r="F158" i="3"/>
  <c r="F150" i="3"/>
  <c r="F142" i="3"/>
  <c r="F134" i="3"/>
  <c r="F126" i="3"/>
  <c r="F118" i="3"/>
  <c r="F110" i="3"/>
  <c r="F102" i="3"/>
  <c r="F86" i="3"/>
  <c r="F78" i="3"/>
  <c r="F70" i="3"/>
  <c r="F62" i="3"/>
  <c r="F54" i="3"/>
  <c r="F46" i="3"/>
  <c r="F38" i="3"/>
  <c r="F30" i="3"/>
  <c r="F22" i="3"/>
  <c r="F14" i="3"/>
  <c r="H163" i="2"/>
  <c r="H52" i="2"/>
  <c r="M3" i="3"/>
  <c r="O3" i="3" s="1"/>
  <c r="M126" i="3"/>
  <c r="M5" i="3"/>
  <c r="O5" i="3" s="1"/>
  <c r="M6" i="3"/>
  <c r="O6" i="3" s="1"/>
  <c r="M64" i="3"/>
  <c r="O64" i="3" s="1"/>
  <c r="M8" i="3"/>
  <c r="O8" i="3" s="1"/>
  <c r="M103" i="3"/>
  <c r="O103" i="3" s="1"/>
  <c r="M10" i="3"/>
  <c r="O10" i="3" s="1"/>
  <c r="M11" i="3"/>
  <c r="O11" i="3" s="1"/>
  <c r="M12" i="3"/>
  <c r="O12" i="3" s="1"/>
  <c r="M13" i="3"/>
  <c r="O13" i="3" s="1"/>
  <c r="M14" i="3"/>
  <c r="O14" i="3" s="1"/>
  <c r="M15" i="3"/>
  <c r="O15" i="3" s="1"/>
  <c r="M16" i="3"/>
  <c r="O16" i="3" s="1"/>
  <c r="M17" i="3"/>
  <c r="O17" i="3" s="1"/>
  <c r="M18" i="3"/>
  <c r="O18" i="3" s="1"/>
  <c r="M105" i="3"/>
  <c r="O105" i="3" s="1"/>
  <c r="M20" i="3"/>
  <c r="O20" i="3" s="1"/>
  <c r="M21" i="3"/>
  <c r="O21" i="3" s="1"/>
  <c r="M22" i="3"/>
  <c r="O22" i="3" s="1"/>
  <c r="M23" i="3"/>
  <c r="O23" i="3" s="1"/>
  <c r="M24" i="3"/>
  <c r="O24" i="3" s="1"/>
  <c r="M25" i="3"/>
  <c r="O25" i="3" s="1"/>
  <c r="M26" i="3"/>
  <c r="O26" i="3" s="1"/>
  <c r="M27" i="3"/>
  <c r="O27" i="3" s="1"/>
  <c r="M28" i="3"/>
  <c r="O28" i="3" s="1"/>
  <c r="M29" i="3"/>
  <c r="O29" i="3" s="1"/>
  <c r="M30" i="3"/>
  <c r="O30" i="3" s="1"/>
  <c r="M31" i="3"/>
  <c r="O31" i="3" s="1"/>
  <c r="M32" i="3"/>
  <c r="O32" i="3" s="1"/>
  <c r="M33" i="3"/>
  <c r="O33" i="3" s="1"/>
  <c r="M34" i="3"/>
  <c r="O34" i="3" s="1"/>
  <c r="M35" i="3"/>
  <c r="O35" i="3" s="1"/>
  <c r="M36" i="3"/>
  <c r="O36" i="3" s="1"/>
  <c r="M37" i="3"/>
  <c r="O37" i="3" s="1"/>
  <c r="M38" i="3"/>
  <c r="O38" i="3" s="1"/>
  <c r="M39" i="3"/>
  <c r="O39" i="3" s="1"/>
  <c r="M40" i="3"/>
  <c r="O40" i="3" s="1"/>
  <c r="M41" i="3"/>
  <c r="O41" i="3" s="1"/>
  <c r="M42" i="3"/>
  <c r="O42" i="3" s="1"/>
  <c r="M43" i="3"/>
  <c r="O43" i="3" s="1"/>
  <c r="M44" i="3"/>
  <c r="O44" i="3" s="1"/>
  <c r="M45" i="3"/>
  <c r="O45" i="3" s="1"/>
  <c r="M46" i="3"/>
  <c r="O46" i="3" s="1"/>
  <c r="M47" i="3"/>
  <c r="O47" i="3" s="1"/>
  <c r="M48" i="3"/>
  <c r="O48" i="3" s="1"/>
  <c r="M49" i="3"/>
  <c r="O49" i="3" s="1"/>
  <c r="M50" i="3"/>
  <c r="O50" i="3" s="1"/>
  <c r="M51" i="3"/>
  <c r="O51" i="3" s="1"/>
  <c r="M52" i="3"/>
  <c r="O52" i="3" s="1"/>
  <c r="M53" i="3"/>
  <c r="O53" i="3" s="1"/>
  <c r="M54" i="3"/>
  <c r="O54" i="3" s="1"/>
  <c r="M55" i="3"/>
  <c r="O55" i="3" s="1"/>
  <c r="M56" i="3"/>
  <c r="O56" i="3" s="1"/>
  <c r="M57" i="3"/>
  <c r="O57" i="3" s="1"/>
  <c r="M58" i="3"/>
  <c r="O58" i="3" s="1"/>
  <c r="M59" i="3"/>
  <c r="O59" i="3" s="1"/>
  <c r="M60" i="3"/>
  <c r="O60" i="3" s="1"/>
  <c r="M61" i="3"/>
  <c r="O61" i="3" s="1"/>
  <c r="M62" i="3"/>
  <c r="O62" i="3" s="1"/>
  <c r="M362" i="3"/>
  <c r="O362" i="3" s="1"/>
  <c r="M323" i="3"/>
  <c r="O323" i="3" s="1"/>
  <c r="M65" i="3"/>
  <c r="O65" i="3" s="1"/>
  <c r="M66" i="3"/>
  <c r="O66" i="3" s="1"/>
  <c r="M67" i="3"/>
  <c r="O67" i="3" s="1"/>
  <c r="M68" i="3"/>
  <c r="O68" i="3" s="1"/>
  <c r="M69" i="3"/>
  <c r="O69" i="3" s="1"/>
  <c r="M70" i="3"/>
  <c r="O70" i="3" s="1"/>
  <c r="M71" i="3"/>
  <c r="O71" i="3" s="1"/>
  <c r="M72" i="3"/>
  <c r="O72" i="3" s="1"/>
  <c r="M73" i="3"/>
  <c r="O73" i="3" s="1"/>
  <c r="M74" i="3"/>
  <c r="O74" i="3" s="1"/>
  <c r="M75" i="3"/>
  <c r="O75" i="3" s="1"/>
  <c r="M76" i="3"/>
  <c r="O76" i="3" s="1"/>
  <c r="M77" i="3"/>
  <c r="O77" i="3" s="1"/>
  <c r="M78" i="3"/>
  <c r="O78" i="3" s="1"/>
  <c r="M79" i="3"/>
  <c r="O79" i="3" s="1"/>
  <c r="M80" i="3"/>
  <c r="O80" i="3" s="1"/>
  <c r="M81" i="3"/>
  <c r="O81" i="3" s="1"/>
  <c r="M82" i="3"/>
  <c r="O82" i="3" s="1"/>
  <c r="M83" i="3"/>
  <c r="O83" i="3" s="1"/>
  <c r="M84" i="3"/>
  <c r="O84" i="3" s="1"/>
  <c r="M85" i="3"/>
  <c r="O85" i="3" s="1"/>
  <c r="M86" i="3"/>
  <c r="O86" i="3" s="1"/>
  <c r="M87" i="3"/>
  <c r="O87" i="3" s="1"/>
  <c r="M88" i="3"/>
  <c r="O88" i="3" s="1"/>
  <c r="M89" i="3"/>
  <c r="O89" i="3" s="1"/>
  <c r="M90" i="3"/>
  <c r="O90" i="3" s="1"/>
  <c r="M91" i="3"/>
  <c r="O91" i="3" s="1"/>
  <c r="M92" i="3"/>
  <c r="O92" i="3" s="1"/>
  <c r="M93" i="3"/>
  <c r="O93" i="3" s="1"/>
  <c r="M94" i="3"/>
  <c r="O94" i="3" s="1"/>
  <c r="M95" i="3"/>
  <c r="O95" i="3" s="1"/>
  <c r="M96" i="3"/>
  <c r="O96" i="3" s="1"/>
  <c r="M97" i="3"/>
  <c r="O97" i="3" s="1"/>
  <c r="M98" i="3"/>
  <c r="O98" i="3" s="1"/>
  <c r="M99" i="3"/>
  <c r="O99" i="3" s="1"/>
  <c r="M100" i="3"/>
  <c r="O100" i="3" s="1"/>
  <c r="M101" i="3"/>
  <c r="O101" i="3" s="1"/>
  <c r="M102" i="3"/>
  <c r="O102" i="3" s="1"/>
  <c r="M186" i="3"/>
  <c r="O186" i="3" s="1"/>
  <c r="M104" i="3"/>
  <c r="O104" i="3" s="1"/>
  <c r="M234" i="3"/>
  <c r="O234" i="3" s="1"/>
  <c r="M229" i="3"/>
  <c r="O229" i="3" s="1"/>
  <c r="M107" i="3"/>
  <c r="O107" i="3" s="1"/>
  <c r="M108" i="3"/>
  <c r="O108" i="3" s="1"/>
  <c r="M109" i="3"/>
  <c r="O109" i="3" s="1"/>
  <c r="M110" i="3"/>
  <c r="O110" i="3" s="1"/>
  <c r="M111" i="3"/>
  <c r="O111" i="3" s="1"/>
  <c r="M112" i="3"/>
  <c r="O112" i="3" s="1"/>
  <c r="M113" i="3"/>
  <c r="O113" i="3" s="1"/>
  <c r="M114" i="3"/>
  <c r="O114" i="3" s="1"/>
  <c r="M115" i="3"/>
  <c r="O115" i="3" s="1"/>
  <c r="M116" i="3"/>
  <c r="O116" i="3" s="1"/>
  <c r="M117" i="3"/>
  <c r="O117" i="3" s="1"/>
  <c r="M118" i="3"/>
  <c r="O118" i="3" s="1"/>
  <c r="M119" i="3"/>
  <c r="O119" i="3" s="1"/>
  <c r="M120" i="3"/>
  <c r="O120" i="3" s="1"/>
  <c r="M121" i="3"/>
  <c r="O121" i="3" s="1"/>
  <c r="M122" i="3"/>
  <c r="O122" i="3" s="1"/>
  <c r="M123" i="3"/>
  <c r="O123" i="3" s="1"/>
  <c r="M124" i="3"/>
  <c r="O124" i="3" s="1"/>
  <c r="M125" i="3"/>
  <c r="O125" i="3" s="1"/>
  <c r="M158" i="3"/>
  <c r="O158" i="3" s="1"/>
  <c r="M127" i="3"/>
  <c r="O127" i="3" s="1"/>
  <c r="M128" i="3"/>
  <c r="O128" i="3" s="1"/>
  <c r="M129" i="3"/>
  <c r="O129" i="3" s="1"/>
  <c r="M130" i="3"/>
  <c r="O130" i="3" s="1"/>
  <c r="M131" i="3"/>
  <c r="O131" i="3" s="1"/>
  <c r="M132" i="3"/>
  <c r="O132" i="3" s="1"/>
  <c r="M133" i="3"/>
  <c r="O133" i="3" s="1"/>
  <c r="M134" i="3"/>
  <c r="O134" i="3" s="1"/>
  <c r="M135" i="3"/>
  <c r="O135" i="3" s="1"/>
  <c r="M136" i="3"/>
  <c r="O136" i="3" s="1"/>
  <c r="M137" i="3"/>
  <c r="O137" i="3" s="1"/>
  <c r="M138" i="3"/>
  <c r="O138" i="3" s="1"/>
  <c r="M139" i="3"/>
  <c r="O139" i="3" s="1"/>
  <c r="M140" i="3"/>
  <c r="O140" i="3" s="1"/>
  <c r="M141" i="3"/>
  <c r="O141" i="3" s="1"/>
  <c r="M142" i="3"/>
  <c r="O142" i="3" s="1"/>
  <c r="M143" i="3"/>
  <c r="O143" i="3" s="1"/>
  <c r="M144" i="3"/>
  <c r="O144" i="3" s="1"/>
  <c r="M145" i="3"/>
  <c r="O145" i="3" s="1"/>
  <c r="M146" i="3"/>
  <c r="O146" i="3" s="1"/>
  <c r="M147" i="3"/>
  <c r="O147" i="3" s="1"/>
  <c r="M148" i="3"/>
  <c r="O148" i="3" s="1"/>
  <c r="M149" i="3"/>
  <c r="O149" i="3" s="1"/>
  <c r="M150" i="3"/>
  <c r="O150" i="3" s="1"/>
  <c r="M151" i="3"/>
  <c r="O151" i="3" s="1"/>
  <c r="M152" i="3"/>
  <c r="O152" i="3" s="1"/>
  <c r="M153" i="3"/>
  <c r="O153" i="3" s="1"/>
  <c r="M154" i="3"/>
  <c r="O154" i="3" s="1"/>
  <c r="M155" i="3"/>
  <c r="O155" i="3" s="1"/>
  <c r="M156" i="3"/>
  <c r="O156" i="3" s="1"/>
  <c r="M157" i="3"/>
  <c r="O157" i="3" s="1"/>
  <c r="M319" i="3"/>
  <c r="O319" i="3" s="1"/>
  <c r="M159" i="3"/>
  <c r="O159" i="3" s="1"/>
  <c r="M160" i="3"/>
  <c r="O160" i="3" s="1"/>
  <c r="M161" i="3"/>
  <c r="O161" i="3" s="1"/>
  <c r="M162" i="3"/>
  <c r="O162" i="3" s="1"/>
  <c r="M163" i="3"/>
  <c r="O163" i="3" s="1"/>
  <c r="M164" i="3"/>
  <c r="O164" i="3" s="1"/>
  <c r="M165" i="3"/>
  <c r="O165" i="3" s="1"/>
  <c r="M166" i="3"/>
  <c r="O166" i="3" s="1"/>
  <c r="M167" i="3"/>
  <c r="O167" i="3" s="1"/>
  <c r="M168" i="3"/>
  <c r="O168" i="3" s="1"/>
  <c r="M169" i="3"/>
  <c r="O169" i="3" s="1"/>
  <c r="M170" i="3"/>
  <c r="O170" i="3" s="1"/>
  <c r="M171" i="3"/>
  <c r="O171" i="3" s="1"/>
  <c r="M172" i="3"/>
  <c r="O172" i="3" s="1"/>
  <c r="M173" i="3"/>
  <c r="O173" i="3" s="1"/>
  <c r="M174" i="3"/>
  <c r="O174" i="3" s="1"/>
  <c r="M175" i="3"/>
  <c r="O175" i="3" s="1"/>
  <c r="M176" i="3"/>
  <c r="O176" i="3" s="1"/>
  <c r="M177" i="3"/>
  <c r="O177" i="3" s="1"/>
  <c r="M178" i="3"/>
  <c r="O178" i="3" s="1"/>
  <c r="M179" i="3"/>
  <c r="O179" i="3" s="1"/>
  <c r="M180" i="3"/>
  <c r="O180" i="3" s="1"/>
  <c r="M181" i="3"/>
  <c r="O181" i="3" s="1"/>
  <c r="M182" i="3"/>
  <c r="O182" i="3" s="1"/>
  <c r="M183" i="3"/>
  <c r="O183" i="3" s="1"/>
  <c r="M184" i="3"/>
  <c r="O184" i="3" s="1"/>
  <c r="M185" i="3"/>
  <c r="O185" i="3" s="1"/>
  <c r="M2" i="3"/>
  <c r="O2" i="3" s="1"/>
  <c r="M187" i="3"/>
  <c r="O187" i="3" s="1"/>
  <c r="M188" i="3"/>
  <c r="O188" i="3" s="1"/>
  <c r="M189" i="3"/>
  <c r="O189" i="3" s="1"/>
  <c r="M190" i="3"/>
  <c r="O190" i="3" s="1"/>
  <c r="M191" i="3"/>
  <c r="O191" i="3" s="1"/>
  <c r="M192" i="3"/>
  <c r="O192" i="3" s="1"/>
  <c r="M193" i="3"/>
  <c r="O193" i="3" s="1"/>
  <c r="M194" i="3"/>
  <c r="O194" i="3" s="1"/>
  <c r="M195" i="3"/>
  <c r="O195" i="3" s="1"/>
  <c r="M196" i="3"/>
  <c r="O196" i="3" s="1"/>
  <c r="M197" i="3"/>
  <c r="O197" i="3" s="1"/>
  <c r="M198" i="3"/>
  <c r="O198" i="3" s="1"/>
  <c r="M199" i="3"/>
  <c r="O199" i="3" s="1"/>
  <c r="M200" i="3"/>
  <c r="O200" i="3" s="1"/>
  <c r="M201" i="3"/>
  <c r="O201" i="3" s="1"/>
  <c r="M202" i="3"/>
  <c r="O202" i="3" s="1"/>
  <c r="M203" i="3"/>
  <c r="O203" i="3" s="1"/>
  <c r="M204" i="3"/>
  <c r="O204" i="3" s="1"/>
  <c r="M205" i="3"/>
  <c r="O205" i="3" s="1"/>
  <c r="M206" i="3"/>
  <c r="O206" i="3" s="1"/>
  <c r="M207" i="3"/>
  <c r="O207" i="3" s="1"/>
  <c r="M208" i="3"/>
  <c r="O208" i="3" s="1"/>
  <c r="M209" i="3"/>
  <c r="O209" i="3" s="1"/>
  <c r="M210" i="3"/>
  <c r="O210" i="3" s="1"/>
  <c r="M211" i="3"/>
  <c r="O211" i="3" s="1"/>
  <c r="M212" i="3"/>
  <c r="O212" i="3" s="1"/>
  <c r="M213" i="3"/>
  <c r="O213" i="3" s="1"/>
  <c r="M214" i="3"/>
  <c r="O214" i="3" s="1"/>
  <c r="M215" i="3"/>
  <c r="O215" i="3" s="1"/>
  <c r="M216" i="3"/>
  <c r="O216" i="3" s="1"/>
  <c r="M217" i="3"/>
  <c r="O217" i="3" s="1"/>
  <c r="M218" i="3"/>
  <c r="O218" i="3" s="1"/>
  <c r="M219" i="3"/>
  <c r="O219" i="3" s="1"/>
  <c r="M220" i="3"/>
  <c r="O220" i="3" s="1"/>
  <c r="M221" i="3"/>
  <c r="O221" i="3" s="1"/>
  <c r="M222" i="3"/>
  <c r="O222" i="3" s="1"/>
  <c r="M223" i="3"/>
  <c r="O223" i="3" s="1"/>
  <c r="M224" i="3"/>
  <c r="O224" i="3" s="1"/>
  <c r="M225" i="3"/>
  <c r="O225" i="3" s="1"/>
  <c r="M226" i="3"/>
  <c r="O226" i="3" s="1"/>
  <c r="M227" i="3"/>
  <c r="O227" i="3" s="1"/>
  <c r="M228" i="3"/>
  <c r="O228" i="3" s="1"/>
  <c r="M9" i="3"/>
  <c r="O9" i="3" s="1"/>
  <c r="M230" i="3"/>
  <c r="O230" i="3" s="1"/>
  <c r="M231" i="3"/>
  <c r="O231" i="3" s="1"/>
  <c r="M232" i="3"/>
  <c r="O232" i="3" s="1"/>
  <c r="M233" i="3"/>
  <c r="O233" i="3" s="1"/>
  <c r="M19" i="3"/>
  <c r="O19" i="3" s="1"/>
  <c r="M235" i="3"/>
  <c r="O235" i="3" s="1"/>
  <c r="M4" i="3"/>
  <c r="O4" i="3" s="1"/>
  <c r="M237" i="3"/>
  <c r="O237" i="3" s="1"/>
  <c r="M238" i="3"/>
  <c r="O238" i="3" s="1"/>
  <c r="M239" i="3"/>
  <c r="O239" i="3" s="1"/>
  <c r="M240" i="3"/>
  <c r="O240" i="3" s="1"/>
  <c r="M241" i="3"/>
  <c r="O241" i="3" s="1"/>
  <c r="M242" i="3"/>
  <c r="O242" i="3" s="1"/>
  <c r="M7" i="3"/>
  <c r="O7" i="3" s="1"/>
  <c r="M244" i="3"/>
  <c r="O244" i="3" s="1"/>
  <c r="M245" i="3"/>
  <c r="O245" i="3" s="1"/>
  <c r="M246" i="3"/>
  <c r="O246" i="3" s="1"/>
  <c r="M247" i="3"/>
  <c r="O247" i="3" s="1"/>
  <c r="M248" i="3"/>
  <c r="O248" i="3" s="1"/>
  <c r="M249" i="3"/>
  <c r="O249" i="3" s="1"/>
  <c r="M63" i="3"/>
  <c r="O63" i="3" s="1"/>
  <c r="M251" i="3"/>
  <c r="O251" i="3" s="1"/>
  <c r="M252" i="3"/>
  <c r="O252" i="3" s="1"/>
  <c r="M253" i="3"/>
  <c r="O253" i="3" s="1"/>
  <c r="M254" i="3"/>
  <c r="O254" i="3" s="1"/>
  <c r="M255" i="3"/>
  <c r="O255" i="3" s="1"/>
  <c r="M256" i="3"/>
  <c r="O256" i="3" s="1"/>
  <c r="M257" i="3"/>
  <c r="O257" i="3" s="1"/>
  <c r="M258" i="3"/>
  <c r="O258" i="3" s="1"/>
  <c r="M259" i="3"/>
  <c r="O259" i="3" s="1"/>
  <c r="M260" i="3"/>
  <c r="O260" i="3" s="1"/>
  <c r="M261" i="3"/>
  <c r="O261" i="3" s="1"/>
  <c r="M262" i="3"/>
  <c r="O262" i="3" s="1"/>
  <c r="M263" i="3"/>
  <c r="O263" i="3" s="1"/>
  <c r="M264" i="3"/>
  <c r="O264" i="3" s="1"/>
  <c r="M265" i="3"/>
  <c r="O265" i="3" s="1"/>
  <c r="M266" i="3"/>
  <c r="O266" i="3" s="1"/>
  <c r="M267" i="3"/>
  <c r="O267" i="3" s="1"/>
  <c r="M268" i="3"/>
  <c r="O268" i="3" s="1"/>
  <c r="M269" i="3"/>
  <c r="O269" i="3" s="1"/>
  <c r="M270" i="3"/>
  <c r="O270" i="3" s="1"/>
  <c r="M271" i="3"/>
  <c r="O271" i="3" s="1"/>
  <c r="M272" i="3"/>
  <c r="O272" i="3" s="1"/>
  <c r="M273" i="3"/>
  <c r="O273" i="3" s="1"/>
  <c r="M274" i="3"/>
  <c r="O274" i="3" s="1"/>
  <c r="M275" i="3"/>
  <c r="O275" i="3" s="1"/>
  <c r="M276" i="3"/>
  <c r="O276" i="3" s="1"/>
  <c r="M277" i="3"/>
  <c r="O277" i="3" s="1"/>
  <c r="M278" i="3"/>
  <c r="O278" i="3" s="1"/>
  <c r="M279" i="3"/>
  <c r="O279" i="3" s="1"/>
  <c r="M280" i="3"/>
  <c r="O280" i="3" s="1"/>
  <c r="M281" i="3"/>
  <c r="O281" i="3" s="1"/>
  <c r="M282" i="3"/>
  <c r="O282" i="3" s="1"/>
  <c r="M283" i="3"/>
  <c r="O283" i="3" s="1"/>
  <c r="M284" i="3"/>
  <c r="O284" i="3" s="1"/>
  <c r="M285" i="3"/>
  <c r="O285" i="3" s="1"/>
  <c r="M286" i="3"/>
  <c r="O286" i="3" s="1"/>
  <c r="M287" i="3"/>
  <c r="O287" i="3" s="1"/>
  <c r="M288" i="3"/>
  <c r="O288" i="3" s="1"/>
  <c r="M289" i="3"/>
  <c r="O289" i="3" s="1"/>
  <c r="M290" i="3"/>
  <c r="O290" i="3" s="1"/>
  <c r="M291" i="3"/>
  <c r="O291" i="3" s="1"/>
  <c r="M292" i="3"/>
  <c r="O292" i="3" s="1"/>
  <c r="M293" i="3"/>
  <c r="O293" i="3" s="1"/>
  <c r="M294" i="3"/>
  <c r="O294" i="3" s="1"/>
  <c r="M295" i="3"/>
  <c r="O295" i="3" s="1"/>
  <c r="M296" i="3"/>
  <c r="O296" i="3" s="1"/>
  <c r="M297" i="3"/>
  <c r="O297" i="3" s="1"/>
  <c r="M298" i="3"/>
  <c r="O298" i="3" s="1"/>
  <c r="M299" i="3"/>
  <c r="O299" i="3" s="1"/>
  <c r="M300" i="3"/>
  <c r="O300" i="3" s="1"/>
  <c r="M301" i="3"/>
  <c r="O301" i="3" s="1"/>
  <c r="M302" i="3"/>
  <c r="O302" i="3" s="1"/>
  <c r="M303" i="3"/>
  <c r="O303" i="3" s="1"/>
  <c r="M304" i="3"/>
  <c r="O304" i="3" s="1"/>
  <c r="M305" i="3"/>
  <c r="O305" i="3" s="1"/>
  <c r="M306" i="3"/>
  <c r="O306" i="3" s="1"/>
  <c r="M307" i="3"/>
  <c r="O307" i="3" s="1"/>
  <c r="M308" i="3"/>
  <c r="O308" i="3" s="1"/>
  <c r="M309" i="3"/>
  <c r="O309" i="3" s="1"/>
  <c r="M310" i="3"/>
  <c r="O310" i="3" s="1"/>
  <c r="M311" i="3"/>
  <c r="O311" i="3" s="1"/>
  <c r="M312" i="3"/>
  <c r="O312" i="3" s="1"/>
  <c r="M313" i="3"/>
  <c r="O313" i="3" s="1"/>
  <c r="M314" i="3"/>
  <c r="O314" i="3" s="1"/>
  <c r="M315" i="3"/>
  <c r="O315" i="3" s="1"/>
  <c r="M316" i="3"/>
  <c r="O316" i="3" s="1"/>
  <c r="M243" i="3"/>
  <c r="O243" i="3" s="1"/>
  <c r="M250" i="3"/>
  <c r="O250" i="3" s="1"/>
  <c r="M318" i="3"/>
  <c r="O318" i="3" s="1"/>
  <c r="M320" i="3"/>
  <c r="O320" i="3" s="1"/>
  <c r="M321" i="3"/>
  <c r="O321" i="3" s="1"/>
  <c r="M322" i="3"/>
  <c r="O322" i="3" s="1"/>
  <c r="M317" i="3"/>
  <c r="O317" i="3" s="1"/>
  <c r="M324" i="3"/>
  <c r="O324" i="3" s="1"/>
  <c r="M325" i="3"/>
  <c r="O325" i="3" s="1"/>
  <c r="M326" i="3"/>
  <c r="O326" i="3" s="1"/>
  <c r="M327" i="3"/>
  <c r="O327" i="3" s="1"/>
  <c r="M328" i="3"/>
  <c r="O328" i="3" s="1"/>
  <c r="M329" i="3"/>
  <c r="O329" i="3" s="1"/>
  <c r="M330" i="3"/>
  <c r="O330" i="3" s="1"/>
  <c r="M331" i="3"/>
  <c r="O331" i="3" s="1"/>
  <c r="M332" i="3"/>
  <c r="O332" i="3" s="1"/>
  <c r="M333" i="3"/>
  <c r="O333" i="3" s="1"/>
  <c r="M334" i="3"/>
  <c r="O334" i="3" s="1"/>
  <c r="M335" i="3"/>
  <c r="O335" i="3" s="1"/>
  <c r="M336" i="3"/>
  <c r="O336" i="3" s="1"/>
  <c r="M337" i="3"/>
  <c r="O337" i="3" s="1"/>
  <c r="M338" i="3"/>
  <c r="O338" i="3" s="1"/>
  <c r="M339" i="3"/>
  <c r="O339" i="3" s="1"/>
  <c r="M340" i="3"/>
  <c r="O340" i="3" s="1"/>
  <c r="M341" i="3"/>
  <c r="O341" i="3" s="1"/>
  <c r="M342" i="3"/>
  <c r="O342" i="3" s="1"/>
  <c r="M343" i="3"/>
  <c r="O343" i="3" s="1"/>
  <c r="M344" i="3"/>
  <c r="O344" i="3" s="1"/>
  <c r="M345" i="3"/>
  <c r="O345" i="3" s="1"/>
  <c r="M346" i="3"/>
  <c r="O346" i="3" s="1"/>
  <c r="M347" i="3"/>
  <c r="O347" i="3" s="1"/>
  <c r="M348" i="3"/>
  <c r="O348" i="3" s="1"/>
  <c r="M349" i="3"/>
  <c r="O349" i="3" s="1"/>
  <c r="M350" i="3"/>
  <c r="O350" i="3" s="1"/>
  <c r="M351" i="3"/>
  <c r="O351" i="3" s="1"/>
  <c r="M352" i="3"/>
  <c r="O352" i="3" s="1"/>
  <c r="M353" i="3"/>
  <c r="O353" i="3" s="1"/>
  <c r="M354" i="3"/>
  <c r="O354" i="3" s="1"/>
  <c r="M355" i="3"/>
  <c r="O355" i="3" s="1"/>
  <c r="M356" i="3"/>
  <c r="O356" i="3" s="1"/>
  <c r="M357" i="3"/>
  <c r="O357" i="3" s="1"/>
  <c r="M358" i="3"/>
  <c r="O358" i="3" s="1"/>
  <c r="M359" i="3"/>
  <c r="O359" i="3" s="1"/>
  <c r="M360" i="3"/>
  <c r="O360" i="3" s="1"/>
  <c r="M361" i="3"/>
  <c r="O361" i="3" s="1"/>
  <c r="M236" i="3"/>
  <c r="O236" i="3" s="1"/>
  <c r="M363" i="3"/>
  <c r="O363" i="3" s="1"/>
  <c r="M364" i="3"/>
  <c r="O364" i="3" s="1"/>
  <c r="M365" i="3"/>
  <c r="O365" i="3" s="1"/>
  <c r="M366" i="3"/>
  <c r="O366" i="3" s="1"/>
  <c r="M367" i="3"/>
  <c r="O367" i="3" s="1"/>
  <c r="M368" i="3"/>
  <c r="O368" i="3" s="1"/>
  <c r="M369" i="3"/>
  <c r="O369" i="3" s="1"/>
  <c r="M370" i="3"/>
  <c r="O370" i="3" s="1"/>
  <c r="M371" i="3"/>
  <c r="O371" i="3" s="1"/>
  <c r="M372" i="3"/>
  <c r="O372" i="3" s="1"/>
  <c r="M373" i="3"/>
  <c r="O373" i="3" s="1"/>
  <c r="M374" i="3"/>
  <c r="O374" i="3" s="1"/>
  <c r="M375" i="3"/>
  <c r="O375" i="3" s="1"/>
  <c r="M376" i="3"/>
  <c r="O376" i="3" s="1"/>
  <c r="K3" i="3"/>
  <c r="N3" i="3" s="1"/>
  <c r="K126" i="3"/>
  <c r="N126" i="3" s="1"/>
  <c r="K5" i="3"/>
  <c r="N5" i="3" s="1"/>
  <c r="K6" i="3"/>
  <c r="N6" i="3" s="1"/>
  <c r="K64" i="3"/>
  <c r="N64" i="3" s="1"/>
  <c r="K8" i="3"/>
  <c r="N8" i="3" s="1"/>
  <c r="K103" i="3"/>
  <c r="N103" i="3" s="1"/>
  <c r="K10" i="3"/>
  <c r="N10" i="3" s="1"/>
  <c r="K11" i="3"/>
  <c r="N11" i="3" s="1"/>
  <c r="K12" i="3"/>
  <c r="N12" i="3" s="1"/>
  <c r="K13" i="3"/>
  <c r="N13" i="3" s="1"/>
  <c r="K14" i="3"/>
  <c r="N14" i="3" s="1"/>
  <c r="K15" i="3"/>
  <c r="N15" i="3" s="1"/>
  <c r="K16" i="3"/>
  <c r="N16" i="3" s="1"/>
  <c r="K17" i="3"/>
  <c r="N17" i="3" s="1"/>
  <c r="K18" i="3"/>
  <c r="N18" i="3" s="1"/>
  <c r="K105" i="3"/>
  <c r="N105" i="3" s="1"/>
  <c r="K20" i="3"/>
  <c r="N20" i="3" s="1"/>
  <c r="K21" i="3"/>
  <c r="N21" i="3" s="1"/>
  <c r="K22" i="3"/>
  <c r="N22" i="3" s="1"/>
  <c r="K23" i="3"/>
  <c r="N23" i="3" s="1"/>
  <c r="K24" i="3"/>
  <c r="N24" i="3" s="1"/>
  <c r="K25" i="3"/>
  <c r="N25" i="3" s="1"/>
  <c r="K26" i="3"/>
  <c r="N26" i="3" s="1"/>
  <c r="K27" i="3"/>
  <c r="N27" i="3" s="1"/>
  <c r="K28" i="3"/>
  <c r="N28" i="3" s="1"/>
  <c r="K29" i="3"/>
  <c r="N29" i="3" s="1"/>
  <c r="K30" i="3"/>
  <c r="N30" i="3" s="1"/>
  <c r="K31" i="3"/>
  <c r="N31" i="3" s="1"/>
  <c r="K32" i="3"/>
  <c r="N32" i="3" s="1"/>
  <c r="K33" i="3"/>
  <c r="N33" i="3" s="1"/>
  <c r="K34" i="3"/>
  <c r="N34" i="3" s="1"/>
  <c r="K35" i="3"/>
  <c r="N35" i="3" s="1"/>
  <c r="K36" i="3"/>
  <c r="N36" i="3" s="1"/>
  <c r="K37" i="3"/>
  <c r="N37" i="3" s="1"/>
  <c r="K38" i="3"/>
  <c r="N38" i="3" s="1"/>
  <c r="K39" i="3"/>
  <c r="N39" i="3" s="1"/>
  <c r="K40" i="3"/>
  <c r="N40" i="3" s="1"/>
  <c r="K41" i="3"/>
  <c r="N41" i="3" s="1"/>
  <c r="K42" i="3"/>
  <c r="N42" i="3" s="1"/>
  <c r="K43" i="3"/>
  <c r="N43" i="3" s="1"/>
  <c r="K44" i="3"/>
  <c r="N44" i="3" s="1"/>
  <c r="K45" i="3"/>
  <c r="N45" i="3" s="1"/>
  <c r="K46" i="3"/>
  <c r="N46" i="3" s="1"/>
  <c r="K47" i="3"/>
  <c r="N47" i="3" s="1"/>
  <c r="K48" i="3"/>
  <c r="N48" i="3" s="1"/>
  <c r="K49" i="3"/>
  <c r="N49" i="3" s="1"/>
  <c r="K50" i="3"/>
  <c r="N50" i="3" s="1"/>
  <c r="K51" i="3"/>
  <c r="N51" i="3" s="1"/>
  <c r="K52" i="3"/>
  <c r="N52" i="3" s="1"/>
  <c r="K53" i="3"/>
  <c r="N53" i="3" s="1"/>
  <c r="K54" i="3"/>
  <c r="N54" i="3" s="1"/>
  <c r="K55" i="3"/>
  <c r="N55" i="3" s="1"/>
  <c r="K56" i="3"/>
  <c r="N56" i="3" s="1"/>
  <c r="K57" i="3"/>
  <c r="N57" i="3" s="1"/>
  <c r="K58" i="3"/>
  <c r="N58" i="3" s="1"/>
  <c r="K59" i="3"/>
  <c r="N59" i="3" s="1"/>
  <c r="K60" i="3"/>
  <c r="N60" i="3" s="1"/>
  <c r="K61" i="3"/>
  <c r="N61" i="3" s="1"/>
  <c r="K62" i="3"/>
  <c r="N62" i="3" s="1"/>
  <c r="K362" i="3"/>
  <c r="N362" i="3" s="1"/>
  <c r="K323" i="3"/>
  <c r="N323" i="3" s="1"/>
  <c r="K65" i="3"/>
  <c r="N65" i="3" s="1"/>
  <c r="K66" i="3"/>
  <c r="N66" i="3" s="1"/>
  <c r="K67" i="3"/>
  <c r="N67" i="3" s="1"/>
  <c r="K68" i="3"/>
  <c r="N68" i="3" s="1"/>
  <c r="K69" i="3"/>
  <c r="N69" i="3" s="1"/>
  <c r="K70" i="3"/>
  <c r="N70" i="3" s="1"/>
  <c r="K71" i="3"/>
  <c r="N71" i="3" s="1"/>
  <c r="K72" i="3"/>
  <c r="N72" i="3" s="1"/>
  <c r="K73" i="3"/>
  <c r="N73" i="3" s="1"/>
  <c r="K74" i="3"/>
  <c r="N74" i="3" s="1"/>
  <c r="K75" i="3"/>
  <c r="N75" i="3" s="1"/>
  <c r="K76" i="3"/>
  <c r="N76" i="3" s="1"/>
  <c r="K77" i="3"/>
  <c r="N77" i="3" s="1"/>
  <c r="K78" i="3"/>
  <c r="N78" i="3" s="1"/>
  <c r="K79" i="3"/>
  <c r="N79" i="3" s="1"/>
  <c r="K80" i="3"/>
  <c r="N80" i="3" s="1"/>
  <c r="K81" i="3"/>
  <c r="N81" i="3" s="1"/>
  <c r="K82" i="3"/>
  <c r="N82" i="3" s="1"/>
  <c r="K83" i="3"/>
  <c r="N83" i="3" s="1"/>
  <c r="K84" i="3"/>
  <c r="N84" i="3" s="1"/>
  <c r="K85" i="3"/>
  <c r="N85" i="3" s="1"/>
  <c r="K86" i="3"/>
  <c r="N86" i="3" s="1"/>
  <c r="K87" i="3"/>
  <c r="N87" i="3" s="1"/>
  <c r="K88" i="3"/>
  <c r="N88" i="3" s="1"/>
  <c r="K89" i="3"/>
  <c r="N89" i="3" s="1"/>
  <c r="K90" i="3"/>
  <c r="N90" i="3" s="1"/>
  <c r="K91" i="3"/>
  <c r="N91" i="3" s="1"/>
  <c r="K92" i="3"/>
  <c r="N92" i="3" s="1"/>
  <c r="K93" i="3"/>
  <c r="N93" i="3" s="1"/>
  <c r="K94" i="3"/>
  <c r="N94" i="3" s="1"/>
  <c r="K95" i="3"/>
  <c r="N95" i="3" s="1"/>
  <c r="K96" i="3"/>
  <c r="N96" i="3" s="1"/>
  <c r="K97" i="3"/>
  <c r="N97" i="3" s="1"/>
  <c r="K98" i="3"/>
  <c r="N98" i="3" s="1"/>
  <c r="K99" i="3"/>
  <c r="N99" i="3" s="1"/>
  <c r="K100" i="3"/>
  <c r="N100" i="3" s="1"/>
  <c r="K101" i="3"/>
  <c r="N101" i="3" s="1"/>
  <c r="K102" i="3"/>
  <c r="N102" i="3" s="1"/>
  <c r="K186" i="3"/>
  <c r="N186" i="3" s="1"/>
  <c r="K104" i="3"/>
  <c r="N104" i="3" s="1"/>
  <c r="K234" i="3"/>
  <c r="N234" i="3" s="1"/>
  <c r="K229" i="3"/>
  <c r="N229" i="3" s="1"/>
  <c r="K107" i="3"/>
  <c r="N107" i="3" s="1"/>
  <c r="K108" i="3"/>
  <c r="N108" i="3" s="1"/>
  <c r="K109" i="3"/>
  <c r="N109" i="3" s="1"/>
  <c r="K110" i="3"/>
  <c r="N110" i="3" s="1"/>
  <c r="K111" i="3"/>
  <c r="N111" i="3" s="1"/>
  <c r="K112" i="3"/>
  <c r="N112" i="3" s="1"/>
  <c r="K113" i="3"/>
  <c r="N113" i="3" s="1"/>
  <c r="K114" i="3"/>
  <c r="N114" i="3" s="1"/>
  <c r="K115" i="3"/>
  <c r="N115" i="3" s="1"/>
  <c r="K116" i="3"/>
  <c r="N116" i="3" s="1"/>
  <c r="K117" i="3"/>
  <c r="N117" i="3" s="1"/>
  <c r="K118" i="3"/>
  <c r="N118" i="3" s="1"/>
  <c r="K119" i="3"/>
  <c r="N119" i="3" s="1"/>
  <c r="K120" i="3"/>
  <c r="N120" i="3" s="1"/>
  <c r="K121" i="3"/>
  <c r="N121" i="3" s="1"/>
  <c r="K122" i="3"/>
  <c r="N122" i="3" s="1"/>
  <c r="K123" i="3"/>
  <c r="N123" i="3" s="1"/>
  <c r="K124" i="3"/>
  <c r="N124" i="3" s="1"/>
  <c r="K125" i="3"/>
  <c r="N125" i="3" s="1"/>
  <c r="K158" i="3"/>
  <c r="N158" i="3" s="1"/>
  <c r="K127" i="3"/>
  <c r="N127" i="3" s="1"/>
  <c r="K128" i="3"/>
  <c r="N128" i="3" s="1"/>
  <c r="K129" i="3"/>
  <c r="N129" i="3" s="1"/>
  <c r="K130" i="3"/>
  <c r="N130" i="3" s="1"/>
  <c r="K131" i="3"/>
  <c r="N131" i="3" s="1"/>
  <c r="K132" i="3"/>
  <c r="N132" i="3" s="1"/>
  <c r="K133" i="3"/>
  <c r="N133" i="3" s="1"/>
  <c r="K134" i="3"/>
  <c r="N134" i="3" s="1"/>
  <c r="K135" i="3"/>
  <c r="N135" i="3" s="1"/>
  <c r="K136" i="3"/>
  <c r="N136" i="3" s="1"/>
  <c r="K137" i="3"/>
  <c r="N137" i="3" s="1"/>
  <c r="K138" i="3"/>
  <c r="N138" i="3" s="1"/>
  <c r="K139" i="3"/>
  <c r="N139" i="3" s="1"/>
  <c r="K140" i="3"/>
  <c r="N140" i="3" s="1"/>
  <c r="K141" i="3"/>
  <c r="N141" i="3" s="1"/>
  <c r="K142" i="3"/>
  <c r="N142" i="3" s="1"/>
  <c r="K143" i="3"/>
  <c r="N143" i="3" s="1"/>
  <c r="K144" i="3"/>
  <c r="N144" i="3" s="1"/>
  <c r="K145" i="3"/>
  <c r="N145" i="3" s="1"/>
  <c r="K146" i="3"/>
  <c r="N146" i="3" s="1"/>
  <c r="K147" i="3"/>
  <c r="N147" i="3" s="1"/>
  <c r="K148" i="3"/>
  <c r="N148" i="3" s="1"/>
  <c r="K149" i="3"/>
  <c r="N149" i="3" s="1"/>
  <c r="K150" i="3"/>
  <c r="N150" i="3" s="1"/>
  <c r="K151" i="3"/>
  <c r="N151" i="3" s="1"/>
  <c r="K152" i="3"/>
  <c r="N152" i="3" s="1"/>
  <c r="K153" i="3"/>
  <c r="N153" i="3" s="1"/>
  <c r="K154" i="3"/>
  <c r="N154" i="3" s="1"/>
  <c r="K155" i="3"/>
  <c r="N155" i="3" s="1"/>
  <c r="K156" i="3"/>
  <c r="N156" i="3" s="1"/>
  <c r="K157" i="3"/>
  <c r="N157" i="3" s="1"/>
  <c r="K319" i="3"/>
  <c r="N319" i="3" s="1"/>
  <c r="K159" i="3"/>
  <c r="N159" i="3" s="1"/>
  <c r="K160" i="3"/>
  <c r="N160" i="3" s="1"/>
  <c r="K161" i="3"/>
  <c r="N161" i="3" s="1"/>
  <c r="K162" i="3"/>
  <c r="N162" i="3" s="1"/>
  <c r="K163" i="3"/>
  <c r="N163" i="3" s="1"/>
  <c r="K164" i="3"/>
  <c r="N164" i="3" s="1"/>
  <c r="K165" i="3"/>
  <c r="N165" i="3" s="1"/>
  <c r="K166" i="3"/>
  <c r="N166" i="3" s="1"/>
  <c r="K167" i="3"/>
  <c r="N167" i="3" s="1"/>
  <c r="K168" i="3"/>
  <c r="N168" i="3" s="1"/>
  <c r="K169" i="3"/>
  <c r="N169" i="3" s="1"/>
  <c r="K170" i="3"/>
  <c r="N170" i="3" s="1"/>
  <c r="K171" i="3"/>
  <c r="N171" i="3" s="1"/>
  <c r="K172" i="3"/>
  <c r="N172" i="3" s="1"/>
  <c r="K173" i="3"/>
  <c r="N173" i="3" s="1"/>
  <c r="K174" i="3"/>
  <c r="N174" i="3" s="1"/>
  <c r="K175" i="3"/>
  <c r="N175" i="3" s="1"/>
  <c r="K176" i="3"/>
  <c r="N176" i="3" s="1"/>
  <c r="K177" i="3"/>
  <c r="N177" i="3" s="1"/>
  <c r="K178" i="3"/>
  <c r="N178" i="3" s="1"/>
  <c r="K179" i="3"/>
  <c r="N179" i="3" s="1"/>
  <c r="K180" i="3"/>
  <c r="N180" i="3" s="1"/>
  <c r="K181" i="3"/>
  <c r="N181" i="3" s="1"/>
  <c r="K182" i="3"/>
  <c r="N182" i="3" s="1"/>
  <c r="K183" i="3"/>
  <c r="N183" i="3" s="1"/>
  <c r="K184" i="3"/>
  <c r="N184" i="3" s="1"/>
  <c r="K185" i="3"/>
  <c r="N185" i="3" s="1"/>
  <c r="K2" i="3"/>
  <c r="N2" i="3" s="1"/>
  <c r="K187" i="3"/>
  <c r="N187" i="3" s="1"/>
  <c r="K188" i="3"/>
  <c r="N188" i="3" s="1"/>
  <c r="K189" i="3"/>
  <c r="N189" i="3" s="1"/>
  <c r="K190" i="3"/>
  <c r="N190" i="3" s="1"/>
  <c r="K191" i="3"/>
  <c r="N191" i="3" s="1"/>
  <c r="K192" i="3"/>
  <c r="N192" i="3" s="1"/>
  <c r="K193" i="3"/>
  <c r="N193" i="3" s="1"/>
  <c r="K194" i="3"/>
  <c r="N194" i="3" s="1"/>
  <c r="K195" i="3"/>
  <c r="N195" i="3" s="1"/>
  <c r="K196" i="3"/>
  <c r="N196" i="3" s="1"/>
  <c r="K197" i="3"/>
  <c r="N197" i="3" s="1"/>
  <c r="K198" i="3"/>
  <c r="N198" i="3" s="1"/>
  <c r="K199" i="3"/>
  <c r="N199" i="3" s="1"/>
  <c r="K200" i="3"/>
  <c r="N200" i="3" s="1"/>
  <c r="K201" i="3"/>
  <c r="N201" i="3" s="1"/>
  <c r="K202" i="3"/>
  <c r="N202" i="3" s="1"/>
  <c r="K203" i="3"/>
  <c r="N203" i="3" s="1"/>
  <c r="K204" i="3"/>
  <c r="N204" i="3" s="1"/>
  <c r="K205" i="3"/>
  <c r="N205" i="3" s="1"/>
  <c r="K206" i="3"/>
  <c r="N206" i="3" s="1"/>
  <c r="K207" i="3"/>
  <c r="N207" i="3" s="1"/>
  <c r="K208" i="3"/>
  <c r="N208" i="3" s="1"/>
  <c r="K209" i="3"/>
  <c r="N209" i="3" s="1"/>
  <c r="K210" i="3"/>
  <c r="N210" i="3" s="1"/>
  <c r="K211" i="3"/>
  <c r="N211" i="3" s="1"/>
  <c r="K212" i="3"/>
  <c r="N212" i="3" s="1"/>
  <c r="K213" i="3"/>
  <c r="N213" i="3" s="1"/>
  <c r="K214" i="3"/>
  <c r="N214" i="3" s="1"/>
  <c r="K215" i="3"/>
  <c r="N215" i="3" s="1"/>
  <c r="K216" i="3"/>
  <c r="N216" i="3" s="1"/>
  <c r="K217" i="3"/>
  <c r="N217" i="3" s="1"/>
  <c r="K218" i="3"/>
  <c r="N218" i="3" s="1"/>
  <c r="K219" i="3"/>
  <c r="N219" i="3" s="1"/>
  <c r="K220" i="3"/>
  <c r="N220" i="3" s="1"/>
  <c r="K221" i="3"/>
  <c r="N221" i="3" s="1"/>
  <c r="K222" i="3"/>
  <c r="N222" i="3" s="1"/>
  <c r="K223" i="3"/>
  <c r="N223" i="3" s="1"/>
  <c r="K224" i="3"/>
  <c r="N224" i="3" s="1"/>
  <c r="K225" i="3"/>
  <c r="N225" i="3" s="1"/>
  <c r="K226" i="3"/>
  <c r="N226" i="3" s="1"/>
  <c r="K227" i="3"/>
  <c r="N227" i="3" s="1"/>
  <c r="K228" i="3"/>
  <c r="N228" i="3" s="1"/>
  <c r="K9" i="3"/>
  <c r="N9" i="3" s="1"/>
  <c r="K230" i="3"/>
  <c r="N230" i="3" s="1"/>
  <c r="K231" i="3"/>
  <c r="N231" i="3" s="1"/>
  <c r="K232" i="3"/>
  <c r="N232" i="3" s="1"/>
  <c r="K233" i="3"/>
  <c r="N233" i="3" s="1"/>
  <c r="K19" i="3"/>
  <c r="N19" i="3" s="1"/>
  <c r="K235" i="3"/>
  <c r="N235" i="3" s="1"/>
  <c r="K4" i="3"/>
  <c r="N4" i="3" s="1"/>
  <c r="K237" i="3"/>
  <c r="N237" i="3" s="1"/>
  <c r="K238" i="3"/>
  <c r="N238" i="3" s="1"/>
  <c r="K239" i="3"/>
  <c r="N239" i="3" s="1"/>
  <c r="K240" i="3"/>
  <c r="N240" i="3" s="1"/>
  <c r="K241" i="3"/>
  <c r="N241" i="3" s="1"/>
  <c r="K242" i="3"/>
  <c r="N242" i="3" s="1"/>
  <c r="K7" i="3"/>
  <c r="N7" i="3" s="1"/>
  <c r="K244" i="3"/>
  <c r="N244" i="3" s="1"/>
  <c r="K245" i="3"/>
  <c r="N245" i="3" s="1"/>
  <c r="K246" i="3"/>
  <c r="N246" i="3" s="1"/>
  <c r="K247" i="3"/>
  <c r="N247" i="3" s="1"/>
  <c r="K248" i="3"/>
  <c r="N248" i="3" s="1"/>
  <c r="K249" i="3"/>
  <c r="N249" i="3" s="1"/>
  <c r="K63" i="3"/>
  <c r="N63" i="3" s="1"/>
  <c r="K251" i="3"/>
  <c r="N251" i="3" s="1"/>
  <c r="K252" i="3"/>
  <c r="N252" i="3" s="1"/>
  <c r="K253" i="3"/>
  <c r="N253" i="3" s="1"/>
  <c r="K254" i="3"/>
  <c r="N254" i="3" s="1"/>
  <c r="K255" i="3"/>
  <c r="N255" i="3" s="1"/>
  <c r="K256" i="3"/>
  <c r="N256" i="3" s="1"/>
  <c r="K257" i="3"/>
  <c r="N257" i="3" s="1"/>
  <c r="K258" i="3"/>
  <c r="N258" i="3" s="1"/>
  <c r="K259" i="3"/>
  <c r="N259" i="3" s="1"/>
  <c r="K260" i="3"/>
  <c r="N260" i="3" s="1"/>
  <c r="K261" i="3"/>
  <c r="N261" i="3" s="1"/>
  <c r="K262" i="3"/>
  <c r="N262" i="3" s="1"/>
  <c r="K263" i="3"/>
  <c r="N263" i="3" s="1"/>
  <c r="K264" i="3"/>
  <c r="N264" i="3" s="1"/>
  <c r="K265" i="3"/>
  <c r="N265" i="3" s="1"/>
  <c r="K266" i="3"/>
  <c r="N266" i="3" s="1"/>
  <c r="K267" i="3"/>
  <c r="N267" i="3" s="1"/>
  <c r="K268" i="3"/>
  <c r="N268" i="3" s="1"/>
  <c r="K269" i="3"/>
  <c r="N269" i="3" s="1"/>
  <c r="K270" i="3"/>
  <c r="N270" i="3" s="1"/>
  <c r="K271" i="3"/>
  <c r="N271" i="3" s="1"/>
  <c r="K272" i="3"/>
  <c r="N272" i="3" s="1"/>
  <c r="K273" i="3"/>
  <c r="N273" i="3" s="1"/>
  <c r="K274" i="3"/>
  <c r="N274" i="3" s="1"/>
  <c r="K275" i="3"/>
  <c r="N275" i="3" s="1"/>
  <c r="K276" i="3"/>
  <c r="N276" i="3" s="1"/>
  <c r="K277" i="3"/>
  <c r="N277" i="3" s="1"/>
  <c r="K278" i="3"/>
  <c r="N278" i="3" s="1"/>
  <c r="K279" i="3"/>
  <c r="N279" i="3" s="1"/>
  <c r="K280" i="3"/>
  <c r="N280" i="3" s="1"/>
  <c r="K281" i="3"/>
  <c r="N281" i="3" s="1"/>
  <c r="K282" i="3"/>
  <c r="N282" i="3" s="1"/>
  <c r="K283" i="3"/>
  <c r="N283" i="3" s="1"/>
  <c r="K284" i="3"/>
  <c r="N284" i="3" s="1"/>
  <c r="K285" i="3"/>
  <c r="N285" i="3" s="1"/>
  <c r="K286" i="3"/>
  <c r="N286" i="3" s="1"/>
  <c r="K287" i="3"/>
  <c r="N287" i="3" s="1"/>
  <c r="K288" i="3"/>
  <c r="N288" i="3" s="1"/>
  <c r="K289" i="3"/>
  <c r="N289" i="3" s="1"/>
  <c r="K290" i="3"/>
  <c r="N290" i="3" s="1"/>
  <c r="K291" i="3"/>
  <c r="N291" i="3" s="1"/>
  <c r="K292" i="3"/>
  <c r="N292" i="3" s="1"/>
  <c r="K293" i="3"/>
  <c r="N293" i="3" s="1"/>
  <c r="K294" i="3"/>
  <c r="N294" i="3" s="1"/>
  <c r="K295" i="3"/>
  <c r="N295" i="3" s="1"/>
  <c r="K296" i="3"/>
  <c r="N296" i="3" s="1"/>
  <c r="K297" i="3"/>
  <c r="N297" i="3" s="1"/>
  <c r="K298" i="3"/>
  <c r="N298" i="3" s="1"/>
  <c r="K299" i="3"/>
  <c r="N299" i="3" s="1"/>
  <c r="K300" i="3"/>
  <c r="N300" i="3" s="1"/>
  <c r="K301" i="3"/>
  <c r="N301" i="3" s="1"/>
  <c r="K302" i="3"/>
  <c r="N302" i="3" s="1"/>
  <c r="K303" i="3"/>
  <c r="N303" i="3" s="1"/>
  <c r="K304" i="3"/>
  <c r="N304" i="3" s="1"/>
  <c r="K305" i="3"/>
  <c r="N305" i="3" s="1"/>
  <c r="K306" i="3"/>
  <c r="N306" i="3" s="1"/>
  <c r="K307" i="3"/>
  <c r="N307" i="3" s="1"/>
  <c r="K308" i="3"/>
  <c r="N308" i="3" s="1"/>
  <c r="K309" i="3"/>
  <c r="N309" i="3" s="1"/>
  <c r="K310" i="3"/>
  <c r="N310" i="3" s="1"/>
  <c r="K311" i="3"/>
  <c r="N311" i="3" s="1"/>
  <c r="K312" i="3"/>
  <c r="N312" i="3" s="1"/>
  <c r="K313" i="3"/>
  <c r="N313" i="3" s="1"/>
  <c r="K314" i="3"/>
  <c r="N314" i="3" s="1"/>
  <c r="K315" i="3"/>
  <c r="N315" i="3" s="1"/>
  <c r="K316" i="3"/>
  <c r="N316" i="3" s="1"/>
  <c r="K243" i="3"/>
  <c r="N243" i="3" s="1"/>
  <c r="K250" i="3"/>
  <c r="N250" i="3" s="1"/>
  <c r="K318" i="3"/>
  <c r="N318" i="3" s="1"/>
  <c r="K320" i="3"/>
  <c r="N320" i="3" s="1"/>
  <c r="K321" i="3"/>
  <c r="N321" i="3" s="1"/>
  <c r="K322" i="3"/>
  <c r="N322" i="3" s="1"/>
  <c r="K317" i="3"/>
  <c r="N317" i="3" s="1"/>
  <c r="K324" i="3"/>
  <c r="N324" i="3" s="1"/>
  <c r="K325" i="3"/>
  <c r="N325" i="3" s="1"/>
  <c r="K326" i="3"/>
  <c r="N326" i="3" s="1"/>
  <c r="K327" i="3"/>
  <c r="N327" i="3" s="1"/>
  <c r="K328" i="3"/>
  <c r="N328" i="3" s="1"/>
  <c r="K329" i="3"/>
  <c r="N329" i="3" s="1"/>
  <c r="K330" i="3"/>
  <c r="N330" i="3" s="1"/>
  <c r="K331" i="3"/>
  <c r="N331" i="3" s="1"/>
  <c r="K332" i="3"/>
  <c r="N332" i="3" s="1"/>
  <c r="K333" i="3"/>
  <c r="N333" i="3" s="1"/>
  <c r="K334" i="3"/>
  <c r="N334" i="3" s="1"/>
  <c r="K335" i="3"/>
  <c r="N335" i="3" s="1"/>
  <c r="K336" i="3"/>
  <c r="N336" i="3" s="1"/>
  <c r="K337" i="3"/>
  <c r="N337" i="3" s="1"/>
  <c r="K338" i="3"/>
  <c r="N338" i="3" s="1"/>
  <c r="K339" i="3"/>
  <c r="N339" i="3" s="1"/>
  <c r="K340" i="3"/>
  <c r="N340" i="3" s="1"/>
  <c r="K341" i="3"/>
  <c r="N341" i="3" s="1"/>
  <c r="K342" i="3"/>
  <c r="N342" i="3" s="1"/>
  <c r="K343" i="3"/>
  <c r="N343" i="3" s="1"/>
  <c r="K344" i="3"/>
  <c r="N344" i="3" s="1"/>
  <c r="K345" i="3"/>
  <c r="N345" i="3" s="1"/>
  <c r="K346" i="3"/>
  <c r="N346" i="3" s="1"/>
  <c r="K347" i="3"/>
  <c r="N347" i="3" s="1"/>
  <c r="K348" i="3"/>
  <c r="N348" i="3" s="1"/>
  <c r="K349" i="3"/>
  <c r="N349" i="3" s="1"/>
  <c r="K350" i="3"/>
  <c r="N350" i="3" s="1"/>
  <c r="K351" i="3"/>
  <c r="N351" i="3" s="1"/>
  <c r="K352" i="3"/>
  <c r="N352" i="3" s="1"/>
  <c r="K353" i="3"/>
  <c r="N353" i="3" s="1"/>
  <c r="K354" i="3"/>
  <c r="N354" i="3" s="1"/>
  <c r="K355" i="3"/>
  <c r="N355" i="3" s="1"/>
  <c r="K356" i="3"/>
  <c r="N356" i="3" s="1"/>
  <c r="K357" i="3"/>
  <c r="N357" i="3" s="1"/>
  <c r="K358" i="3"/>
  <c r="N358" i="3" s="1"/>
  <c r="K359" i="3"/>
  <c r="N359" i="3" s="1"/>
  <c r="K360" i="3"/>
  <c r="N360" i="3" s="1"/>
  <c r="K361" i="3"/>
  <c r="N361" i="3" s="1"/>
  <c r="K236" i="3"/>
  <c r="N236" i="3" s="1"/>
  <c r="K363" i="3"/>
  <c r="N363" i="3" s="1"/>
  <c r="K364" i="3"/>
  <c r="N364" i="3" s="1"/>
  <c r="K365" i="3"/>
  <c r="N365" i="3" s="1"/>
  <c r="K366" i="3"/>
  <c r="N366" i="3" s="1"/>
  <c r="K367" i="3"/>
  <c r="N367" i="3" s="1"/>
  <c r="K368" i="3"/>
  <c r="N368" i="3" s="1"/>
  <c r="K369" i="3"/>
  <c r="N369" i="3" s="1"/>
  <c r="K370" i="3"/>
  <c r="N370" i="3" s="1"/>
  <c r="K371" i="3"/>
  <c r="N371" i="3" s="1"/>
  <c r="K372" i="3"/>
  <c r="N372" i="3" s="1"/>
  <c r="K373" i="3"/>
  <c r="N373" i="3" s="1"/>
  <c r="K374" i="3"/>
  <c r="N374" i="3" s="1"/>
  <c r="K375" i="3"/>
  <c r="N375" i="3" s="1"/>
  <c r="K376" i="3"/>
  <c r="N376" i="3" s="1"/>
  <c r="E3" i="3"/>
  <c r="E126" i="3"/>
  <c r="E5" i="3"/>
  <c r="E6" i="3"/>
  <c r="G6" i="3" s="1"/>
  <c r="E64" i="3"/>
  <c r="E8" i="3"/>
  <c r="E103" i="3"/>
  <c r="E10" i="3"/>
  <c r="G10" i="3" s="1"/>
  <c r="E11" i="3"/>
  <c r="E12" i="3"/>
  <c r="E13" i="3"/>
  <c r="E14" i="3"/>
  <c r="G14" i="3" s="1"/>
  <c r="E15" i="3"/>
  <c r="E16" i="3"/>
  <c r="E17" i="3"/>
  <c r="E18" i="3"/>
  <c r="G18" i="3" s="1"/>
  <c r="E105" i="3"/>
  <c r="E20" i="3"/>
  <c r="E21" i="3"/>
  <c r="E22" i="3"/>
  <c r="G22" i="3" s="1"/>
  <c r="E23" i="3"/>
  <c r="E24" i="3"/>
  <c r="E25" i="3"/>
  <c r="E26" i="3"/>
  <c r="G26" i="3" s="1"/>
  <c r="E27" i="3"/>
  <c r="E28" i="3"/>
  <c r="E29" i="3"/>
  <c r="E30" i="3"/>
  <c r="G30" i="3" s="1"/>
  <c r="E31" i="3"/>
  <c r="E32" i="3"/>
  <c r="E33" i="3"/>
  <c r="E34" i="3"/>
  <c r="G34" i="3" s="1"/>
  <c r="E35" i="3"/>
  <c r="E36" i="3"/>
  <c r="E37" i="3"/>
  <c r="E38" i="3"/>
  <c r="G38" i="3" s="1"/>
  <c r="E39" i="3"/>
  <c r="E40" i="3"/>
  <c r="E41" i="3"/>
  <c r="E42" i="3"/>
  <c r="G42" i="3" s="1"/>
  <c r="E43" i="3"/>
  <c r="E44" i="3"/>
  <c r="E45" i="3"/>
  <c r="E46" i="3"/>
  <c r="G46" i="3" s="1"/>
  <c r="E47" i="3"/>
  <c r="E48" i="3"/>
  <c r="E49" i="3"/>
  <c r="E50" i="3"/>
  <c r="G50" i="3" s="1"/>
  <c r="E51" i="3"/>
  <c r="E52" i="3"/>
  <c r="E53" i="3"/>
  <c r="E54" i="3"/>
  <c r="G54" i="3" s="1"/>
  <c r="E55" i="3"/>
  <c r="E56" i="3"/>
  <c r="E57" i="3"/>
  <c r="E58" i="3"/>
  <c r="G58" i="3" s="1"/>
  <c r="E59" i="3"/>
  <c r="E60" i="3"/>
  <c r="E61" i="3"/>
  <c r="E62" i="3"/>
  <c r="G62" i="3" s="1"/>
  <c r="E362" i="3"/>
  <c r="E323" i="3"/>
  <c r="E65" i="3"/>
  <c r="E66" i="3"/>
  <c r="G66" i="3" s="1"/>
  <c r="E67" i="3"/>
  <c r="E68" i="3"/>
  <c r="E69" i="3"/>
  <c r="E70" i="3"/>
  <c r="G70" i="3" s="1"/>
  <c r="E71" i="3"/>
  <c r="E72" i="3"/>
  <c r="E73" i="3"/>
  <c r="E74" i="3"/>
  <c r="G74" i="3" s="1"/>
  <c r="E75" i="3"/>
  <c r="E76" i="3"/>
  <c r="E77" i="3"/>
  <c r="E78" i="3"/>
  <c r="G78" i="3" s="1"/>
  <c r="E79" i="3"/>
  <c r="E80" i="3"/>
  <c r="E81" i="3"/>
  <c r="E82" i="3"/>
  <c r="G82" i="3" s="1"/>
  <c r="E83" i="3"/>
  <c r="E84" i="3"/>
  <c r="E85" i="3"/>
  <c r="E86" i="3"/>
  <c r="G86" i="3" s="1"/>
  <c r="E87" i="3"/>
  <c r="E88" i="3"/>
  <c r="E89" i="3"/>
  <c r="E90" i="3"/>
  <c r="G90" i="3" s="1"/>
  <c r="E91" i="3"/>
  <c r="E92" i="3"/>
  <c r="E93" i="3"/>
  <c r="E94" i="3"/>
  <c r="G94" i="3" s="1"/>
  <c r="E95" i="3"/>
  <c r="E96" i="3"/>
  <c r="E97" i="3"/>
  <c r="E98" i="3"/>
  <c r="G98" i="3" s="1"/>
  <c r="E99" i="3"/>
  <c r="E100" i="3"/>
  <c r="E101" i="3"/>
  <c r="E102" i="3"/>
  <c r="G102" i="3" s="1"/>
  <c r="E186" i="3"/>
  <c r="E104" i="3"/>
  <c r="E234" i="3"/>
  <c r="E229" i="3"/>
  <c r="G229" i="3" s="1"/>
  <c r="E107" i="3"/>
  <c r="E108" i="3"/>
  <c r="E109" i="3"/>
  <c r="E110" i="3"/>
  <c r="G110" i="3" s="1"/>
  <c r="E111" i="3"/>
  <c r="E112" i="3"/>
  <c r="E113" i="3"/>
  <c r="E114" i="3"/>
  <c r="G114" i="3" s="1"/>
  <c r="E115" i="3"/>
  <c r="E116" i="3"/>
  <c r="E117" i="3"/>
  <c r="E118" i="3"/>
  <c r="G118" i="3" s="1"/>
  <c r="E119" i="3"/>
  <c r="E120" i="3"/>
  <c r="E121" i="3"/>
  <c r="E122" i="3"/>
  <c r="G122" i="3" s="1"/>
  <c r="E123" i="3"/>
  <c r="E124" i="3"/>
  <c r="E125" i="3"/>
  <c r="E158" i="3"/>
  <c r="G158" i="3" s="1"/>
  <c r="E127" i="3"/>
  <c r="E128" i="3"/>
  <c r="E129" i="3"/>
  <c r="E130" i="3"/>
  <c r="G130" i="3" s="1"/>
  <c r="E131" i="3"/>
  <c r="E132" i="3"/>
  <c r="E133" i="3"/>
  <c r="E134" i="3"/>
  <c r="G134" i="3" s="1"/>
  <c r="E135" i="3"/>
  <c r="E136" i="3"/>
  <c r="E137" i="3"/>
  <c r="E138" i="3"/>
  <c r="G138" i="3" s="1"/>
  <c r="E139" i="3"/>
  <c r="E140" i="3"/>
  <c r="E141" i="3"/>
  <c r="E142" i="3"/>
  <c r="G142" i="3" s="1"/>
  <c r="E143" i="3"/>
  <c r="E144" i="3"/>
  <c r="E145" i="3"/>
  <c r="E146" i="3"/>
  <c r="G146" i="3" s="1"/>
  <c r="E147" i="3"/>
  <c r="E148" i="3"/>
  <c r="E149" i="3"/>
  <c r="E150" i="3"/>
  <c r="G150" i="3" s="1"/>
  <c r="E151" i="3"/>
  <c r="E152" i="3"/>
  <c r="E153" i="3"/>
  <c r="E154" i="3"/>
  <c r="G154" i="3" s="1"/>
  <c r="E155" i="3"/>
  <c r="E156" i="3"/>
  <c r="E157" i="3"/>
  <c r="E319" i="3"/>
  <c r="G319" i="3" s="1"/>
  <c r="E159" i="3"/>
  <c r="E160" i="3"/>
  <c r="E161" i="3"/>
  <c r="E162" i="3"/>
  <c r="G162" i="3" s="1"/>
  <c r="E163" i="3"/>
  <c r="E164" i="3"/>
  <c r="E165" i="3"/>
  <c r="E166" i="3"/>
  <c r="G166" i="3" s="1"/>
  <c r="E167" i="3"/>
  <c r="E168" i="3"/>
  <c r="E169" i="3"/>
  <c r="E170" i="3"/>
  <c r="G170" i="3" s="1"/>
  <c r="E171" i="3"/>
  <c r="E172" i="3"/>
  <c r="E173" i="3"/>
  <c r="E174" i="3"/>
  <c r="G174" i="3" s="1"/>
  <c r="E175" i="3"/>
  <c r="E176" i="3"/>
  <c r="E177" i="3"/>
  <c r="E178" i="3"/>
  <c r="G178" i="3" s="1"/>
  <c r="E179" i="3"/>
  <c r="E180" i="3"/>
  <c r="E181" i="3"/>
  <c r="E182" i="3"/>
  <c r="G182" i="3" s="1"/>
  <c r="E183" i="3"/>
  <c r="E184" i="3"/>
  <c r="E185" i="3"/>
  <c r="E2" i="3"/>
  <c r="G2" i="3" s="1"/>
  <c r="E187" i="3"/>
  <c r="E188" i="3"/>
  <c r="E189" i="3"/>
  <c r="E190" i="3"/>
  <c r="G190" i="3" s="1"/>
  <c r="E191" i="3"/>
  <c r="E192" i="3"/>
  <c r="E193" i="3"/>
  <c r="E194" i="3"/>
  <c r="G194" i="3" s="1"/>
  <c r="E195" i="3"/>
  <c r="E196" i="3"/>
  <c r="E197" i="3"/>
  <c r="E198" i="3"/>
  <c r="G198" i="3" s="1"/>
  <c r="E199" i="3"/>
  <c r="E200" i="3"/>
  <c r="E201" i="3"/>
  <c r="E202" i="3"/>
  <c r="G202" i="3" s="1"/>
  <c r="E203" i="3"/>
  <c r="E204" i="3"/>
  <c r="E205" i="3"/>
  <c r="E206" i="3"/>
  <c r="G206" i="3" s="1"/>
  <c r="E207" i="3"/>
  <c r="E208" i="3"/>
  <c r="E209" i="3"/>
  <c r="E210" i="3"/>
  <c r="G210" i="3" s="1"/>
  <c r="E211" i="3"/>
  <c r="E212" i="3"/>
  <c r="E213" i="3"/>
  <c r="E214" i="3"/>
  <c r="G214" i="3" s="1"/>
  <c r="E215" i="3"/>
  <c r="E216" i="3"/>
  <c r="E217" i="3"/>
  <c r="E218" i="3"/>
  <c r="G218" i="3" s="1"/>
  <c r="E219" i="3"/>
  <c r="E220" i="3"/>
  <c r="E221" i="3"/>
  <c r="E222" i="3"/>
  <c r="G222" i="3" s="1"/>
  <c r="E223" i="3"/>
  <c r="E224" i="3"/>
  <c r="E225" i="3"/>
  <c r="E226" i="3"/>
  <c r="G226" i="3" s="1"/>
  <c r="E227" i="3"/>
  <c r="E228" i="3"/>
  <c r="E9" i="3"/>
  <c r="E230" i="3"/>
  <c r="G230" i="3" s="1"/>
  <c r="E231" i="3"/>
  <c r="E232" i="3"/>
  <c r="E233" i="3"/>
  <c r="E19" i="3"/>
  <c r="G19" i="3" s="1"/>
  <c r="E235" i="3"/>
  <c r="E4" i="3"/>
  <c r="E237" i="3"/>
  <c r="E238" i="3"/>
  <c r="G238" i="3" s="1"/>
  <c r="E239" i="3"/>
  <c r="E240" i="3"/>
  <c r="E241" i="3"/>
  <c r="E242" i="3"/>
  <c r="G242" i="3" s="1"/>
  <c r="E7" i="3"/>
  <c r="E244" i="3"/>
  <c r="E245" i="3"/>
  <c r="E246" i="3"/>
  <c r="G246" i="3" s="1"/>
  <c r="E247" i="3"/>
  <c r="E248" i="3"/>
  <c r="E249" i="3"/>
  <c r="E63" i="3"/>
  <c r="G63" i="3" s="1"/>
  <c r="E251" i="3"/>
  <c r="E252" i="3"/>
  <c r="E253" i="3"/>
  <c r="E254" i="3"/>
  <c r="G254" i="3" s="1"/>
  <c r="E255" i="3"/>
  <c r="E256" i="3"/>
  <c r="E257" i="3"/>
  <c r="E258" i="3"/>
  <c r="G258" i="3" s="1"/>
  <c r="E259" i="3"/>
  <c r="G259" i="3" s="1"/>
  <c r="E260" i="3"/>
  <c r="G260" i="3" s="1"/>
  <c r="E261" i="3"/>
  <c r="E262" i="3"/>
  <c r="G262" i="3" s="1"/>
  <c r="E263" i="3"/>
  <c r="G263" i="3" s="1"/>
  <c r="E264" i="3"/>
  <c r="G264" i="3" s="1"/>
  <c r="E265" i="3"/>
  <c r="E266" i="3"/>
  <c r="G266" i="3" s="1"/>
  <c r="E267" i="3"/>
  <c r="G267" i="3" s="1"/>
  <c r="E268" i="3"/>
  <c r="G268" i="3" s="1"/>
  <c r="E269" i="3"/>
  <c r="E270" i="3"/>
  <c r="G270" i="3" s="1"/>
  <c r="E271" i="3"/>
  <c r="G271" i="3" s="1"/>
  <c r="E272" i="3"/>
  <c r="G272" i="3" s="1"/>
  <c r="E273" i="3"/>
  <c r="E274" i="3"/>
  <c r="G274" i="3" s="1"/>
  <c r="E275" i="3"/>
  <c r="G275" i="3" s="1"/>
  <c r="E276" i="3"/>
  <c r="G276" i="3" s="1"/>
  <c r="E277" i="3"/>
  <c r="E278" i="3"/>
  <c r="G278" i="3" s="1"/>
  <c r="E279" i="3"/>
  <c r="G279" i="3" s="1"/>
  <c r="E280" i="3"/>
  <c r="G280" i="3" s="1"/>
  <c r="E281" i="3"/>
  <c r="E282" i="3"/>
  <c r="G282" i="3" s="1"/>
  <c r="E283" i="3"/>
  <c r="G283" i="3" s="1"/>
  <c r="E284" i="3"/>
  <c r="G284" i="3" s="1"/>
  <c r="E285" i="3"/>
  <c r="E286" i="3"/>
  <c r="G286" i="3" s="1"/>
  <c r="E287" i="3"/>
  <c r="G287" i="3" s="1"/>
  <c r="E288" i="3"/>
  <c r="G288" i="3" s="1"/>
  <c r="E289" i="3"/>
  <c r="E290" i="3"/>
  <c r="G290" i="3" s="1"/>
  <c r="E291" i="3"/>
  <c r="G291" i="3" s="1"/>
  <c r="E292" i="3"/>
  <c r="G292" i="3" s="1"/>
  <c r="E293" i="3"/>
  <c r="E294" i="3"/>
  <c r="G294" i="3" s="1"/>
  <c r="E295" i="3"/>
  <c r="G295" i="3" s="1"/>
  <c r="E296" i="3"/>
  <c r="G296" i="3" s="1"/>
  <c r="E297" i="3"/>
  <c r="E298" i="3"/>
  <c r="G298" i="3" s="1"/>
  <c r="E299" i="3"/>
  <c r="G299" i="3" s="1"/>
  <c r="E300" i="3"/>
  <c r="G300" i="3" s="1"/>
  <c r="E301" i="3"/>
  <c r="E302" i="3"/>
  <c r="G302" i="3" s="1"/>
  <c r="E303" i="3"/>
  <c r="G303" i="3" s="1"/>
  <c r="E304" i="3"/>
  <c r="G304" i="3" s="1"/>
  <c r="E305" i="3"/>
  <c r="E306" i="3"/>
  <c r="G306" i="3" s="1"/>
  <c r="E307" i="3"/>
  <c r="G307" i="3" s="1"/>
  <c r="E308" i="3"/>
  <c r="G308" i="3" s="1"/>
  <c r="E309" i="3"/>
  <c r="E310" i="3"/>
  <c r="G310" i="3" s="1"/>
  <c r="E311" i="3"/>
  <c r="G311" i="3" s="1"/>
  <c r="E312" i="3"/>
  <c r="G312" i="3" s="1"/>
  <c r="E313" i="3"/>
  <c r="E314" i="3"/>
  <c r="G314" i="3" s="1"/>
  <c r="E315" i="3"/>
  <c r="G315" i="3" s="1"/>
  <c r="E316" i="3"/>
  <c r="G316" i="3" s="1"/>
  <c r="E243" i="3"/>
  <c r="E250" i="3"/>
  <c r="G250" i="3" s="1"/>
  <c r="E318" i="3"/>
  <c r="G318" i="3" s="1"/>
  <c r="E320" i="3"/>
  <c r="G320" i="3" s="1"/>
  <c r="E321" i="3"/>
  <c r="E322" i="3"/>
  <c r="G322" i="3" s="1"/>
  <c r="E317" i="3"/>
  <c r="G317" i="3" s="1"/>
  <c r="E324" i="3"/>
  <c r="G324" i="3" s="1"/>
  <c r="E325" i="3"/>
  <c r="E326" i="3"/>
  <c r="G326" i="3" s="1"/>
  <c r="E327" i="3"/>
  <c r="G327" i="3" s="1"/>
  <c r="E328" i="3"/>
  <c r="G328" i="3" s="1"/>
  <c r="E329" i="3"/>
  <c r="E330" i="3"/>
  <c r="G330" i="3" s="1"/>
  <c r="E331" i="3"/>
  <c r="G331" i="3" s="1"/>
  <c r="E332" i="3"/>
  <c r="G332" i="3" s="1"/>
  <c r="E333" i="3"/>
  <c r="E334" i="3"/>
  <c r="G334" i="3" s="1"/>
  <c r="E335" i="3"/>
  <c r="G335" i="3" s="1"/>
  <c r="E336" i="3"/>
  <c r="G336" i="3" s="1"/>
  <c r="E337" i="3"/>
  <c r="E338" i="3"/>
  <c r="G338" i="3" s="1"/>
  <c r="E339" i="3"/>
  <c r="G339" i="3" s="1"/>
  <c r="E340" i="3"/>
  <c r="G340" i="3" s="1"/>
  <c r="E341" i="3"/>
  <c r="E342" i="3"/>
  <c r="G342" i="3" s="1"/>
  <c r="E343" i="3"/>
  <c r="G343" i="3" s="1"/>
  <c r="E344" i="3"/>
  <c r="G344" i="3" s="1"/>
  <c r="E345" i="3"/>
  <c r="G345" i="3" s="1"/>
  <c r="E346" i="3"/>
  <c r="G346" i="3" s="1"/>
  <c r="E347" i="3"/>
  <c r="G347" i="3" s="1"/>
  <c r="E348" i="3"/>
  <c r="G348" i="3" s="1"/>
  <c r="E349" i="3"/>
  <c r="G349" i="3" s="1"/>
  <c r="E350" i="3"/>
  <c r="G350" i="3" s="1"/>
  <c r="E351" i="3"/>
  <c r="G351" i="3" s="1"/>
  <c r="E352" i="3"/>
  <c r="G352" i="3" s="1"/>
  <c r="E353" i="3"/>
  <c r="G353" i="3" s="1"/>
  <c r="E354" i="3"/>
  <c r="G354" i="3" s="1"/>
  <c r="E355" i="3"/>
  <c r="G355" i="3" s="1"/>
  <c r="E356" i="3"/>
  <c r="G356" i="3" s="1"/>
  <c r="E357" i="3"/>
  <c r="G357" i="3" s="1"/>
  <c r="E358" i="3"/>
  <c r="G358" i="3" s="1"/>
  <c r="E359" i="3"/>
  <c r="G359" i="3" s="1"/>
  <c r="E360" i="3"/>
  <c r="G360" i="3" s="1"/>
  <c r="E361" i="3"/>
  <c r="G361" i="3" s="1"/>
  <c r="E236" i="3"/>
  <c r="G236" i="3" s="1"/>
  <c r="E363" i="3"/>
  <c r="G363" i="3" s="1"/>
  <c r="E364" i="3"/>
  <c r="G364" i="3" s="1"/>
  <c r="E365" i="3"/>
  <c r="G365" i="3" s="1"/>
  <c r="E366" i="3"/>
  <c r="G366" i="3" s="1"/>
  <c r="E367" i="3"/>
  <c r="G367" i="3" s="1"/>
  <c r="E368" i="3"/>
  <c r="G368" i="3" s="1"/>
  <c r="E369" i="3"/>
  <c r="G369" i="3" s="1"/>
  <c r="E370" i="3"/>
  <c r="G370" i="3" s="1"/>
  <c r="E371" i="3"/>
  <c r="G371" i="3" s="1"/>
  <c r="E372" i="3"/>
  <c r="G372" i="3" s="1"/>
  <c r="E373" i="3"/>
  <c r="G373" i="3" s="1"/>
  <c r="E374" i="3"/>
  <c r="G374" i="3" s="1"/>
  <c r="E375" i="3"/>
  <c r="G375" i="3" s="1"/>
  <c r="E376" i="3"/>
  <c r="G376" i="3" s="1"/>
  <c r="C3" i="3"/>
  <c r="C126" i="3"/>
  <c r="C5" i="3"/>
  <c r="C6" i="3"/>
  <c r="C64" i="3"/>
  <c r="C8" i="3"/>
  <c r="C103" i="3"/>
  <c r="C10" i="3"/>
  <c r="C11" i="3"/>
  <c r="C12" i="3"/>
  <c r="C13" i="3"/>
  <c r="C14" i="3"/>
  <c r="C15" i="3"/>
  <c r="C16" i="3"/>
  <c r="C17" i="3"/>
  <c r="C18" i="3"/>
  <c r="C105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362" i="3"/>
  <c r="C323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86" i="3"/>
  <c r="C104" i="3"/>
  <c r="C234" i="3"/>
  <c r="C229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58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319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2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9" i="3"/>
  <c r="C230" i="3"/>
  <c r="C231" i="3"/>
  <c r="C232" i="3"/>
  <c r="C233" i="3"/>
  <c r="C19" i="3"/>
  <c r="C235" i="3"/>
  <c r="C4" i="3"/>
  <c r="C237" i="3"/>
  <c r="C238" i="3"/>
  <c r="C239" i="3"/>
  <c r="C240" i="3"/>
  <c r="C241" i="3"/>
  <c r="C242" i="3"/>
  <c r="C7" i="3"/>
  <c r="C244" i="3"/>
  <c r="C245" i="3"/>
  <c r="C246" i="3"/>
  <c r="C247" i="3"/>
  <c r="C248" i="3"/>
  <c r="C249" i="3"/>
  <c r="C63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243" i="3"/>
  <c r="C250" i="3"/>
  <c r="C318" i="3"/>
  <c r="C320" i="3"/>
  <c r="C321" i="3"/>
  <c r="C322" i="3"/>
  <c r="C317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236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M106" i="3"/>
  <c r="O106" i="3" s="1"/>
  <c r="K106" i="3"/>
  <c r="N106" i="3" s="1"/>
  <c r="E106" i="3"/>
  <c r="G106" i="3" s="1"/>
  <c r="C106" i="3"/>
  <c r="G53" i="2"/>
  <c r="H53" i="2"/>
  <c r="I53" i="2"/>
  <c r="J53" i="2"/>
  <c r="K53" i="2"/>
  <c r="L53" i="2"/>
  <c r="M53" i="2"/>
  <c r="G9" i="2"/>
  <c r="H9" i="2"/>
  <c r="I9" i="2"/>
  <c r="J9" i="2"/>
  <c r="K9" i="2"/>
  <c r="L9" i="2"/>
  <c r="M9" i="2"/>
  <c r="G243" i="2"/>
  <c r="H243" i="2"/>
  <c r="I243" i="2"/>
  <c r="J243" i="2"/>
  <c r="K243" i="2"/>
  <c r="L243" i="2"/>
  <c r="M243" i="2"/>
  <c r="G337" i="2"/>
  <c r="H337" i="2"/>
  <c r="I337" i="2"/>
  <c r="J337" i="2"/>
  <c r="K337" i="2"/>
  <c r="L337" i="2"/>
  <c r="M337" i="2"/>
  <c r="G172" i="2"/>
  <c r="H172" i="2"/>
  <c r="I172" i="2"/>
  <c r="J172" i="2"/>
  <c r="K172" i="2"/>
  <c r="L172" i="2"/>
  <c r="M172" i="2"/>
  <c r="G193" i="2"/>
  <c r="H193" i="2"/>
  <c r="I193" i="2"/>
  <c r="J193" i="2"/>
  <c r="K193" i="2"/>
  <c r="L193" i="2"/>
  <c r="M193" i="2"/>
  <c r="G151" i="2"/>
  <c r="H151" i="2"/>
  <c r="I151" i="2"/>
  <c r="J151" i="2"/>
  <c r="K151" i="2"/>
  <c r="L151" i="2"/>
  <c r="M151" i="2"/>
  <c r="G105" i="2"/>
  <c r="H105" i="2"/>
  <c r="I105" i="2"/>
  <c r="J105" i="2"/>
  <c r="K105" i="2"/>
  <c r="L105" i="2"/>
  <c r="M105" i="2"/>
  <c r="G77" i="2"/>
  <c r="H77" i="2"/>
  <c r="I77" i="2"/>
  <c r="J77" i="2"/>
  <c r="K77" i="2"/>
  <c r="L77" i="2"/>
  <c r="M77" i="2"/>
  <c r="G369" i="2"/>
  <c r="H369" i="2"/>
  <c r="I369" i="2"/>
  <c r="J369" i="2"/>
  <c r="K369" i="2"/>
  <c r="L369" i="2"/>
  <c r="M369" i="2"/>
  <c r="G162" i="2"/>
  <c r="H162" i="2"/>
  <c r="I162" i="2"/>
  <c r="J162" i="2"/>
  <c r="K162" i="2"/>
  <c r="L162" i="2"/>
  <c r="M162" i="2"/>
  <c r="G282" i="2"/>
  <c r="H282" i="2"/>
  <c r="I282" i="2"/>
  <c r="J282" i="2"/>
  <c r="K282" i="2"/>
  <c r="L282" i="2"/>
  <c r="M282" i="2"/>
  <c r="G313" i="2"/>
  <c r="H313" i="2"/>
  <c r="I313" i="2"/>
  <c r="J313" i="2"/>
  <c r="K313" i="2"/>
  <c r="L313" i="2"/>
  <c r="M313" i="2"/>
  <c r="G267" i="2"/>
  <c r="H267" i="2"/>
  <c r="I267" i="2"/>
  <c r="J267" i="2"/>
  <c r="K267" i="2"/>
  <c r="L267" i="2"/>
  <c r="M267" i="2"/>
  <c r="G241" i="2"/>
  <c r="H241" i="2"/>
  <c r="I241" i="2"/>
  <c r="J241" i="2"/>
  <c r="K241" i="2"/>
  <c r="L241" i="2"/>
  <c r="M241" i="2"/>
  <c r="G80" i="2"/>
  <c r="H80" i="2"/>
  <c r="I80" i="2"/>
  <c r="J80" i="2"/>
  <c r="K80" i="2"/>
  <c r="L80" i="2"/>
  <c r="M80" i="2"/>
  <c r="G374" i="2"/>
  <c r="H374" i="2"/>
  <c r="I374" i="2"/>
  <c r="J374" i="2"/>
  <c r="K374" i="2"/>
  <c r="L374" i="2"/>
  <c r="M374" i="2"/>
  <c r="G274" i="2"/>
  <c r="H274" i="2"/>
  <c r="I274" i="2"/>
  <c r="J274" i="2"/>
  <c r="K274" i="2"/>
  <c r="L274" i="2"/>
  <c r="M274" i="2"/>
  <c r="G164" i="2"/>
  <c r="H164" i="2"/>
  <c r="I164" i="2"/>
  <c r="J164" i="2"/>
  <c r="K164" i="2"/>
  <c r="L164" i="2"/>
  <c r="M164" i="2"/>
  <c r="G222" i="2"/>
  <c r="H222" i="2"/>
  <c r="I222" i="2"/>
  <c r="J222" i="2"/>
  <c r="K222" i="2"/>
  <c r="L222" i="2"/>
  <c r="M222" i="2"/>
  <c r="G339" i="2"/>
  <c r="H339" i="2"/>
  <c r="I339" i="2"/>
  <c r="J339" i="2"/>
  <c r="K339" i="2"/>
  <c r="L339" i="2"/>
  <c r="M339" i="2"/>
  <c r="G365" i="2"/>
  <c r="H365" i="2"/>
  <c r="I365" i="2"/>
  <c r="J365" i="2"/>
  <c r="K365" i="2"/>
  <c r="L365" i="2"/>
  <c r="M365" i="2"/>
  <c r="G104" i="2"/>
  <c r="H104" i="2"/>
  <c r="I104" i="2"/>
  <c r="J104" i="2"/>
  <c r="K104" i="2"/>
  <c r="L104" i="2"/>
  <c r="M104" i="2"/>
  <c r="G173" i="2"/>
  <c r="H173" i="2"/>
  <c r="I173" i="2"/>
  <c r="J173" i="2"/>
  <c r="K173" i="2"/>
  <c r="L173" i="2"/>
  <c r="M173" i="2"/>
  <c r="G120" i="2"/>
  <c r="H120" i="2"/>
  <c r="I120" i="2"/>
  <c r="J120" i="2"/>
  <c r="K120" i="2"/>
  <c r="L120" i="2"/>
  <c r="M120" i="2"/>
  <c r="G78" i="2"/>
  <c r="H78" i="2"/>
  <c r="I78" i="2"/>
  <c r="J78" i="2"/>
  <c r="K78" i="2"/>
  <c r="L78" i="2"/>
  <c r="M78" i="2"/>
  <c r="G128" i="2"/>
  <c r="H128" i="2"/>
  <c r="I128" i="2"/>
  <c r="J128" i="2"/>
  <c r="K128" i="2"/>
  <c r="L128" i="2"/>
  <c r="M128" i="2"/>
  <c r="G40" i="2"/>
  <c r="H40" i="2"/>
  <c r="I40" i="2"/>
  <c r="J40" i="2"/>
  <c r="K40" i="2"/>
  <c r="L40" i="2"/>
  <c r="M40" i="2"/>
  <c r="G158" i="2"/>
  <c r="H158" i="2"/>
  <c r="I158" i="2"/>
  <c r="J158" i="2"/>
  <c r="K158" i="2"/>
  <c r="L158" i="2"/>
  <c r="M158" i="2"/>
  <c r="G149" i="2"/>
  <c r="H149" i="2"/>
  <c r="I149" i="2"/>
  <c r="J149" i="2"/>
  <c r="K149" i="2"/>
  <c r="L149" i="2"/>
  <c r="M149" i="2"/>
  <c r="G107" i="2"/>
  <c r="H107" i="2"/>
  <c r="I107" i="2"/>
  <c r="J107" i="2"/>
  <c r="K107" i="2"/>
  <c r="L107" i="2"/>
  <c r="M107" i="2"/>
  <c r="G135" i="2"/>
  <c r="H135" i="2"/>
  <c r="I135" i="2"/>
  <c r="J135" i="2"/>
  <c r="K135" i="2"/>
  <c r="L135" i="2"/>
  <c r="M135" i="2"/>
  <c r="G95" i="2"/>
  <c r="H95" i="2"/>
  <c r="I95" i="2"/>
  <c r="J95" i="2"/>
  <c r="K95" i="2"/>
  <c r="L95" i="2"/>
  <c r="M95" i="2"/>
  <c r="G159" i="2"/>
  <c r="H159" i="2"/>
  <c r="I159" i="2"/>
  <c r="J159" i="2"/>
  <c r="K159" i="2"/>
  <c r="L159" i="2"/>
  <c r="M159" i="2"/>
  <c r="G136" i="2"/>
  <c r="H136" i="2"/>
  <c r="I136" i="2"/>
  <c r="J136" i="2"/>
  <c r="K136" i="2"/>
  <c r="L136" i="2"/>
  <c r="M136" i="2"/>
  <c r="G54" i="2"/>
  <c r="H54" i="2"/>
  <c r="I54" i="2"/>
  <c r="J54" i="2"/>
  <c r="K54" i="2"/>
  <c r="L54" i="2"/>
  <c r="M54" i="2"/>
  <c r="G169" i="2"/>
  <c r="H169" i="2"/>
  <c r="I169" i="2"/>
  <c r="J169" i="2"/>
  <c r="K169" i="2"/>
  <c r="L169" i="2"/>
  <c r="M169" i="2"/>
  <c r="G81" i="2"/>
  <c r="H81" i="2"/>
  <c r="I81" i="2"/>
  <c r="J81" i="2"/>
  <c r="K81" i="2"/>
  <c r="L81" i="2"/>
  <c r="M81" i="2"/>
  <c r="G75" i="2"/>
  <c r="H75" i="2"/>
  <c r="I75" i="2"/>
  <c r="J75" i="2"/>
  <c r="K75" i="2"/>
  <c r="L75" i="2"/>
  <c r="M75" i="2"/>
  <c r="G303" i="2"/>
  <c r="H303" i="2"/>
  <c r="I303" i="2"/>
  <c r="J303" i="2"/>
  <c r="K303" i="2"/>
  <c r="L303" i="2"/>
  <c r="M303" i="2"/>
  <c r="G253" i="2"/>
  <c r="H253" i="2"/>
  <c r="I253" i="2"/>
  <c r="J253" i="2"/>
  <c r="K253" i="2"/>
  <c r="L253" i="2"/>
  <c r="M253" i="2"/>
  <c r="G212" i="2"/>
  <c r="H212" i="2"/>
  <c r="I212" i="2"/>
  <c r="J212" i="2"/>
  <c r="K212" i="2"/>
  <c r="L212" i="2"/>
  <c r="M212" i="2"/>
  <c r="G276" i="2"/>
  <c r="H276" i="2"/>
  <c r="I276" i="2"/>
  <c r="J276" i="2"/>
  <c r="K276" i="2"/>
  <c r="L276" i="2"/>
  <c r="M276" i="2"/>
  <c r="G312" i="2"/>
  <c r="H312" i="2"/>
  <c r="I312" i="2"/>
  <c r="J312" i="2"/>
  <c r="K312" i="2"/>
  <c r="L312" i="2"/>
  <c r="M312" i="2"/>
  <c r="G33" i="2"/>
  <c r="H33" i="2"/>
  <c r="I33" i="2"/>
  <c r="J33" i="2"/>
  <c r="K33" i="2"/>
  <c r="L33" i="2"/>
  <c r="M33" i="2"/>
  <c r="G353" i="2"/>
  <c r="H353" i="2"/>
  <c r="I353" i="2"/>
  <c r="J353" i="2"/>
  <c r="K353" i="2"/>
  <c r="L353" i="2"/>
  <c r="M353" i="2"/>
  <c r="G340" i="2"/>
  <c r="H340" i="2"/>
  <c r="I340" i="2"/>
  <c r="J340" i="2"/>
  <c r="K340" i="2"/>
  <c r="L340" i="2"/>
  <c r="M340" i="2"/>
  <c r="G26" i="2"/>
  <c r="H26" i="2"/>
  <c r="I26" i="2"/>
  <c r="J26" i="2"/>
  <c r="K26" i="2"/>
  <c r="L26" i="2"/>
  <c r="M26" i="2"/>
  <c r="G38" i="2"/>
  <c r="H38" i="2"/>
  <c r="I38" i="2"/>
  <c r="J38" i="2"/>
  <c r="K38" i="2"/>
  <c r="L38" i="2"/>
  <c r="M38" i="2"/>
  <c r="G35" i="2"/>
  <c r="H35" i="2"/>
  <c r="I35" i="2"/>
  <c r="J35" i="2"/>
  <c r="K35" i="2"/>
  <c r="L35" i="2"/>
  <c r="M35" i="2"/>
  <c r="G332" i="2"/>
  <c r="H332" i="2"/>
  <c r="I332" i="2"/>
  <c r="J332" i="2"/>
  <c r="K332" i="2"/>
  <c r="L332" i="2"/>
  <c r="M332" i="2"/>
  <c r="G30" i="2"/>
  <c r="H30" i="2"/>
  <c r="I30" i="2"/>
  <c r="J30" i="2"/>
  <c r="K30" i="2"/>
  <c r="L30" i="2"/>
  <c r="M30" i="2"/>
  <c r="G125" i="2"/>
  <c r="H125" i="2"/>
  <c r="I125" i="2"/>
  <c r="J125" i="2"/>
  <c r="K125" i="2"/>
  <c r="L125" i="2"/>
  <c r="M125" i="2"/>
  <c r="G129" i="2"/>
  <c r="H129" i="2"/>
  <c r="I129" i="2"/>
  <c r="J129" i="2"/>
  <c r="K129" i="2"/>
  <c r="L129" i="2"/>
  <c r="M129" i="2"/>
  <c r="G39" i="2"/>
  <c r="H39" i="2"/>
  <c r="I39" i="2"/>
  <c r="J39" i="2"/>
  <c r="K39" i="2"/>
  <c r="L39" i="2"/>
  <c r="M39" i="2"/>
  <c r="G216" i="2"/>
  <c r="H216" i="2"/>
  <c r="I216" i="2"/>
  <c r="J216" i="2"/>
  <c r="K216" i="2"/>
  <c r="L216" i="2"/>
  <c r="M216" i="2"/>
  <c r="G148" i="2"/>
  <c r="H148" i="2"/>
  <c r="I148" i="2"/>
  <c r="J148" i="2"/>
  <c r="K148" i="2"/>
  <c r="L148" i="2"/>
  <c r="M148" i="2"/>
  <c r="G302" i="2"/>
  <c r="H302" i="2"/>
  <c r="I302" i="2"/>
  <c r="J302" i="2"/>
  <c r="K302" i="2"/>
  <c r="L302" i="2"/>
  <c r="M302" i="2"/>
  <c r="G131" i="2"/>
  <c r="H131" i="2"/>
  <c r="I131" i="2"/>
  <c r="J131" i="2"/>
  <c r="K131" i="2"/>
  <c r="L131" i="2"/>
  <c r="M131" i="2"/>
  <c r="G100" i="2"/>
  <c r="H100" i="2"/>
  <c r="I100" i="2"/>
  <c r="J100" i="2"/>
  <c r="K100" i="2"/>
  <c r="L100" i="2"/>
  <c r="M100" i="2"/>
  <c r="G28" i="2"/>
  <c r="H28" i="2"/>
  <c r="I28" i="2"/>
  <c r="J28" i="2"/>
  <c r="K28" i="2"/>
  <c r="L28" i="2"/>
  <c r="M28" i="2"/>
  <c r="G213" i="2"/>
  <c r="H213" i="2"/>
  <c r="I213" i="2"/>
  <c r="J213" i="2"/>
  <c r="K213" i="2"/>
  <c r="L213" i="2"/>
  <c r="M213" i="2"/>
  <c r="G238" i="2"/>
  <c r="H238" i="2"/>
  <c r="I238" i="2"/>
  <c r="J238" i="2"/>
  <c r="K238" i="2"/>
  <c r="L238" i="2"/>
  <c r="M238" i="2"/>
  <c r="G170" i="2"/>
  <c r="H170" i="2"/>
  <c r="I170" i="2"/>
  <c r="J170" i="2"/>
  <c r="K170" i="2"/>
  <c r="L170" i="2"/>
  <c r="M170" i="2"/>
  <c r="G363" i="2"/>
  <c r="H363" i="2"/>
  <c r="I363" i="2"/>
  <c r="J363" i="2"/>
  <c r="K363" i="2"/>
  <c r="L363" i="2"/>
  <c r="M363" i="2"/>
  <c r="G70" i="2"/>
  <c r="H70" i="2"/>
  <c r="I70" i="2"/>
  <c r="J70" i="2"/>
  <c r="K70" i="2"/>
  <c r="L70" i="2"/>
  <c r="M70" i="2"/>
  <c r="G343" i="2"/>
  <c r="H343" i="2"/>
  <c r="I343" i="2"/>
  <c r="J343" i="2"/>
  <c r="K343" i="2"/>
  <c r="L343" i="2"/>
  <c r="M343" i="2"/>
  <c r="G289" i="2"/>
  <c r="H289" i="2"/>
  <c r="I289" i="2"/>
  <c r="J289" i="2"/>
  <c r="K289" i="2"/>
  <c r="L289" i="2"/>
  <c r="M289" i="2"/>
  <c r="G364" i="2"/>
  <c r="H364" i="2"/>
  <c r="I364" i="2"/>
  <c r="J364" i="2"/>
  <c r="K364" i="2"/>
  <c r="L364" i="2"/>
  <c r="M364" i="2"/>
  <c r="G123" i="2"/>
  <c r="H123" i="2"/>
  <c r="I123" i="2"/>
  <c r="J123" i="2"/>
  <c r="K123" i="2"/>
  <c r="L123" i="2"/>
  <c r="M123" i="2"/>
  <c r="G168" i="2"/>
  <c r="H168" i="2"/>
  <c r="I168" i="2"/>
  <c r="J168" i="2"/>
  <c r="K168" i="2"/>
  <c r="L168" i="2"/>
  <c r="M168" i="2"/>
  <c r="G45" i="2"/>
  <c r="H45" i="2"/>
  <c r="I45" i="2"/>
  <c r="J45" i="2"/>
  <c r="K45" i="2"/>
  <c r="L45" i="2"/>
  <c r="M45" i="2"/>
  <c r="G147" i="2"/>
  <c r="H147" i="2"/>
  <c r="I147" i="2"/>
  <c r="J147" i="2"/>
  <c r="K147" i="2"/>
  <c r="L147" i="2"/>
  <c r="M147" i="2"/>
  <c r="G160" i="2"/>
  <c r="H160" i="2"/>
  <c r="I160" i="2"/>
  <c r="J160" i="2"/>
  <c r="K160" i="2"/>
  <c r="L160" i="2"/>
  <c r="M160" i="2"/>
  <c r="G69" i="2"/>
  <c r="H69" i="2"/>
  <c r="I69" i="2"/>
  <c r="J69" i="2"/>
  <c r="K69" i="2"/>
  <c r="L69" i="2"/>
  <c r="M69" i="2"/>
  <c r="G46" i="2"/>
  <c r="H46" i="2"/>
  <c r="I46" i="2"/>
  <c r="J46" i="2"/>
  <c r="K46" i="2"/>
  <c r="L46" i="2"/>
  <c r="M46" i="2"/>
  <c r="G357" i="2"/>
  <c r="H357" i="2"/>
  <c r="I357" i="2"/>
  <c r="J357" i="2"/>
  <c r="K357" i="2"/>
  <c r="L357" i="2"/>
  <c r="M357" i="2"/>
  <c r="G349" i="2"/>
  <c r="H349" i="2"/>
  <c r="I349" i="2"/>
  <c r="J349" i="2"/>
  <c r="K349" i="2"/>
  <c r="L349" i="2"/>
  <c r="M349" i="2"/>
  <c r="G299" i="2"/>
  <c r="H299" i="2"/>
  <c r="I299" i="2"/>
  <c r="J299" i="2"/>
  <c r="K299" i="2"/>
  <c r="L299" i="2"/>
  <c r="M299" i="2"/>
  <c r="G341" i="2"/>
  <c r="H341" i="2"/>
  <c r="I341" i="2"/>
  <c r="J341" i="2"/>
  <c r="K341" i="2"/>
  <c r="L341" i="2"/>
  <c r="M341" i="2"/>
  <c r="G325" i="2"/>
  <c r="H325" i="2"/>
  <c r="I325" i="2"/>
  <c r="J325" i="2"/>
  <c r="K325" i="2"/>
  <c r="L325" i="2"/>
  <c r="M325" i="2"/>
  <c r="G361" i="2"/>
  <c r="H361" i="2"/>
  <c r="I361" i="2"/>
  <c r="J361" i="2"/>
  <c r="K361" i="2"/>
  <c r="L361" i="2"/>
  <c r="M361" i="2"/>
  <c r="G24" i="2"/>
  <c r="H24" i="2"/>
  <c r="I24" i="2"/>
  <c r="J24" i="2"/>
  <c r="K24" i="2"/>
  <c r="L24" i="2"/>
  <c r="M24" i="2"/>
  <c r="G207" i="2"/>
  <c r="H207" i="2"/>
  <c r="I207" i="2"/>
  <c r="J207" i="2"/>
  <c r="K207" i="2"/>
  <c r="L207" i="2"/>
  <c r="M207" i="2"/>
  <c r="G192" i="2"/>
  <c r="H192" i="2"/>
  <c r="I192" i="2"/>
  <c r="J192" i="2"/>
  <c r="K192" i="2"/>
  <c r="L192" i="2"/>
  <c r="M192" i="2"/>
  <c r="G307" i="2"/>
  <c r="H307" i="2"/>
  <c r="I307" i="2"/>
  <c r="J307" i="2"/>
  <c r="K307" i="2"/>
  <c r="L307" i="2"/>
  <c r="M307" i="2"/>
  <c r="G310" i="2"/>
  <c r="H310" i="2"/>
  <c r="I310" i="2"/>
  <c r="J310" i="2"/>
  <c r="K310" i="2"/>
  <c r="L310" i="2"/>
  <c r="M310" i="2"/>
  <c r="G2" i="2"/>
  <c r="H2" i="2"/>
  <c r="I2" i="2"/>
  <c r="J2" i="2"/>
  <c r="K2" i="2"/>
  <c r="L2" i="2"/>
  <c r="M2" i="2"/>
  <c r="G157" i="2"/>
  <c r="H157" i="2"/>
  <c r="I157" i="2"/>
  <c r="J157" i="2"/>
  <c r="K157" i="2"/>
  <c r="L157" i="2"/>
  <c r="M157" i="2"/>
  <c r="G76" i="2"/>
  <c r="H76" i="2"/>
  <c r="I76" i="2"/>
  <c r="J76" i="2"/>
  <c r="K76" i="2"/>
  <c r="L76" i="2"/>
  <c r="M76" i="2"/>
  <c r="G101" i="2"/>
  <c r="H101" i="2"/>
  <c r="I101" i="2"/>
  <c r="J101" i="2"/>
  <c r="K101" i="2"/>
  <c r="L101" i="2"/>
  <c r="M101" i="2"/>
  <c r="G86" i="2"/>
  <c r="H86" i="2"/>
  <c r="I86" i="2"/>
  <c r="J86" i="2"/>
  <c r="K86" i="2"/>
  <c r="L86" i="2"/>
  <c r="M86" i="2"/>
  <c r="G74" i="2"/>
  <c r="H74" i="2"/>
  <c r="I74" i="2"/>
  <c r="J74" i="2"/>
  <c r="K74" i="2"/>
  <c r="L74" i="2"/>
  <c r="M74" i="2"/>
  <c r="G56" i="2"/>
  <c r="H56" i="2"/>
  <c r="I56" i="2"/>
  <c r="J56" i="2"/>
  <c r="K56" i="2"/>
  <c r="L56" i="2"/>
  <c r="M56" i="2"/>
  <c r="G206" i="2"/>
  <c r="H206" i="2"/>
  <c r="I206" i="2"/>
  <c r="J206" i="2"/>
  <c r="K206" i="2"/>
  <c r="L206" i="2"/>
  <c r="M206" i="2"/>
  <c r="G181" i="2"/>
  <c r="H181" i="2"/>
  <c r="I181" i="2"/>
  <c r="J181" i="2"/>
  <c r="K181" i="2"/>
  <c r="L181" i="2"/>
  <c r="M181" i="2"/>
  <c r="G191" i="2"/>
  <c r="H191" i="2"/>
  <c r="I191" i="2"/>
  <c r="J191" i="2"/>
  <c r="K191" i="2"/>
  <c r="L191" i="2"/>
  <c r="M191" i="2"/>
  <c r="G275" i="2"/>
  <c r="H275" i="2"/>
  <c r="I275" i="2"/>
  <c r="J275" i="2"/>
  <c r="K275" i="2"/>
  <c r="L275" i="2"/>
  <c r="M275" i="2"/>
  <c r="G359" i="2"/>
  <c r="H359" i="2"/>
  <c r="I359" i="2"/>
  <c r="J359" i="2"/>
  <c r="K359" i="2"/>
  <c r="L359" i="2"/>
  <c r="M359" i="2"/>
  <c r="G333" i="2"/>
  <c r="H333" i="2"/>
  <c r="I333" i="2"/>
  <c r="J333" i="2"/>
  <c r="K333" i="2"/>
  <c r="L333" i="2"/>
  <c r="M333" i="2"/>
  <c r="G265" i="2"/>
  <c r="H265" i="2"/>
  <c r="I265" i="2"/>
  <c r="J265" i="2"/>
  <c r="K265" i="2"/>
  <c r="L265" i="2"/>
  <c r="M265" i="2"/>
  <c r="G218" i="2"/>
  <c r="H218" i="2"/>
  <c r="I218" i="2"/>
  <c r="J218" i="2"/>
  <c r="K218" i="2"/>
  <c r="L218" i="2"/>
  <c r="M218" i="2"/>
  <c r="G4" i="2"/>
  <c r="H4" i="2"/>
  <c r="I4" i="2"/>
  <c r="J4" i="2"/>
  <c r="K4" i="2"/>
  <c r="L4" i="2"/>
  <c r="M4" i="2"/>
  <c r="G177" i="2"/>
  <c r="H177" i="2"/>
  <c r="I177" i="2"/>
  <c r="J177" i="2"/>
  <c r="K177" i="2"/>
  <c r="L177" i="2"/>
  <c r="M177" i="2"/>
  <c r="G258" i="2"/>
  <c r="H258" i="2"/>
  <c r="I258" i="2"/>
  <c r="J258" i="2"/>
  <c r="K258" i="2"/>
  <c r="L258" i="2"/>
  <c r="M258" i="2"/>
  <c r="G375" i="2"/>
  <c r="H375" i="2"/>
  <c r="I375" i="2"/>
  <c r="J375" i="2"/>
  <c r="K375" i="2"/>
  <c r="L375" i="2"/>
  <c r="M375" i="2"/>
  <c r="G239" i="2"/>
  <c r="H239" i="2"/>
  <c r="I239" i="2"/>
  <c r="J239" i="2"/>
  <c r="K239" i="2"/>
  <c r="L239" i="2"/>
  <c r="M239" i="2"/>
  <c r="G279" i="2"/>
  <c r="H279" i="2"/>
  <c r="I279" i="2"/>
  <c r="J279" i="2"/>
  <c r="K279" i="2"/>
  <c r="L279" i="2"/>
  <c r="M279" i="2"/>
  <c r="G64" i="2"/>
  <c r="H64" i="2"/>
  <c r="I64" i="2"/>
  <c r="J64" i="2"/>
  <c r="K64" i="2"/>
  <c r="L64" i="2"/>
  <c r="M64" i="2"/>
  <c r="G132" i="2"/>
  <c r="H132" i="2"/>
  <c r="I132" i="2"/>
  <c r="J132" i="2"/>
  <c r="K132" i="2"/>
  <c r="L132" i="2"/>
  <c r="M132" i="2"/>
  <c r="G122" i="2"/>
  <c r="H122" i="2"/>
  <c r="I122" i="2"/>
  <c r="J122" i="2"/>
  <c r="K122" i="2"/>
  <c r="L122" i="2"/>
  <c r="M122" i="2"/>
  <c r="G296" i="2"/>
  <c r="H296" i="2"/>
  <c r="I296" i="2"/>
  <c r="J296" i="2"/>
  <c r="K296" i="2"/>
  <c r="L296" i="2"/>
  <c r="M296" i="2"/>
  <c r="G102" i="2"/>
  <c r="H102" i="2"/>
  <c r="I102" i="2"/>
  <c r="J102" i="2"/>
  <c r="K102" i="2"/>
  <c r="L102" i="2"/>
  <c r="M102" i="2"/>
  <c r="G116" i="2"/>
  <c r="H116" i="2"/>
  <c r="I116" i="2"/>
  <c r="J116" i="2"/>
  <c r="K116" i="2"/>
  <c r="L116" i="2"/>
  <c r="M116" i="2"/>
  <c r="G194" i="2"/>
  <c r="H194" i="2"/>
  <c r="I194" i="2"/>
  <c r="J194" i="2"/>
  <c r="K194" i="2"/>
  <c r="L194" i="2"/>
  <c r="M194" i="2"/>
  <c r="G18" i="2"/>
  <c r="H18" i="2"/>
  <c r="I18" i="2"/>
  <c r="J18" i="2"/>
  <c r="K18" i="2"/>
  <c r="L18" i="2"/>
  <c r="M18" i="2"/>
  <c r="G309" i="2"/>
  <c r="H309" i="2"/>
  <c r="I309" i="2"/>
  <c r="J309" i="2"/>
  <c r="K309" i="2"/>
  <c r="L309" i="2"/>
  <c r="M309" i="2"/>
  <c r="G23" i="2"/>
  <c r="H23" i="2"/>
  <c r="I23" i="2"/>
  <c r="J23" i="2"/>
  <c r="K23" i="2"/>
  <c r="L23" i="2"/>
  <c r="M23" i="2"/>
  <c r="G29" i="2"/>
  <c r="H29" i="2"/>
  <c r="I29" i="2"/>
  <c r="J29" i="2"/>
  <c r="K29" i="2"/>
  <c r="L29" i="2"/>
  <c r="M29" i="2"/>
  <c r="G283" i="2"/>
  <c r="H283" i="2"/>
  <c r="I283" i="2"/>
  <c r="J283" i="2"/>
  <c r="K283" i="2"/>
  <c r="L283" i="2"/>
  <c r="M283" i="2"/>
  <c r="G189" i="2"/>
  <c r="H189" i="2"/>
  <c r="I189" i="2"/>
  <c r="J189" i="2"/>
  <c r="K189" i="2"/>
  <c r="L189" i="2"/>
  <c r="M189" i="2"/>
  <c r="G315" i="2"/>
  <c r="H315" i="2"/>
  <c r="I315" i="2"/>
  <c r="J315" i="2"/>
  <c r="K315" i="2"/>
  <c r="L315" i="2"/>
  <c r="M315" i="2"/>
  <c r="G371" i="2"/>
  <c r="H371" i="2"/>
  <c r="I371" i="2"/>
  <c r="J371" i="2"/>
  <c r="K371" i="2"/>
  <c r="L371" i="2"/>
  <c r="M371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G96" i="2"/>
  <c r="H96" i="2"/>
  <c r="I96" i="2"/>
  <c r="J96" i="2"/>
  <c r="K96" i="2"/>
  <c r="L96" i="2"/>
  <c r="M96" i="2"/>
  <c r="G155" i="2"/>
  <c r="H155" i="2"/>
  <c r="I155" i="2"/>
  <c r="J155" i="2"/>
  <c r="K155" i="2"/>
  <c r="L155" i="2"/>
  <c r="M155" i="2"/>
  <c r="G146" i="2"/>
  <c r="H146" i="2"/>
  <c r="I146" i="2"/>
  <c r="J146" i="2"/>
  <c r="K146" i="2"/>
  <c r="L146" i="2"/>
  <c r="M146" i="2"/>
  <c r="G167" i="2"/>
  <c r="H167" i="2"/>
  <c r="I167" i="2"/>
  <c r="J167" i="2"/>
  <c r="K167" i="2"/>
  <c r="L167" i="2"/>
  <c r="M167" i="2"/>
  <c r="G174" i="2"/>
  <c r="H174" i="2"/>
  <c r="I174" i="2"/>
  <c r="J174" i="2"/>
  <c r="K174" i="2"/>
  <c r="L174" i="2"/>
  <c r="M174" i="2"/>
  <c r="G67" i="2"/>
  <c r="H67" i="2"/>
  <c r="I67" i="2"/>
  <c r="J67" i="2"/>
  <c r="K67" i="2"/>
  <c r="L67" i="2"/>
  <c r="M67" i="2"/>
  <c r="G49" i="2"/>
  <c r="H49" i="2"/>
  <c r="I49" i="2"/>
  <c r="J49" i="2"/>
  <c r="K49" i="2"/>
  <c r="L49" i="2"/>
  <c r="M49" i="2"/>
  <c r="G130" i="2"/>
  <c r="H130" i="2"/>
  <c r="I130" i="2"/>
  <c r="J130" i="2"/>
  <c r="K130" i="2"/>
  <c r="L130" i="2"/>
  <c r="M130" i="2"/>
  <c r="G140" i="2"/>
  <c r="H140" i="2"/>
  <c r="I140" i="2"/>
  <c r="J140" i="2"/>
  <c r="K140" i="2"/>
  <c r="L140" i="2"/>
  <c r="M140" i="2"/>
  <c r="G36" i="2"/>
  <c r="H36" i="2"/>
  <c r="I36" i="2"/>
  <c r="J36" i="2"/>
  <c r="K36" i="2"/>
  <c r="L36" i="2"/>
  <c r="M36" i="2"/>
  <c r="G50" i="2"/>
  <c r="H50" i="2"/>
  <c r="I50" i="2"/>
  <c r="J50" i="2"/>
  <c r="K50" i="2"/>
  <c r="L50" i="2"/>
  <c r="M50" i="2"/>
  <c r="G171" i="2"/>
  <c r="H171" i="2"/>
  <c r="I171" i="2"/>
  <c r="J171" i="2"/>
  <c r="K171" i="2"/>
  <c r="L171" i="2"/>
  <c r="M171" i="2"/>
  <c r="G84" i="2"/>
  <c r="H84" i="2"/>
  <c r="I84" i="2"/>
  <c r="J84" i="2"/>
  <c r="K84" i="2"/>
  <c r="L84" i="2"/>
  <c r="M84" i="2"/>
  <c r="G237" i="2"/>
  <c r="H237" i="2"/>
  <c r="I237" i="2"/>
  <c r="J237" i="2"/>
  <c r="K237" i="2"/>
  <c r="L237" i="2"/>
  <c r="M237" i="2"/>
  <c r="G210" i="2"/>
  <c r="H210" i="2"/>
  <c r="I210" i="2"/>
  <c r="J210" i="2"/>
  <c r="K210" i="2"/>
  <c r="L210" i="2"/>
  <c r="M210" i="2"/>
  <c r="G273" i="2"/>
  <c r="H273" i="2"/>
  <c r="I273" i="2"/>
  <c r="J273" i="2"/>
  <c r="K273" i="2"/>
  <c r="L273" i="2"/>
  <c r="M273" i="2"/>
  <c r="G270" i="2"/>
  <c r="H270" i="2"/>
  <c r="I270" i="2"/>
  <c r="J270" i="2"/>
  <c r="K270" i="2"/>
  <c r="L270" i="2"/>
  <c r="M270" i="2"/>
  <c r="G200" i="2"/>
  <c r="H200" i="2"/>
  <c r="I200" i="2"/>
  <c r="J200" i="2"/>
  <c r="K200" i="2"/>
  <c r="L200" i="2"/>
  <c r="M200" i="2"/>
  <c r="G214" i="2"/>
  <c r="H214" i="2"/>
  <c r="I214" i="2"/>
  <c r="J214" i="2"/>
  <c r="K214" i="2"/>
  <c r="L214" i="2"/>
  <c r="M214" i="2"/>
  <c r="G247" i="2"/>
  <c r="H247" i="2"/>
  <c r="I247" i="2"/>
  <c r="J247" i="2"/>
  <c r="K247" i="2"/>
  <c r="L247" i="2"/>
  <c r="M247" i="2"/>
  <c r="G271" i="2"/>
  <c r="H271" i="2"/>
  <c r="I271" i="2"/>
  <c r="J271" i="2"/>
  <c r="K271" i="2"/>
  <c r="L271" i="2"/>
  <c r="M271" i="2"/>
  <c r="G197" i="2"/>
  <c r="H197" i="2"/>
  <c r="I197" i="2"/>
  <c r="J197" i="2"/>
  <c r="K197" i="2"/>
  <c r="L197" i="2"/>
  <c r="M197" i="2"/>
  <c r="G188" i="2"/>
  <c r="H188" i="2"/>
  <c r="I188" i="2"/>
  <c r="J188" i="2"/>
  <c r="K188" i="2"/>
  <c r="L188" i="2"/>
  <c r="M188" i="2"/>
  <c r="G43" i="2"/>
  <c r="H43" i="2"/>
  <c r="I43" i="2"/>
  <c r="J43" i="2"/>
  <c r="K43" i="2"/>
  <c r="L43" i="2"/>
  <c r="M43" i="2"/>
  <c r="G366" i="2"/>
  <c r="H366" i="2"/>
  <c r="I366" i="2"/>
  <c r="J366" i="2"/>
  <c r="K366" i="2"/>
  <c r="L366" i="2"/>
  <c r="M366" i="2"/>
  <c r="G17" i="2"/>
  <c r="H17" i="2"/>
  <c r="I17" i="2"/>
  <c r="J17" i="2"/>
  <c r="K17" i="2"/>
  <c r="L17" i="2"/>
  <c r="M17" i="2"/>
  <c r="G3" i="2"/>
  <c r="H3" i="2"/>
  <c r="I3" i="2"/>
  <c r="J3" i="2"/>
  <c r="K3" i="2"/>
  <c r="L3" i="2"/>
  <c r="M3" i="2"/>
  <c r="G373" i="2"/>
  <c r="H373" i="2"/>
  <c r="I373" i="2"/>
  <c r="J373" i="2"/>
  <c r="K373" i="2"/>
  <c r="L373" i="2"/>
  <c r="M373" i="2"/>
  <c r="G124" i="2"/>
  <c r="H124" i="2"/>
  <c r="I124" i="2"/>
  <c r="J124" i="2"/>
  <c r="K124" i="2"/>
  <c r="L124" i="2"/>
  <c r="M124" i="2"/>
  <c r="G376" i="2"/>
  <c r="H376" i="2"/>
  <c r="I376" i="2"/>
  <c r="J376" i="2"/>
  <c r="K376" i="2"/>
  <c r="L376" i="2"/>
  <c r="M376" i="2"/>
  <c r="G368" i="2"/>
  <c r="H368" i="2"/>
  <c r="I368" i="2"/>
  <c r="J368" i="2"/>
  <c r="K368" i="2"/>
  <c r="L368" i="2"/>
  <c r="M368" i="2"/>
  <c r="G115" i="2"/>
  <c r="H115" i="2"/>
  <c r="I115" i="2"/>
  <c r="J115" i="2"/>
  <c r="K115" i="2"/>
  <c r="L115" i="2"/>
  <c r="M115" i="2"/>
  <c r="G259" i="2"/>
  <c r="H259" i="2"/>
  <c r="I259" i="2"/>
  <c r="J259" i="2"/>
  <c r="K259" i="2"/>
  <c r="L259" i="2"/>
  <c r="M259" i="2"/>
  <c r="G204" i="2"/>
  <c r="H204" i="2"/>
  <c r="I204" i="2"/>
  <c r="J204" i="2"/>
  <c r="K204" i="2"/>
  <c r="L204" i="2"/>
  <c r="M204" i="2"/>
  <c r="G215" i="2"/>
  <c r="H215" i="2"/>
  <c r="I215" i="2"/>
  <c r="J215" i="2"/>
  <c r="K215" i="2"/>
  <c r="L215" i="2"/>
  <c r="M215" i="2"/>
  <c r="G260" i="2"/>
  <c r="H260" i="2"/>
  <c r="I260" i="2"/>
  <c r="J260" i="2"/>
  <c r="K260" i="2"/>
  <c r="L260" i="2"/>
  <c r="M260" i="2"/>
  <c r="G225" i="2"/>
  <c r="H225" i="2"/>
  <c r="I225" i="2"/>
  <c r="J225" i="2"/>
  <c r="K225" i="2"/>
  <c r="L225" i="2"/>
  <c r="M225" i="2"/>
  <c r="G217" i="2"/>
  <c r="H217" i="2"/>
  <c r="I217" i="2"/>
  <c r="J217" i="2"/>
  <c r="K217" i="2"/>
  <c r="L217" i="2"/>
  <c r="M217" i="2"/>
  <c r="G60" i="2"/>
  <c r="H60" i="2"/>
  <c r="I60" i="2"/>
  <c r="J60" i="2"/>
  <c r="K60" i="2"/>
  <c r="L60" i="2"/>
  <c r="M60" i="2"/>
  <c r="G59" i="2"/>
  <c r="H59" i="2"/>
  <c r="I59" i="2"/>
  <c r="J59" i="2"/>
  <c r="K59" i="2"/>
  <c r="L59" i="2"/>
  <c r="M59" i="2"/>
  <c r="G103" i="2"/>
  <c r="H103" i="2"/>
  <c r="I103" i="2"/>
  <c r="J103" i="2"/>
  <c r="K103" i="2"/>
  <c r="L103" i="2"/>
  <c r="M103" i="2"/>
  <c r="G144" i="2"/>
  <c r="H144" i="2"/>
  <c r="I144" i="2"/>
  <c r="J144" i="2"/>
  <c r="K144" i="2"/>
  <c r="L144" i="2"/>
  <c r="M144" i="2"/>
  <c r="G163" i="2"/>
  <c r="I163" i="2"/>
  <c r="J163" i="2"/>
  <c r="K163" i="2"/>
  <c r="L163" i="2"/>
  <c r="M163" i="2"/>
  <c r="G106" i="2"/>
  <c r="H106" i="2"/>
  <c r="I106" i="2"/>
  <c r="J106" i="2"/>
  <c r="K106" i="2"/>
  <c r="L106" i="2"/>
  <c r="M106" i="2"/>
  <c r="G89" i="2"/>
  <c r="H89" i="2"/>
  <c r="I89" i="2"/>
  <c r="J89" i="2"/>
  <c r="K89" i="2"/>
  <c r="L89" i="2"/>
  <c r="M89" i="2"/>
  <c r="G111" i="2"/>
  <c r="H111" i="2"/>
  <c r="I111" i="2"/>
  <c r="J111" i="2"/>
  <c r="K111" i="2"/>
  <c r="L111" i="2"/>
  <c r="M111" i="2"/>
  <c r="G331" i="2"/>
  <c r="H331" i="2"/>
  <c r="I331" i="2"/>
  <c r="J331" i="2"/>
  <c r="K331" i="2"/>
  <c r="L331" i="2"/>
  <c r="M331" i="2"/>
  <c r="G268" i="2"/>
  <c r="H268" i="2"/>
  <c r="I268" i="2"/>
  <c r="J268" i="2"/>
  <c r="K268" i="2"/>
  <c r="L268" i="2"/>
  <c r="M268" i="2"/>
  <c r="G298" i="2"/>
  <c r="H298" i="2"/>
  <c r="I298" i="2"/>
  <c r="J298" i="2"/>
  <c r="K298" i="2"/>
  <c r="L298" i="2"/>
  <c r="M298" i="2"/>
  <c r="G362" i="2"/>
  <c r="H362" i="2"/>
  <c r="I362" i="2"/>
  <c r="J362" i="2"/>
  <c r="K362" i="2"/>
  <c r="L362" i="2"/>
  <c r="M362" i="2"/>
  <c r="G257" i="2"/>
  <c r="H257" i="2"/>
  <c r="I257" i="2"/>
  <c r="J257" i="2"/>
  <c r="K257" i="2"/>
  <c r="L257" i="2"/>
  <c r="M257" i="2"/>
  <c r="G263" i="2"/>
  <c r="H263" i="2"/>
  <c r="I263" i="2"/>
  <c r="J263" i="2"/>
  <c r="K263" i="2"/>
  <c r="L263" i="2"/>
  <c r="M263" i="2"/>
  <c r="G31" i="2"/>
  <c r="H31" i="2"/>
  <c r="I31" i="2"/>
  <c r="J31" i="2"/>
  <c r="K31" i="2"/>
  <c r="L31" i="2"/>
  <c r="M31" i="2"/>
  <c r="G290" i="2"/>
  <c r="H290" i="2"/>
  <c r="I290" i="2"/>
  <c r="J290" i="2"/>
  <c r="K290" i="2"/>
  <c r="L290" i="2"/>
  <c r="M290" i="2"/>
  <c r="G10" i="2"/>
  <c r="H10" i="2"/>
  <c r="I10" i="2"/>
  <c r="J10" i="2"/>
  <c r="K10" i="2"/>
  <c r="L10" i="2"/>
  <c r="M10" i="2"/>
  <c r="G345" i="2"/>
  <c r="H345" i="2"/>
  <c r="I345" i="2"/>
  <c r="J345" i="2"/>
  <c r="K345" i="2"/>
  <c r="L345" i="2"/>
  <c r="M345" i="2"/>
  <c r="G11" i="2"/>
  <c r="H11" i="2"/>
  <c r="I11" i="2"/>
  <c r="J11" i="2"/>
  <c r="K11" i="2"/>
  <c r="L11" i="2"/>
  <c r="M11" i="2"/>
  <c r="G79" i="2"/>
  <c r="H79" i="2"/>
  <c r="I79" i="2"/>
  <c r="J79" i="2"/>
  <c r="K79" i="2"/>
  <c r="L79" i="2"/>
  <c r="M79" i="2"/>
  <c r="G334" i="2"/>
  <c r="H334" i="2"/>
  <c r="I334" i="2"/>
  <c r="J334" i="2"/>
  <c r="K334" i="2"/>
  <c r="L334" i="2"/>
  <c r="M334" i="2"/>
  <c r="G93" i="2"/>
  <c r="H93" i="2"/>
  <c r="I93" i="2"/>
  <c r="J93" i="2"/>
  <c r="K93" i="2"/>
  <c r="L93" i="2"/>
  <c r="M93" i="2"/>
  <c r="G71" i="2"/>
  <c r="H71" i="2"/>
  <c r="I71" i="2"/>
  <c r="J71" i="2"/>
  <c r="K71" i="2"/>
  <c r="L71" i="2"/>
  <c r="M71" i="2"/>
  <c r="G176" i="2"/>
  <c r="H176" i="2"/>
  <c r="I176" i="2"/>
  <c r="J176" i="2"/>
  <c r="K176" i="2"/>
  <c r="L176" i="2"/>
  <c r="M176" i="2"/>
  <c r="G126" i="2"/>
  <c r="H126" i="2"/>
  <c r="I126" i="2"/>
  <c r="J126" i="2"/>
  <c r="K126" i="2"/>
  <c r="L126" i="2"/>
  <c r="M126" i="2"/>
  <c r="G61" i="2"/>
  <c r="H61" i="2"/>
  <c r="I61" i="2"/>
  <c r="J61" i="2"/>
  <c r="K61" i="2"/>
  <c r="L61" i="2"/>
  <c r="M61" i="2"/>
  <c r="G127" i="2"/>
  <c r="H127" i="2"/>
  <c r="I127" i="2"/>
  <c r="J127" i="2"/>
  <c r="K127" i="2"/>
  <c r="L127" i="2"/>
  <c r="M127" i="2"/>
  <c r="G114" i="2"/>
  <c r="H114" i="2"/>
  <c r="I114" i="2"/>
  <c r="J114" i="2"/>
  <c r="K114" i="2"/>
  <c r="L114" i="2"/>
  <c r="M114" i="2"/>
  <c r="G121" i="2"/>
  <c r="H121" i="2"/>
  <c r="I121" i="2"/>
  <c r="J121" i="2"/>
  <c r="K121" i="2"/>
  <c r="L121" i="2"/>
  <c r="M121" i="2"/>
  <c r="G249" i="2"/>
  <c r="H249" i="2"/>
  <c r="I249" i="2"/>
  <c r="J249" i="2"/>
  <c r="K249" i="2"/>
  <c r="L249" i="2"/>
  <c r="M249" i="2"/>
  <c r="G354" i="2"/>
  <c r="H354" i="2"/>
  <c r="I354" i="2"/>
  <c r="J354" i="2"/>
  <c r="K354" i="2"/>
  <c r="L354" i="2"/>
  <c r="M354" i="2"/>
  <c r="G186" i="2"/>
  <c r="H186" i="2"/>
  <c r="I186" i="2"/>
  <c r="J186" i="2"/>
  <c r="K186" i="2"/>
  <c r="L186" i="2"/>
  <c r="M186" i="2"/>
  <c r="G25" i="2"/>
  <c r="H25" i="2"/>
  <c r="I25" i="2"/>
  <c r="J25" i="2"/>
  <c r="K25" i="2"/>
  <c r="L25" i="2"/>
  <c r="M25" i="2"/>
  <c r="G15" i="2"/>
  <c r="H15" i="2"/>
  <c r="I15" i="2"/>
  <c r="J15" i="2"/>
  <c r="K15" i="2"/>
  <c r="L15" i="2"/>
  <c r="M15" i="2"/>
  <c r="G22" i="2"/>
  <c r="H22" i="2"/>
  <c r="I22" i="2"/>
  <c r="J22" i="2"/>
  <c r="K22" i="2"/>
  <c r="L22" i="2"/>
  <c r="M22" i="2"/>
  <c r="G12" i="2"/>
  <c r="H12" i="2"/>
  <c r="I12" i="2"/>
  <c r="J12" i="2"/>
  <c r="K12" i="2"/>
  <c r="L12" i="2"/>
  <c r="M12" i="2"/>
  <c r="G295" i="2"/>
  <c r="H295" i="2"/>
  <c r="I295" i="2"/>
  <c r="J295" i="2"/>
  <c r="K295" i="2"/>
  <c r="L295" i="2"/>
  <c r="M295" i="2"/>
  <c r="G119" i="2"/>
  <c r="H119" i="2"/>
  <c r="I119" i="2"/>
  <c r="J119" i="2"/>
  <c r="K119" i="2"/>
  <c r="L119" i="2"/>
  <c r="M119" i="2"/>
  <c r="G201" i="2"/>
  <c r="H201" i="2"/>
  <c r="I201" i="2"/>
  <c r="J201" i="2"/>
  <c r="K201" i="2"/>
  <c r="L201" i="2"/>
  <c r="M201" i="2"/>
  <c r="G19" i="2"/>
  <c r="H19" i="2"/>
  <c r="I19" i="2"/>
  <c r="J19" i="2"/>
  <c r="K19" i="2"/>
  <c r="L19" i="2"/>
  <c r="M19" i="2"/>
  <c r="G211" i="2"/>
  <c r="H211" i="2"/>
  <c r="I211" i="2"/>
  <c r="J211" i="2"/>
  <c r="K211" i="2"/>
  <c r="L211" i="2"/>
  <c r="M211" i="2"/>
  <c r="G330" i="2"/>
  <c r="H330" i="2"/>
  <c r="I330" i="2"/>
  <c r="J330" i="2"/>
  <c r="K330" i="2"/>
  <c r="L330" i="2"/>
  <c r="M330" i="2"/>
  <c r="G266" i="2"/>
  <c r="H266" i="2"/>
  <c r="I266" i="2"/>
  <c r="J266" i="2"/>
  <c r="K266" i="2"/>
  <c r="L266" i="2"/>
  <c r="M266" i="2"/>
  <c r="G202" i="2"/>
  <c r="H202" i="2"/>
  <c r="I202" i="2"/>
  <c r="J202" i="2"/>
  <c r="K202" i="2"/>
  <c r="L202" i="2"/>
  <c r="M202" i="2"/>
  <c r="G37" i="2"/>
  <c r="H37" i="2"/>
  <c r="I37" i="2"/>
  <c r="J37" i="2"/>
  <c r="K37" i="2"/>
  <c r="L37" i="2"/>
  <c r="M37" i="2"/>
  <c r="G182" i="2"/>
  <c r="H182" i="2"/>
  <c r="I182" i="2"/>
  <c r="J182" i="2"/>
  <c r="K182" i="2"/>
  <c r="L182" i="2"/>
  <c r="M182" i="2"/>
  <c r="G235" i="2"/>
  <c r="H235" i="2"/>
  <c r="I235" i="2"/>
  <c r="J235" i="2"/>
  <c r="K235" i="2"/>
  <c r="L235" i="2"/>
  <c r="M235" i="2"/>
  <c r="G92" i="2"/>
  <c r="H92" i="2"/>
  <c r="I92" i="2"/>
  <c r="J92" i="2"/>
  <c r="K92" i="2"/>
  <c r="L92" i="2"/>
  <c r="M92" i="2"/>
  <c r="G358" i="2"/>
  <c r="H358" i="2"/>
  <c r="I358" i="2"/>
  <c r="J358" i="2"/>
  <c r="K358" i="2"/>
  <c r="L358" i="2"/>
  <c r="M358" i="2"/>
  <c r="G346" i="2"/>
  <c r="H346" i="2"/>
  <c r="I346" i="2"/>
  <c r="J346" i="2"/>
  <c r="K346" i="2"/>
  <c r="L346" i="2"/>
  <c r="M346" i="2"/>
  <c r="G300" i="2"/>
  <c r="H300" i="2"/>
  <c r="I300" i="2"/>
  <c r="J300" i="2"/>
  <c r="K300" i="2"/>
  <c r="L300" i="2"/>
  <c r="M300" i="2"/>
  <c r="G370" i="2"/>
  <c r="H370" i="2"/>
  <c r="I370" i="2"/>
  <c r="J370" i="2"/>
  <c r="K370" i="2"/>
  <c r="L370" i="2"/>
  <c r="M370" i="2"/>
  <c r="G255" i="2"/>
  <c r="H255" i="2"/>
  <c r="I255" i="2"/>
  <c r="J255" i="2"/>
  <c r="K255" i="2"/>
  <c r="L255" i="2"/>
  <c r="M255" i="2"/>
  <c r="G328" i="2"/>
  <c r="H328" i="2"/>
  <c r="I328" i="2"/>
  <c r="J328" i="2"/>
  <c r="K328" i="2"/>
  <c r="L328" i="2"/>
  <c r="M328" i="2"/>
  <c r="G184" i="2"/>
  <c r="H184" i="2"/>
  <c r="I184" i="2"/>
  <c r="J184" i="2"/>
  <c r="K184" i="2"/>
  <c r="L184" i="2"/>
  <c r="M184" i="2"/>
  <c r="G311" i="2"/>
  <c r="H311" i="2"/>
  <c r="I311" i="2"/>
  <c r="J311" i="2"/>
  <c r="K311" i="2"/>
  <c r="L311" i="2"/>
  <c r="M311" i="2"/>
  <c r="G166" i="2"/>
  <c r="H166" i="2"/>
  <c r="I166" i="2"/>
  <c r="J166" i="2"/>
  <c r="K166" i="2"/>
  <c r="L166" i="2"/>
  <c r="M166" i="2"/>
  <c r="G251" i="2"/>
  <c r="H251" i="2"/>
  <c r="I251" i="2"/>
  <c r="J251" i="2"/>
  <c r="K251" i="2"/>
  <c r="L251" i="2"/>
  <c r="M251" i="2"/>
  <c r="G323" i="2"/>
  <c r="H323" i="2"/>
  <c r="I323" i="2"/>
  <c r="J323" i="2"/>
  <c r="K323" i="2"/>
  <c r="L323" i="2"/>
  <c r="M323" i="2"/>
  <c r="G372" i="2"/>
  <c r="H372" i="2"/>
  <c r="I372" i="2"/>
  <c r="J372" i="2"/>
  <c r="K372" i="2"/>
  <c r="L372" i="2"/>
  <c r="M372" i="2"/>
  <c r="G98" i="2"/>
  <c r="H98" i="2"/>
  <c r="I98" i="2"/>
  <c r="J98" i="2"/>
  <c r="K98" i="2"/>
  <c r="L98" i="2"/>
  <c r="M98" i="2"/>
  <c r="G198" i="2"/>
  <c r="H198" i="2"/>
  <c r="I198" i="2"/>
  <c r="J198" i="2"/>
  <c r="K198" i="2"/>
  <c r="L198" i="2"/>
  <c r="M198" i="2"/>
  <c r="G344" i="2"/>
  <c r="H344" i="2"/>
  <c r="I344" i="2"/>
  <c r="J344" i="2"/>
  <c r="K344" i="2"/>
  <c r="L344" i="2"/>
  <c r="M344" i="2"/>
  <c r="G292" i="2"/>
  <c r="H292" i="2"/>
  <c r="I292" i="2"/>
  <c r="J292" i="2"/>
  <c r="K292" i="2"/>
  <c r="L292" i="2"/>
  <c r="M292" i="2"/>
  <c r="G8" i="2"/>
  <c r="H8" i="2"/>
  <c r="I8" i="2"/>
  <c r="J8" i="2"/>
  <c r="K8" i="2"/>
  <c r="L8" i="2"/>
  <c r="M8" i="2"/>
  <c r="G230" i="2"/>
  <c r="H230" i="2"/>
  <c r="I230" i="2"/>
  <c r="J230" i="2"/>
  <c r="K230" i="2"/>
  <c r="L230" i="2"/>
  <c r="M230" i="2"/>
  <c r="G317" i="2"/>
  <c r="H317" i="2"/>
  <c r="I317" i="2"/>
  <c r="J317" i="2"/>
  <c r="K317" i="2"/>
  <c r="L317" i="2"/>
  <c r="M317" i="2"/>
  <c r="G327" i="2"/>
  <c r="H327" i="2"/>
  <c r="I327" i="2"/>
  <c r="J327" i="2"/>
  <c r="K327" i="2"/>
  <c r="L327" i="2"/>
  <c r="M327" i="2"/>
  <c r="G355" i="2"/>
  <c r="H355" i="2"/>
  <c r="I355" i="2"/>
  <c r="J355" i="2"/>
  <c r="K355" i="2"/>
  <c r="L355" i="2"/>
  <c r="M355" i="2"/>
  <c r="G48" i="2"/>
  <c r="H48" i="2"/>
  <c r="I48" i="2"/>
  <c r="J48" i="2"/>
  <c r="K48" i="2"/>
  <c r="L48" i="2"/>
  <c r="M48" i="2"/>
  <c r="G335" i="2"/>
  <c r="H335" i="2"/>
  <c r="I335" i="2"/>
  <c r="J335" i="2"/>
  <c r="K335" i="2"/>
  <c r="L335" i="2"/>
  <c r="M335" i="2"/>
  <c r="G34" i="2"/>
  <c r="H34" i="2"/>
  <c r="I34" i="2"/>
  <c r="J34" i="2"/>
  <c r="K34" i="2"/>
  <c r="L34" i="2"/>
  <c r="M34" i="2"/>
  <c r="G360" i="2"/>
  <c r="H360" i="2"/>
  <c r="I360" i="2"/>
  <c r="J360" i="2"/>
  <c r="K360" i="2"/>
  <c r="L360" i="2"/>
  <c r="M360" i="2"/>
  <c r="G16" i="2"/>
  <c r="H16" i="2"/>
  <c r="I16" i="2"/>
  <c r="J16" i="2"/>
  <c r="K16" i="2"/>
  <c r="L16" i="2"/>
  <c r="M16" i="2"/>
  <c r="G286" i="2"/>
  <c r="H286" i="2"/>
  <c r="I286" i="2"/>
  <c r="J286" i="2"/>
  <c r="K286" i="2"/>
  <c r="L286" i="2"/>
  <c r="M286" i="2"/>
  <c r="G221" i="2"/>
  <c r="H221" i="2"/>
  <c r="I221" i="2"/>
  <c r="J221" i="2"/>
  <c r="K221" i="2"/>
  <c r="L221" i="2"/>
  <c r="M221" i="2"/>
  <c r="G287" i="2"/>
  <c r="H287" i="2"/>
  <c r="I287" i="2"/>
  <c r="J287" i="2"/>
  <c r="K287" i="2"/>
  <c r="L287" i="2"/>
  <c r="M287" i="2"/>
  <c r="G324" i="2"/>
  <c r="H324" i="2"/>
  <c r="I324" i="2"/>
  <c r="J324" i="2"/>
  <c r="K324" i="2"/>
  <c r="L324" i="2"/>
  <c r="M324" i="2"/>
  <c r="G236" i="2"/>
  <c r="H236" i="2"/>
  <c r="I236" i="2"/>
  <c r="J236" i="2"/>
  <c r="K236" i="2"/>
  <c r="L236" i="2"/>
  <c r="M236" i="2"/>
  <c r="G245" i="2"/>
  <c r="H245" i="2"/>
  <c r="I245" i="2"/>
  <c r="J245" i="2"/>
  <c r="K245" i="2"/>
  <c r="L245" i="2"/>
  <c r="M245" i="2"/>
  <c r="G293" i="2"/>
  <c r="H293" i="2"/>
  <c r="I293" i="2"/>
  <c r="J293" i="2"/>
  <c r="K293" i="2"/>
  <c r="L293" i="2"/>
  <c r="M293" i="2"/>
  <c r="G284" i="2"/>
  <c r="H284" i="2"/>
  <c r="I284" i="2"/>
  <c r="J284" i="2"/>
  <c r="K284" i="2"/>
  <c r="L284" i="2"/>
  <c r="M284" i="2"/>
  <c r="G7" i="2"/>
  <c r="H7" i="2"/>
  <c r="I7" i="2"/>
  <c r="J7" i="2"/>
  <c r="K7" i="2"/>
  <c r="L7" i="2"/>
  <c r="M7" i="2"/>
  <c r="G240" i="2"/>
  <c r="H240" i="2"/>
  <c r="I240" i="2"/>
  <c r="J240" i="2"/>
  <c r="K240" i="2"/>
  <c r="L240" i="2"/>
  <c r="M240" i="2"/>
  <c r="G228" i="2"/>
  <c r="H228" i="2"/>
  <c r="I228" i="2"/>
  <c r="J228" i="2"/>
  <c r="K228" i="2"/>
  <c r="L228" i="2"/>
  <c r="M228" i="2"/>
  <c r="G110" i="2"/>
  <c r="H110" i="2"/>
  <c r="I110" i="2"/>
  <c r="J110" i="2"/>
  <c r="K110" i="2"/>
  <c r="L110" i="2"/>
  <c r="M110" i="2"/>
  <c r="G272" i="2"/>
  <c r="H272" i="2"/>
  <c r="I272" i="2"/>
  <c r="J272" i="2"/>
  <c r="K272" i="2"/>
  <c r="L272" i="2"/>
  <c r="M272" i="2"/>
  <c r="G62" i="2"/>
  <c r="H62" i="2"/>
  <c r="I62" i="2"/>
  <c r="J62" i="2"/>
  <c r="K62" i="2"/>
  <c r="L62" i="2"/>
  <c r="M62" i="2"/>
  <c r="G109" i="2"/>
  <c r="H109" i="2"/>
  <c r="I109" i="2"/>
  <c r="J109" i="2"/>
  <c r="K109" i="2"/>
  <c r="L109" i="2"/>
  <c r="M109" i="2"/>
  <c r="G91" i="2"/>
  <c r="H91" i="2"/>
  <c r="I91" i="2"/>
  <c r="J91" i="2"/>
  <c r="K91" i="2"/>
  <c r="L91" i="2"/>
  <c r="M91" i="2"/>
  <c r="G138" i="2"/>
  <c r="H138" i="2"/>
  <c r="I138" i="2"/>
  <c r="J138" i="2"/>
  <c r="K138" i="2"/>
  <c r="L138" i="2"/>
  <c r="M138" i="2"/>
  <c r="G90" i="2"/>
  <c r="H90" i="2"/>
  <c r="I90" i="2"/>
  <c r="J90" i="2"/>
  <c r="K90" i="2"/>
  <c r="L90" i="2"/>
  <c r="M90" i="2"/>
  <c r="G161" i="2"/>
  <c r="H161" i="2"/>
  <c r="I161" i="2"/>
  <c r="J161" i="2"/>
  <c r="K161" i="2"/>
  <c r="L161" i="2"/>
  <c r="M161" i="2"/>
  <c r="G137" i="2"/>
  <c r="H137" i="2"/>
  <c r="I137" i="2"/>
  <c r="J137" i="2"/>
  <c r="K137" i="2"/>
  <c r="L137" i="2"/>
  <c r="M137" i="2"/>
  <c r="G108" i="2"/>
  <c r="H108" i="2"/>
  <c r="I108" i="2"/>
  <c r="J108" i="2"/>
  <c r="K108" i="2"/>
  <c r="L108" i="2"/>
  <c r="M108" i="2"/>
  <c r="G55" i="2"/>
  <c r="H55" i="2"/>
  <c r="I55" i="2"/>
  <c r="J55" i="2"/>
  <c r="K55" i="2"/>
  <c r="L55" i="2"/>
  <c r="M55" i="2"/>
  <c r="G83" i="2"/>
  <c r="H83" i="2"/>
  <c r="I83" i="2"/>
  <c r="J83" i="2"/>
  <c r="K83" i="2"/>
  <c r="L83" i="2"/>
  <c r="M83" i="2"/>
  <c r="G68" i="2"/>
  <c r="H68" i="2"/>
  <c r="I68" i="2"/>
  <c r="J68" i="2"/>
  <c r="K68" i="2"/>
  <c r="L68" i="2"/>
  <c r="M68" i="2"/>
  <c r="G94" i="2"/>
  <c r="H94" i="2"/>
  <c r="I94" i="2"/>
  <c r="J94" i="2"/>
  <c r="K94" i="2"/>
  <c r="L94" i="2"/>
  <c r="M94" i="2"/>
  <c r="G112" i="2"/>
  <c r="H112" i="2"/>
  <c r="I112" i="2"/>
  <c r="J112" i="2"/>
  <c r="K112" i="2"/>
  <c r="L112" i="2"/>
  <c r="M112" i="2"/>
  <c r="G152" i="2"/>
  <c r="H152" i="2"/>
  <c r="I152" i="2"/>
  <c r="J152" i="2"/>
  <c r="K152" i="2"/>
  <c r="L152" i="2"/>
  <c r="M152" i="2"/>
  <c r="G85" i="2"/>
  <c r="H85" i="2"/>
  <c r="I85" i="2"/>
  <c r="J85" i="2"/>
  <c r="K85" i="2"/>
  <c r="L85" i="2"/>
  <c r="M85" i="2"/>
  <c r="G113" i="2"/>
  <c r="H113" i="2"/>
  <c r="I113" i="2"/>
  <c r="J113" i="2"/>
  <c r="K113" i="2"/>
  <c r="L113" i="2"/>
  <c r="M113" i="2"/>
  <c r="G58" i="2"/>
  <c r="H58" i="2"/>
  <c r="I58" i="2"/>
  <c r="J58" i="2"/>
  <c r="K58" i="2"/>
  <c r="L58" i="2"/>
  <c r="M58" i="2"/>
  <c r="G63" i="2"/>
  <c r="H63" i="2"/>
  <c r="I63" i="2"/>
  <c r="J63" i="2"/>
  <c r="K63" i="2"/>
  <c r="L63" i="2"/>
  <c r="M63" i="2"/>
  <c r="G57" i="2"/>
  <c r="H57" i="2"/>
  <c r="I57" i="2"/>
  <c r="J57" i="2"/>
  <c r="K57" i="2"/>
  <c r="L57" i="2"/>
  <c r="M57" i="2"/>
  <c r="G51" i="2"/>
  <c r="H51" i="2"/>
  <c r="I51" i="2"/>
  <c r="J51" i="2"/>
  <c r="K51" i="2"/>
  <c r="L51" i="2"/>
  <c r="M51" i="2"/>
  <c r="G156" i="2"/>
  <c r="H156" i="2"/>
  <c r="I156" i="2"/>
  <c r="J156" i="2"/>
  <c r="K156" i="2"/>
  <c r="L156" i="2"/>
  <c r="M156" i="2"/>
  <c r="G88" i="2"/>
  <c r="H88" i="2"/>
  <c r="I88" i="2"/>
  <c r="J88" i="2"/>
  <c r="K88" i="2"/>
  <c r="L88" i="2"/>
  <c r="M88" i="2"/>
  <c r="G87" i="2"/>
  <c r="H87" i="2"/>
  <c r="I87" i="2"/>
  <c r="J87" i="2"/>
  <c r="K87" i="2"/>
  <c r="L87" i="2"/>
  <c r="M87" i="2"/>
  <c r="G66" i="2"/>
  <c r="H66" i="2"/>
  <c r="I66" i="2"/>
  <c r="J66" i="2"/>
  <c r="K66" i="2"/>
  <c r="L66" i="2"/>
  <c r="M66" i="2"/>
  <c r="G73" i="2"/>
  <c r="H73" i="2"/>
  <c r="I73" i="2"/>
  <c r="J73" i="2"/>
  <c r="K73" i="2"/>
  <c r="L73" i="2"/>
  <c r="M73" i="2"/>
  <c r="G153" i="2"/>
  <c r="H153" i="2"/>
  <c r="I153" i="2"/>
  <c r="J153" i="2"/>
  <c r="K153" i="2"/>
  <c r="L153" i="2"/>
  <c r="M153" i="2"/>
  <c r="G223" i="2"/>
  <c r="H223" i="2"/>
  <c r="I223" i="2"/>
  <c r="J223" i="2"/>
  <c r="K223" i="2"/>
  <c r="L223" i="2"/>
  <c r="M223" i="2"/>
  <c r="G304" i="2"/>
  <c r="H304" i="2"/>
  <c r="I304" i="2"/>
  <c r="J304" i="2"/>
  <c r="K304" i="2"/>
  <c r="L304" i="2"/>
  <c r="M304" i="2"/>
  <c r="G319" i="2"/>
  <c r="H319" i="2"/>
  <c r="I319" i="2"/>
  <c r="J319" i="2"/>
  <c r="K319" i="2"/>
  <c r="L319" i="2"/>
  <c r="M319" i="2"/>
  <c r="G322" i="2"/>
  <c r="H322" i="2"/>
  <c r="I322" i="2"/>
  <c r="J322" i="2"/>
  <c r="K322" i="2"/>
  <c r="L322" i="2"/>
  <c r="M322" i="2"/>
  <c r="G220" i="2"/>
  <c r="H220" i="2"/>
  <c r="I220" i="2"/>
  <c r="J220" i="2"/>
  <c r="K220" i="2"/>
  <c r="L220" i="2"/>
  <c r="M220" i="2"/>
  <c r="G242" i="2"/>
  <c r="H242" i="2"/>
  <c r="I242" i="2"/>
  <c r="J242" i="2"/>
  <c r="K242" i="2"/>
  <c r="L242" i="2"/>
  <c r="M242" i="2"/>
  <c r="G285" i="2"/>
  <c r="H285" i="2"/>
  <c r="I285" i="2"/>
  <c r="J285" i="2"/>
  <c r="K285" i="2"/>
  <c r="L285" i="2"/>
  <c r="M285" i="2"/>
  <c r="G256" i="2"/>
  <c r="H256" i="2"/>
  <c r="I256" i="2"/>
  <c r="J256" i="2"/>
  <c r="K256" i="2"/>
  <c r="L256" i="2"/>
  <c r="M256" i="2"/>
  <c r="G277" i="2"/>
  <c r="H277" i="2"/>
  <c r="I277" i="2"/>
  <c r="J277" i="2"/>
  <c r="K277" i="2"/>
  <c r="L277" i="2"/>
  <c r="M277" i="2"/>
  <c r="G226" i="2"/>
  <c r="H226" i="2"/>
  <c r="I226" i="2"/>
  <c r="J226" i="2"/>
  <c r="K226" i="2"/>
  <c r="L226" i="2"/>
  <c r="M226" i="2"/>
  <c r="G231" i="2"/>
  <c r="H231" i="2"/>
  <c r="I231" i="2"/>
  <c r="J231" i="2"/>
  <c r="K231" i="2"/>
  <c r="L231" i="2"/>
  <c r="M231" i="2"/>
  <c r="G264" i="2"/>
  <c r="H264" i="2"/>
  <c r="I264" i="2"/>
  <c r="J264" i="2"/>
  <c r="K264" i="2"/>
  <c r="L264" i="2"/>
  <c r="M264" i="2"/>
  <c r="G250" i="2"/>
  <c r="H250" i="2"/>
  <c r="I250" i="2"/>
  <c r="J250" i="2"/>
  <c r="K250" i="2"/>
  <c r="L250" i="2"/>
  <c r="M250" i="2"/>
  <c r="G205" i="2"/>
  <c r="H205" i="2"/>
  <c r="I205" i="2"/>
  <c r="J205" i="2"/>
  <c r="K205" i="2"/>
  <c r="L205" i="2"/>
  <c r="M205" i="2"/>
  <c r="G305" i="2"/>
  <c r="H305" i="2"/>
  <c r="I305" i="2"/>
  <c r="J305" i="2"/>
  <c r="K305" i="2"/>
  <c r="L305" i="2"/>
  <c r="M305" i="2"/>
  <c r="G179" i="2"/>
  <c r="H179" i="2"/>
  <c r="I179" i="2"/>
  <c r="J179" i="2"/>
  <c r="K179" i="2"/>
  <c r="L179" i="2"/>
  <c r="M179" i="2"/>
  <c r="G248" i="2"/>
  <c r="H248" i="2"/>
  <c r="I248" i="2"/>
  <c r="J248" i="2"/>
  <c r="K248" i="2"/>
  <c r="L248" i="2"/>
  <c r="M248" i="2"/>
  <c r="G261" i="2"/>
  <c r="H261" i="2"/>
  <c r="I261" i="2"/>
  <c r="J261" i="2"/>
  <c r="K261" i="2"/>
  <c r="L261" i="2"/>
  <c r="M261" i="2"/>
  <c r="G262" i="2"/>
  <c r="H262" i="2"/>
  <c r="I262" i="2"/>
  <c r="J262" i="2"/>
  <c r="K262" i="2"/>
  <c r="L262" i="2"/>
  <c r="M262" i="2"/>
  <c r="G301" i="2"/>
  <c r="H301" i="2"/>
  <c r="I301" i="2"/>
  <c r="J301" i="2"/>
  <c r="K301" i="2"/>
  <c r="L301" i="2"/>
  <c r="M301" i="2"/>
  <c r="G196" i="2"/>
  <c r="H196" i="2"/>
  <c r="I196" i="2"/>
  <c r="J196" i="2"/>
  <c r="K196" i="2"/>
  <c r="L196" i="2"/>
  <c r="M196" i="2"/>
  <c r="G314" i="2"/>
  <c r="H314" i="2"/>
  <c r="I314" i="2"/>
  <c r="J314" i="2"/>
  <c r="K314" i="2"/>
  <c r="L314" i="2"/>
  <c r="M314" i="2"/>
  <c r="G203" i="2"/>
  <c r="H203" i="2"/>
  <c r="I203" i="2"/>
  <c r="J203" i="2"/>
  <c r="K203" i="2"/>
  <c r="L203" i="2"/>
  <c r="M203" i="2"/>
  <c r="G269" i="2"/>
  <c r="H269" i="2"/>
  <c r="I269" i="2"/>
  <c r="J269" i="2"/>
  <c r="K269" i="2"/>
  <c r="L269" i="2"/>
  <c r="M269" i="2"/>
  <c r="G316" i="2"/>
  <c r="H316" i="2"/>
  <c r="I316" i="2"/>
  <c r="J316" i="2"/>
  <c r="K316" i="2"/>
  <c r="L316" i="2"/>
  <c r="M316" i="2"/>
  <c r="G229" i="2"/>
  <c r="H229" i="2"/>
  <c r="I229" i="2"/>
  <c r="J229" i="2"/>
  <c r="K229" i="2"/>
  <c r="L229" i="2"/>
  <c r="M229" i="2"/>
  <c r="G208" i="2"/>
  <c r="H208" i="2"/>
  <c r="I208" i="2"/>
  <c r="J208" i="2"/>
  <c r="K208" i="2"/>
  <c r="L208" i="2"/>
  <c r="M208" i="2"/>
  <c r="G195" i="2"/>
  <c r="H195" i="2"/>
  <c r="I195" i="2"/>
  <c r="J195" i="2"/>
  <c r="K195" i="2"/>
  <c r="L195" i="2"/>
  <c r="M195" i="2"/>
  <c r="G190" i="2"/>
  <c r="H190" i="2"/>
  <c r="I190" i="2"/>
  <c r="J190" i="2"/>
  <c r="K190" i="2"/>
  <c r="L190" i="2"/>
  <c r="M190" i="2"/>
  <c r="G178" i="2"/>
  <c r="H178" i="2"/>
  <c r="I178" i="2"/>
  <c r="J178" i="2"/>
  <c r="K178" i="2"/>
  <c r="L178" i="2"/>
  <c r="M178" i="2"/>
  <c r="G219" i="2"/>
  <c r="H219" i="2"/>
  <c r="I219" i="2"/>
  <c r="J219" i="2"/>
  <c r="K219" i="2"/>
  <c r="L219" i="2"/>
  <c r="M219" i="2"/>
  <c r="G234" i="2"/>
  <c r="H234" i="2"/>
  <c r="I234" i="2"/>
  <c r="J234" i="2"/>
  <c r="K234" i="2"/>
  <c r="L234" i="2"/>
  <c r="M234" i="2"/>
  <c r="G232" i="2"/>
  <c r="H232" i="2"/>
  <c r="I232" i="2"/>
  <c r="J232" i="2"/>
  <c r="K232" i="2"/>
  <c r="L232" i="2"/>
  <c r="M232" i="2"/>
  <c r="G350" i="2"/>
  <c r="H350" i="2"/>
  <c r="I350" i="2"/>
  <c r="J350" i="2"/>
  <c r="K350" i="2"/>
  <c r="L350" i="2"/>
  <c r="M350" i="2"/>
  <c r="G352" i="2"/>
  <c r="H352" i="2"/>
  <c r="I352" i="2"/>
  <c r="J352" i="2"/>
  <c r="K352" i="2"/>
  <c r="L352" i="2"/>
  <c r="M352" i="2"/>
  <c r="G20" i="2"/>
  <c r="H20" i="2"/>
  <c r="I20" i="2"/>
  <c r="J20" i="2"/>
  <c r="K20" i="2"/>
  <c r="L20" i="2"/>
  <c r="M20" i="2"/>
  <c r="G342" i="2"/>
  <c r="H342" i="2"/>
  <c r="I342" i="2"/>
  <c r="J342" i="2"/>
  <c r="K342" i="2"/>
  <c r="L342" i="2"/>
  <c r="M342" i="2"/>
  <c r="G44" i="2"/>
  <c r="H44" i="2"/>
  <c r="I44" i="2"/>
  <c r="J44" i="2"/>
  <c r="K44" i="2"/>
  <c r="L44" i="2"/>
  <c r="M44" i="2"/>
  <c r="G227" i="2"/>
  <c r="H227" i="2"/>
  <c r="I227" i="2"/>
  <c r="J227" i="2"/>
  <c r="K227" i="2"/>
  <c r="L227" i="2"/>
  <c r="M227" i="2"/>
  <c r="G154" i="2"/>
  <c r="H154" i="2"/>
  <c r="I154" i="2"/>
  <c r="J154" i="2"/>
  <c r="K154" i="2"/>
  <c r="L154" i="2"/>
  <c r="M154" i="2"/>
  <c r="G224" i="2"/>
  <c r="H224" i="2"/>
  <c r="I224" i="2"/>
  <c r="J224" i="2"/>
  <c r="K224" i="2"/>
  <c r="L224" i="2"/>
  <c r="M224" i="2"/>
  <c r="G308" i="2"/>
  <c r="H308" i="2"/>
  <c r="I308" i="2"/>
  <c r="J308" i="2"/>
  <c r="K308" i="2"/>
  <c r="L308" i="2"/>
  <c r="M308" i="2"/>
  <c r="G294" i="2"/>
  <c r="H294" i="2"/>
  <c r="I294" i="2"/>
  <c r="J294" i="2"/>
  <c r="K294" i="2"/>
  <c r="L294" i="2"/>
  <c r="M294" i="2"/>
  <c r="G141" i="2"/>
  <c r="H141" i="2"/>
  <c r="I141" i="2"/>
  <c r="J141" i="2"/>
  <c r="K141" i="2"/>
  <c r="L141" i="2"/>
  <c r="M141" i="2"/>
  <c r="G183" i="2"/>
  <c r="H183" i="2"/>
  <c r="I183" i="2"/>
  <c r="J183" i="2"/>
  <c r="K183" i="2"/>
  <c r="L183" i="2"/>
  <c r="M183" i="2"/>
  <c r="G199" i="2"/>
  <c r="H199" i="2"/>
  <c r="I199" i="2"/>
  <c r="J199" i="2"/>
  <c r="K199" i="2"/>
  <c r="L199" i="2"/>
  <c r="M199" i="2"/>
  <c r="G326" i="2"/>
  <c r="H326" i="2"/>
  <c r="I326" i="2"/>
  <c r="J326" i="2"/>
  <c r="K326" i="2"/>
  <c r="L326" i="2"/>
  <c r="M326" i="2"/>
  <c r="G291" i="2"/>
  <c r="H291" i="2"/>
  <c r="I291" i="2"/>
  <c r="J291" i="2"/>
  <c r="K291" i="2"/>
  <c r="L291" i="2"/>
  <c r="M291" i="2"/>
  <c r="G32" i="2"/>
  <c r="H32" i="2"/>
  <c r="I32" i="2"/>
  <c r="J32" i="2"/>
  <c r="K32" i="2"/>
  <c r="L32" i="2"/>
  <c r="M32" i="2"/>
  <c r="G321" i="2"/>
  <c r="H321" i="2"/>
  <c r="I321" i="2"/>
  <c r="J321" i="2"/>
  <c r="K321" i="2"/>
  <c r="L321" i="2"/>
  <c r="M321" i="2"/>
  <c r="G252" i="2"/>
  <c r="H252" i="2"/>
  <c r="I252" i="2"/>
  <c r="J252" i="2"/>
  <c r="K252" i="2"/>
  <c r="L252" i="2"/>
  <c r="M252" i="2"/>
  <c r="G280" i="2"/>
  <c r="H280" i="2"/>
  <c r="I280" i="2"/>
  <c r="J280" i="2"/>
  <c r="K280" i="2"/>
  <c r="L280" i="2"/>
  <c r="M280" i="2"/>
  <c r="G209" i="2"/>
  <c r="H209" i="2"/>
  <c r="I209" i="2"/>
  <c r="J209" i="2"/>
  <c r="K209" i="2"/>
  <c r="L209" i="2"/>
  <c r="M209" i="2"/>
  <c r="G142" i="2"/>
  <c r="H142" i="2"/>
  <c r="I142" i="2"/>
  <c r="J142" i="2"/>
  <c r="K142" i="2"/>
  <c r="L142" i="2"/>
  <c r="M142" i="2"/>
  <c r="G185" i="2"/>
  <c r="H185" i="2"/>
  <c r="I185" i="2"/>
  <c r="J185" i="2"/>
  <c r="K185" i="2"/>
  <c r="L185" i="2"/>
  <c r="M185" i="2"/>
  <c r="G42" i="2"/>
  <c r="H42" i="2"/>
  <c r="I42" i="2"/>
  <c r="J42" i="2"/>
  <c r="K42" i="2"/>
  <c r="L42" i="2"/>
  <c r="M42" i="2"/>
  <c r="G150" i="2"/>
  <c r="H150" i="2"/>
  <c r="I150" i="2"/>
  <c r="J150" i="2"/>
  <c r="K150" i="2"/>
  <c r="L150" i="2"/>
  <c r="M150" i="2"/>
  <c r="G175" i="2"/>
  <c r="H175" i="2"/>
  <c r="I175" i="2"/>
  <c r="J175" i="2"/>
  <c r="K175" i="2"/>
  <c r="L175" i="2"/>
  <c r="M175" i="2"/>
  <c r="G72" i="2"/>
  <c r="H72" i="2"/>
  <c r="I72" i="2"/>
  <c r="J72" i="2"/>
  <c r="K72" i="2"/>
  <c r="L72" i="2"/>
  <c r="M72" i="2"/>
  <c r="G139" i="2"/>
  <c r="H139" i="2"/>
  <c r="I139" i="2"/>
  <c r="J139" i="2"/>
  <c r="K139" i="2"/>
  <c r="L139" i="2"/>
  <c r="M139" i="2"/>
  <c r="G233" i="2"/>
  <c r="H233" i="2"/>
  <c r="I233" i="2"/>
  <c r="J233" i="2"/>
  <c r="K233" i="2"/>
  <c r="L233" i="2"/>
  <c r="M233" i="2"/>
  <c r="G41" i="2"/>
  <c r="H41" i="2"/>
  <c r="I41" i="2"/>
  <c r="J41" i="2"/>
  <c r="K41" i="2"/>
  <c r="L41" i="2"/>
  <c r="M41" i="2"/>
  <c r="G21" i="2"/>
  <c r="H21" i="2"/>
  <c r="I21" i="2"/>
  <c r="J21" i="2"/>
  <c r="K21" i="2"/>
  <c r="L21" i="2"/>
  <c r="M21" i="2"/>
  <c r="G281" i="2"/>
  <c r="H281" i="2"/>
  <c r="I281" i="2"/>
  <c r="J281" i="2"/>
  <c r="K281" i="2"/>
  <c r="L281" i="2"/>
  <c r="M281" i="2"/>
  <c r="G145" i="2"/>
  <c r="H145" i="2"/>
  <c r="I145" i="2"/>
  <c r="J145" i="2"/>
  <c r="K145" i="2"/>
  <c r="L145" i="2"/>
  <c r="M145" i="2"/>
  <c r="G329" i="2"/>
  <c r="H329" i="2"/>
  <c r="I329" i="2"/>
  <c r="J329" i="2"/>
  <c r="K329" i="2"/>
  <c r="L329" i="2"/>
  <c r="M329" i="2"/>
  <c r="G318" i="2"/>
  <c r="H318" i="2"/>
  <c r="I318" i="2"/>
  <c r="J318" i="2"/>
  <c r="K318" i="2"/>
  <c r="L318" i="2"/>
  <c r="M318" i="2"/>
  <c r="G367" i="2"/>
  <c r="H367" i="2"/>
  <c r="I367" i="2"/>
  <c r="J367" i="2"/>
  <c r="K367" i="2"/>
  <c r="L367" i="2"/>
  <c r="M367" i="2"/>
  <c r="G288" i="2"/>
  <c r="H288" i="2"/>
  <c r="I288" i="2"/>
  <c r="J288" i="2"/>
  <c r="K288" i="2"/>
  <c r="L288" i="2"/>
  <c r="M288" i="2"/>
  <c r="G117" i="2"/>
  <c r="H117" i="2"/>
  <c r="I117" i="2"/>
  <c r="J117" i="2"/>
  <c r="K117" i="2"/>
  <c r="L117" i="2"/>
  <c r="M117" i="2"/>
  <c r="G180" i="2"/>
  <c r="H180" i="2"/>
  <c r="I180" i="2"/>
  <c r="J180" i="2"/>
  <c r="K180" i="2"/>
  <c r="L180" i="2"/>
  <c r="M180" i="2"/>
  <c r="G254" i="2"/>
  <c r="H254" i="2"/>
  <c r="I254" i="2"/>
  <c r="J254" i="2"/>
  <c r="K254" i="2"/>
  <c r="L254" i="2"/>
  <c r="M254" i="2"/>
  <c r="G165" i="2"/>
  <c r="H165" i="2"/>
  <c r="I165" i="2"/>
  <c r="J165" i="2"/>
  <c r="K165" i="2"/>
  <c r="L165" i="2"/>
  <c r="M165" i="2"/>
  <c r="G348" i="2"/>
  <c r="H348" i="2"/>
  <c r="I348" i="2"/>
  <c r="J348" i="2"/>
  <c r="K348" i="2"/>
  <c r="L348" i="2"/>
  <c r="M348" i="2"/>
  <c r="G143" i="2"/>
  <c r="H143" i="2"/>
  <c r="I143" i="2"/>
  <c r="J143" i="2"/>
  <c r="K143" i="2"/>
  <c r="L143" i="2"/>
  <c r="M143" i="2"/>
  <c r="G13" i="2"/>
  <c r="H13" i="2"/>
  <c r="I13" i="2"/>
  <c r="J13" i="2"/>
  <c r="K13" i="2"/>
  <c r="L13" i="2"/>
  <c r="M13" i="2"/>
  <c r="G338" i="2"/>
  <c r="H338" i="2"/>
  <c r="I338" i="2"/>
  <c r="J338" i="2"/>
  <c r="K338" i="2"/>
  <c r="L338" i="2"/>
  <c r="M338" i="2"/>
  <c r="G297" i="2"/>
  <c r="H297" i="2"/>
  <c r="I297" i="2"/>
  <c r="J297" i="2"/>
  <c r="K297" i="2"/>
  <c r="L297" i="2"/>
  <c r="M297" i="2"/>
  <c r="G82" i="2"/>
  <c r="H82" i="2"/>
  <c r="I82" i="2"/>
  <c r="J82" i="2"/>
  <c r="K82" i="2"/>
  <c r="L82" i="2"/>
  <c r="M82" i="2"/>
  <c r="G187" i="2"/>
  <c r="H187" i="2"/>
  <c r="I187" i="2"/>
  <c r="J187" i="2"/>
  <c r="K187" i="2"/>
  <c r="L187" i="2"/>
  <c r="M187" i="2"/>
  <c r="G246" i="2"/>
  <c r="H246" i="2"/>
  <c r="I246" i="2"/>
  <c r="J246" i="2"/>
  <c r="K246" i="2"/>
  <c r="L246" i="2"/>
  <c r="M246" i="2"/>
  <c r="G244" i="2"/>
  <c r="H244" i="2"/>
  <c r="I244" i="2"/>
  <c r="J244" i="2"/>
  <c r="K244" i="2"/>
  <c r="L244" i="2"/>
  <c r="M244" i="2"/>
  <c r="G14" i="2"/>
  <c r="H14" i="2"/>
  <c r="I14" i="2"/>
  <c r="J14" i="2"/>
  <c r="K14" i="2"/>
  <c r="L14" i="2"/>
  <c r="M14" i="2"/>
  <c r="G278" i="2"/>
  <c r="H278" i="2"/>
  <c r="I278" i="2"/>
  <c r="J278" i="2"/>
  <c r="K278" i="2"/>
  <c r="L278" i="2"/>
  <c r="M278" i="2"/>
  <c r="G97" i="2"/>
  <c r="H97" i="2"/>
  <c r="I97" i="2"/>
  <c r="J97" i="2"/>
  <c r="K97" i="2"/>
  <c r="L97" i="2"/>
  <c r="M97" i="2"/>
  <c r="G65" i="2"/>
  <c r="H65" i="2"/>
  <c r="I65" i="2"/>
  <c r="J65" i="2"/>
  <c r="K65" i="2"/>
  <c r="L65" i="2"/>
  <c r="M65" i="2"/>
  <c r="G133" i="2"/>
  <c r="H133" i="2"/>
  <c r="I133" i="2"/>
  <c r="J133" i="2"/>
  <c r="K133" i="2"/>
  <c r="L133" i="2"/>
  <c r="M133" i="2"/>
  <c r="G47" i="2"/>
  <c r="H47" i="2"/>
  <c r="I47" i="2"/>
  <c r="J47" i="2"/>
  <c r="K47" i="2"/>
  <c r="L47" i="2"/>
  <c r="M47" i="2"/>
  <c r="G118" i="2"/>
  <c r="H118" i="2"/>
  <c r="I118" i="2"/>
  <c r="J118" i="2"/>
  <c r="K118" i="2"/>
  <c r="L118" i="2"/>
  <c r="M118" i="2"/>
  <c r="G99" i="2"/>
  <c r="H99" i="2"/>
  <c r="I99" i="2"/>
  <c r="J99" i="2"/>
  <c r="K99" i="2"/>
  <c r="L99" i="2"/>
  <c r="M99" i="2"/>
  <c r="G134" i="2"/>
  <c r="H134" i="2"/>
  <c r="I134" i="2"/>
  <c r="J134" i="2"/>
  <c r="K134" i="2"/>
  <c r="L134" i="2"/>
  <c r="M134" i="2"/>
  <c r="G320" i="2"/>
  <c r="H320" i="2"/>
  <c r="I320" i="2"/>
  <c r="J320" i="2"/>
  <c r="K320" i="2"/>
  <c r="L320" i="2"/>
  <c r="M320" i="2"/>
  <c r="G306" i="2"/>
  <c r="H306" i="2"/>
  <c r="I306" i="2"/>
  <c r="J306" i="2"/>
  <c r="K306" i="2"/>
  <c r="L306" i="2"/>
  <c r="M306" i="2"/>
  <c r="G336" i="2"/>
  <c r="H336" i="2"/>
  <c r="I336" i="2"/>
  <c r="J336" i="2"/>
  <c r="K336" i="2"/>
  <c r="L336" i="2"/>
  <c r="M336" i="2"/>
  <c r="G27" i="2"/>
  <c r="H27" i="2"/>
  <c r="I27" i="2"/>
  <c r="J27" i="2"/>
  <c r="K27" i="2"/>
  <c r="L27" i="2"/>
  <c r="M27" i="2"/>
  <c r="G347" i="2"/>
  <c r="H347" i="2"/>
  <c r="I347" i="2"/>
  <c r="J347" i="2"/>
  <c r="K347" i="2"/>
  <c r="L347" i="2"/>
  <c r="M347" i="2"/>
  <c r="G351" i="2"/>
  <c r="H351" i="2"/>
  <c r="I351" i="2"/>
  <c r="J351" i="2"/>
  <c r="K351" i="2"/>
  <c r="L351" i="2"/>
  <c r="M351" i="2"/>
  <c r="G356" i="2"/>
  <c r="H356" i="2"/>
  <c r="I356" i="2"/>
  <c r="J356" i="2"/>
  <c r="K356" i="2"/>
  <c r="L356" i="2"/>
  <c r="M356" i="2"/>
  <c r="M52" i="2"/>
  <c r="L52" i="2"/>
  <c r="K52" i="2"/>
  <c r="J52" i="2"/>
  <c r="I52" i="2"/>
  <c r="G52" i="2"/>
  <c r="O126" i="3"/>
  <c r="I14" i="3" l="1"/>
  <c r="I374" i="3"/>
  <c r="I370" i="3"/>
  <c r="I366" i="3"/>
  <c r="I236" i="3"/>
  <c r="I358" i="3"/>
  <c r="I354" i="3"/>
  <c r="I350" i="3"/>
  <c r="I346" i="3"/>
  <c r="I342" i="3"/>
  <c r="I337" i="3"/>
  <c r="I330" i="3"/>
  <c r="I322" i="3"/>
  <c r="I314" i="3"/>
  <c r="I306" i="3"/>
  <c r="I298" i="3"/>
  <c r="I290" i="3"/>
  <c r="H282" i="3"/>
  <c r="I274" i="3"/>
  <c r="H266" i="3"/>
  <c r="H258" i="3"/>
  <c r="I63" i="3"/>
  <c r="I242" i="3"/>
  <c r="H226" i="3"/>
  <c r="H210" i="3"/>
  <c r="H194" i="3"/>
  <c r="I178" i="3"/>
  <c r="I162" i="3"/>
  <c r="I146" i="3"/>
  <c r="I130" i="3"/>
  <c r="I114" i="3"/>
  <c r="I98" i="3"/>
  <c r="H82" i="3"/>
  <c r="H66" i="3"/>
  <c r="I50" i="3"/>
  <c r="I34" i="3"/>
  <c r="H18" i="3"/>
  <c r="H373" i="3"/>
  <c r="I369" i="3"/>
  <c r="H365" i="3"/>
  <c r="I361" i="3"/>
  <c r="H357" i="3"/>
  <c r="I353" i="3"/>
  <c r="I349" i="3"/>
  <c r="I345" i="3"/>
  <c r="H341" i="3"/>
  <c r="I336" i="3"/>
  <c r="H328" i="3"/>
  <c r="H320" i="3"/>
  <c r="H312" i="3"/>
  <c r="I304" i="3"/>
  <c r="I296" i="3"/>
  <c r="H288" i="3"/>
  <c r="I280" i="3"/>
  <c r="I272" i="3"/>
  <c r="H264" i="3"/>
  <c r="I256" i="3"/>
  <c r="H248" i="3"/>
  <c r="I238" i="3"/>
  <c r="H222" i="3"/>
  <c r="I206" i="3"/>
  <c r="H190" i="3"/>
  <c r="H174" i="3"/>
  <c r="H319" i="3"/>
  <c r="I142" i="3"/>
  <c r="H158" i="3"/>
  <c r="H110" i="3"/>
  <c r="H94" i="3"/>
  <c r="H78" i="3"/>
  <c r="H62" i="3"/>
  <c r="H46" i="3"/>
  <c r="H30" i="3"/>
  <c r="H106" i="3"/>
  <c r="H3" i="3"/>
  <c r="H64" i="3"/>
  <c r="H11" i="3"/>
  <c r="H15" i="3"/>
  <c r="H105" i="3"/>
  <c r="H23" i="3"/>
  <c r="H27" i="3"/>
  <c r="H31" i="3"/>
  <c r="H35" i="3"/>
  <c r="H39" i="3"/>
  <c r="H43" i="3"/>
  <c r="H47" i="3"/>
  <c r="H51" i="3"/>
  <c r="H55" i="3"/>
  <c r="H59" i="3"/>
  <c r="H362" i="3"/>
  <c r="H67" i="3"/>
  <c r="H71" i="3"/>
  <c r="H75" i="3"/>
  <c r="H79" i="3"/>
  <c r="H83" i="3"/>
  <c r="H87" i="3"/>
  <c r="H91" i="3"/>
  <c r="H95" i="3"/>
  <c r="H99" i="3"/>
  <c r="H186" i="3"/>
  <c r="H107" i="3"/>
  <c r="I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I215" i="3"/>
  <c r="H219" i="3"/>
  <c r="H223" i="3"/>
  <c r="H227" i="3"/>
  <c r="H231" i="3"/>
  <c r="H235" i="3"/>
  <c r="H239" i="3"/>
  <c r="H7" i="3"/>
  <c r="H247" i="3"/>
  <c r="H251" i="3"/>
  <c r="H255" i="3"/>
  <c r="H259" i="3"/>
  <c r="H263" i="3"/>
  <c r="H267" i="3"/>
  <c r="H271" i="3"/>
  <c r="H275" i="3"/>
  <c r="H279" i="3"/>
  <c r="H283" i="3"/>
  <c r="H287" i="3"/>
  <c r="H291" i="3"/>
  <c r="H295" i="3"/>
  <c r="H299" i="3"/>
  <c r="H303" i="3"/>
  <c r="H307" i="3"/>
  <c r="H311" i="3"/>
  <c r="H315" i="3"/>
  <c r="H318" i="3"/>
  <c r="H317" i="3"/>
  <c r="H327" i="3"/>
  <c r="H331" i="3"/>
  <c r="H335" i="3"/>
  <c r="H339" i="3"/>
  <c r="H126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323" i="3"/>
  <c r="H68" i="3"/>
  <c r="H72" i="3"/>
  <c r="H76" i="3"/>
  <c r="H80" i="3"/>
  <c r="H84" i="3"/>
  <c r="H88" i="3"/>
  <c r="H92" i="3"/>
  <c r="H96" i="3"/>
  <c r="H100" i="3"/>
  <c r="H104" i="3"/>
  <c r="I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4" i="3"/>
  <c r="H240" i="3"/>
  <c r="H5" i="3"/>
  <c r="H103" i="3"/>
  <c r="H13" i="3"/>
  <c r="H17" i="3"/>
  <c r="H21" i="3"/>
  <c r="H25" i="3"/>
  <c r="H29" i="3"/>
  <c r="H33" i="3"/>
  <c r="I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234" i="3"/>
  <c r="H109" i="3"/>
  <c r="H113" i="3"/>
  <c r="H117" i="3"/>
  <c r="H121" i="3"/>
  <c r="H125" i="3"/>
  <c r="H129" i="3"/>
  <c r="H133" i="3"/>
  <c r="H137" i="3"/>
  <c r="H141" i="3"/>
  <c r="H145" i="3"/>
  <c r="I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9" i="3"/>
  <c r="H233" i="3"/>
  <c r="H237" i="3"/>
  <c r="H241" i="3"/>
  <c r="H245" i="3"/>
  <c r="H249" i="3"/>
  <c r="H253" i="3"/>
  <c r="H257" i="3"/>
  <c r="H261" i="3"/>
  <c r="H265" i="3"/>
  <c r="H269" i="3"/>
  <c r="H273" i="3"/>
  <c r="H277" i="3"/>
  <c r="H281" i="3"/>
  <c r="H285" i="3"/>
  <c r="H289" i="3"/>
  <c r="H293" i="3"/>
  <c r="H297" i="3"/>
  <c r="H301" i="3"/>
  <c r="H305" i="3"/>
  <c r="H309" i="3"/>
  <c r="H313" i="3"/>
  <c r="H243" i="3"/>
  <c r="H321" i="3"/>
  <c r="H325" i="3"/>
  <c r="H329" i="3"/>
  <c r="H333" i="3"/>
  <c r="H376" i="3"/>
  <c r="H372" i="3"/>
  <c r="H368" i="3"/>
  <c r="H364" i="3"/>
  <c r="H360" i="3"/>
  <c r="H356" i="3"/>
  <c r="H352" i="3"/>
  <c r="H348" i="3"/>
  <c r="H344" i="3"/>
  <c r="H340" i="3"/>
  <c r="H334" i="3"/>
  <c r="H326" i="3"/>
  <c r="H250" i="3"/>
  <c r="H310" i="3"/>
  <c r="H302" i="3"/>
  <c r="H294" i="3"/>
  <c r="H286" i="3"/>
  <c r="H278" i="3"/>
  <c r="H270" i="3"/>
  <c r="H262" i="3"/>
  <c r="H254" i="3"/>
  <c r="H246" i="3"/>
  <c r="H19" i="3"/>
  <c r="H218" i="3"/>
  <c r="H202" i="3"/>
  <c r="H2" i="3"/>
  <c r="H170" i="3"/>
  <c r="H154" i="3"/>
  <c r="H138" i="3"/>
  <c r="H122" i="3"/>
  <c r="H229" i="3"/>
  <c r="H90" i="3"/>
  <c r="H74" i="3"/>
  <c r="H58" i="3"/>
  <c r="H42" i="3"/>
  <c r="H26" i="3"/>
  <c r="H10" i="3"/>
  <c r="H375" i="3"/>
  <c r="H371" i="3"/>
  <c r="H367" i="3"/>
  <c r="H363" i="3"/>
  <c r="H359" i="3"/>
  <c r="H355" i="3"/>
  <c r="H351" i="3"/>
  <c r="H347" i="3"/>
  <c r="H343" i="3"/>
  <c r="H338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I230" i="3"/>
  <c r="H214" i="3"/>
  <c r="H198" i="3"/>
  <c r="H182" i="3"/>
  <c r="H166" i="3"/>
  <c r="H150" i="3"/>
  <c r="H134" i="3"/>
  <c r="H118" i="3"/>
  <c r="H102" i="3"/>
  <c r="H86" i="3"/>
  <c r="H70" i="3"/>
  <c r="H54" i="3"/>
  <c r="H38" i="3"/>
  <c r="H22" i="3"/>
  <c r="H6" i="3"/>
  <c r="H274" i="3"/>
  <c r="H146" i="3"/>
  <c r="G255" i="3"/>
  <c r="G247" i="3"/>
  <c r="G239" i="3"/>
  <c r="G231" i="3"/>
  <c r="G227" i="3"/>
  <c r="G219" i="3"/>
  <c r="G211" i="3"/>
  <c r="G203" i="3"/>
  <c r="G195" i="3"/>
  <c r="G187" i="3"/>
  <c r="G179" i="3"/>
  <c r="G171" i="3"/>
  <c r="G163" i="3"/>
  <c r="G159" i="3"/>
  <c r="G151" i="3"/>
  <c r="G143" i="3"/>
  <c r="G135" i="3"/>
  <c r="G123" i="3"/>
  <c r="G119" i="3"/>
  <c r="G111" i="3"/>
  <c r="G186" i="3"/>
  <c r="G95" i="3"/>
  <c r="G87" i="3"/>
  <c r="G83" i="3"/>
  <c r="G75" i="3"/>
  <c r="G67" i="3"/>
  <c r="G59" i="3"/>
  <c r="G51" i="3"/>
  <c r="G43" i="3"/>
  <c r="G35" i="3"/>
  <c r="G27" i="3"/>
  <c r="G105" i="3"/>
  <c r="G11" i="3"/>
  <c r="G341" i="3"/>
  <c r="G337" i="3"/>
  <c r="G333" i="3"/>
  <c r="G329" i="3"/>
  <c r="G325" i="3"/>
  <c r="G321" i="3"/>
  <c r="G243" i="3"/>
  <c r="G313" i="3"/>
  <c r="G309" i="3"/>
  <c r="G305" i="3"/>
  <c r="G301" i="3"/>
  <c r="G297" i="3"/>
  <c r="G293" i="3"/>
  <c r="G289" i="3"/>
  <c r="G285" i="3"/>
  <c r="G281" i="3"/>
  <c r="G277" i="3"/>
  <c r="G273" i="3"/>
  <c r="G269" i="3"/>
  <c r="G265" i="3"/>
  <c r="G261" i="3"/>
  <c r="G257" i="3"/>
  <c r="G253" i="3"/>
  <c r="G249" i="3"/>
  <c r="G245" i="3"/>
  <c r="G241" i="3"/>
  <c r="G237" i="3"/>
  <c r="G233" i="3"/>
  <c r="G9" i="3"/>
  <c r="G225" i="3"/>
  <c r="G221" i="3"/>
  <c r="G217" i="3"/>
  <c r="G213" i="3"/>
  <c r="G209" i="3"/>
  <c r="G205" i="3"/>
  <c r="G201" i="3"/>
  <c r="G197" i="3"/>
  <c r="G193" i="3"/>
  <c r="G189" i="3"/>
  <c r="G185" i="3"/>
  <c r="G181" i="3"/>
  <c r="G177" i="3"/>
  <c r="G173" i="3"/>
  <c r="G169" i="3"/>
  <c r="G165" i="3"/>
  <c r="G161" i="3"/>
  <c r="G157" i="3"/>
  <c r="G153" i="3"/>
  <c r="G149" i="3"/>
  <c r="G145" i="3"/>
  <c r="G141" i="3"/>
  <c r="G137" i="3"/>
  <c r="G133" i="3"/>
  <c r="G129" i="3"/>
  <c r="G125" i="3"/>
  <c r="G121" i="3"/>
  <c r="G117" i="3"/>
  <c r="G113" i="3"/>
  <c r="G109" i="3"/>
  <c r="G234" i="3"/>
  <c r="G101" i="3"/>
  <c r="G97" i="3"/>
  <c r="G93" i="3"/>
  <c r="G89" i="3"/>
  <c r="G85" i="3"/>
  <c r="G81" i="3"/>
  <c r="G77" i="3"/>
  <c r="G73" i="3"/>
  <c r="G69" i="3"/>
  <c r="G65" i="3"/>
  <c r="G61" i="3"/>
  <c r="G57" i="3"/>
  <c r="G53" i="3"/>
  <c r="G49" i="3"/>
  <c r="G45" i="3"/>
  <c r="G41" i="3"/>
  <c r="G37" i="3"/>
  <c r="G33" i="3"/>
  <c r="G29" i="3"/>
  <c r="G25" i="3"/>
  <c r="G21" i="3"/>
  <c r="G17" i="3"/>
  <c r="G13" i="3"/>
  <c r="G103" i="3"/>
  <c r="G5" i="3"/>
  <c r="G251" i="3"/>
  <c r="G7" i="3"/>
  <c r="G235" i="3"/>
  <c r="G223" i="3"/>
  <c r="G215" i="3"/>
  <c r="G207" i="3"/>
  <c r="G199" i="3"/>
  <c r="G191" i="3"/>
  <c r="G183" i="3"/>
  <c r="G175" i="3"/>
  <c r="G167" i="3"/>
  <c r="G155" i="3"/>
  <c r="G147" i="3"/>
  <c r="G139" i="3"/>
  <c r="G131" i="3"/>
  <c r="G127" i="3"/>
  <c r="G115" i="3"/>
  <c r="G107" i="3"/>
  <c r="G99" i="3"/>
  <c r="G91" i="3"/>
  <c r="G79" i="3"/>
  <c r="G71" i="3"/>
  <c r="G362" i="3"/>
  <c r="G55" i="3"/>
  <c r="G47" i="3"/>
  <c r="G39" i="3"/>
  <c r="G31" i="3"/>
  <c r="G23" i="3"/>
  <c r="G15" i="3"/>
  <c r="G64" i="3"/>
  <c r="G3" i="3"/>
  <c r="G256" i="3"/>
  <c r="G252" i="3"/>
  <c r="G248" i="3"/>
  <c r="G244" i="3"/>
  <c r="G240" i="3"/>
  <c r="G4" i="3"/>
  <c r="G232" i="3"/>
  <c r="G228" i="3"/>
  <c r="G224" i="3"/>
  <c r="G220" i="3"/>
  <c r="G216" i="3"/>
  <c r="G212" i="3"/>
  <c r="G208" i="3"/>
  <c r="G204" i="3"/>
  <c r="G200" i="3"/>
  <c r="G196" i="3"/>
  <c r="G192" i="3"/>
  <c r="G188" i="3"/>
  <c r="G184" i="3"/>
  <c r="G180" i="3"/>
  <c r="G176" i="3"/>
  <c r="G172" i="3"/>
  <c r="G168" i="3"/>
  <c r="G164" i="3"/>
  <c r="G160" i="3"/>
  <c r="G156" i="3"/>
  <c r="G152" i="3"/>
  <c r="G148" i="3"/>
  <c r="G144" i="3"/>
  <c r="G140" i="3"/>
  <c r="G136" i="3"/>
  <c r="G132" i="3"/>
  <c r="G128" i="3"/>
  <c r="G124" i="3"/>
  <c r="G120" i="3"/>
  <c r="G116" i="3"/>
  <c r="G112" i="3"/>
  <c r="G108" i="3"/>
  <c r="G104" i="3"/>
  <c r="G100" i="3"/>
  <c r="G96" i="3"/>
  <c r="G92" i="3"/>
  <c r="G88" i="3"/>
  <c r="G84" i="3"/>
  <c r="G80" i="3"/>
  <c r="G76" i="3"/>
  <c r="G72" i="3"/>
  <c r="G68" i="3"/>
  <c r="G323" i="3"/>
  <c r="G60" i="3"/>
  <c r="G56" i="3"/>
  <c r="G52" i="3"/>
  <c r="G48" i="3"/>
  <c r="G44" i="3"/>
  <c r="G40" i="3"/>
  <c r="G36" i="3"/>
  <c r="G32" i="3"/>
  <c r="G28" i="3"/>
  <c r="G24" i="3"/>
  <c r="G20" i="3"/>
  <c r="G16" i="3"/>
  <c r="G12" i="3"/>
  <c r="G8" i="3"/>
  <c r="G126" i="3"/>
  <c r="H256" i="3"/>
  <c r="H337" i="3"/>
  <c r="H370" i="3"/>
  <c r="H358" i="3"/>
  <c r="H350" i="3"/>
  <c r="H238" i="3"/>
  <c r="H178" i="3"/>
  <c r="H98" i="3"/>
  <c r="H50" i="3"/>
  <c r="H361" i="3"/>
  <c r="H345" i="3"/>
  <c r="H63" i="3" l="1"/>
  <c r="H290" i="3"/>
  <c r="H322" i="3"/>
  <c r="H111" i="3"/>
  <c r="H206" i="3"/>
  <c r="H108" i="3"/>
  <c r="H330" i="3"/>
  <c r="H346" i="3"/>
  <c r="H374" i="3"/>
  <c r="H342" i="3"/>
  <c r="H314" i="3"/>
  <c r="H280" i="3"/>
  <c r="H354" i="3"/>
  <c r="H114" i="3"/>
  <c r="H242" i="3"/>
  <c r="H272" i="3"/>
  <c r="H369" i="3"/>
  <c r="H336" i="3"/>
  <c r="H236" i="3"/>
  <c r="H306" i="3"/>
  <c r="H298" i="3"/>
  <c r="H366" i="3"/>
  <c r="H34" i="3"/>
  <c r="H130" i="3"/>
  <c r="I10" i="3"/>
  <c r="I55" i="3"/>
  <c r="I112" i="3"/>
  <c r="I321" i="3"/>
  <c r="H215" i="3"/>
  <c r="I174" i="3"/>
  <c r="I138" i="3"/>
  <c r="I87" i="3"/>
  <c r="I176" i="3"/>
  <c r="I115" i="3"/>
  <c r="I266" i="3"/>
  <c r="I240" i="3"/>
  <c r="I105" i="3"/>
  <c r="I110" i="3"/>
  <c r="H353" i="3"/>
  <c r="H149" i="3"/>
  <c r="H304" i="3"/>
  <c r="I315" i="3"/>
  <c r="I282" i="3"/>
  <c r="I119" i="3"/>
  <c r="I248" i="3"/>
  <c r="I51" i="3"/>
  <c r="I260" i="3"/>
  <c r="I151" i="3"/>
  <c r="I65" i="3"/>
  <c r="I123" i="3"/>
  <c r="I324" i="3"/>
  <c r="I175" i="3"/>
  <c r="I129" i="3"/>
  <c r="I147" i="3"/>
  <c r="I357" i="3"/>
  <c r="I311" i="3"/>
  <c r="I23" i="3"/>
  <c r="I193" i="3"/>
  <c r="I187" i="3"/>
  <c r="I46" i="3"/>
  <c r="I375" i="3"/>
  <c r="I47" i="3"/>
  <c r="I48" i="3"/>
  <c r="I257" i="3"/>
  <c r="I211" i="3"/>
  <c r="I259" i="3"/>
  <c r="I317" i="3"/>
  <c r="I268" i="3"/>
  <c r="I332" i="3"/>
  <c r="I365" i="3"/>
  <c r="I54" i="3"/>
  <c r="I118" i="3"/>
  <c r="I182" i="3"/>
  <c r="I246" i="3"/>
  <c r="I310" i="3"/>
  <c r="I318" i="3"/>
  <c r="I264" i="3"/>
  <c r="I328" i="3"/>
  <c r="I26" i="3"/>
  <c r="I154" i="3"/>
  <c r="I226" i="3"/>
  <c r="I183" i="3"/>
  <c r="I247" i="3"/>
  <c r="I56" i="3"/>
  <c r="I120" i="3"/>
  <c r="I184" i="3"/>
  <c r="I73" i="3"/>
  <c r="I137" i="3"/>
  <c r="I201" i="3"/>
  <c r="I265" i="3"/>
  <c r="I329" i="3"/>
  <c r="I83" i="3"/>
  <c r="I155" i="3"/>
  <c r="I219" i="3"/>
  <c r="I20" i="3"/>
  <c r="I84" i="3"/>
  <c r="I148" i="3"/>
  <c r="I212" i="3"/>
  <c r="I21" i="3"/>
  <c r="I85" i="3"/>
  <c r="I213" i="3"/>
  <c r="I293" i="3"/>
  <c r="I82" i="3"/>
  <c r="I239" i="3"/>
  <c r="I11" i="3"/>
  <c r="I12" i="3"/>
  <c r="I140" i="3"/>
  <c r="I204" i="3"/>
  <c r="I77" i="3"/>
  <c r="I205" i="3"/>
  <c r="H142" i="3"/>
  <c r="I267" i="3"/>
  <c r="I331" i="3"/>
  <c r="I276" i="3"/>
  <c r="I340" i="3"/>
  <c r="I373" i="3"/>
  <c r="I62" i="3"/>
  <c r="I158" i="3"/>
  <c r="I190" i="3"/>
  <c r="I254" i="3"/>
  <c r="I250" i="3"/>
  <c r="I263" i="3"/>
  <c r="I327" i="3"/>
  <c r="I42" i="3"/>
  <c r="I170" i="3"/>
  <c r="I362" i="3"/>
  <c r="I127" i="3"/>
  <c r="I191" i="3"/>
  <c r="I255" i="3"/>
  <c r="I323" i="3"/>
  <c r="I128" i="3"/>
  <c r="I192" i="3"/>
  <c r="I81" i="3"/>
  <c r="I145" i="3"/>
  <c r="I209" i="3"/>
  <c r="I273" i="3"/>
  <c r="I27" i="3"/>
  <c r="I91" i="3"/>
  <c r="I163" i="3"/>
  <c r="I227" i="3"/>
  <c r="I28" i="3"/>
  <c r="I92" i="3"/>
  <c r="I156" i="3"/>
  <c r="I220" i="3"/>
  <c r="I29" i="3"/>
  <c r="I93" i="3"/>
  <c r="I157" i="3"/>
  <c r="I221" i="3"/>
  <c r="I301" i="3"/>
  <c r="I302" i="3"/>
  <c r="I320" i="3"/>
  <c r="I210" i="3"/>
  <c r="I338" i="3"/>
  <c r="I75" i="3"/>
  <c r="I76" i="3"/>
  <c r="I13" i="3"/>
  <c r="I141" i="3"/>
  <c r="I269" i="3"/>
  <c r="H14" i="3"/>
  <c r="H37" i="3"/>
  <c r="H349" i="3"/>
  <c r="H162" i="3"/>
  <c r="H296" i="3"/>
  <c r="I275" i="3"/>
  <c r="I339" i="3"/>
  <c r="I284" i="3"/>
  <c r="I348" i="3"/>
  <c r="I6" i="3"/>
  <c r="I70" i="3"/>
  <c r="I134" i="3"/>
  <c r="I198" i="3"/>
  <c r="I262" i="3"/>
  <c r="I326" i="3"/>
  <c r="I271" i="3"/>
  <c r="I335" i="3"/>
  <c r="I344" i="3"/>
  <c r="I58" i="3"/>
  <c r="I2" i="3"/>
  <c r="I106" i="3"/>
  <c r="I258" i="3"/>
  <c r="I64" i="3"/>
  <c r="I71" i="3"/>
  <c r="I135" i="3"/>
  <c r="I199" i="3"/>
  <c r="I8" i="3"/>
  <c r="I72" i="3"/>
  <c r="I136" i="3"/>
  <c r="I200" i="3"/>
  <c r="I25" i="3"/>
  <c r="I89" i="3"/>
  <c r="I153" i="3"/>
  <c r="I217" i="3"/>
  <c r="I281" i="3"/>
  <c r="I103" i="3"/>
  <c r="I35" i="3"/>
  <c r="I99" i="3"/>
  <c r="I171" i="3"/>
  <c r="I235" i="3"/>
  <c r="I36" i="3"/>
  <c r="I100" i="3"/>
  <c r="I164" i="3"/>
  <c r="I228" i="3"/>
  <c r="I101" i="3"/>
  <c r="I165" i="3"/>
  <c r="I9" i="3"/>
  <c r="I309" i="3"/>
  <c r="I283" i="3"/>
  <c r="I347" i="3"/>
  <c r="I292" i="3"/>
  <c r="I356" i="3"/>
  <c r="I78" i="3"/>
  <c r="I270" i="3"/>
  <c r="I334" i="3"/>
  <c r="I279" i="3"/>
  <c r="I343" i="3"/>
  <c r="I288" i="3"/>
  <c r="I352" i="3"/>
  <c r="I74" i="3"/>
  <c r="I202" i="3"/>
  <c r="I18" i="3"/>
  <c r="I15" i="3"/>
  <c r="I79" i="3"/>
  <c r="I143" i="3"/>
  <c r="I207" i="3"/>
  <c r="I16" i="3"/>
  <c r="I80" i="3"/>
  <c r="I144" i="3"/>
  <c r="I208" i="3"/>
  <c r="I33" i="3"/>
  <c r="I97" i="3"/>
  <c r="I161" i="3"/>
  <c r="I225" i="3"/>
  <c r="I289" i="3"/>
  <c r="I17" i="3"/>
  <c r="I43" i="3"/>
  <c r="I107" i="3"/>
  <c r="I179" i="3"/>
  <c r="I7" i="3"/>
  <c r="I44" i="3"/>
  <c r="I172" i="3"/>
  <c r="I4" i="3"/>
  <c r="I45" i="3"/>
  <c r="I109" i="3"/>
  <c r="I173" i="3"/>
  <c r="I237" i="3"/>
  <c r="I243" i="3"/>
  <c r="I291" i="3"/>
  <c r="I355" i="3"/>
  <c r="I300" i="3"/>
  <c r="I364" i="3"/>
  <c r="I22" i="3"/>
  <c r="I86" i="3"/>
  <c r="I150" i="3"/>
  <c r="I214" i="3"/>
  <c r="I278" i="3"/>
  <c r="I287" i="3"/>
  <c r="I351" i="3"/>
  <c r="I360" i="3"/>
  <c r="I90" i="3"/>
  <c r="I218" i="3"/>
  <c r="I24" i="3"/>
  <c r="I88" i="3"/>
  <c r="I152" i="3"/>
  <c r="I216" i="3"/>
  <c r="I41" i="3"/>
  <c r="I234" i="3"/>
  <c r="I169" i="3"/>
  <c r="I233" i="3"/>
  <c r="I297" i="3"/>
  <c r="I251" i="3"/>
  <c r="I52" i="3"/>
  <c r="I116" i="3"/>
  <c r="I180" i="3"/>
  <c r="I244" i="3"/>
  <c r="I53" i="3"/>
  <c r="I117" i="3"/>
  <c r="I181" i="3"/>
  <c r="I245" i="3"/>
  <c r="I325" i="3"/>
  <c r="I299" i="3"/>
  <c r="I363" i="3"/>
  <c r="I308" i="3"/>
  <c r="I372" i="3"/>
  <c r="I30" i="3"/>
  <c r="I94" i="3"/>
  <c r="I319" i="3"/>
  <c r="I222" i="3"/>
  <c r="I286" i="3"/>
  <c r="I295" i="3"/>
  <c r="I359" i="3"/>
  <c r="I368" i="3"/>
  <c r="I229" i="3"/>
  <c r="I19" i="3"/>
  <c r="I31" i="3"/>
  <c r="I95" i="3"/>
  <c r="I159" i="3"/>
  <c r="I223" i="3"/>
  <c r="I32" i="3"/>
  <c r="I96" i="3"/>
  <c r="I160" i="3"/>
  <c r="I224" i="3"/>
  <c r="I49" i="3"/>
  <c r="I113" i="3"/>
  <c r="I177" i="3"/>
  <c r="I241" i="3"/>
  <c r="I305" i="3"/>
  <c r="I277" i="3"/>
  <c r="I59" i="3"/>
  <c r="I131" i="3"/>
  <c r="I195" i="3"/>
  <c r="I285" i="3"/>
  <c r="I60" i="3"/>
  <c r="I124" i="3"/>
  <c r="I188" i="3"/>
  <c r="I252" i="3"/>
  <c r="I61" i="3"/>
  <c r="I125" i="3"/>
  <c r="I189" i="3"/>
  <c r="I253" i="3"/>
  <c r="I333" i="3"/>
  <c r="H230" i="3"/>
  <c r="I307" i="3"/>
  <c r="I371" i="3"/>
  <c r="I316" i="3"/>
  <c r="I38" i="3"/>
  <c r="I102" i="3"/>
  <c r="I166" i="3"/>
  <c r="I294" i="3"/>
  <c r="I303" i="3"/>
  <c r="I367" i="3"/>
  <c r="I312" i="3"/>
  <c r="I376" i="3"/>
  <c r="I122" i="3"/>
  <c r="I66" i="3"/>
  <c r="I194" i="3"/>
  <c r="I39" i="3"/>
  <c r="I186" i="3"/>
  <c r="I167" i="3"/>
  <c r="I231" i="3"/>
  <c r="I40" i="3"/>
  <c r="I104" i="3"/>
  <c r="I168" i="3"/>
  <c r="I232" i="3"/>
  <c r="I57" i="3"/>
  <c r="I121" i="3"/>
  <c r="I185" i="3"/>
  <c r="I249" i="3"/>
  <c r="I313" i="3"/>
  <c r="I3" i="3"/>
  <c r="I67" i="3"/>
  <c r="I139" i="3"/>
  <c r="I203" i="3"/>
  <c r="I126" i="3"/>
  <c r="I68" i="3"/>
  <c r="I132" i="3"/>
  <c r="I196" i="3"/>
  <c r="I5" i="3"/>
  <c r="I69" i="3"/>
  <c r="I133" i="3"/>
  <c r="I197" i="3"/>
  <c r="I261" i="3"/>
  <c r="I341" i="3"/>
</calcChain>
</file>

<file path=xl/sharedStrings.xml><?xml version="1.0" encoding="utf-8"?>
<sst xmlns="http://schemas.openxmlformats.org/spreadsheetml/2006/main" count="3961" uniqueCount="987">
  <si>
    <t>02723 - CV. INDO MOTOR</t>
  </si>
  <si>
    <t>REKAP KPB
02723-251101_1035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</si>
  <si>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</si>
  <si>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</si>
  <si>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</si>
  <si>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</si>
  <si>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</si>
  <si>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</si>
  <si>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</si>
  <si>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</si>
  <si>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</si>
  <si>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</si>
  <si>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</si>
  <si>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</si>
  <si>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</si>
  <si>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</si>
  <si>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</si>
  <si>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02723-251101_1035</t>
  </si>
  <si>
    <t>23</t>
  </si>
  <si>
    <t>17</t>
  </si>
  <si>
    <t>5</t>
  </si>
  <si>
    <t>6</t>
  </si>
  <si>
    <t>51</t>
  </si>
  <si>
    <t>981,840</t>
  </si>
  <si>
    <t>865,125</t>
  </si>
  <si>
    <t>1,846,965</t>
  </si>
  <si>
    <t>Tidak</t>
  </si>
  <si>
    <t>2</t>
  </si>
  <si>
    <t>CRF 150 SERIES</t>
  </si>
  <si>
    <t>0</t>
  </si>
  <si>
    <t>127,600</t>
  </si>
  <si>
    <t>71,240</t>
  </si>
  <si>
    <t>198,840</t>
  </si>
  <si>
    <t>3</t>
  </si>
  <si>
    <t>GENIO SERIES</t>
  </si>
  <si>
    <t>44,000</t>
  </si>
  <si>
    <t>186,450</t>
  </si>
  <si>
    <t>230,450</t>
  </si>
  <si>
    <t>4</t>
  </si>
  <si>
    <t>PCX 160 SERIES</t>
  </si>
  <si>
    <t>12</t>
  </si>
  <si>
    <t>18</t>
  </si>
  <si>
    <t>419,900</t>
  </si>
  <si>
    <t>619,485</t>
  </si>
  <si>
    <t>1,039,385</t>
  </si>
  <si>
    <t>REVO SERIES</t>
  </si>
  <si>
    <t>10</t>
  </si>
  <si>
    <t>22</t>
  </si>
  <si>
    <t>396,000</t>
  </si>
  <si>
    <t>250,000</t>
  </si>
  <si>
    <t>646,000</t>
  </si>
  <si>
    <t>SCOOPY SERIES</t>
  </si>
  <si>
    <t>25</t>
  </si>
  <si>
    <t>13</t>
  </si>
  <si>
    <t>53</t>
  </si>
  <si>
    <t>1,054,640</t>
  </si>
  <si>
    <t>948,580</t>
  </si>
  <si>
    <t>2,003,220</t>
  </si>
  <si>
    <t>7</t>
  </si>
  <si>
    <t>STYLO 160 SERIES</t>
  </si>
  <si>
    <t>8</t>
  </si>
  <si>
    <t>26</t>
  </si>
  <si>
    <t>933,000</t>
  </si>
  <si>
    <t>436,800</t>
  </si>
  <si>
    <t>1,369,800</t>
  </si>
  <si>
    <t>SUPRA 125 SERIES</t>
  </si>
  <si>
    <t>15</t>
  </si>
  <si>
    <t>270,000</t>
  </si>
  <si>
    <t>117,500</t>
  </si>
  <si>
    <t>387,500</t>
  </si>
  <si>
    <t>9</t>
  </si>
  <si>
    <t>SUPRA GTR SERIES</t>
  </si>
  <si>
    <t>31,000</t>
  </si>
  <si>
    <t>VARIO 125 SERIES</t>
  </si>
  <si>
    <t>55</t>
  </si>
  <si>
    <t>33</t>
  </si>
  <si>
    <t>119</t>
  </si>
  <si>
    <t>2,448,800</t>
  </si>
  <si>
    <t>1,800,700</t>
  </si>
  <si>
    <t>4,249,500</t>
  </si>
  <si>
    <t>11</t>
  </si>
  <si>
    <t>VARIO 160 SERIES</t>
  </si>
  <si>
    <t>30</t>
  </si>
  <si>
    <t>728,400</t>
  </si>
  <si>
    <t>577,500</t>
  </si>
  <si>
    <t>1,305,900</t>
  </si>
  <si>
    <t>VERZA SERIES</t>
  </si>
  <si>
    <t>16</t>
  </si>
  <si>
    <t>919,000</t>
  </si>
  <si>
    <t>743,925</t>
  </si>
  <si>
    <t>1,662,925</t>
  </si>
  <si>
    <t>No Engine</t>
  </si>
  <si>
    <t>Service Ke-</t>
  </si>
  <si>
    <t>Tgl Beli</t>
  </si>
  <si>
    <t>Tgl Service</t>
  </si>
  <si>
    <t>Km</t>
  </si>
  <si>
    <t>Type</t>
  </si>
  <si>
    <t>MD</t>
  </si>
  <si>
    <t>JMF2E1512392</t>
  </si>
  <si>
    <t>01/08/2025</t>
  </si>
  <si>
    <t>03/10/2025</t>
  </si>
  <si>
    <t>127</t>
  </si>
  <si>
    <t>JMF1E1271941</t>
  </si>
  <si>
    <t>04/08/2025</t>
  </si>
  <si>
    <t>06/10/2025</t>
  </si>
  <si>
    <t>135</t>
  </si>
  <si>
    <t>JMG1E1479348</t>
  </si>
  <si>
    <t>06/08/2025</t>
  </si>
  <si>
    <t>1017</t>
  </si>
  <si>
    <t>JMG1E1487907</t>
  </si>
  <si>
    <t>581</t>
  </si>
  <si>
    <t>JMF2E1262650</t>
  </si>
  <si>
    <t>07/08/2025</t>
  </si>
  <si>
    <t>07/10/2025</t>
  </si>
  <si>
    <t>839</t>
  </si>
  <si>
    <t>JME1E1592227</t>
  </si>
  <si>
    <t>09/08/2025</t>
  </si>
  <si>
    <t>09/10/2025</t>
  </si>
  <si>
    <t>399</t>
  </si>
  <si>
    <t>JME1E1651749</t>
  </si>
  <si>
    <t>11/08/2025</t>
  </si>
  <si>
    <t>10/10/2025</t>
  </si>
  <si>
    <t>456</t>
  </si>
  <si>
    <t>JME1E1645215</t>
  </si>
  <si>
    <t>02/08/2025</t>
  </si>
  <si>
    <t>357</t>
  </si>
  <si>
    <t>JMF1E1296363</t>
  </si>
  <si>
    <t>14/08/2025</t>
  </si>
  <si>
    <t>11/10/2025</t>
  </si>
  <si>
    <t>228</t>
  </si>
  <si>
    <t>JME1E1668351</t>
  </si>
  <si>
    <t>13/10/2025</t>
  </si>
  <si>
    <t>177</t>
  </si>
  <si>
    <t>JMF1E1298358</t>
  </si>
  <si>
    <t>15/08/2025</t>
  </si>
  <si>
    <t>973</t>
  </si>
  <si>
    <t>JMF2E1363241</t>
  </si>
  <si>
    <t>19/08/2025</t>
  </si>
  <si>
    <t>14/10/2025</t>
  </si>
  <si>
    <t>377</t>
  </si>
  <si>
    <t>JME1E1662693</t>
  </si>
  <si>
    <t>15/10/2025</t>
  </si>
  <si>
    <t>674</t>
  </si>
  <si>
    <t>JME1E1643221</t>
  </si>
  <si>
    <t>764</t>
  </si>
  <si>
    <t>JME1E1666833</t>
  </si>
  <si>
    <t>20/08/2025</t>
  </si>
  <si>
    <t>17/10/2025</t>
  </si>
  <si>
    <t>627</t>
  </si>
  <si>
    <t>JMF1E1241986</t>
  </si>
  <si>
    <t>18/08/2025</t>
  </si>
  <si>
    <t>579</t>
  </si>
  <si>
    <t>JME1E1692182</t>
  </si>
  <si>
    <t>26/08/2025</t>
  </si>
  <si>
    <t>18/10/2025</t>
  </si>
  <si>
    <t>181</t>
  </si>
  <si>
    <t>JMF1E1224567</t>
  </si>
  <si>
    <t>27/08/2025</t>
  </si>
  <si>
    <t>997</t>
  </si>
  <si>
    <t>JME1E1688465</t>
  </si>
  <si>
    <t>29/08/2025</t>
  </si>
  <si>
    <t>643</t>
  </si>
  <si>
    <t>JME1E1676075</t>
  </si>
  <si>
    <t>25/08/2025</t>
  </si>
  <si>
    <t>21/10/2025</t>
  </si>
  <si>
    <t>378</t>
  </si>
  <si>
    <t>JMG1E1536262</t>
  </si>
  <si>
    <t>30/08/2025</t>
  </si>
  <si>
    <t>22/10/2025</t>
  </si>
  <si>
    <t>527</t>
  </si>
  <si>
    <t>JME1E1689062</t>
  </si>
  <si>
    <t>31/08/2025</t>
  </si>
  <si>
    <t>844</t>
  </si>
  <si>
    <t>JME1E1687323</t>
  </si>
  <si>
    <t>22/08/2025</t>
  </si>
  <si>
    <t>24/10/2025</t>
  </si>
  <si>
    <t>952</t>
  </si>
  <si>
    <t>JME1E1528106</t>
  </si>
  <si>
    <t>02/06/2025</t>
  </si>
  <si>
    <t>04/10/2025</t>
  </si>
  <si>
    <t>2265</t>
  </si>
  <si>
    <t>JMG1E1415948</t>
  </si>
  <si>
    <t>06/06/2025</t>
  </si>
  <si>
    <t>4028</t>
  </si>
  <si>
    <t>JMF2E1384912</t>
  </si>
  <si>
    <t>07/06/2025</t>
  </si>
  <si>
    <t>2661</t>
  </si>
  <si>
    <t>JME1E1551233</t>
  </si>
  <si>
    <t>09/06/2025</t>
  </si>
  <si>
    <t>1783</t>
  </si>
  <si>
    <t>JME1E1530260</t>
  </si>
  <si>
    <t>2864</t>
  </si>
  <si>
    <t>JMF2E1381265</t>
  </si>
  <si>
    <t>10/06/2025</t>
  </si>
  <si>
    <t>1135</t>
  </si>
  <si>
    <t>JMF2E1437315</t>
  </si>
  <si>
    <t>3638</t>
  </si>
  <si>
    <t>JME1E1551320</t>
  </si>
  <si>
    <t>13/06/2025</t>
  </si>
  <si>
    <t>3420</t>
  </si>
  <si>
    <t>JME1E1549006</t>
  </si>
  <si>
    <t>17/06/2025</t>
  </si>
  <si>
    <t>2340</t>
  </si>
  <si>
    <t>JMF2E1464246</t>
  </si>
  <si>
    <t>2995</t>
  </si>
  <si>
    <t>JME1E1567050</t>
  </si>
  <si>
    <t>20/06/2025</t>
  </si>
  <si>
    <t>2110</t>
  </si>
  <si>
    <t>JMF1E1273964</t>
  </si>
  <si>
    <t>29/06/2025</t>
  </si>
  <si>
    <t>3696</t>
  </si>
  <si>
    <t>JMF1E1233778</t>
  </si>
  <si>
    <t>21/06/2025</t>
  </si>
  <si>
    <t>3013</t>
  </si>
  <si>
    <t>JMF1E1227457</t>
  </si>
  <si>
    <t>22/06/2025</t>
  </si>
  <si>
    <t>20/10/2025</t>
  </si>
  <si>
    <t>1407</t>
  </si>
  <si>
    <t>JMG1E1433428</t>
  </si>
  <si>
    <t>24/06/2025</t>
  </si>
  <si>
    <t>3886</t>
  </si>
  <si>
    <t>JME1E1515776</t>
  </si>
  <si>
    <t>28/06/2025</t>
  </si>
  <si>
    <t>1821</t>
  </si>
  <si>
    <t>JMF1E1273075</t>
  </si>
  <si>
    <t>27/10/2025</t>
  </si>
  <si>
    <t>1707</t>
  </si>
  <si>
    <t>JME1E1331835</t>
  </si>
  <si>
    <t>03/02/2025</t>
  </si>
  <si>
    <t>7362</t>
  </si>
  <si>
    <t>JME1E1331747</t>
  </si>
  <si>
    <t>06/02/2025</t>
  </si>
  <si>
    <t>6085</t>
  </si>
  <si>
    <t>JMF1E1182894</t>
  </si>
  <si>
    <t>15/02/2025</t>
  </si>
  <si>
    <t>5094</t>
  </si>
  <si>
    <t>JMF1E1182978</t>
  </si>
  <si>
    <t>17/02/2025</t>
  </si>
  <si>
    <t>6472</t>
  </si>
  <si>
    <t>JMF1E1195381</t>
  </si>
  <si>
    <t>22/02/2025</t>
  </si>
  <si>
    <t>7628</t>
  </si>
  <si>
    <t>JMF1E1079487</t>
  </si>
  <si>
    <t>01/10/2024</t>
  </si>
  <si>
    <t>10975</t>
  </si>
  <si>
    <t>JME1E1154710</t>
  </si>
  <si>
    <t>04/10/2024</t>
  </si>
  <si>
    <t>9149</t>
  </si>
  <si>
    <t>JMG1E1097618</t>
  </si>
  <si>
    <t>08/10/2024</t>
  </si>
  <si>
    <t>08/10/2025</t>
  </si>
  <si>
    <t>8457</t>
  </si>
  <si>
    <t>JME1E1167935</t>
  </si>
  <si>
    <t>12/10/2024</t>
  </si>
  <si>
    <t>10678</t>
  </si>
  <si>
    <t>JME1E1165602</t>
  </si>
  <si>
    <t>14/10/2024</t>
  </si>
  <si>
    <t>11290</t>
  </si>
  <si>
    <t>JME1E1159300</t>
  </si>
  <si>
    <t>17/10/2024</t>
  </si>
  <si>
    <t>11092</t>
  </si>
  <si>
    <t>KD11E1622718</t>
  </si>
  <si>
    <t>10/08/2025</t>
  </si>
  <si>
    <t>835</t>
  </si>
  <si>
    <t>KD11E1624163</t>
  </si>
  <si>
    <t>23/10/2025</t>
  </si>
  <si>
    <t>1081</t>
  </si>
  <si>
    <t>KD11E1603553</t>
  </si>
  <si>
    <t>2790</t>
  </si>
  <si>
    <t>KD11E1607900</t>
  </si>
  <si>
    <t>14/06/2025</t>
  </si>
  <si>
    <t>2894</t>
  </si>
  <si>
    <t>KD11E1547106</t>
  </si>
  <si>
    <t>24/10/2024</t>
  </si>
  <si>
    <t>11291</t>
  </si>
  <si>
    <t>JMA1E1190887</t>
  </si>
  <si>
    <t>521</t>
  </si>
  <si>
    <t>JMB1E1214060</t>
  </si>
  <si>
    <t>342</t>
  </si>
  <si>
    <t>JMB1E1208451</t>
  </si>
  <si>
    <t>13/08/2025</t>
  </si>
  <si>
    <t>735</t>
  </si>
  <si>
    <t>JMA1E1179577</t>
  </si>
  <si>
    <t>295</t>
  </si>
  <si>
    <t>JMA1E1178568</t>
  </si>
  <si>
    <t>28/08/2025</t>
  </si>
  <si>
    <t>218</t>
  </si>
  <si>
    <t>KFE1E1225071</t>
  </si>
  <si>
    <t>1072</t>
  </si>
  <si>
    <t>KFE1E1221810</t>
  </si>
  <si>
    <t>03/08/2025</t>
  </si>
  <si>
    <t>511</t>
  </si>
  <si>
    <t>KFE1E1219621</t>
  </si>
  <si>
    <t>566</t>
  </si>
  <si>
    <t>KFE1E1226915</t>
  </si>
  <si>
    <t>08/08/2025</t>
  </si>
  <si>
    <t>397</t>
  </si>
  <si>
    <t>KFE2E1058931</t>
  </si>
  <si>
    <t>944</t>
  </si>
  <si>
    <t>KFE1E1226918</t>
  </si>
  <si>
    <t>161</t>
  </si>
  <si>
    <t>KFE2E1051690</t>
  </si>
  <si>
    <t>851</t>
  </si>
  <si>
    <t>KFE3E1061060</t>
  </si>
  <si>
    <t>21/08/2025</t>
  </si>
  <si>
    <t>689</t>
  </si>
  <si>
    <t>KFE1E1253529</t>
  </si>
  <si>
    <t>947</t>
  </si>
  <si>
    <t>KFE1E1254108</t>
  </si>
  <si>
    <t>23/08/2025</t>
  </si>
  <si>
    <t>272</t>
  </si>
  <si>
    <t>KFE1E1255752</t>
  </si>
  <si>
    <t>383</t>
  </si>
  <si>
    <t>KFE1E1262354</t>
  </si>
  <si>
    <t>KFE1E1146136</t>
  </si>
  <si>
    <t>3380</t>
  </si>
  <si>
    <t>KFE1E1101438</t>
  </si>
  <si>
    <t>17/04/2025</t>
  </si>
  <si>
    <t>76</t>
  </si>
  <si>
    <t>KFE3E1039185</t>
  </si>
  <si>
    <t>1602</t>
  </si>
  <si>
    <t>KFE1E1171037</t>
  </si>
  <si>
    <t>30/06/2025</t>
  </si>
  <si>
    <t>1191</t>
  </si>
  <si>
    <t>KF81E1367023</t>
  </si>
  <si>
    <t>09/10/2024</t>
  </si>
  <si>
    <t>9303</t>
  </si>
  <si>
    <t>KF81E1408253</t>
  </si>
  <si>
    <t>30/10/2024</t>
  </si>
  <si>
    <t>8981</t>
  </si>
  <si>
    <t>JBK3E1586349</t>
  </si>
  <si>
    <t>724</t>
  </si>
  <si>
    <t>JBK3E1587689</t>
  </si>
  <si>
    <t>850</t>
  </si>
  <si>
    <t>JBK3E1589217</t>
  </si>
  <si>
    <t>809</t>
  </si>
  <si>
    <t>JBK3E1589803</t>
  </si>
  <si>
    <t>16/08/2025</t>
  </si>
  <si>
    <t>943</t>
  </si>
  <si>
    <t>84</t>
  </si>
  <si>
    <t>JBK1E2117837</t>
  </si>
  <si>
    <t>1060</t>
  </si>
  <si>
    <t>JBK3E1589938</t>
  </si>
  <si>
    <t>496</t>
  </si>
  <si>
    <t>JBK3E1592854</t>
  </si>
  <si>
    <t>452</t>
  </si>
  <si>
    <t>JBK1E2118151</t>
  </si>
  <si>
    <t>748</t>
  </si>
  <si>
    <t>JBK3E1589222</t>
  </si>
  <si>
    <t>JBK3E1589690</t>
  </si>
  <si>
    <t>28/10/2025</t>
  </si>
  <si>
    <t>100</t>
  </si>
  <si>
    <t>JBK1E2102393</t>
  </si>
  <si>
    <t>08/06/2025</t>
  </si>
  <si>
    <t>3623</t>
  </si>
  <si>
    <t>JBK3E1577565</t>
  </si>
  <si>
    <t>1748</t>
  </si>
  <si>
    <t>JBK3E1575741</t>
  </si>
  <si>
    <t>01/06/2025</t>
  </si>
  <si>
    <t>2238</t>
  </si>
  <si>
    <t>JBK1E2101985</t>
  </si>
  <si>
    <t>1906</t>
  </si>
  <si>
    <t>JBK1E2103980</t>
  </si>
  <si>
    <t>1692</t>
  </si>
  <si>
    <t>JBK3E1577568</t>
  </si>
  <si>
    <t>15/06/2025</t>
  </si>
  <si>
    <t>1439</t>
  </si>
  <si>
    <t>JBK1E2081858</t>
  </si>
  <si>
    <t>07/02/2025</t>
  </si>
  <si>
    <t>4957</t>
  </si>
  <si>
    <t>JBK3E1561346</t>
  </si>
  <si>
    <t>08/02/2025</t>
  </si>
  <si>
    <t>4232</t>
  </si>
  <si>
    <t>JBK3E1560111</t>
  </si>
  <si>
    <t>10/02/2025</t>
  </si>
  <si>
    <t>4518</t>
  </si>
  <si>
    <t>JBK1E2080766</t>
  </si>
  <si>
    <t>21/02/2025</t>
  </si>
  <si>
    <t>6466</t>
  </si>
  <si>
    <t>JBK1E2048788</t>
  </si>
  <si>
    <t>9315</t>
  </si>
  <si>
    <t>JBK3E1541996</t>
  </si>
  <si>
    <t>10/10/2024</t>
  </si>
  <si>
    <t>8355</t>
  </si>
  <si>
    <t>JMH1E1168666</t>
  </si>
  <si>
    <t>624</t>
  </si>
  <si>
    <t>JMH2E1124912</t>
  </si>
  <si>
    <t>524</t>
  </si>
  <si>
    <t>JMH2E1457052</t>
  </si>
  <si>
    <t>1009</t>
  </si>
  <si>
    <t>JMH1E1201350</t>
  </si>
  <si>
    <t>411</t>
  </si>
  <si>
    <t>JMH1E1197599</t>
  </si>
  <si>
    <t>618</t>
  </si>
  <si>
    <t>JMH1E1229144</t>
  </si>
  <si>
    <t>999</t>
  </si>
  <si>
    <t>JMH1E1210269</t>
  </si>
  <si>
    <t>575</t>
  </si>
  <si>
    <t>JMH1E1200211</t>
  </si>
  <si>
    <t>669</t>
  </si>
  <si>
    <t>110</t>
  </si>
  <si>
    <t>JMH1E1202916</t>
  </si>
  <si>
    <t>153</t>
  </si>
  <si>
    <t>JMH2E1216012</t>
  </si>
  <si>
    <t>296</t>
  </si>
  <si>
    <t>112</t>
  </si>
  <si>
    <t>JMH2E1471780</t>
  </si>
  <si>
    <t>271</t>
  </si>
  <si>
    <t>JMH1E1210783</t>
  </si>
  <si>
    <t>717</t>
  </si>
  <si>
    <t>JMH2E1473957</t>
  </si>
  <si>
    <t>226</t>
  </si>
  <si>
    <t>JMH2E1261042</t>
  </si>
  <si>
    <t>251</t>
  </si>
  <si>
    <t>JMH1E1225580</t>
  </si>
  <si>
    <t>JMH2E1474189</t>
  </si>
  <si>
    <t>05/08/2025</t>
  </si>
  <si>
    <t>1032</t>
  </si>
  <si>
    <t>JMH2E1372407</t>
  </si>
  <si>
    <t>755</t>
  </si>
  <si>
    <t>JMH1E1228547</t>
  </si>
  <si>
    <t>1059</t>
  </si>
  <si>
    <t>JMH1E1229155</t>
  </si>
  <si>
    <t>1075</t>
  </si>
  <si>
    <t>JMH1E1233030</t>
  </si>
  <si>
    <t>675</t>
  </si>
  <si>
    <t>JMH1E1240245</t>
  </si>
  <si>
    <t>449</t>
  </si>
  <si>
    <t>123</t>
  </si>
  <si>
    <t>JMH2E1499725</t>
  </si>
  <si>
    <t>765</t>
  </si>
  <si>
    <t>JMH2E1459333</t>
  </si>
  <si>
    <t>984</t>
  </si>
  <si>
    <t>JMH1E1095588</t>
  </si>
  <si>
    <t>1010</t>
  </si>
  <si>
    <t>JMH1E1237223</t>
  </si>
  <si>
    <t>JMH2E1150538</t>
  </si>
  <si>
    <t>2127</t>
  </si>
  <si>
    <t>JMH2E1287273</t>
  </si>
  <si>
    <t>04/06/2025</t>
  </si>
  <si>
    <t>3604</t>
  </si>
  <si>
    <t>JMH1E1170461</t>
  </si>
  <si>
    <t>3375</t>
  </si>
  <si>
    <t>JMH1E1174540</t>
  </si>
  <si>
    <t>3814</t>
  </si>
  <si>
    <t>JMH1E1170664</t>
  </si>
  <si>
    <t>4052</t>
  </si>
  <si>
    <t>JMH2E1290809</t>
  </si>
  <si>
    <t>11/06/2025</t>
  </si>
  <si>
    <t>1582</t>
  </si>
  <si>
    <t>JMH1E1183678</t>
  </si>
  <si>
    <t>13/07/2025</t>
  </si>
  <si>
    <t>1232</t>
  </si>
  <si>
    <t>JMH2E1341745</t>
  </si>
  <si>
    <t>16/06/2025</t>
  </si>
  <si>
    <t>2912</t>
  </si>
  <si>
    <t>JMH2E1352715</t>
  </si>
  <si>
    <t>18/06/2025</t>
  </si>
  <si>
    <t>16/10/2025</t>
  </si>
  <si>
    <t>3224</t>
  </si>
  <si>
    <t>JMH2E1261053</t>
  </si>
  <si>
    <t>1114</t>
  </si>
  <si>
    <t>JMH1E1182682</t>
  </si>
  <si>
    <t>23/06/2025</t>
  </si>
  <si>
    <t>1233</t>
  </si>
  <si>
    <t>JMH1E1181596</t>
  </si>
  <si>
    <t>26/06/2025</t>
  </si>
  <si>
    <t>3972</t>
  </si>
  <si>
    <t>JMH1E1168914</t>
  </si>
  <si>
    <t>1885</t>
  </si>
  <si>
    <t>JMH2E1114180</t>
  </si>
  <si>
    <t>05/02/2025</t>
  </si>
  <si>
    <t>5592</t>
  </si>
  <si>
    <t>JMH1E1092436</t>
  </si>
  <si>
    <t>11/02/2025</t>
  </si>
  <si>
    <t>5007</t>
  </si>
  <si>
    <t>JMH1E1062159</t>
  </si>
  <si>
    <t>12/02/2025</t>
  </si>
  <si>
    <t>6402</t>
  </si>
  <si>
    <t>JMH2E1114594</t>
  </si>
  <si>
    <t>6367</t>
  </si>
  <si>
    <t>JMH2E1124612</t>
  </si>
  <si>
    <t>4730</t>
  </si>
  <si>
    <t>JMH1E1063997</t>
  </si>
  <si>
    <t>5112</t>
  </si>
  <si>
    <t>JMH2E1117594</t>
  </si>
  <si>
    <t>5919</t>
  </si>
  <si>
    <t>JMH2E1124125</t>
  </si>
  <si>
    <t>JMH1E1093849</t>
  </si>
  <si>
    <t>20/02/2025</t>
  </si>
  <si>
    <t>4641</t>
  </si>
  <si>
    <t>JMH2E1133724</t>
  </si>
  <si>
    <t>4475</t>
  </si>
  <si>
    <t>JM03E1777688</t>
  </si>
  <si>
    <t>11726</t>
  </si>
  <si>
    <t>JM03E1781989</t>
  </si>
  <si>
    <t>03/10/2024</t>
  </si>
  <si>
    <t>9602</t>
  </si>
  <si>
    <t>JM03E1801464</t>
  </si>
  <si>
    <t>21/10/2024</t>
  </si>
  <si>
    <t>10306</t>
  </si>
  <si>
    <t>JM03E1802574</t>
  </si>
  <si>
    <t>26/10/2024</t>
  </si>
  <si>
    <t>10016</t>
  </si>
  <si>
    <t>JM04E2245669</t>
  </si>
  <si>
    <t>9967</t>
  </si>
  <si>
    <t>KFD1E1144477</t>
  </si>
  <si>
    <t>276</t>
  </si>
  <si>
    <t>KFC1E1169676</t>
  </si>
  <si>
    <t>KFD1E1151326</t>
  </si>
  <si>
    <t>969</t>
  </si>
  <si>
    <t>KFC1E1169200</t>
  </si>
  <si>
    <t>250</t>
  </si>
  <si>
    <t>KFC1E1170823</t>
  </si>
  <si>
    <t>KFD1E1143818</t>
  </si>
  <si>
    <t>481</t>
  </si>
  <si>
    <t>KFD1E1146337</t>
  </si>
  <si>
    <t>514</t>
  </si>
  <si>
    <t>KFC1E1180562</t>
  </si>
  <si>
    <t>KFD1E1142320</t>
  </si>
  <si>
    <t>530</t>
  </si>
  <si>
    <t>KFC1E1169184</t>
  </si>
  <si>
    <t>523</t>
  </si>
  <si>
    <t>KFD1E1120967</t>
  </si>
  <si>
    <t>05/06/2025</t>
  </si>
  <si>
    <t>1500</t>
  </si>
  <si>
    <t>KFC1E1143722</t>
  </si>
  <si>
    <t>1484</t>
  </si>
  <si>
    <t>KFD1E1120139</t>
  </si>
  <si>
    <t>2263</t>
  </si>
  <si>
    <t>KFD1E1121463</t>
  </si>
  <si>
    <t>3343</t>
  </si>
  <si>
    <t>KFD1E1125742</t>
  </si>
  <si>
    <t>3777</t>
  </si>
  <si>
    <t>KFD1E1131462</t>
  </si>
  <si>
    <t>2324</t>
  </si>
  <si>
    <t>KFC1E1127702</t>
  </si>
  <si>
    <t>26/04/2025</t>
  </si>
  <si>
    <t>1928</t>
  </si>
  <si>
    <t>KFC1E1146163</t>
  </si>
  <si>
    <t>2448</t>
  </si>
  <si>
    <t>KFC1E1100332</t>
  </si>
  <si>
    <t>8321</t>
  </si>
  <si>
    <t>KFD1E1084768</t>
  </si>
  <si>
    <t>6297</t>
  </si>
  <si>
    <t>KFC1E1104687</t>
  </si>
  <si>
    <t>7230</t>
  </si>
  <si>
    <t>KFC1E1102072</t>
  </si>
  <si>
    <t>16/02/2025</t>
  </si>
  <si>
    <t>9433</t>
  </si>
  <si>
    <t>KFD1E1086884</t>
  </si>
  <si>
    <t>19/02/2025</t>
  </si>
  <si>
    <t>6115</t>
  </si>
  <si>
    <t>KFD1E1072118</t>
  </si>
  <si>
    <t>26/01/2025</t>
  </si>
  <si>
    <t>6202</t>
  </si>
  <si>
    <t>179</t>
  </si>
  <si>
    <t>KFC1E1110276</t>
  </si>
  <si>
    <t>26/02/2025</t>
  </si>
  <si>
    <t>10832</t>
  </si>
  <si>
    <t>KFD1E1087791</t>
  </si>
  <si>
    <t>6988</t>
  </si>
  <si>
    <t>JBP1E2115147</t>
  </si>
  <si>
    <t>JBP1E2116288</t>
  </si>
  <si>
    <t>882</t>
  </si>
  <si>
    <t>JBP1E2115150</t>
  </si>
  <si>
    <t>JBP1E2116374</t>
  </si>
  <si>
    <t>JBP1E2117531</t>
  </si>
  <si>
    <t>836</t>
  </si>
  <si>
    <t>186</t>
  </si>
  <si>
    <t>JBP1E2106961</t>
  </si>
  <si>
    <t>2048</t>
  </si>
  <si>
    <t>JBP1E2107737</t>
  </si>
  <si>
    <t>1620</t>
  </si>
  <si>
    <t>JBP1E2107697</t>
  </si>
  <si>
    <t>4081</t>
  </si>
  <si>
    <t>JBP1E2108339</t>
  </si>
  <si>
    <t>2817</t>
  </si>
  <si>
    <t>JBP1E2108450</t>
  </si>
  <si>
    <t>JBP1E2108823</t>
  </si>
  <si>
    <t>2861</t>
  </si>
  <si>
    <t>JBP1E2108535</t>
  </si>
  <si>
    <t>2479</t>
  </si>
  <si>
    <t>JBP1E2110321</t>
  </si>
  <si>
    <t>25/06/2025</t>
  </si>
  <si>
    <t>2684</t>
  </si>
  <si>
    <t>JBP1E2088469</t>
  </si>
  <si>
    <t>5973</t>
  </si>
  <si>
    <t>JBP1E2065130</t>
  </si>
  <si>
    <t>13/10/2024</t>
  </si>
  <si>
    <t>9191</t>
  </si>
  <si>
    <t>KB22E1057429</t>
  </si>
  <si>
    <t>4428</t>
  </si>
  <si>
    <t>JMD1E1976881</t>
  </si>
  <si>
    <t>JMC1E1684043</t>
  </si>
  <si>
    <t>1022</t>
  </si>
  <si>
    <t>JMC1E1685719</t>
  </si>
  <si>
    <t>1054</t>
  </si>
  <si>
    <t>JMC1E1686059</t>
  </si>
  <si>
    <t>1020</t>
  </si>
  <si>
    <t>JMC1E1682934</t>
  </si>
  <si>
    <t>713</t>
  </si>
  <si>
    <t>202</t>
  </si>
  <si>
    <t>JMC1E1684847</t>
  </si>
  <si>
    <t>262</t>
  </si>
  <si>
    <t>JMD1E2008456</t>
  </si>
  <si>
    <t>475</t>
  </si>
  <si>
    <t>JMC1E1686061</t>
  </si>
  <si>
    <t>1036</t>
  </si>
  <si>
    <t>JMD1E2014908</t>
  </si>
  <si>
    <t>503</t>
  </si>
  <si>
    <t>JMC1E1686850</t>
  </si>
  <si>
    <t>832</t>
  </si>
  <si>
    <t>JMD1E2008393</t>
  </si>
  <si>
    <t>JMD1E2016237</t>
  </si>
  <si>
    <t>476</t>
  </si>
  <si>
    <t>JMC1E1687407</t>
  </si>
  <si>
    <t>JMC1E1686576</t>
  </si>
  <si>
    <t>12/08/2025</t>
  </si>
  <si>
    <t>426</t>
  </si>
  <si>
    <t>JMC1E1687960</t>
  </si>
  <si>
    <t>558</t>
  </si>
  <si>
    <t>JMC1E1687712</t>
  </si>
  <si>
    <t>JMC1E1692010</t>
  </si>
  <si>
    <t>931</t>
  </si>
  <si>
    <t>214</t>
  </si>
  <si>
    <t>JMD1E2019492</t>
  </si>
  <si>
    <t>885</t>
  </si>
  <si>
    <t>JMD1E2007293</t>
  </si>
  <si>
    <t>728</t>
  </si>
  <si>
    <t>JMC1E1692590</t>
  </si>
  <si>
    <t>975</t>
  </si>
  <si>
    <t>JMC1E1692437</t>
  </si>
  <si>
    <t>610</t>
  </si>
  <si>
    <t>JMC1E1692447</t>
  </si>
  <si>
    <t>825</t>
  </si>
  <si>
    <t>JMD1E2014342</t>
  </si>
  <si>
    <t>435</t>
  </si>
  <si>
    <t>JMC1E1687346</t>
  </si>
  <si>
    <t>760</t>
  </si>
  <si>
    <t>JMD1E2013015</t>
  </si>
  <si>
    <t>380</t>
  </si>
  <si>
    <t>JMC1E1691161</t>
  </si>
  <si>
    <t>601</t>
  </si>
  <si>
    <t>JMD1E2026852</t>
  </si>
  <si>
    <t>797</t>
  </si>
  <si>
    <t>JMD1E2026633</t>
  </si>
  <si>
    <t>987</t>
  </si>
  <si>
    <t>JMD1E2019437</t>
  </si>
  <si>
    <t>JMC1E1695854</t>
  </si>
  <si>
    <t>467</t>
  </si>
  <si>
    <t>JMC1E1694290</t>
  </si>
  <si>
    <t>874</t>
  </si>
  <si>
    <t>JMD1E2019639</t>
  </si>
  <si>
    <t>711</t>
  </si>
  <si>
    <t>JMC1E1694265</t>
  </si>
  <si>
    <t>1015</t>
  </si>
  <si>
    <t>JMD1E2016185</t>
  </si>
  <si>
    <t>547</t>
  </si>
  <si>
    <t>JMC1E1695752</t>
  </si>
  <si>
    <t>773</t>
  </si>
  <si>
    <t>JMD1E2014157</t>
  </si>
  <si>
    <t>818</t>
  </si>
  <si>
    <t>JMD1E2025309</t>
  </si>
  <si>
    <t>925</t>
  </si>
  <si>
    <t>JMD1E2019608</t>
  </si>
  <si>
    <t>JMC1E1698804</t>
  </si>
  <si>
    <t>837</t>
  </si>
  <si>
    <t>JMD1E2016232</t>
  </si>
  <si>
    <t>JMD1E2019559</t>
  </si>
  <si>
    <t>940</t>
  </si>
  <si>
    <t>JMD1E2023844</t>
  </si>
  <si>
    <t>1029</t>
  </si>
  <si>
    <t>JMD1E2036487</t>
  </si>
  <si>
    <t>683</t>
  </si>
  <si>
    <t>240</t>
  </si>
  <si>
    <t>JMC1E1696844</t>
  </si>
  <si>
    <t>526</t>
  </si>
  <si>
    <t>JMC1E1700528</t>
  </si>
  <si>
    <t>686</t>
  </si>
  <si>
    <t>JMC1E1699883</t>
  </si>
  <si>
    <t>JMC1E1702435</t>
  </si>
  <si>
    <t>559</t>
  </si>
  <si>
    <t>JMC1E1699590</t>
  </si>
  <si>
    <t>590</t>
  </si>
  <si>
    <t>JMD1E2039390</t>
  </si>
  <si>
    <t>JMC1E1701013</t>
  </si>
  <si>
    <t>JMC1E1702431</t>
  </si>
  <si>
    <t>1014</t>
  </si>
  <si>
    <t>JMD1E2040151</t>
  </si>
  <si>
    <t>577</t>
  </si>
  <si>
    <t>JMD1E2036994</t>
  </si>
  <si>
    <t>544</t>
  </si>
  <si>
    <t>JMC1E1703131</t>
  </si>
  <si>
    <t>JMD1E2040152</t>
  </si>
  <si>
    <t>639</t>
  </si>
  <si>
    <t>JMD1E1938792</t>
  </si>
  <si>
    <t>1523</t>
  </si>
  <si>
    <t>JMD1E1942875</t>
  </si>
  <si>
    <t>2397</t>
  </si>
  <si>
    <t>JMC1E1637047</t>
  </si>
  <si>
    <t>1941</t>
  </si>
  <si>
    <t>JMC1E1637038</t>
  </si>
  <si>
    <t>3117</t>
  </si>
  <si>
    <t>JMC1E1639703</t>
  </si>
  <si>
    <t>1938</t>
  </si>
  <si>
    <t>JMD1E1943571</t>
  </si>
  <si>
    <t>3736</t>
  </si>
  <si>
    <t>258</t>
  </si>
  <si>
    <t>JMC1E1639731</t>
  </si>
  <si>
    <t>3039</t>
  </si>
  <si>
    <t>JMC1E1630314</t>
  </si>
  <si>
    <t>2383</t>
  </si>
  <si>
    <t>JMD1E1927835</t>
  </si>
  <si>
    <t>1416</t>
  </si>
  <si>
    <t>JMC1E1646876</t>
  </si>
  <si>
    <t>12/06/2025</t>
  </si>
  <si>
    <t>1866</t>
  </si>
  <si>
    <t>JMC1E1649181</t>
  </si>
  <si>
    <t>JMC1E1646691</t>
  </si>
  <si>
    <t>2051</t>
  </si>
  <si>
    <t>JMD1E1955621</t>
  </si>
  <si>
    <t>2460</t>
  </si>
  <si>
    <t>JMD1E1952840</t>
  </si>
  <si>
    <t>3579</t>
  </si>
  <si>
    <t>JMD1E1957006</t>
  </si>
  <si>
    <t>1888</t>
  </si>
  <si>
    <t>JMC1E1648529</t>
  </si>
  <si>
    <t>2471</t>
  </si>
  <si>
    <t>JMC1E1649515</t>
  </si>
  <si>
    <t>1476</t>
  </si>
  <si>
    <t>JMD1E1958797</t>
  </si>
  <si>
    <t>1529</t>
  </si>
  <si>
    <t>JMC1E1653174</t>
  </si>
  <si>
    <t>19/06/2025</t>
  </si>
  <si>
    <t>1461</t>
  </si>
  <si>
    <t>JMD1E1961875</t>
  </si>
  <si>
    <t>1242</t>
  </si>
  <si>
    <t>JMD1E1961872</t>
  </si>
  <si>
    <t>3611</t>
  </si>
  <si>
    <t>JMD1E1963111</t>
  </si>
  <si>
    <t>1911</t>
  </si>
  <si>
    <t>JMD1E1954127</t>
  </si>
  <si>
    <t>1908</t>
  </si>
  <si>
    <t>JMD1E1967874</t>
  </si>
  <si>
    <t>1568</t>
  </si>
  <si>
    <t>JMD1E1963934</t>
  </si>
  <si>
    <t>1681</t>
  </si>
  <si>
    <t>JMC1E1654816</t>
  </si>
  <si>
    <t>3583</t>
  </si>
  <si>
    <t>JMC1E1558331</t>
  </si>
  <si>
    <t>04/02/2025</t>
  </si>
  <si>
    <t>5270</t>
  </si>
  <si>
    <t>JMD1E1816584</t>
  </si>
  <si>
    <t>7450</t>
  </si>
  <si>
    <t>JMC1E1558213</t>
  </si>
  <si>
    <t>7788</t>
  </si>
  <si>
    <t>JMC1E1557632</t>
  </si>
  <si>
    <t>7943</t>
  </si>
  <si>
    <t>JMD1E1823091</t>
  </si>
  <si>
    <t>5250</t>
  </si>
  <si>
    <t>JMC1E1559771</t>
  </si>
  <si>
    <t>5797</t>
  </si>
  <si>
    <t>JMD1E1822731</t>
  </si>
  <si>
    <t>6826</t>
  </si>
  <si>
    <t>JMD1E1816170</t>
  </si>
  <si>
    <t>6112</t>
  </si>
  <si>
    <t>JMC1E1561230</t>
  </si>
  <si>
    <t>6502</t>
  </si>
  <si>
    <t>JMD1E1828073</t>
  </si>
  <si>
    <t>5323</t>
  </si>
  <si>
    <t>JMC1E1562719</t>
  </si>
  <si>
    <t>5486</t>
  </si>
  <si>
    <t>JMC1E1562666</t>
  </si>
  <si>
    <t>13/02/2025</t>
  </si>
  <si>
    <t>6207</t>
  </si>
  <si>
    <t>JMC1E1564488</t>
  </si>
  <si>
    <t>14/02/2025</t>
  </si>
  <si>
    <t>6001</t>
  </si>
  <si>
    <t>JMC1E1565812</t>
  </si>
  <si>
    <t>4889</t>
  </si>
  <si>
    <t>JMD1E1829589</t>
  </si>
  <si>
    <t>JMC1E1564076</t>
  </si>
  <si>
    <t>4213</t>
  </si>
  <si>
    <t>JMD1E1835504</t>
  </si>
  <si>
    <t>5959</t>
  </si>
  <si>
    <t>JMD1E1833026</t>
  </si>
  <si>
    <t>6181</t>
  </si>
  <si>
    <t>JMC1E1567293</t>
  </si>
  <si>
    <t>18/02/2025</t>
  </si>
  <si>
    <t>6183</t>
  </si>
  <si>
    <t>JMC1E1568162</t>
  </si>
  <si>
    <t>7345</t>
  </si>
  <si>
    <t>JMC1E1563832</t>
  </si>
  <si>
    <t>4602</t>
  </si>
  <si>
    <t>JMC1E1572020</t>
  </si>
  <si>
    <t>7649</t>
  </si>
  <si>
    <t>JMC1E1571018</t>
  </si>
  <si>
    <t>4779</t>
  </si>
  <si>
    <t>JMC1E1570033</t>
  </si>
  <si>
    <t>6313</t>
  </si>
  <si>
    <t>JMC1E1572279</t>
  </si>
  <si>
    <t>7659</t>
  </si>
  <si>
    <t>JMD1E1841920</t>
  </si>
  <si>
    <t>5464</t>
  </si>
  <si>
    <t>JMD1E1841858</t>
  </si>
  <si>
    <t>24/02/2025</t>
  </si>
  <si>
    <t>4968</t>
  </si>
  <si>
    <t>JMC1E1572308</t>
  </si>
  <si>
    <t>25/02/2025</t>
  </si>
  <si>
    <t>4568</t>
  </si>
  <si>
    <t>JMD1E1841023</t>
  </si>
  <si>
    <t>4496</t>
  </si>
  <si>
    <t>JMC1E1572410</t>
  </si>
  <si>
    <t>27/02/2025</t>
  </si>
  <si>
    <t>4115</t>
  </si>
  <si>
    <t>JMD1E1843398</t>
  </si>
  <si>
    <t>5245</t>
  </si>
  <si>
    <t>JMC1E1594996</t>
  </si>
  <si>
    <t>28/03/2025</t>
  </si>
  <si>
    <t>5579</t>
  </si>
  <si>
    <t>JMC1E1575614</t>
  </si>
  <si>
    <t>28/02/2025</t>
  </si>
  <si>
    <t>29/10/2025</t>
  </si>
  <si>
    <t>5512</t>
  </si>
  <si>
    <t>JMD1E1709213</t>
  </si>
  <si>
    <t>9027</t>
  </si>
  <si>
    <t>JMC1E1480922</t>
  </si>
  <si>
    <t>9070</t>
  </si>
  <si>
    <t>JMC1E1487223</t>
  </si>
  <si>
    <t>10479</t>
  </si>
  <si>
    <t>JMD1E1721844</t>
  </si>
  <si>
    <t>8500</t>
  </si>
  <si>
    <t>JMD1E1724654</t>
  </si>
  <si>
    <t>22/10/2024</t>
  </si>
  <si>
    <t>11896</t>
  </si>
  <si>
    <t>KF01E1932392</t>
  </si>
  <si>
    <t>534</t>
  </si>
  <si>
    <t>KF01E1936092</t>
  </si>
  <si>
    <t>359</t>
  </si>
  <si>
    <t>KFA1E1312197</t>
  </si>
  <si>
    <t>529</t>
  </si>
  <si>
    <t>KF01E1945882</t>
  </si>
  <si>
    <t>753</t>
  </si>
  <si>
    <t>KFA1E1325429</t>
  </si>
  <si>
    <t>712</t>
  </si>
  <si>
    <t>KFA1E1325252</t>
  </si>
  <si>
    <t>324</t>
  </si>
  <si>
    <t>KFA1E1309110</t>
  </si>
  <si>
    <t>429</t>
  </si>
  <si>
    <t>KF01E1946882</t>
  </si>
  <si>
    <t>469</t>
  </si>
  <si>
    <t>KF01E1947744</t>
  </si>
  <si>
    <t>814</t>
  </si>
  <si>
    <t>KFA1E1325973</t>
  </si>
  <si>
    <t>709</t>
  </si>
  <si>
    <t>KF01E1942408</t>
  </si>
  <si>
    <t>1089</t>
  </si>
  <si>
    <t>KF01E1949345</t>
  </si>
  <si>
    <t>788</t>
  </si>
  <si>
    <t>KFA1E1328376</t>
  </si>
  <si>
    <t>604</t>
  </si>
  <si>
    <t>329</t>
  </si>
  <si>
    <t>KF01E1950767</t>
  </si>
  <si>
    <t>670</t>
  </si>
  <si>
    <t>KF01E1949054</t>
  </si>
  <si>
    <t>497</t>
  </si>
  <si>
    <t>KF01E1897577</t>
  </si>
  <si>
    <t>3249</t>
  </si>
  <si>
    <t>KF01E1893269</t>
  </si>
  <si>
    <t>4358</t>
  </si>
  <si>
    <t>KF01E1907123</t>
  </si>
  <si>
    <t>1170</t>
  </si>
  <si>
    <t>KFA1E1312306</t>
  </si>
  <si>
    <t>3554</t>
  </si>
  <si>
    <t>KF01E1908568</t>
  </si>
  <si>
    <t>4071</t>
  </si>
  <si>
    <t>KF01E1904127</t>
  </si>
  <si>
    <t>1669</t>
  </si>
  <si>
    <t>KF01E1910249</t>
  </si>
  <si>
    <t>27/06/2025</t>
  </si>
  <si>
    <t>3118</t>
  </si>
  <si>
    <t>KF01E1894242</t>
  </si>
  <si>
    <t>5522</t>
  </si>
  <si>
    <t>KFA1E1284265</t>
  </si>
  <si>
    <t>02/02/2025</t>
  </si>
  <si>
    <t>11662</t>
  </si>
  <si>
    <t>KF01E1794316</t>
  </si>
  <si>
    <t>10/01/2025</t>
  </si>
  <si>
    <t>10505</t>
  </si>
  <si>
    <t>KF01E1851277</t>
  </si>
  <si>
    <t>11/03/2025</t>
  </si>
  <si>
    <t>6712</t>
  </si>
  <si>
    <t>KFA1E1285890</t>
  </si>
  <si>
    <t>3365</t>
  </si>
  <si>
    <t>KFA1E1280857</t>
  </si>
  <si>
    <t>8287</t>
  </si>
  <si>
    <t>KF01E1823278</t>
  </si>
  <si>
    <t>7760</t>
  </si>
  <si>
    <t>KF01E1802398</t>
  </si>
  <si>
    <t>9610</t>
  </si>
  <si>
    <t>KC04E1012272</t>
  </si>
  <si>
    <t>687</t>
  </si>
  <si>
    <t>KC04E1012274</t>
  </si>
  <si>
    <t>KC04E1013105</t>
  </si>
  <si>
    <t>423</t>
  </si>
  <si>
    <t>KC04E1013120</t>
  </si>
  <si>
    <t>609</t>
  </si>
  <si>
    <t>KC04E1012723</t>
  </si>
  <si>
    <t>KC04E1012465</t>
  </si>
  <si>
    <t>898</t>
  </si>
  <si>
    <t>KC04E1013087</t>
  </si>
  <si>
    <t>KC04E1013107</t>
  </si>
  <si>
    <t>1021</t>
  </si>
  <si>
    <t>KC04E1014576</t>
  </si>
  <si>
    <t>24/08/2025</t>
  </si>
  <si>
    <t>KC04E1013079</t>
  </si>
  <si>
    <t>721</t>
  </si>
  <si>
    <t>KC04E1014079</t>
  </si>
  <si>
    <t>KC04E1014077</t>
  </si>
  <si>
    <t>447</t>
  </si>
  <si>
    <t>KC04E1015886</t>
  </si>
  <si>
    <t>KC04E1014565</t>
  </si>
  <si>
    <t>589</t>
  </si>
  <si>
    <t>KC04E1013553</t>
  </si>
  <si>
    <t>KC04E1014213</t>
  </si>
  <si>
    <t>25/10/2025</t>
  </si>
  <si>
    <t>663</t>
  </si>
  <si>
    <t>KC04E1003811</t>
  </si>
  <si>
    <t>2129</t>
  </si>
  <si>
    <t>KC04E1005367</t>
  </si>
  <si>
    <t>1557</t>
  </si>
  <si>
    <t>KC04E1006380</t>
  </si>
  <si>
    <t>2964</t>
  </si>
  <si>
    <t>KC04E1005977</t>
  </si>
  <si>
    <t>1204</t>
  </si>
  <si>
    <t>KC04E1007496</t>
  </si>
  <si>
    <t>2593</t>
  </si>
  <si>
    <t>KC04E1007518</t>
  </si>
  <si>
    <t>2145</t>
  </si>
  <si>
    <t>KC04E1007456</t>
  </si>
  <si>
    <t>2967</t>
  </si>
  <si>
    <t>KC02E1291045</t>
  </si>
  <si>
    <t>7863</t>
  </si>
  <si>
    <t>KC02E1290415</t>
  </si>
  <si>
    <t>7474</t>
  </si>
  <si>
    <t>KC02E1272560</t>
  </si>
  <si>
    <t>8389</t>
  </si>
  <si>
    <t>KC02E1268184</t>
  </si>
  <si>
    <t>10684</t>
  </si>
  <si>
    <t>KC02E1275094</t>
  </si>
  <si>
    <t>25/10/2024</t>
  </si>
  <si>
    <t>8880</t>
  </si>
  <si>
    <t>KC02E1274641</t>
  </si>
  <si>
    <t>9037</t>
  </si>
  <si>
    <t>KC02E1274579</t>
  </si>
  <si>
    <t>27/10/2024</t>
  </si>
  <si>
    <t>9276</t>
  </si>
  <si>
    <t>WEBC</t>
  </si>
  <si>
    <t>SSU</t>
  </si>
  <si>
    <t>Selisih Tgl Service</t>
  </si>
  <si>
    <t>Selisih KM</t>
  </si>
  <si>
    <t>Ket</t>
  </si>
  <si>
    <t>Link</t>
  </si>
  <si>
    <t>Hari</t>
  </si>
  <si>
    <t>Bulan Beli</t>
  </si>
  <si>
    <t>Tahun Beli</t>
  </si>
  <si>
    <t>Huruf</t>
  </si>
  <si>
    <t>Slsh TglB Star dan WEBC</t>
  </si>
  <si>
    <t>Slsh TglB Star dan SSU</t>
  </si>
  <si>
    <t>Slsh WEBC dan SSU</t>
  </si>
  <si>
    <t>BUKAN FOTO SPEEDO</t>
  </si>
  <si>
    <t>FOTO JM04E</t>
  </si>
  <si>
    <t>FOTO SAMA (1)</t>
  </si>
  <si>
    <t>FOTO SAMA (2)</t>
  </si>
  <si>
    <t>FOTO SAMA (3)</t>
  </si>
  <si>
    <t>FOTO SAMA (4)</t>
  </si>
  <si>
    <t>FOTO KFC1E</t>
  </si>
  <si>
    <t>JMC1E1651557 / https://fruitbasket.blob.core.windows.net/gk2o5k/avatar/21273061520250805153237OTRTSD.jpg</t>
  </si>
  <si>
    <t>JMD1E1963934 / https://fruitbasket.blob.core.windows.net/gk2o5k/avatar/23773820250829141259Q9T7SA.jpg</t>
  </si>
  <si>
    <t>JME1E1149453 / https://fruitbasket.blob.core.windows.net/gk2o5k/avatar/21063208420250927093659ZI4ZGZ.jpg</t>
  </si>
  <si>
    <t>JMD1E1938697 / https://fruitbasket.blob.core.windows.net/gk2o5k/avatar/213942106202509290900094RJI6C.jpg</t>
  </si>
  <si>
    <t>JBP1E2101268 / https://fruitbasket.blob.core.windows.net/gk2o5k/avatar/21063208420250830141530CERRAR.jpg</t>
  </si>
  <si>
    <t>JMF1E1204437 / https://fruitbasket.blob.core.windows.net/gk2o5k/avatar/21301231220250812100222OSMHTG.jpg</t>
  </si>
  <si>
    <t>JMC1E1523952 / https://fruitbasket.blob.core.windows.net/gk2o5k/avatar/21063208420250811131545HZISPI.jpg</t>
  </si>
  <si>
    <t>JMF1E1150327 / https://fruitbasket.blob.core.windows.net/gk2o5k/avatar/21394210620250916154505KBNFDE.jpg</t>
  </si>
  <si>
    <t>JMD1E1935811 / https://fruitbasket.blob.core.windows.net/gk2o5k/avatar/23773820250731082725BANOBI.jpg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</si>
</sst>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D"/>
        <bgColor rgb="FFEBF1DE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6" fillId="2" borderId="5" xfId="0" applyFont="1" applyFill="1" applyBorder="1" applyAlignment="1">
      <alignment horizontal="left"/>
    </xf>
    <xf numFmtId="0" fontId="0" fillId="3" borderId="5" xfId="0" applyFill="1" applyBorder="1"/>
    <xf numFmtId="0" fontId="0" fillId="0" borderId="5" xfId="0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5" xfId="0" applyBorder="1"/>
    <xf numFmtId="0" fontId="3" fillId="0" borderId="9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7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scindy0050\Desktop\KPB%20Done\KPB\10.%20KPB%20OKT%202025\DIGITAL%20INDO%20MOTOR%20(DONE)\WEBC%20INDO%20MOTOR.xlsx" TargetMode="External"/><Relationship Id="rId1" Type="http://schemas.openxmlformats.org/officeDocument/2006/relationships/externalLinkPath" Target="WEBC%20INDO%20MOTO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scindy0050\Desktop\SSU%20DIGITAL%20INDO%20MOTOR.xlsx" TargetMode="External"/><Relationship Id="rId1" Type="http://schemas.openxmlformats.org/officeDocument/2006/relationships/externalLinkPath" Target="/Users/pkscindy0050/Desktop/SSU%20DIGITAL%20INDO%20MO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2">
          <cell r="I2" t="str">
            <v>KFA1E1325252</v>
          </cell>
          <cell r="J2" t="str">
            <v>KB5787BA</v>
          </cell>
          <cell r="K2" t="str">
            <v>KPB1</v>
          </cell>
          <cell r="L2">
            <v>324</v>
          </cell>
          <cell r="M2" t="str">
            <v>2025-08-11</v>
          </cell>
          <cell r="N2" t="str">
            <v>2025-10-08</v>
          </cell>
          <cell r="O2" t="str">
            <v>https://fruitbasket.blob.core.windows.net/gk2o5k/avatar/21063208420251008155138XQDAWE.jpg</v>
          </cell>
        </row>
        <row r="3">
          <cell r="I3" t="str">
            <v>JMG1E1097618</v>
          </cell>
          <cell r="J3" t="str">
            <v>X123YZ</v>
          </cell>
          <cell r="K3" t="str">
            <v>KPB4</v>
          </cell>
          <cell r="L3">
            <v>8457</v>
          </cell>
          <cell r="M3" t="str">
            <v>2024-10-08</v>
          </cell>
          <cell r="N3" t="str">
            <v>2025-10-08</v>
          </cell>
          <cell r="O3" t="str">
            <v>https://fruitbasket.blob.core.windows.net/gk2o5k/avatar/23773820251008153436UUKNL6.jpg</v>
          </cell>
        </row>
        <row r="4">
          <cell r="I4" t="str">
            <v>JBK3E1561346</v>
          </cell>
          <cell r="J4" t="str">
            <v>X123YZ</v>
          </cell>
          <cell r="K4" t="str">
            <v>KPB3</v>
          </cell>
          <cell r="L4">
            <v>4232</v>
          </cell>
          <cell r="M4" t="str">
            <v>2025-02-08</v>
          </cell>
          <cell r="N4" t="str">
            <v>2025-10-08</v>
          </cell>
          <cell r="O4" t="str">
            <v>https://fruitbasket.blob.core.windows.net/gk2o5k/avatar/210632084202510081527347SN2J3.jpg</v>
          </cell>
        </row>
        <row r="5">
          <cell r="I5" t="str">
            <v>JMC1E1561230</v>
          </cell>
          <cell r="J5" t="str">
            <v>X123YZ</v>
          </cell>
          <cell r="K5" t="str">
            <v>KPB3</v>
          </cell>
          <cell r="L5">
            <v>6502</v>
          </cell>
          <cell r="M5" t="str">
            <v>2025-02-09</v>
          </cell>
          <cell r="N5" t="str">
            <v>2025-10-08</v>
          </cell>
          <cell r="O5" t="str">
            <v>https://fruitbasket.blob.core.windows.net/gk2o5k/avatar/210632084202510081523552UBLAD.jpg</v>
          </cell>
        </row>
        <row r="6">
          <cell r="I6" t="str">
            <v>JMD1E1816170</v>
          </cell>
          <cell r="J6" t="str">
            <v>X123YZ</v>
          </cell>
          <cell r="K6" t="str">
            <v>KPB3</v>
          </cell>
          <cell r="L6">
            <v>6112</v>
          </cell>
          <cell r="M6" t="str">
            <v>2025-02-09</v>
          </cell>
          <cell r="N6" t="str">
            <v>2025-10-08</v>
          </cell>
          <cell r="O6" t="str">
            <v>https://fruitbasket.blob.core.windows.net/gk2o5k/avatar/21301231220251008151613T1T6HF.jpg</v>
          </cell>
        </row>
        <row r="7">
          <cell r="I7" t="str">
            <v>JMC1E1630314</v>
          </cell>
          <cell r="J7" t="str">
            <v>KB2242XX</v>
          </cell>
          <cell r="K7" t="str">
            <v>KPB2</v>
          </cell>
          <cell r="L7">
            <v>2383</v>
          </cell>
          <cell r="M7" t="str">
            <v>1970-01-01</v>
          </cell>
          <cell r="N7" t="str">
            <v>2025-10-07</v>
          </cell>
          <cell r="O7" t="str">
            <v>https://fruitbasket.blob.core.windows.net/gk2o5k/avatar/21063208420251007155523XGYYS9.jpg</v>
          </cell>
        </row>
        <row r="8">
          <cell r="I8" t="str">
            <v>JBK1E2102393</v>
          </cell>
          <cell r="J8" t="str">
            <v>X123YZ</v>
          </cell>
          <cell r="K8" t="str">
            <v>KPB2</v>
          </cell>
          <cell r="L8">
            <v>3623</v>
          </cell>
          <cell r="M8" t="str">
            <v>2025-06-08</v>
          </cell>
          <cell r="N8" t="str">
            <v>2025-10-07</v>
          </cell>
          <cell r="O8" t="str">
            <v>https://fruitbasket.blob.core.windows.net/gk2o5k/avatar/21063208420251007154701I6UFRO.jpg</v>
          </cell>
        </row>
        <row r="9">
          <cell r="I9" t="str">
            <v>JMH1E1170461</v>
          </cell>
          <cell r="J9" t="str">
            <v>KB6602LQ</v>
          </cell>
          <cell r="K9" t="str">
            <v>KPB2</v>
          </cell>
          <cell r="L9">
            <v>3375</v>
          </cell>
          <cell r="M9" t="str">
            <v>1970-01-01</v>
          </cell>
          <cell r="N9" t="str">
            <v>2025-10-07</v>
          </cell>
          <cell r="O9" t="str">
            <v>https://fruitbasket.blob.core.windows.net/gk2o5k/avatar/23773820251007154402MX5K2D.jpg</v>
          </cell>
        </row>
        <row r="10">
          <cell r="I10" t="str">
            <v>KFA1E1325429</v>
          </cell>
          <cell r="J10" t="str">
            <v>KB4009L</v>
          </cell>
          <cell r="K10" t="str">
            <v>KPB1</v>
          </cell>
          <cell r="L10">
            <v>712</v>
          </cell>
          <cell r="M10" t="str">
            <v>2025-08-08</v>
          </cell>
          <cell r="N10" t="str">
            <v>2025-10-07</v>
          </cell>
          <cell r="O10" t="str">
            <v>https://fruitbasket.blob.core.windows.net/gk2o5k/avatar/21063208420251007154212YYTXTF.jpg</v>
          </cell>
        </row>
        <row r="11">
          <cell r="I11" t="str">
            <v>JMD1E2014908</v>
          </cell>
          <cell r="J11" t="str">
            <v>KB5901BA</v>
          </cell>
          <cell r="K11" t="str">
            <v>KPB1</v>
          </cell>
          <cell r="L11">
            <v>503</v>
          </cell>
          <cell r="M11" t="str">
            <v>2025-08-11</v>
          </cell>
          <cell r="N11" t="str">
            <v>2025-10-07</v>
          </cell>
          <cell r="O11" t="str">
            <v>https://fruitbasket.blob.core.windows.net/gk2o5k/avatar/23773820251007152154OUSNMY.jpg</v>
          </cell>
        </row>
        <row r="12">
          <cell r="I12" t="str">
            <v>KF01E1945882</v>
          </cell>
          <cell r="J12" t="str">
            <v>KB5771BA</v>
          </cell>
          <cell r="K12" t="str">
            <v>KPB1</v>
          </cell>
          <cell r="L12">
            <v>753</v>
          </cell>
          <cell r="M12" t="str">
            <v>2025-08-08</v>
          </cell>
          <cell r="N12" t="str">
            <v>2025-10-07</v>
          </cell>
          <cell r="O12" t="str">
            <v>https://fruitbasket.blob.core.windows.net/gk2o5k/avatar/210632084202510071510458Q6IDC.jpg</v>
          </cell>
        </row>
        <row r="13">
          <cell r="I13" t="str">
            <v>KC04E1012274</v>
          </cell>
          <cell r="J13" t="str">
            <v>X123YZ</v>
          </cell>
          <cell r="K13" t="str">
            <v>KPB1</v>
          </cell>
          <cell r="L13">
            <v>258</v>
          </cell>
          <cell r="M13" t="str">
            <v>2025-08-08</v>
          </cell>
          <cell r="N13" t="str">
            <v>2025-10-07</v>
          </cell>
          <cell r="O13" t="str">
            <v>https://fruitbasket.blob.core.windows.net/gk2o5k/avatar/237738202510071433348BKNN9.jpg</v>
          </cell>
        </row>
        <row r="14">
          <cell r="I14" t="str">
            <v>JMF2E1262650</v>
          </cell>
          <cell r="J14" t="str">
            <v>KB5634BA</v>
          </cell>
          <cell r="K14" t="str">
            <v>KPB1</v>
          </cell>
          <cell r="L14">
            <v>839</v>
          </cell>
          <cell r="M14" t="str">
            <v>2025-08-08</v>
          </cell>
          <cell r="N14" t="str">
            <v>2025-10-07</v>
          </cell>
          <cell r="O14" t="str">
            <v>https://fruitbasket.blob.core.windows.net/gk2o5k/avatar/210632084202510071429116XMVWO.jpg</v>
          </cell>
        </row>
        <row r="15">
          <cell r="I15" t="str">
            <v>JMH2E1471780</v>
          </cell>
          <cell r="J15" t="str">
            <v>KB5635BA</v>
          </cell>
          <cell r="K15" t="str">
            <v>KPB1</v>
          </cell>
          <cell r="L15">
            <v>271</v>
          </cell>
          <cell r="M15" t="str">
            <v>2025-08-08</v>
          </cell>
          <cell r="N15" t="str">
            <v>2025-10-07</v>
          </cell>
          <cell r="O15" t="str">
            <v>https://fruitbasket.blob.core.windows.net/gk2o5k/avatar/23773820251007134117KI1EHC.jpg</v>
          </cell>
        </row>
        <row r="16">
          <cell r="I16" t="str">
            <v>JMC1E1686061</v>
          </cell>
          <cell r="J16" t="str">
            <v>KB5652BA</v>
          </cell>
          <cell r="K16" t="str">
            <v>KPB1</v>
          </cell>
          <cell r="L16">
            <v>1036</v>
          </cell>
          <cell r="M16" t="str">
            <v>2025-08-08</v>
          </cell>
          <cell r="N16" t="str">
            <v>2025-10-07</v>
          </cell>
          <cell r="O16" t="str">
            <v>https://fruitbasket.blob.core.windows.net/gk2o5k/avatar/23773820251007132314PH8XXX.jpg</v>
          </cell>
        </row>
        <row r="17">
          <cell r="I17" t="str">
            <v>JMD1E2008456</v>
          </cell>
          <cell r="J17" t="str">
            <v>KB3998L</v>
          </cell>
          <cell r="K17" t="str">
            <v>KPB1</v>
          </cell>
          <cell r="L17">
            <v>475</v>
          </cell>
          <cell r="M17" t="str">
            <v>2025-08-08</v>
          </cell>
          <cell r="N17" t="str">
            <v>2025-10-07</v>
          </cell>
          <cell r="O17" t="str">
            <v>https://fruitbasket.blob.core.windows.net/gk2o5k/avatar/2106320842025100713145712S5BK.jpg</v>
          </cell>
        </row>
        <row r="18">
          <cell r="I18" t="str">
            <v>KFD1E1084768</v>
          </cell>
          <cell r="J18" t="str">
            <v>X123YZ</v>
          </cell>
          <cell r="K18" t="str">
            <v>KPB3</v>
          </cell>
          <cell r="L18">
            <v>6297</v>
          </cell>
          <cell r="M18" t="str">
            <v>2025-02-07</v>
          </cell>
          <cell r="N18" t="str">
            <v>2025-10-07</v>
          </cell>
          <cell r="O18" t="str">
            <v>https://fruitbasket.blob.core.windows.net/gk2o5k/avatar/23773820251007131108Z65FDW.jpg</v>
          </cell>
        </row>
        <row r="19">
          <cell r="I19" t="str">
            <v>JMD1E1822731</v>
          </cell>
          <cell r="J19" t="str">
            <v>X123YZ</v>
          </cell>
          <cell r="K19" t="str">
            <v>KPB3</v>
          </cell>
          <cell r="L19">
            <v>6826</v>
          </cell>
          <cell r="M19" t="str">
            <v>1970-01-01</v>
          </cell>
          <cell r="N19" t="str">
            <v>2025-10-07</v>
          </cell>
          <cell r="O19" t="str">
            <v>https://fruitbasket.blob.core.windows.net/gk2o5k/avatar/210632084202510071201592IK7WN.jpg</v>
          </cell>
        </row>
        <row r="20">
          <cell r="I20" t="str">
            <v>KFE2E1058931</v>
          </cell>
          <cell r="J20" t="str">
            <v>KB5641BA</v>
          </cell>
          <cell r="K20" t="str">
            <v>KPB1</v>
          </cell>
          <cell r="L20">
            <v>944</v>
          </cell>
          <cell r="M20" t="str">
            <v>2025-08-08</v>
          </cell>
          <cell r="N20" t="str">
            <v>2025-10-07</v>
          </cell>
          <cell r="O20" t="str">
            <v>https://fruitbasket.blob.core.windows.net/gk2o5k/avatar/21063208420251007115330RMUHXU.jpg</v>
          </cell>
        </row>
        <row r="21">
          <cell r="I21" t="str">
            <v>JBP1E2088469</v>
          </cell>
          <cell r="J21" t="str">
            <v>KB5434BX</v>
          </cell>
          <cell r="K21" t="str">
            <v>KPB3</v>
          </cell>
          <cell r="L21">
            <v>5973</v>
          </cell>
          <cell r="M21" t="str">
            <v>2025-02-07</v>
          </cell>
          <cell r="N21" t="str">
            <v>2025-10-07</v>
          </cell>
          <cell r="O21" t="str">
            <v>https://fruitbasket.blob.core.windows.net/gk2o5k/avatar/23773820251007114351AYMGZY.jpg</v>
          </cell>
        </row>
        <row r="22">
          <cell r="I22" t="str">
            <v>JMC1E1559771</v>
          </cell>
          <cell r="J22" t="str">
            <v>KB2240XX</v>
          </cell>
          <cell r="K22" t="str">
            <v>KPB3</v>
          </cell>
          <cell r="L22">
            <v>5797</v>
          </cell>
          <cell r="M22" t="str">
            <v>1970-01-01</v>
          </cell>
          <cell r="N22" t="str">
            <v>2025-10-07</v>
          </cell>
          <cell r="O22" t="str">
            <v>https://fruitbasket.blob.core.windows.net/gk2o5k/avatar/21063208420251007114342IFLC1T.jpg</v>
          </cell>
        </row>
        <row r="23">
          <cell r="I23" t="str">
            <v>JBK1E2081858</v>
          </cell>
          <cell r="J23" t="str">
            <v>X123YZ</v>
          </cell>
          <cell r="K23" t="str">
            <v>KPB3</v>
          </cell>
          <cell r="L23">
            <v>4957</v>
          </cell>
          <cell r="M23" t="str">
            <v>2025-02-08</v>
          </cell>
          <cell r="N23" t="str">
            <v>2025-10-07</v>
          </cell>
          <cell r="O23" t="str">
            <v>https://fruitbasket.blob.core.windows.net/gk2o5k/avatar/210632084202510071138165G03VW.jpg</v>
          </cell>
        </row>
        <row r="24">
          <cell r="I24" t="str">
            <v>JMC1E1639731</v>
          </cell>
          <cell r="J24" t="str">
            <v>KB2248XX</v>
          </cell>
          <cell r="K24" t="str">
            <v>KPB2</v>
          </cell>
          <cell r="L24">
            <v>3039</v>
          </cell>
          <cell r="M24" t="str">
            <v>1970-01-01</v>
          </cell>
          <cell r="N24" t="str">
            <v>2025-10-07</v>
          </cell>
          <cell r="O24" t="str">
            <v>https://fruitbasket.blob.core.windows.net/gk2o5k/avatar/23773820251007112928ZGCJWH.jpg</v>
          </cell>
        </row>
        <row r="25">
          <cell r="I25" t="str">
            <v>JMD1E1823091</v>
          </cell>
          <cell r="J25" t="str">
            <v>X123YZ</v>
          </cell>
          <cell r="K25" t="str">
            <v>KPB3</v>
          </cell>
          <cell r="L25">
            <v>5250</v>
          </cell>
          <cell r="M25" t="str">
            <v>2025-02-08</v>
          </cell>
          <cell r="N25" t="str">
            <v>2025-10-07</v>
          </cell>
          <cell r="O25" t="str">
            <v>https://fruitbasket.blob.core.windows.net/gk2o5k/avatar/21063208420251007112906ZW1MDM.jpg</v>
          </cell>
        </row>
        <row r="26">
          <cell r="I26" t="str">
            <v>JMF2E1384912</v>
          </cell>
          <cell r="J26" t="str">
            <v>X123YZ</v>
          </cell>
          <cell r="K26" t="str">
            <v>KPB2</v>
          </cell>
          <cell r="L26">
            <v>2661</v>
          </cell>
          <cell r="M26" t="str">
            <v>1970-01-01</v>
          </cell>
          <cell r="N26" t="str">
            <v>2025-10-07</v>
          </cell>
          <cell r="O26" t="str">
            <v>https://fruitbasket.blob.core.windows.net/gk2o5k/avatar/237738202510071119498HUSZX.jpg</v>
          </cell>
        </row>
        <row r="27">
          <cell r="I27" t="str">
            <v>JMC1E1684847</v>
          </cell>
          <cell r="J27" t="str">
            <v>KB5640BA</v>
          </cell>
          <cell r="K27" t="str">
            <v>KPB1</v>
          </cell>
          <cell r="L27">
            <v>262</v>
          </cell>
          <cell r="M27" t="str">
            <v>2025-08-08</v>
          </cell>
          <cell r="N27" t="str">
            <v>2025-10-07</v>
          </cell>
          <cell r="O27" t="str">
            <v>https://fruitbasket.blob.core.windows.net/gk2o5k/avatar/23773820251007111040CUXODG.jpg</v>
          </cell>
        </row>
        <row r="28">
          <cell r="I28" t="str">
            <v>KFE1E1226915</v>
          </cell>
          <cell r="J28" t="str">
            <v>X123YZ</v>
          </cell>
          <cell r="K28" t="str">
            <v>KPB1</v>
          </cell>
          <cell r="L28">
            <v>397</v>
          </cell>
          <cell r="M28" t="str">
            <v>2025-08-08</v>
          </cell>
          <cell r="N28" t="str">
            <v>2025-10-07</v>
          </cell>
          <cell r="O28" t="str">
            <v>https://fruitbasket.blob.core.windows.net/gk2o5k/avatar/21063208420251007110800MKRBLT.jpg</v>
          </cell>
        </row>
        <row r="29">
          <cell r="I29" t="str">
            <v>KFE1E1219621</v>
          </cell>
          <cell r="J29" t="str">
            <v>X123YZ</v>
          </cell>
          <cell r="K29" t="str">
            <v>KPB1</v>
          </cell>
          <cell r="L29">
            <v>566</v>
          </cell>
          <cell r="M29" t="str">
            <v>2025-08-08</v>
          </cell>
          <cell r="N29" t="str">
            <v>2025-10-07</v>
          </cell>
          <cell r="O29" t="str">
            <v>https://fruitbasket.blob.core.windows.net/gk2o5k/avatar/21063208420251007110205YHNBVT.jpg</v>
          </cell>
        </row>
        <row r="30">
          <cell r="I30" t="str">
            <v>JMC1E1557632</v>
          </cell>
          <cell r="J30" t="str">
            <v>X123YZ</v>
          </cell>
          <cell r="K30" t="str">
            <v>KPB3</v>
          </cell>
          <cell r="L30">
            <v>7943</v>
          </cell>
          <cell r="M30" t="str">
            <v>2025-02-06</v>
          </cell>
          <cell r="N30" t="str">
            <v>2025-10-07</v>
          </cell>
          <cell r="O30" t="str">
            <v>https://fruitbasket.blob.core.windows.net/gk2o5k/avatar/23773820251007105109MKKRY0.jpg</v>
          </cell>
        </row>
        <row r="31">
          <cell r="I31" t="str">
            <v>JMG1E1415948</v>
          </cell>
          <cell r="J31" t="str">
            <v>KB6595LQ</v>
          </cell>
          <cell r="K31" t="str">
            <v>KPB2</v>
          </cell>
          <cell r="L31">
            <v>4028</v>
          </cell>
          <cell r="M31" t="str">
            <v>1970-01-01</v>
          </cell>
          <cell r="N31" t="str">
            <v>2025-10-07</v>
          </cell>
          <cell r="O31" t="str">
            <v>https://fruitbasket.blob.core.windows.net/gk2o5k/avatar/21063208420251007100341UIBWU1.jpg</v>
          </cell>
        </row>
        <row r="32">
          <cell r="I32" t="str">
            <v>JMD1E1943571</v>
          </cell>
          <cell r="J32" t="str">
            <v>KB6591LQ</v>
          </cell>
          <cell r="K32" t="str">
            <v>KPB2</v>
          </cell>
          <cell r="L32">
            <v>3736</v>
          </cell>
          <cell r="M32" t="str">
            <v>1970-01-01</v>
          </cell>
          <cell r="N32" t="str">
            <v>2025-10-07</v>
          </cell>
          <cell r="O32" t="str">
            <v>https://fruitbasket.blob.core.windows.net/gk2o5k/avatar/21301231220251007100008CJ2UAF.jpg</v>
          </cell>
        </row>
        <row r="33">
          <cell r="I33" t="str">
            <v>JMC1E1639703</v>
          </cell>
          <cell r="J33" t="str">
            <v>KB6592LQ</v>
          </cell>
          <cell r="K33" t="str">
            <v>KPB2</v>
          </cell>
          <cell r="L33">
            <v>1938</v>
          </cell>
          <cell r="M33" t="str">
            <v>2025-06-06</v>
          </cell>
          <cell r="N33" t="str">
            <v>2025-10-07</v>
          </cell>
          <cell r="O33" t="str">
            <v>https://fruitbasket.blob.core.windows.net/gk2o5k/avatar/21063208420251007095500LNWM3U.jpg</v>
          </cell>
        </row>
        <row r="34">
          <cell r="I34" t="str">
            <v>JMC1E1558213</v>
          </cell>
          <cell r="J34" t="str">
            <v>X123YZ</v>
          </cell>
          <cell r="K34" t="str">
            <v>KPB3</v>
          </cell>
          <cell r="L34">
            <v>7788</v>
          </cell>
          <cell r="M34" t="str">
            <v>2025-02-05</v>
          </cell>
          <cell r="N34" t="str">
            <v>2025-10-07</v>
          </cell>
          <cell r="O34" t="str">
            <v>https://fruitbasket.blob.core.windows.net/gk2o5k/avatar/23773820251007094610Q0XXWG.jpg</v>
          </cell>
        </row>
        <row r="35">
          <cell r="I35" t="str">
            <v>JMH2E1216012</v>
          </cell>
          <cell r="J35" t="str">
            <v>KB5632BA</v>
          </cell>
          <cell r="K35" t="str">
            <v>KPB1</v>
          </cell>
          <cell r="L35">
            <v>296</v>
          </cell>
          <cell r="M35" t="str">
            <v>2025-08-07</v>
          </cell>
          <cell r="N35" t="str">
            <v>2025-10-07</v>
          </cell>
          <cell r="O35" t="str">
            <v>https://fruitbasket.blob.core.windows.net/gk2o5k/avatar/21063208420251007094541GBCKDB.jpg</v>
          </cell>
        </row>
        <row r="36">
          <cell r="I36" t="str">
            <v>JMH2E1114180</v>
          </cell>
          <cell r="J36" t="str">
            <v>KB2243XX</v>
          </cell>
          <cell r="K36" t="str">
            <v>KPB3</v>
          </cell>
          <cell r="L36">
            <v>5592</v>
          </cell>
          <cell r="M36" t="str">
            <v>1970-01-01</v>
          </cell>
          <cell r="N36" t="str">
            <v>2025-10-07</v>
          </cell>
          <cell r="O36" t="str">
            <v>https://fruitbasket.blob.core.windows.net/gk2o5k/avatar/23773820251007093627OW5ZSR.jpg</v>
          </cell>
        </row>
        <row r="37">
          <cell r="I37" t="str">
            <v>JMD1E1816584</v>
          </cell>
          <cell r="J37" t="str">
            <v>KB2243XX</v>
          </cell>
          <cell r="K37" t="str">
            <v>KPB3</v>
          </cell>
          <cell r="L37">
            <v>7450</v>
          </cell>
          <cell r="M37" t="str">
            <v>1970-01-01</v>
          </cell>
          <cell r="N37" t="str">
            <v>2025-10-07</v>
          </cell>
          <cell r="O37" t="str">
            <v>https://fruitbasket.blob.core.windows.net/gk2o5k/avatar/21063208420251007093514NKYWPC.jpg</v>
          </cell>
        </row>
        <row r="38">
          <cell r="I38" t="str">
            <v>KFD1E1120967</v>
          </cell>
          <cell r="J38" t="str">
            <v>X123YZ</v>
          </cell>
          <cell r="K38" t="str">
            <v>KPB2</v>
          </cell>
          <cell r="L38">
            <v>1500</v>
          </cell>
          <cell r="M38" t="str">
            <v>2025-06-05</v>
          </cell>
          <cell r="N38" t="str">
            <v>2025-10-07</v>
          </cell>
          <cell r="O38" t="str">
            <v>https://fruitbasket.blob.core.windows.net/gk2o5k/avatar/23773820251007093032ZE46VK.jpg</v>
          </cell>
        </row>
        <row r="39">
          <cell r="I39" t="str">
            <v>KF01E1897577</v>
          </cell>
          <cell r="J39" t="str">
            <v>KB6588LQ</v>
          </cell>
          <cell r="K39" t="str">
            <v>KPB2</v>
          </cell>
          <cell r="L39">
            <v>3249</v>
          </cell>
          <cell r="M39" t="str">
            <v>1970-01-01</v>
          </cell>
          <cell r="N39" t="str">
            <v>2025-10-07</v>
          </cell>
          <cell r="O39" t="str">
            <v>https://fruitbasket.blob.core.windows.net/gk2o5k/avatar/23773820251007091319Y4IF98.jpg</v>
          </cell>
        </row>
        <row r="40">
          <cell r="I40" t="str">
            <v>KFC1E1100332</v>
          </cell>
          <cell r="J40" t="str">
            <v>KB2243XX</v>
          </cell>
          <cell r="K40" t="str">
            <v>KPB3</v>
          </cell>
          <cell r="L40">
            <v>8321</v>
          </cell>
          <cell r="M40" t="str">
            <v>2025-01-31</v>
          </cell>
          <cell r="N40" t="str">
            <v>2025-10-07</v>
          </cell>
          <cell r="O40" t="str">
            <v>https://fruitbasket.blob.core.windows.net/gk2o5k/avatar/21063208420251007091052VTWCPD.jpg</v>
          </cell>
        </row>
        <row r="41">
          <cell r="I41" t="str">
            <v>KC04E1006380</v>
          </cell>
          <cell r="J41" t="str">
            <v>KB6589LQ</v>
          </cell>
          <cell r="K41" t="str">
            <v>KPB2</v>
          </cell>
          <cell r="L41">
            <v>2964</v>
          </cell>
          <cell r="M41" t="str">
            <v>1970-01-01</v>
          </cell>
          <cell r="N41" t="str">
            <v>2025-10-07</v>
          </cell>
          <cell r="O41" t="str">
            <v>https://fruitbasket.blob.core.windows.net/gk2o5k/avatar/23773820251007090500OGLDNE.jpg</v>
          </cell>
        </row>
        <row r="42">
          <cell r="I42" t="str">
            <v>JMC1E1682934</v>
          </cell>
          <cell r="J42" t="str">
            <v>KB5639BA</v>
          </cell>
          <cell r="K42" t="str">
            <v>KPB1</v>
          </cell>
          <cell r="L42">
            <v>713</v>
          </cell>
          <cell r="M42" t="str">
            <v>2025-08-08</v>
          </cell>
          <cell r="N42" t="str">
            <v>2025-10-07</v>
          </cell>
          <cell r="O42" t="str">
            <v>https://fruitbasket.blob.core.windows.net/gk2o5k/avatar/23773820251007090015XW0YK2.jpg</v>
          </cell>
        </row>
        <row r="43">
          <cell r="I43" t="str">
            <v>JMC1E1686059</v>
          </cell>
          <cell r="J43" t="str">
            <v>X123YZ</v>
          </cell>
          <cell r="K43" t="str">
            <v>KPB1</v>
          </cell>
          <cell r="L43">
            <v>1020</v>
          </cell>
          <cell r="M43" t="str">
            <v>2025-08-07</v>
          </cell>
          <cell r="N43" t="str">
            <v>2025-10-07</v>
          </cell>
          <cell r="O43" t="str">
            <v>https://fruitbasket.blob.core.windows.net/gk2o5k/avatar/23773820251007085245Z2P2RV.jpg</v>
          </cell>
        </row>
        <row r="44">
          <cell r="I44" t="str">
            <v>JMA1E1190887</v>
          </cell>
          <cell r="J44" t="str">
            <v>KB5617BA</v>
          </cell>
          <cell r="K44" t="str">
            <v>KPB1</v>
          </cell>
          <cell r="L44">
            <v>521</v>
          </cell>
          <cell r="M44" t="str">
            <v>2025-08-06</v>
          </cell>
          <cell r="N44" t="str">
            <v>2025-10-06</v>
          </cell>
          <cell r="O44" t="str">
            <v>https://fruitbasket.blob.core.windows.net/gk2o5k/avatar/21301231220251006163809ZYE96C.jpg</v>
          </cell>
        </row>
        <row r="45">
          <cell r="I45" t="str">
            <v>JMH1E1202916</v>
          </cell>
          <cell r="J45" t="str">
            <v>KB4001L</v>
          </cell>
          <cell r="K45" t="str">
            <v>KPB1</v>
          </cell>
          <cell r="L45">
            <v>153</v>
          </cell>
          <cell r="M45" t="str">
            <v>2025-08-08</v>
          </cell>
          <cell r="N45" t="str">
            <v>2025-10-06</v>
          </cell>
          <cell r="O45" t="str">
            <v>https://fruitbasket.blob.core.windows.net/gk2o5k/avatar/21063208420251006155925GIIAHU.jpg</v>
          </cell>
        </row>
        <row r="46">
          <cell r="I46" t="str">
            <v>JMG1E1487907</v>
          </cell>
          <cell r="J46" t="str">
            <v>KB4005L</v>
          </cell>
          <cell r="K46" t="str">
            <v>KPB1</v>
          </cell>
          <cell r="L46">
            <v>581</v>
          </cell>
          <cell r="M46" t="str">
            <v>2025-08-08</v>
          </cell>
          <cell r="N46" t="str">
            <v>2025-10-06</v>
          </cell>
          <cell r="O46" t="str">
            <v>https://fruitbasket.blob.core.windows.net/gk2o5k/avatar/23773820251006120711HYIRTC.jpg</v>
          </cell>
        </row>
        <row r="47">
          <cell r="I47" t="str">
            <v>JMG1E1479348</v>
          </cell>
          <cell r="J47" t="str">
            <v>X123YZ</v>
          </cell>
          <cell r="K47" t="str">
            <v>KPB1</v>
          </cell>
          <cell r="L47">
            <v>1017</v>
          </cell>
          <cell r="M47" t="str">
            <v>2025-08-06</v>
          </cell>
          <cell r="N47" t="str">
            <v>2025-10-06</v>
          </cell>
          <cell r="O47" t="str">
            <v>https://fruitbasket.blob.core.windows.net/gk2o5k/avatar/21063208420251006115116BYOVXX.jpg</v>
          </cell>
        </row>
        <row r="48">
          <cell r="I48" t="str">
            <v>JMH1E1200211</v>
          </cell>
          <cell r="J48" t="str">
            <v>KB3995L</v>
          </cell>
          <cell r="K48" t="str">
            <v>KPB1</v>
          </cell>
          <cell r="L48">
            <v>669</v>
          </cell>
          <cell r="M48" t="str">
            <v>2025-08-08</v>
          </cell>
          <cell r="N48" t="str">
            <v>2025-10-06</v>
          </cell>
          <cell r="O48" t="str">
            <v>https://fruitbasket.blob.core.windows.net/gk2o5k/avatar/23773820251006114624MBI8TD.jpg</v>
          </cell>
        </row>
        <row r="49">
          <cell r="I49" t="str">
            <v>JMH1E1210269</v>
          </cell>
          <cell r="J49" t="str">
            <v>KB5613BA</v>
          </cell>
          <cell r="K49" t="str">
            <v>KPB1</v>
          </cell>
          <cell r="L49">
            <v>575</v>
          </cell>
          <cell r="M49" t="str">
            <v>2025-08-06</v>
          </cell>
          <cell r="N49" t="str">
            <v>2025-10-06</v>
          </cell>
          <cell r="O49" t="str">
            <v>https://fruitbasket.blob.core.windows.net/gk2o5k/avatar/21063208420251006105740PXB0WP.jpg</v>
          </cell>
        </row>
        <row r="50">
          <cell r="I50" t="str">
            <v>JMH1E1229144</v>
          </cell>
          <cell r="J50" t="str">
            <v>X123YZ</v>
          </cell>
          <cell r="K50" t="str">
            <v>KPB1</v>
          </cell>
          <cell r="L50">
            <v>999</v>
          </cell>
          <cell r="M50" t="str">
            <v>2025-08-08</v>
          </cell>
          <cell r="N50" t="str">
            <v>2025-10-06</v>
          </cell>
          <cell r="O50" t="str">
            <v>https://fruitbasket.blob.core.windows.net/gk2o5k/avatar/21063208420251006103935BJYVNZ.jpg</v>
          </cell>
        </row>
        <row r="51">
          <cell r="I51" t="str">
            <v>JMH1E1197599</v>
          </cell>
          <cell r="J51" t="str">
            <v>KB3988L</v>
          </cell>
          <cell r="K51" t="str">
            <v>KPB1</v>
          </cell>
          <cell r="L51">
            <v>618</v>
          </cell>
          <cell r="M51" t="str">
            <v>2025-08-07</v>
          </cell>
          <cell r="N51" t="str">
            <v>2025-10-06</v>
          </cell>
          <cell r="O51" t="str">
            <v>https://fruitbasket.blob.core.windows.net/gk2o5k/avatar/21301231220251006103259LT7HEC.jpg</v>
          </cell>
        </row>
        <row r="52">
          <cell r="I52" t="str">
            <v>JMC1E1558331</v>
          </cell>
          <cell r="J52" t="str">
            <v>KB3826YX</v>
          </cell>
          <cell r="K52" t="str">
            <v>KPB3</v>
          </cell>
          <cell r="L52">
            <v>5270</v>
          </cell>
          <cell r="M52" t="str">
            <v>2025-02-04</v>
          </cell>
          <cell r="N52" t="str">
            <v>2025-10-06</v>
          </cell>
          <cell r="O52" t="str">
            <v>https://fruitbasket.blob.core.windows.net/gk2o5k/avatar/23773820251006102019T19V37.jpg</v>
          </cell>
        </row>
        <row r="53">
          <cell r="I53" t="str">
            <v>JMF1E1271941</v>
          </cell>
          <cell r="J53" t="str">
            <v>KB5631BA</v>
          </cell>
          <cell r="K53" t="str">
            <v>KPB1</v>
          </cell>
          <cell r="L53">
            <v>135</v>
          </cell>
          <cell r="M53" t="str">
            <v>2025-08-07</v>
          </cell>
          <cell r="N53" t="str">
            <v>2025-10-06</v>
          </cell>
          <cell r="O53" t="str">
            <v>https://fruitbasket.blob.core.windows.net/gk2o5k/avatar/21063208420251006101622MZBVUM.jpg</v>
          </cell>
        </row>
        <row r="54">
          <cell r="I54" t="str">
            <v>JMH1E1201350</v>
          </cell>
          <cell r="J54" t="str">
            <v>KB4002L</v>
          </cell>
          <cell r="K54" t="str">
            <v>KPB1</v>
          </cell>
          <cell r="L54">
            <v>411</v>
          </cell>
          <cell r="M54" t="str">
            <v>2025-08-08</v>
          </cell>
          <cell r="N54" t="str">
            <v>2025-10-06</v>
          </cell>
          <cell r="O54" t="str">
            <v>https://fruitbasket.blob.core.windows.net/gk2o5k/avatar/23773820251006101254IHDE4Z.jpg</v>
          </cell>
        </row>
        <row r="55">
          <cell r="I55" t="str">
            <v>KC04E1005367</v>
          </cell>
          <cell r="J55" t="str">
            <v>KB6410LQ</v>
          </cell>
          <cell r="K55" t="str">
            <v>KPB2</v>
          </cell>
          <cell r="L55">
            <v>1557</v>
          </cell>
          <cell r="M55" t="str">
            <v>1970-01-01</v>
          </cell>
          <cell r="N55" t="str">
            <v>2025-10-06</v>
          </cell>
          <cell r="O55" t="str">
            <v>https://fruitbasket.blob.core.windows.net/gk2o5k/avatar/210632084202510061006538WXE9M.jpg</v>
          </cell>
        </row>
        <row r="56">
          <cell r="I56" t="str">
            <v>KC04E1003811</v>
          </cell>
          <cell r="J56" t="str">
            <v>X123YZ</v>
          </cell>
          <cell r="K56" t="str">
            <v>KPB2</v>
          </cell>
          <cell r="L56">
            <v>2129</v>
          </cell>
          <cell r="M56" t="str">
            <v>2025-06-05</v>
          </cell>
          <cell r="N56" t="str">
            <v>2025-10-06</v>
          </cell>
          <cell r="O56" t="str">
            <v>https://fruitbasket.blob.core.windows.net/gk2o5k/avatar/21063208420251006095655QCJD9E.jpg</v>
          </cell>
        </row>
        <row r="57">
          <cell r="I57" t="str">
            <v>JMH2E1287273</v>
          </cell>
          <cell r="J57" t="str">
            <v>X123YZ</v>
          </cell>
          <cell r="K57" t="str">
            <v>KPB2</v>
          </cell>
          <cell r="L57">
            <v>3604</v>
          </cell>
          <cell r="M57" t="str">
            <v>2025-06-05</v>
          </cell>
          <cell r="N57" t="str">
            <v>2025-10-06</v>
          </cell>
          <cell r="O57" t="str">
            <v>https://fruitbasket.blob.core.windows.net/gk2o5k/avatar/2377382025100609533411IDXQ.jpg</v>
          </cell>
        </row>
        <row r="58">
          <cell r="I58" t="str">
            <v>JME1E1154710</v>
          </cell>
          <cell r="K58" t="str">
            <v>KPB4</v>
          </cell>
          <cell r="L58">
            <v>9149</v>
          </cell>
          <cell r="M58" t="str">
            <v>1970-01-01</v>
          </cell>
          <cell r="N58" t="str">
            <v>2025-10-06</v>
          </cell>
          <cell r="O58" t="str">
            <v>https://fruitbasket.blob.core.windows.net/gk2o5k/avatar/210632084202510060950483NDQLC.jpg</v>
          </cell>
        </row>
        <row r="59">
          <cell r="I59" t="str">
            <v>JMC1E1685719</v>
          </cell>
          <cell r="J59" t="str">
            <v>KB3997L</v>
          </cell>
          <cell r="K59" t="str">
            <v>KPB1</v>
          </cell>
          <cell r="L59">
            <v>1054</v>
          </cell>
          <cell r="M59" t="str">
            <v>2025-08-08</v>
          </cell>
          <cell r="N59" t="str">
            <v>2025-10-06</v>
          </cell>
          <cell r="O59" t="str">
            <v>https://fruitbasket.blob.core.windows.net/gk2o5k/avatar/21063208420251006094329X2WLTG.jpg</v>
          </cell>
        </row>
        <row r="60">
          <cell r="I60" t="str">
            <v>JMC1E1637038</v>
          </cell>
          <cell r="J60" t="str">
            <v>KB6593LQ</v>
          </cell>
          <cell r="K60" t="str">
            <v>KPB2</v>
          </cell>
          <cell r="L60">
            <v>3117</v>
          </cell>
          <cell r="M60" t="str">
            <v>1970-01-01</v>
          </cell>
          <cell r="N60" t="str">
            <v>2025-10-06</v>
          </cell>
          <cell r="O60" t="str">
            <v>https://fruitbasket.blob.core.windows.net/gk2o5k/avatar/21063208420251006093204FP3WXZ.jpg</v>
          </cell>
        </row>
        <row r="61">
          <cell r="I61" t="str">
            <v>JBP1E2106961</v>
          </cell>
          <cell r="J61" t="str">
            <v>KB6409LQ</v>
          </cell>
          <cell r="K61" t="str">
            <v>KPB2</v>
          </cell>
          <cell r="L61">
            <v>2048</v>
          </cell>
          <cell r="M61" t="str">
            <v>1970-01-01</v>
          </cell>
          <cell r="N61" t="str">
            <v>2025-10-06</v>
          </cell>
          <cell r="O61" t="str">
            <v>https://fruitbasket.blob.core.windows.net/gk2o5k/avatar/23773820251006093032ENRQU0.jpg</v>
          </cell>
        </row>
        <row r="62">
          <cell r="I62" t="str">
            <v>JMC1E1637047</v>
          </cell>
          <cell r="J62" t="str">
            <v>KB4332BA</v>
          </cell>
          <cell r="K62" t="str">
            <v>KPB2</v>
          </cell>
          <cell r="L62">
            <v>1941</v>
          </cell>
          <cell r="M62" t="str">
            <v>2025-06-04</v>
          </cell>
          <cell r="N62" t="str">
            <v>2025-10-06</v>
          </cell>
          <cell r="O62" t="str">
            <v>https://fruitbasket.blob.core.windows.net/gk2o5k/avatar/21063208420251006091940JXL4F3.jpg</v>
          </cell>
        </row>
        <row r="63">
          <cell r="I63" t="str">
            <v>JMD1E1942875</v>
          </cell>
          <cell r="J63" t="str">
            <v>X123YZ</v>
          </cell>
          <cell r="K63" t="str">
            <v>KPB2</v>
          </cell>
          <cell r="L63">
            <v>2397</v>
          </cell>
          <cell r="M63" t="str">
            <v>1970-01-01</v>
          </cell>
          <cell r="N63" t="str">
            <v>2025-10-06</v>
          </cell>
          <cell r="O63" t="str">
            <v>https://fruitbasket.blob.core.windows.net/gk2o5k/avatar/237738202510060908116XP6CE.jpg</v>
          </cell>
        </row>
        <row r="64">
          <cell r="I64" t="str">
            <v>JBP1E2115150</v>
          </cell>
          <cell r="J64" t="str">
            <v>KB5502BA</v>
          </cell>
          <cell r="K64" t="str">
            <v>KPB1</v>
          </cell>
          <cell r="L64">
            <v>1017</v>
          </cell>
          <cell r="M64" t="str">
            <v>2025-08-03</v>
          </cell>
          <cell r="N64" t="str">
            <v>2025-10-06</v>
          </cell>
          <cell r="O64" t="str">
            <v>https://fruitbasket.blob.core.windows.net/gk2o5k/avatar/237738202510060902271RAUVR.jpg</v>
          </cell>
        </row>
        <row r="65">
          <cell r="I65" t="str">
            <v>JBP1E2116288</v>
          </cell>
          <cell r="J65" t="str">
            <v>KB5618BA</v>
          </cell>
          <cell r="K65" t="str">
            <v>KPB1</v>
          </cell>
          <cell r="L65">
            <v>882</v>
          </cell>
          <cell r="M65" t="str">
            <v>2025-08-07</v>
          </cell>
          <cell r="N65" t="str">
            <v>2025-10-06</v>
          </cell>
          <cell r="O65" t="str">
            <v>https://fruitbasket.blob.core.windows.net/gk2o5k/avatar/21301231220251006090127HUOUGZ.jpg</v>
          </cell>
        </row>
        <row r="66">
          <cell r="I66" t="str">
            <v>JMC1E1684043</v>
          </cell>
          <cell r="J66" t="str">
            <v>X123YZ</v>
          </cell>
          <cell r="K66" t="str">
            <v>KPB1</v>
          </cell>
          <cell r="L66">
            <v>1022</v>
          </cell>
          <cell r="M66" t="str">
            <v>2025-08-03</v>
          </cell>
          <cell r="N66" t="str">
            <v>2025-10-04</v>
          </cell>
          <cell r="O66" t="str">
            <v>https://fruitbasket.blob.core.windows.net/gk2o5k/avatar/23773820251004153224RJXHPZ.jpg</v>
          </cell>
        </row>
        <row r="67">
          <cell r="I67" t="str">
            <v>JBP1E2115147</v>
          </cell>
          <cell r="J67" t="str">
            <v>X123YZ</v>
          </cell>
          <cell r="K67" t="str">
            <v>KPB1</v>
          </cell>
          <cell r="L67">
            <v>1017</v>
          </cell>
          <cell r="M67" t="str">
            <v>2025-08-01</v>
          </cell>
          <cell r="N67" t="str">
            <v>2025-10-04</v>
          </cell>
          <cell r="O67" t="str">
            <v>https://fruitbasket.blob.core.windows.net/gk2o5k/avatar/21063208420251004152645PB5LWQ.jpg</v>
          </cell>
        </row>
        <row r="68">
          <cell r="I68" t="str">
            <v>JME1E1331835</v>
          </cell>
          <cell r="J68" t="str">
            <v>X123YZ</v>
          </cell>
          <cell r="K68" t="str">
            <v>KPB3</v>
          </cell>
          <cell r="L68">
            <v>7362</v>
          </cell>
          <cell r="M68" t="str">
            <v>2025-02-03</v>
          </cell>
          <cell r="N68" t="str">
            <v>2025-10-04</v>
          </cell>
          <cell r="O68" t="str">
            <v>https://fruitbasket.blob.core.windows.net/gk2o5k/avatar/23773820251004113945WHWF3B.jpg</v>
          </cell>
        </row>
        <row r="69">
          <cell r="I69" t="str">
            <v>JMD1E1976881</v>
          </cell>
          <cell r="J69" t="str">
            <v>KB2909L</v>
          </cell>
          <cell r="K69" t="str">
            <v>KPB1</v>
          </cell>
          <cell r="L69">
            <v>1060</v>
          </cell>
          <cell r="M69" t="str">
            <v>2025-08-03</v>
          </cell>
          <cell r="N69" t="str">
            <v>2025-10-04</v>
          </cell>
          <cell r="O69" t="str">
            <v>https://fruitbasket.blob.core.windows.net/gk2o5k/avatar/21063208420251004113432IKFKUU.jpg</v>
          </cell>
        </row>
        <row r="70">
          <cell r="I70" t="str">
            <v>KFE1E1221810</v>
          </cell>
          <cell r="J70" t="str">
            <v>X123YZ</v>
          </cell>
          <cell r="K70" t="str">
            <v>KPB1</v>
          </cell>
          <cell r="L70">
            <v>511</v>
          </cell>
          <cell r="M70" t="str">
            <v>2025-08-08</v>
          </cell>
          <cell r="N70" t="str">
            <v>2025-10-04</v>
          </cell>
          <cell r="O70" t="str">
            <v>https://fruitbasket.blob.core.windows.net/gk2o5k/avatar/23773820251004113012TPILXW.jpg</v>
          </cell>
        </row>
        <row r="71">
          <cell r="I71" t="str">
            <v>JM03E1781989</v>
          </cell>
          <cell r="K71" t="str">
            <v>KPB4</v>
          </cell>
          <cell r="L71">
            <v>9602</v>
          </cell>
          <cell r="M71" t="str">
            <v>2024-10-03</v>
          </cell>
          <cell r="N71" t="str">
            <v>2025-10-04</v>
          </cell>
          <cell r="O71" t="str">
            <v>https://fruitbasket.blob.core.windows.net/gk2o5k/avatar/21063208420251004112513BRJTMU.jpg</v>
          </cell>
        </row>
        <row r="72">
          <cell r="I72" t="str">
            <v>KFE1E1225071</v>
          </cell>
          <cell r="J72" t="str">
            <v>KB6089MAG</v>
          </cell>
          <cell r="K72" t="str">
            <v>KPB1</v>
          </cell>
          <cell r="L72">
            <v>1072</v>
          </cell>
          <cell r="M72" t="str">
            <v>2025-08-06</v>
          </cell>
          <cell r="N72" t="str">
            <v>2025-10-04</v>
          </cell>
          <cell r="O72" t="str">
            <v>https://fruitbasket.blob.core.windows.net/gk2o5k/avatar/21063208420251004102849SZVVVK.jpg</v>
          </cell>
        </row>
        <row r="73">
          <cell r="I73" t="str">
            <v>JME1E1528106</v>
          </cell>
          <cell r="J73" t="str">
            <v>KB6408LQ</v>
          </cell>
          <cell r="K73" t="str">
            <v>KPB2</v>
          </cell>
          <cell r="L73">
            <v>2265</v>
          </cell>
          <cell r="M73" t="str">
            <v>1970-01-01</v>
          </cell>
          <cell r="N73" t="str">
            <v>2025-10-04</v>
          </cell>
          <cell r="O73" t="str">
            <v>https://fruitbasket.blob.core.windows.net/gk2o5k/avatar/23773820251004102709AQDRE0.jpg</v>
          </cell>
        </row>
        <row r="74">
          <cell r="I74" t="str">
            <v>KFA1E1312197</v>
          </cell>
          <cell r="J74" t="str">
            <v>KB6876MAJ</v>
          </cell>
          <cell r="K74" t="str">
            <v>KPB1</v>
          </cell>
          <cell r="L74">
            <v>529</v>
          </cell>
          <cell r="M74" t="str">
            <v>2025-08-07</v>
          </cell>
          <cell r="N74" t="str">
            <v>2025-10-04</v>
          </cell>
          <cell r="O74" t="str">
            <v>https://fruitbasket.blob.core.windows.net/gk2o5k/avatar/213942106202510041017456VRSIL.jpg</v>
          </cell>
        </row>
        <row r="75">
          <cell r="I75" t="str">
            <v>JMD1E1709213</v>
          </cell>
          <cell r="J75" t="str">
            <v>X123YZ</v>
          </cell>
          <cell r="K75" t="str">
            <v>KPB4</v>
          </cell>
          <cell r="L75">
            <v>9027</v>
          </cell>
          <cell r="M75" t="str">
            <v>2024-10-12</v>
          </cell>
          <cell r="N75" t="str">
            <v>2025-10-04</v>
          </cell>
          <cell r="O75" t="str">
            <v>https://fruitbasket.blob.core.windows.net/gk2o5k/avatar/23773820251004101555BP5OVB.jpg</v>
          </cell>
        </row>
        <row r="76">
          <cell r="I76" t="str">
            <v>KFA1E1284265</v>
          </cell>
          <cell r="J76" t="str">
            <v>KB1233XX</v>
          </cell>
          <cell r="K76" t="str">
            <v>KPB3</v>
          </cell>
          <cell r="L76">
            <v>11662</v>
          </cell>
          <cell r="M76" t="str">
            <v>1970-01-01</v>
          </cell>
          <cell r="N76" t="str">
            <v>2025-10-04</v>
          </cell>
          <cell r="O76" t="str">
            <v>https://fruitbasket.blob.core.windows.net/gk2o5k/avatar/21063208420251004095103YC8IDZ.jpg</v>
          </cell>
        </row>
        <row r="77">
          <cell r="I77" t="str">
            <v>KC04E1012272</v>
          </cell>
          <cell r="J77" t="str">
            <v>KB2905L</v>
          </cell>
          <cell r="K77" t="str">
            <v>KPB1</v>
          </cell>
          <cell r="L77">
            <v>687</v>
          </cell>
          <cell r="M77" t="str">
            <v>2025-07-31</v>
          </cell>
          <cell r="N77" t="str">
            <v>2025-10-04</v>
          </cell>
          <cell r="O77" t="str">
            <v>https://fruitbasket.blob.core.windows.net/gk2o5k/avatar/237738202510040944373MUWRA.jpg</v>
          </cell>
        </row>
        <row r="78">
          <cell r="I78" t="str">
            <v>JMH2E1457052</v>
          </cell>
          <cell r="J78" t="str">
            <v>X123YZ</v>
          </cell>
          <cell r="K78" t="str">
            <v>KPB1</v>
          </cell>
          <cell r="L78">
            <v>1009</v>
          </cell>
          <cell r="M78" t="str">
            <v>2025-08-06</v>
          </cell>
          <cell r="N78" t="str">
            <v>2025-10-04</v>
          </cell>
          <cell r="O78" t="str">
            <v>https://fruitbasket.blob.core.windows.net/gk2o5k/avatar/21394210620251004093806LQR4SC.jpg</v>
          </cell>
        </row>
        <row r="79">
          <cell r="I79" t="str">
            <v>JMH2E1124912</v>
          </cell>
          <cell r="J79" t="str">
            <v>KB5794BA</v>
          </cell>
          <cell r="K79" t="str">
            <v>KPB1</v>
          </cell>
          <cell r="L79">
            <v>524</v>
          </cell>
          <cell r="M79" t="str">
            <v>2025-08-12</v>
          </cell>
          <cell r="N79" t="str">
            <v>2025-10-04</v>
          </cell>
          <cell r="O79" t="str">
            <v>https://fruitbasket.blob.core.windows.net/gk2o5k/avatar/21063208420251004092940ROHAC0.jpg</v>
          </cell>
        </row>
        <row r="80">
          <cell r="I80" t="str">
            <v>JMH1E1168666</v>
          </cell>
          <cell r="J80" t="str">
            <v>KB5614BA</v>
          </cell>
          <cell r="K80" t="str">
            <v>KPB1</v>
          </cell>
          <cell r="L80">
            <v>624</v>
          </cell>
          <cell r="M80" t="str">
            <v>2025-08-07</v>
          </cell>
          <cell r="N80" t="str">
            <v>2025-10-04</v>
          </cell>
          <cell r="O80" t="str">
            <v>https://fruitbasket.blob.core.windows.net/gk2o5k/avatar/23773820251004091522XRCIPL.jpg</v>
          </cell>
        </row>
        <row r="81">
          <cell r="I81" t="str">
            <v>KF01E1936092</v>
          </cell>
          <cell r="J81" t="str">
            <v>KB5625BA</v>
          </cell>
          <cell r="K81" t="str">
            <v>KPB1</v>
          </cell>
          <cell r="L81">
            <v>359</v>
          </cell>
          <cell r="M81" t="str">
            <v>2025-08-06</v>
          </cell>
          <cell r="N81" t="str">
            <v>2025-10-04</v>
          </cell>
          <cell r="O81" t="str">
            <v>https://fruitbasket.blob.core.windows.net/gk2o5k/avatar/21063208420251004091316VI3043.jpg</v>
          </cell>
        </row>
        <row r="82">
          <cell r="I82" t="str">
            <v>KF01E1932392</v>
          </cell>
          <cell r="J82" t="str">
            <v>KB5624BA</v>
          </cell>
          <cell r="K82" t="str">
            <v>KPB1</v>
          </cell>
          <cell r="L82">
            <v>534</v>
          </cell>
          <cell r="M82" t="str">
            <v>2025-08-06</v>
          </cell>
          <cell r="N82" t="str">
            <v>2025-10-04</v>
          </cell>
          <cell r="O82" t="str">
            <v>https://fruitbasket.blob.core.windows.net/gk2o5k/avatar/210632084202510040834591MOSXR.jpg</v>
          </cell>
        </row>
        <row r="83">
          <cell r="I83" t="str">
            <v>JM03E1777688</v>
          </cell>
          <cell r="J83" t="str">
            <v>X123YZ</v>
          </cell>
          <cell r="K83" t="str">
            <v>KPB4</v>
          </cell>
          <cell r="L83">
            <v>11726</v>
          </cell>
          <cell r="M83" t="str">
            <v>2024-10-01</v>
          </cell>
          <cell r="N83" t="str">
            <v>2025-10-04</v>
          </cell>
          <cell r="O83" t="str">
            <v>https://fruitbasket.blob.core.windows.net/gk2o5k/avatar/237738202510040829382STOJA.jpg</v>
          </cell>
        </row>
        <row r="84">
          <cell r="I84" t="str">
            <v>JMF1E1079487</v>
          </cell>
          <cell r="J84" t="str">
            <v>X123YZ</v>
          </cell>
          <cell r="K84" t="str">
            <v>KPB4</v>
          </cell>
          <cell r="L84">
            <v>10975</v>
          </cell>
          <cell r="M84" t="str">
            <v>2024-10-02</v>
          </cell>
          <cell r="N84" t="str">
            <v>2025-10-04</v>
          </cell>
          <cell r="O84" t="str">
            <v>https://fruitbasket.blob.core.windows.net/gk2o5k/avatar/21063208420251004082258OSDGHO.jpg</v>
          </cell>
        </row>
        <row r="85">
          <cell r="I85" t="str">
            <v>JMD1E1938792</v>
          </cell>
          <cell r="J85" t="str">
            <v>KB6590LQ</v>
          </cell>
          <cell r="K85" t="str">
            <v>KPB2</v>
          </cell>
          <cell r="L85">
            <v>1523</v>
          </cell>
          <cell r="M85" t="str">
            <v>1970-01-01</v>
          </cell>
          <cell r="N85" t="str">
            <v>2025-10-04</v>
          </cell>
          <cell r="O85" t="str">
            <v>https://fruitbasket.blob.core.windows.net/gk2o5k/avatar/21063208420251004081136QUJLYP.jpg</v>
          </cell>
        </row>
        <row r="86">
          <cell r="I86" t="str">
            <v>KC02E1272560</v>
          </cell>
          <cell r="J86" t="str">
            <v>X123YZ</v>
          </cell>
          <cell r="K86" t="str">
            <v>KPB4</v>
          </cell>
          <cell r="L86">
            <v>8389</v>
          </cell>
          <cell r="M86" t="str">
            <v>2024-10-01</v>
          </cell>
          <cell r="N86" t="str">
            <v>2025-10-03</v>
          </cell>
          <cell r="O86" t="str">
            <v>https://fruitbasket.blob.core.windows.net/gk2o5k/avatar/23773820251003161733HHWM7E.jpg</v>
          </cell>
        </row>
        <row r="87">
          <cell r="I87" t="str">
            <v>KFD1E1144477</v>
          </cell>
          <cell r="J87" t="str">
            <v>KB2913L</v>
          </cell>
          <cell r="K87" t="str">
            <v>KPB1</v>
          </cell>
          <cell r="L87">
            <v>276</v>
          </cell>
          <cell r="M87" t="str">
            <v>2025-08-02</v>
          </cell>
          <cell r="N87" t="str">
            <v>2025-10-03</v>
          </cell>
          <cell r="O87" t="str">
            <v>https://fruitbasket.blob.core.windows.net/gk2o5k/avatar/21063208420251003161421SQ4UES.jpg</v>
          </cell>
        </row>
        <row r="88">
          <cell r="I88" t="str">
            <v>JMH2E1150538</v>
          </cell>
          <cell r="J88" t="str">
            <v>X123YZ</v>
          </cell>
          <cell r="K88" t="str">
            <v>KPB2</v>
          </cell>
          <cell r="L88">
            <v>2127</v>
          </cell>
          <cell r="M88" t="str">
            <v>2025-06-05</v>
          </cell>
          <cell r="N88" t="str">
            <v>2025-10-03</v>
          </cell>
          <cell r="O88" t="str">
            <v>https://fruitbasket.blob.core.windows.net/gk2o5k/avatar/237738202510031609163H9C5N.jpg</v>
          </cell>
        </row>
        <row r="89">
          <cell r="I89" t="str">
            <v>JBK3E1586349</v>
          </cell>
          <cell r="J89" t="str">
            <v>X123YZ</v>
          </cell>
          <cell r="K89" t="str">
            <v>KPB1</v>
          </cell>
          <cell r="L89">
            <v>724</v>
          </cell>
          <cell r="M89" t="str">
            <v>2025-08-01</v>
          </cell>
          <cell r="N89" t="str">
            <v>2025-10-03</v>
          </cell>
          <cell r="O89" t="str">
            <v>https://fruitbasket.blob.core.windows.net/gk2o5k/avatar/210632084202510031607340M7KPJ.jpg</v>
          </cell>
        </row>
        <row r="90">
          <cell r="I90" t="str">
            <v>JMF2E1512392</v>
          </cell>
          <cell r="J90" t="str">
            <v>X123YZ</v>
          </cell>
          <cell r="K90" t="str">
            <v>KPB1</v>
          </cell>
          <cell r="L90">
            <v>127</v>
          </cell>
          <cell r="M90" t="str">
            <v>2025-08-07</v>
          </cell>
          <cell r="N90" t="str">
            <v>2025-10-03</v>
          </cell>
          <cell r="O90" t="str">
            <v>https://fruitbasket.blob.core.windows.net/gk2o5k/avatar/23773820251003115030ZKWRCI.jpg</v>
          </cell>
        </row>
        <row r="91">
          <cell r="I91" t="str">
            <v>KC04E1014079</v>
          </cell>
          <cell r="J91" t="str">
            <v>X123YZ</v>
          </cell>
          <cell r="K91" t="str">
            <v>KPB1</v>
          </cell>
          <cell r="L91">
            <v>186</v>
          </cell>
          <cell r="M91" t="str">
            <v>2025-08-20</v>
          </cell>
          <cell r="N91" t="str">
            <v>2025-10-16</v>
          </cell>
          <cell r="O91" t="str">
            <v>https://hana.modakita.com/azd942/avatar/21063208420251016161757MXUYYI.jpg</v>
          </cell>
        </row>
        <row r="92">
          <cell r="I92" t="str">
            <v>JMD1E2016185</v>
          </cell>
          <cell r="J92" t="str">
            <v>KB6029BA</v>
          </cell>
          <cell r="K92" t="str">
            <v>KPB1</v>
          </cell>
          <cell r="L92">
            <v>547</v>
          </cell>
          <cell r="M92" t="str">
            <v>2025-08-18</v>
          </cell>
          <cell r="N92" t="str">
            <v>2025-10-16</v>
          </cell>
          <cell r="O92" t="str">
            <v>https://hana.modakita.com/azd942/avatar/23773820251016153023MF2ZBZ.jpg</v>
          </cell>
        </row>
        <row r="93">
          <cell r="I93" t="str">
            <v>JMC1E1694265</v>
          </cell>
          <cell r="J93" t="str">
            <v>X123YZ</v>
          </cell>
          <cell r="K93" t="str">
            <v>KPB1</v>
          </cell>
          <cell r="L93">
            <v>1015</v>
          </cell>
          <cell r="M93" t="str">
            <v>2025-08-18</v>
          </cell>
          <cell r="N93" t="str">
            <v>2025-10-16</v>
          </cell>
          <cell r="O93" t="str">
            <v>https://hana.modakita.com/azd942/avatar/21063208420251016152654VLY4XG.jpg</v>
          </cell>
        </row>
        <row r="94">
          <cell r="I94" t="str">
            <v>JMC1E1568162</v>
          </cell>
          <cell r="J94" t="str">
            <v>KB5658LO</v>
          </cell>
          <cell r="K94" t="str">
            <v>KPB3</v>
          </cell>
          <cell r="L94">
            <v>7345</v>
          </cell>
          <cell r="M94" t="str">
            <v>2025-02-18</v>
          </cell>
          <cell r="N94" t="str">
            <v>2025-10-16</v>
          </cell>
          <cell r="O94" t="str">
            <v>https://hana.modakita.com/azd942/avatar/23773820251016152419X4KKHH.jpg</v>
          </cell>
        </row>
        <row r="95">
          <cell r="I95" t="str">
            <v>JMH2E1261053</v>
          </cell>
          <cell r="J95" t="str">
            <v>KB4686BA</v>
          </cell>
          <cell r="K95" t="str">
            <v>KPB2</v>
          </cell>
          <cell r="L95">
            <v>1114</v>
          </cell>
          <cell r="M95" t="str">
            <v>2025-06-18</v>
          </cell>
          <cell r="N95" t="str">
            <v>2025-10-16</v>
          </cell>
          <cell r="O95" t="str">
            <v>https://hana.modakita.com/azd942/avatar/21394210620251016152313MRI0TA.jpg</v>
          </cell>
        </row>
        <row r="96">
          <cell r="I96" t="str">
            <v>JMD1E1958797</v>
          </cell>
          <cell r="J96" t="str">
            <v>KB5791LR</v>
          </cell>
          <cell r="K96" t="str">
            <v>KPB2</v>
          </cell>
          <cell r="L96">
            <v>1529</v>
          </cell>
          <cell r="M96" t="str">
            <v>2025-06-18</v>
          </cell>
          <cell r="N96" t="str">
            <v>2025-10-16</v>
          </cell>
          <cell r="O96" t="str">
            <v>https://hana.modakita.com/azd942/avatar/2106320842025101615163561XSMV.jpg</v>
          </cell>
        </row>
        <row r="97">
          <cell r="I97" t="str">
            <v>JMC1E1567293</v>
          </cell>
          <cell r="J97" t="str">
            <v>X123YZ</v>
          </cell>
          <cell r="K97" t="str">
            <v>KPB3</v>
          </cell>
          <cell r="L97">
            <v>6183</v>
          </cell>
          <cell r="M97" t="str">
            <v>2025-02-20</v>
          </cell>
          <cell r="N97" t="str">
            <v>2025-10-16</v>
          </cell>
          <cell r="O97" t="str">
            <v>https://hana.modakita.com/azd942/avatar/23773820251016151549DKZIHD.jpg</v>
          </cell>
        </row>
        <row r="98">
          <cell r="I98" t="str">
            <v>KC04E1013079</v>
          </cell>
          <cell r="J98" t="str">
            <v>X123YZ</v>
          </cell>
          <cell r="K98" t="str">
            <v>KPB1</v>
          </cell>
          <cell r="L98">
            <v>721</v>
          </cell>
          <cell r="M98" t="str">
            <v>2025-08-12</v>
          </cell>
          <cell r="N98" t="str">
            <v>2025-10-16</v>
          </cell>
          <cell r="O98" t="str">
            <v>https://hana.modakita.com/azd942/avatar/21063208420251016151131J42MOQ.jpg</v>
          </cell>
        </row>
        <row r="99">
          <cell r="I99" t="str">
            <v>JMC1E1649515</v>
          </cell>
          <cell r="J99" t="str">
            <v>KB4687BA</v>
          </cell>
          <cell r="K99" t="str">
            <v>KPB2</v>
          </cell>
          <cell r="L99">
            <v>1476</v>
          </cell>
          <cell r="M99" t="str">
            <v>2025-06-18</v>
          </cell>
          <cell r="N99" t="str">
            <v>2025-10-16</v>
          </cell>
          <cell r="O99" t="str">
            <v>https://hana.modakita.com/azd942/avatar/21394210620251016151006B8YKZT.jpg</v>
          </cell>
        </row>
        <row r="100">
          <cell r="I100" t="str">
            <v>JMH2E1490459</v>
          </cell>
          <cell r="J100" t="str">
            <v>KB4013L</v>
          </cell>
          <cell r="K100" t="str">
            <v>KPB1</v>
          </cell>
          <cell r="L100">
            <v>326</v>
          </cell>
          <cell r="M100" t="str">
            <v>2025-08-11</v>
          </cell>
          <cell r="N100" t="str">
            <v>2025-10-16</v>
          </cell>
          <cell r="O100" t="str">
            <v>https://hana.modakita.com/azd942/avatar/23773820251016150227JLRJVF.jpg</v>
          </cell>
        </row>
        <row r="101">
          <cell r="I101" t="str">
            <v>JMH1E1056912</v>
          </cell>
          <cell r="J101" t="str">
            <v>X123YZ</v>
          </cell>
          <cell r="K101" t="str">
            <v>KPB3</v>
          </cell>
          <cell r="L101">
            <v>6325</v>
          </cell>
          <cell r="M101" t="str">
            <v>2025-02-09</v>
          </cell>
          <cell r="N101" t="str">
            <v>2025-10-16</v>
          </cell>
          <cell r="O101" t="str">
            <v>https://hana.modakita.com/azd942/avatar/21063208420251016145843PNRWIY.jpg</v>
          </cell>
        </row>
        <row r="102">
          <cell r="I102" t="str">
            <v>JBP1E2116923</v>
          </cell>
          <cell r="J102" t="str">
            <v>KB5785BA</v>
          </cell>
          <cell r="K102" t="str">
            <v>KPB1</v>
          </cell>
          <cell r="L102">
            <v>259</v>
          </cell>
          <cell r="M102" t="str">
            <v>2025-08-11</v>
          </cell>
          <cell r="N102" t="str">
            <v>2025-10-16</v>
          </cell>
          <cell r="O102" t="str">
            <v>https://hana.modakita.com/azd942/avatar/23773820251016145607MKBVYT.jpg</v>
          </cell>
        </row>
        <row r="103">
          <cell r="I103" t="str">
            <v>KFE1E1217290</v>
          </cell>
          <cell r="J103" t="str">
            <v>X123YZ</v>
          </cell>
          <cell r="K103" t="str">
            <v>KPB1</v>
          </cell>
          <cell r="L103">
            <v>426</v>
          </cell>
          <cell r="M103" t="str">
            <v>2025-08-11</v>
          </cell>
          <cell r="N103" t="str">
            <v>2025-10-16</v>
          </cell>
          <cell r="O103" t="str">
            <v>https://hana.modakita.com/azd942/avatar/23773820251016141539EMS8D5.jpg</v>
          </cell>
        </row>
        <row r="104">
          <cell r="I104" t="str">
            <v>JMH1E1075586</v>
          </cell>
          <cell r="J104" t="str">
            <v>X123YZ</v>
          </cell>
          <cell r="K104" t="str">
            <v>KPB3</v>
          </cell>
          <cell r="L104">
            <v>5266</v>
          </cell>
          <cell r="M104" t="str">
            <v>2025-02-08</v>
          </cell>
          <cell r="N104" t="str">
            <v>2025-10-16</v>
          </cell>
          <cell r="O104" t="str">
            <v>https://hana.modakita.com/azd942/avatar/23773820251016141252TFZIHW.jpg</v>
          </cell>
        </row>
        <row r="105">
          <cell r="I105" t="str">
            <v>KFE1E1033619</v>
          </cell>
          <cell r="J105" t="str">
            <v>X123YZ</v>
          </cell>
          <cell r="K105" t="str">
            <v>KPB3</v>
          </cell>
          <cell r="L105">
            <v>11356</v>
          </cell>
          <cell r="M105" t="str">
            <v>2025-01-31</v>
          </cell>
          <cell r="N105" t="str">
            <v>2025-10-16</v>
          </cell>
          <cell r="O105" t="str">
            <v>https://hana.modakita.com/azd942/avatar/23773820251016140925MBIFZC.jpg</v>
          </cell>
        </row>
        <row r="106">
          <cell r="I106" t="str">
            <v>JMH1E1230522</v>
          </cell>
          <cell r="J106" t="str">
            <v>X123YZ</v>
          </cell>
          <cell r="K106" t="str">
            <v>KPB1</v>
          </cell>
          <cell r="L106">
            <v>592</v>
          </cell>
          <cell r="M106" t="str">
            <v>2025-08-08</v>
          </cell>
          <cell r="N106" t="str">
            <v>2025-10-16</v>
          </cell>
          <cell r="O106" t="str">
            <v>https://hana.modakita.com/azd942/avatar/21063208420251016140838QST8NQ.jpg</v>
          </cell>
        </row>
        <row r="107">
          <cell r="I107" t="str">
            <v>JMH1E1071103</v>
          </cell>
          <cell r="J107" t="str">
            <v>KB6766XZ</v>
          </cell>
          <cell r="K107" t="str">
            <v>KPB3</v>
          </cell>
          <cell r="L107">
            <v>5236</v>
          </cell>
          <cell r="M107" t="str">
            <v>2025-02-07</v>
          </cell>
          <cell r="N107" t="str">
            <v>2025-10-16</v>
          </cell>
          <cell r="O107" t="str">
            <v>https://hana.modakita.com/azd942/avatar/23773820251016140234FHXAPW.jpg</v>
          </cell>
        </row>
        <row r="108">
          <cell r="I108" t="str">
            <v>JMH1E1183059</v>
          </cell>
          <cell r="J108" t="str">
            <v>X123YZ</v>
          </cell>
          <cell r="K108" t="str">
            <v>KPB1</v>
          </cell>
          <cell r="L108">
            <v>325</v>
          </cell>
          <cell r="M108" t="str">
            <v>2025-08-11</v>
          </cell>
          <cell r="N108" t="str">
            <v>2025-10-16</v>
          </cell>
          <cell r="O108" t="str">
            <v>https://hana.modakita.com/azd942/avatar/21063208420251016140153G1PMC3.jpg</v>
          </cell>
        </row>
        <row r="109">
          <cell r="I109" t="str">
            <v>KFE3E1052528</v>
          </cell>
          <cell r="J109" t="str">
            <v>KB5646BA</v>
          </cell>
          <cell r="K109" t="str">
            <v>KPB1</v>
          </cell>
          <cell r="L109">
            <v>889</v>
          </cell>
          <cell r="M109" t="str">
            <v>2025-08-07</v>
          </cell>
          <cell r="N109" t="str">
            <v>2025-10-16</v>
          </cell>
          <cell r="O109" t="str">
            <v>https://hana.modakita.com/azd942/avatar/23773820251016135812IIG3LM.jpg</v>
          </cell>
        </row>
        <row r="110">
          <cell r="I110" t="str">
            <v>JBP1E2090331</v>
          </cell>
          <cell r="J110" t="str">
            <v>X123YZ</v>
          </cell>
          <cell r="K110" t="str">
            <v>KPB3</v>
          </cell>
          <cell r="L110">
            <v>6492</v>
          </cell>
          <cell r="M110" t="str">
            <v>2025-02-08</v>
          </cell>
          <cell r="N110" t="str">
            <v>2025-10-16</v>
          </cell>
          <cell r="O110" t="str">
            <v>https://hana.modakita.com/azd942/avatar/21063208420251016135535HXNATQ.jpg</v>
          </cell>
        </row>
        <row r="111">
          <cell r="I111" t="str">
            <v>JBP1E2089919</v>
          </cell>
          <cell r="J111" t="str">
            <v>X123YZ</v>
          </cell>
          <cell r="K111" t="str">
            <v>KPB3</v>
          </cell>
          <cell r="L111">
            <v>6903</v>
          </cell>
          <cell r="M111" t="str">
            <v>2025-02-07</v>
          </cell>
          <cell r="N111" t="str">
            <v>2025-10-16</v>
          </cell>
          <cell r="O111" t="str">
            <v>https://hana.modakita.com/azd942/avatar/237738202510161353075ZOCQE.jpg</v>
          </cell>
        </row>
        <row r="112">
          <cell r="I112" t="str">
            <v>JME1E1644152</v>
          </cell>
          <cell r="J112" t="str">
            <v>X123YZ</v>
          </cell>
          <cell r="K112" t="str">
            <v>KPB1</v>
          </cell>
          <cell r="L112">
            <v>878</v>
          </cell>
          <cell r="M112" t="str">
            <v>2025-08-08</v>
          </cell>
          <cell r="N112" t="str">
            <v>2025-10-16</v>
          </cell>
          <cell r="O112" t="str">
            <v>https://hana.modakita.com/azd942/avatar/23773820251016134802LONS6Q.jpg</v>
          </cell>
        </row>
        <row r="113">
          <cell r="I113" t="str">
            <v>JMH2E1109068</v>
          </cell>
          <cell r="J113" t="str">
            <v>KB6765XZ</v>
          </cell>
          <cell r="K113" t="str">
            <v>KPB3</v>
          </cell>
          <cell r="L113">
            <v>5601</v>
          </cell>
          <cell r="M113" t="str">
            <v>2025-02-07</v>
          </cell>
          <cell r="N113" t="str">
            <v>2025-10-16</v>
          </cell>
          <cell r="O113" t="str">
            <v>https://hana.modakita.com/azd942/avatar/23773820251016134222F6YPQP.jpg</v>
          </cell>
        </row>
        <row r="114">
          <cell r="I114" t="str">
            <v>JBP1E2084534</v>
          </cell>
          <cell r="J114" t="str">
            <v>X123YZ</v>
          </cell>
          <cell r="K114" t="str">
            <v>KPB3</v>
          </cell>
          <cell r="L114">
            <v>4395</v>
          </cell>
          <cell r="M114" t="str">
            <v>2025-02-07</v>
          </cell>
          <cell r="N114" t="str">
            <v>2025-10-16</v>
          </cell>
          <cell r="O114" t="str">
            <v>https://hana.modakita.com/azd942/avatar/21063208420251016134102HSBLIT.jpg</v>
          </cell>
        </row>
        <row r="115">
          <cell r="I115" t="str">
            <v>KFE1E1036896</v>
          </cell>
          <cell r="J115" t="str">
            <v>KB6811XZ</v>
          </cell>
          <cell r="K115" t="str">
            <v>KPB3</v>
          </cell>
          <cell r="L115">
            <v>10235</v>
          </cell>
          <cell r="M115" t="str">
            <v>2025-02-09</v>
          </cell>
          <cell r="N115" t="str">
            <v>2025-10-16</v>
          </cell>
          <cell r="O115" t="str">
            <v>https://hana.modakita.com/azd942/avatar/23773820251016133731RIEVWU.jpg</v>
          </cell>
        </row>
        <row r="116">
          <cell r="I116" t="str">
            <v>KFE3E1005424</v>
          </cell>
          <cell r="J116" t="str">
            <v>KB6741XZ</v>
          </cell>
          <cell r="K116" t="str">
            <v>KPB3</v>
          </cell>
          <cell r="L116">
            <v>9632</v>
          </cell>
          <cell r="M116" t="str">
            <v>2025-02-06</v>
          </cell>
          <cell r="N116" t="str">
            <v>2025-10-16</v>
          </cell>
          <cell r="O116" t="str">
            <v>https://hana.modakita.com/azd942/avatar/21063208420251016133445GEKMDK.jpg</v>
          </cell>
        </row>
        <row r="117">
          <cell r="I117" t="str">
            <v>JMH2E1458162</v>
          </cell>
          <cell r="J117" t="str">
            <v>X123YZ</v>
          </cell>
          <cell r="K117" t="str">
            <v>KPB1</v>
          </cell>
          <cell r="L117">
            <v>528</v>
          </cell>
          <cell r="M117" t="str">
            <v>2025-08-07</v>
          </cell>
          <cell r="N117" t="str">
            <v>2025-10-16</v>
          </cell>
          <cell r="O117" t="str">
            <v>https://hana.modakita.com/azd942/avatar/23773820251016133139YZN7VR.jpg</v>
          </cell>
        </row>
        <row r="118">
          <cell r="I118" t="str">
            <v>JBP1E2087516</v>
          </cell>
          <cell r="J118" t="str">
            <v>X123YZ</v>
          </cell>
          <cell r="K118" t="str">
            <v>KPB3</v>
          </cell>
          <cell r="L118">
            <v>5061</v>
          </cell>
          <cell r="M118" t="str">
            <v>2025-02-05</v>
          </cell>
          <cell r="N118" t="str">
            <v>2025-10-16</v>
          </cell>
          <cell r="O118" t="str">
            <v>https://hana.modakita.com/azd942/avatar/21063208420251016132959LS75T5.jpg</v>
          </cell>
        </row>
        <row r="119">
          <cell r="I119" t="str">
            <v>JBP1E2085135</v>
          </cell>
          <cell r="J119" t="str">
            <v>X123YZ</v>
          </cell>
          <cell r="K119" t="str">
            <v>KPB3</v>
          </cell>
          <cell r="L119">
            <v>6380</v>
          </cell>
          <cell r="M119" t="str">
            <v>2025-02-06</v>
          </cell>
          <cell r="N119" t="str">
            <v>2025-10-16</v>
          </cell>
          <cell r="O119" t="str">
            <v>https://hana.modakita.com/azd942/avatar/23773820251016132630YUFF2P.jpg</v>
          </cell>
        </row>
        <row r="120">
          <cell r="I120" t="str">
            <v>KC02E1288756</v>
          </cell>
          <cell r="J120" t="str">
            <v>X123YZ</v>
          </cell>
          <cell r="K120" t="str">
            <v>KPB3</v>
          </cell>
          <cell r="L120">
            <v>5326</v>
          </cell>
          <cell r="M120" t="str">
            <v>2025-02-05</v>
          </cell>
          <cell r="N120" t="str">
            <v>2025-10-16</v>
          </cell>
          <cell r="O120" t="str">
            <v>https://hana.modakita.com/azd942/avatar/21063208420251016132446T5GQRO.jpg</v>
          </cell>
        </row>
        <row r="121">
          <cell r="I121" t="str">
            <v>JMH2E1352715</v>
          </cell>
          <cell r="J121" t="str">
            <v>KB5789LR</v>
          </cell>
          <cell r="K121" t="str">
            <v>KPB2</v>
          </cell>
          <cell r="L121">
            <v>3224</v>
          </cell>
          <cell r="M121" t="str">
            <v>2025-06-18</v>
          </cell>
          <cell r="N121" t="str">
            <v>2025-10-16</v>
          </cell>
          <cell r="O121" t="str">
            <v>https://hana.modakita.com/azd942/avatar/213012312202510160937468ZSM30.jpg</v>
          </cell>
        </row>
        <row r="122">
          <cell r="I122" t="str">
            <v>KC04E1007456</v>
          </cell>
          <cell r="J122" t="str">
            <v>KB5795LR</v>
          </cell>
          <cell r="K122" t="str">
            <v>KPB2</v>
          </cell>
          <cell r="L122">
            <v>2967</v>
          </cell>
          <cell r="M122" t="str">
            <v>2025-06-18</v>
          </cell>
          <cell r="N122" t="str">
            <v>2025-10-16</v>
          </cell>
          <cell r="O122" t="str">
            <v>https://hana.modakita.com/azd942/avatar/21301231220251016093450AOTJ7V.jpg</v>
          </cell>
        </row>
        <row r="123">
          <cell r="I123" t="str">
            <v>JMD1E2019639</v>
          </cell>
          <cell r="J123" t="str">
            <v>KB123HJ</v>
          </cell>
          <cell r="K123" t="str">
            <v>KPB1</v>
          </cell>
          <cell r="L123">
            <v>711</v>
          </cell>
          <cell r="M123" t="str">
            <v>2025-08-18</v>
          </cell>
          <cell r="N123" t="str">
            <v>2025-10-16</v>
          </cell>
          <cell r="O123" t="str">
            <v>https://hana.modakita.com/azd942/avatar/213012312202510160928375BUVKV.jpg</v>
          </cell>
        </row>
        <row r="124">
          <cell r="I124" t="str">
            <v>KC04E1014576</v>
          </cell>
          <cell r="J124" t="str">
            <v>KB6056BA</v>
          </cell>
          <cell r="K124" t="str">
            <v>KPB1</v>
          </cell>
          <cell r="L124">
            <v>84</v>
          </cell>
          <cell r="M124" t="str">
            <v>2025-08-25</v>
          </cell>
          <cell r="N124" t="str">
            <v>2025-10-16</v>
          </cell>
          <cell r="O124" t="str">
            <v>https://hana.modakita.com/azd942/avatar/213012312202510160923284GC9ON.jpg</v>
          </cell>
        </row>
        <row r="125">
          <cell r="I125" t="str">
            <v>JMC1E1694290</v>
          </cell>
          <cell r="J125" t="str">
            <v>X123YZ</v>
          </cell>
          <cell r="K125" t="str">
            <v>KPB1</v>
          </cell>
          <cell r="L125">
            <v>874</v>
          </cell>
          <cell r="M125" t="str">
            <v>2025-08-18</v>
          </cell>
          <cell r="N125" t="str">
            <v>2025-10-16</v>
          </cell>
          <cell r="O125" t="str">
            <v>https://hana.modakita.com/azd942/avatar/21301231220251016091934EBMQH8.jpg</v>
          </cell>
        </row>
        <row r="126">
          <cell r="I126" t="str">
            <v>KC04E1007518</v>
          </cell>
          <cell r="J126" t="str">
            <v>X123YZ</v>
          </cell>
          <cell r="K126" t="str">
            <v>KPB2</v>
          </cell>
          <cell r="L126">
            <v>2145</v>
          </cell>
          <cell r="M126" t="str">
            <v>2025-06-17</v>
          </cell>
          <cell r="N126" t="str">
            <v>2025-10-15</v>
          </cell>
          <cell r="O126" t="str">
            <v>https://hana.modakita.com/azd942/avatar/21063208420251015155004CMJLPE.jpg</v>
          </cell>
        </row>
        <row r="127">
          <cell r="I127" t="str">
            <v>JME1E1159300</v>
          </cell>
          <cell r="K127" t="str">
            <v>KPB4</v>
          </cell>
          <cell r="L127">
            <v>11092</v>
          </cell>
          <cell r="M127" t="str">
            <v>2024-10-17</v>
          </cell>
          <cell r="N127" t="str">
            <v>2025-10-15</v>
          </cell>
          <cell r="O127" t="str">
            <v>https://hana.modakita.com/azd942/avatar/21063208420251015154134AJEG0H.jpg</v>
          </cell>
        </row>
        <row r="128">
          <cell r="I128" t="str">
            <v>JMD1E1721844</v>
          </cell>
          <cell r="J128" t="str">
            <v>X123YZ</v>
          </cell>
          <cell r="K128" t="str">
            <v>KPB4</v>
          </cell>
          <cell r="L128">
            <v>8500</v>
          </cell>
          <cell r="M128" t="str">
            <v>2024-10-17</v>
          </cell>
          <cell r="N128" t="str">
            <v>2025-10-15</v>
          </cell>
          <cell r="O128" t="str">
            <v>https://hana.modakita.com/azd942/avatar/23773820251015154043QQ1BUD.jpg</v>
          </cell>
        </row>
        <row r="129">
          <cell r="I129" t="str">
            <v>JMD1E1833026</v>
          </cell>
          <cell r="J129" t="str">
            <v>X123YZ</v>
          </cell>
          <cell r="K129" t="str">
            <v>KPB3</v>
          </cell>
          <cell r="L129">
            <v>6181</v>
          </cell>
          <cell r="M129" t="str">
            <v>2025-02-17</v>
          </cell>
          <cell r="N129" t="str">
            <v>2025-10-15</v>
          </cell>
          <cell r="O129" t="str">
            <v>https://hana.modakita.com/azd942/avatar/21063208420251015152727QYM3R6.jpg</v>
          </cell>
        </row>
        <row r="130">
          <cell r="I130" t="str">
            <v>JMD1E1835504</v>
          </cell>
          <cell r="J130" t="str">
            <v>X123YZ</v>
          </cell>
          <cell r="K130" t="str">
            <v>KPB3</v>
          </cell>
          <cell r="L130">
            <v>5959</v>
          </cell>
          <cell r="M130" t="str">
            <v>2025-02-17</v>
          </cell>
          <cell r="N130" t="str">
            <v>2025-10-15</v>
          </cell>
          <cell r="O130" t="str">
            <v>https://hana.modakita.com/azd942/avatar/210632084202510151515350G7HJ6.jpg</v>
          </cell>
        </row>
        <row r="131">
          <cell r="I131" t="str">
            <v>JMF1E1182978</v>
          </cell>
          <cell r="J131" t="str">
            <v>X123YZ</v>
          </cell>
          <cell r="K131" t="str">
            <v>KPB3</v>
          </cell>
          <cell r="L131">
            <v>6472</v>
          </cell>
          <cell r="M131" t="str">
            <v>2025-02-17</v>
          </cell>
          <cell r="N131" t="str">
            <v>2025-10-15</v>
          </cell>
          <cell r="O131" t="str">
            <v>https://hana.modakita.com/azd942/avatar/23773820251015151359FPX837.jpg</v>
          </cell>
        </row>
        <row r="132">
          <cell r="I132" t="str">
            <v>JMC1E1648529</v>
          </cell>
          <cell r="J132" t="str">
            <v>X123YZ</v>
          </cell>
          <cell r="K132" t="str">
            <v>KPB2</v>
          </cell>
          <cell r="L132">
            <v>2471</v>
          </cell>
          <cell r="M132" t="str">
            <v>2025-06-17</v>
          </cell>
          <cell r="N132" t="str">
            <v>2025-10-15</v>
          </cell>
          <cell r="O132" t="str">
            <v>https://hana.modakita.com/azd942/avatar/21063208420251015150225IBEA09.jpg</v>
          </cell>
        </row>
        <row r="133">
          <cell r="I133" t="str">
            <v>JMD1E1957006</v>
          </cell>
          <cell r="J133" t="str">
            <v>KB3438DAJ</v>
          </cell>
          <cell r="K133" t="str">
            <v>KPB2</v>
          </cell>
          <cell r="L133">
            <v>1888</v>
          </cell>
          <cell r="M133" t="str">
            <v>2025-06-17</v>
          </cell>
          <cell r="N133" t="str">
            <v>2025-10-15</v>
          </cell>
          <cell r="O133" t="str">
            <v>https://hana.modakita.com/azd942/avatar/21063208420251015145337U8WZY5.jpg</v>
          </cell>
        </row>
        <row r="134">
          <cell r="I134" t="str">
            <v>JMF2E1464246</v>
          </cell>
          <cell r="J134" t="str">
            <v>KB5568LR</v>
          </cell>
          <cell r="K134" t="str">
            <v>KPB2</v>
          </cell>
          <cell r="L134">
            <v>2995</v>
          </cell>
          <cell r="M134" t="str">
            <v>2025-06-17</v>
          </cell>
          <cell r="N134" t="str">
            <v>2025-10-15</v>
          </cell>
          <cell r="O134" t="str">
            <v>https://hana.modakita.com/azd942/avatar/23773820251015144259TEIGUW.jpg</v>
          </cell>
        </row>
        <row r="135">
          <cell r="I135" t="str">
            <v>JME1E1549006</v>
          </cell>
          <cell r="J135" t="str">
            <v>KB4596BA</v>
          </cell>
          <cell r="K135" t="str">
            <v>KPB2</v>
          </cell>
          <cell r="L135">
            <v>2340</v>
          </cell>
          <cell r="M135" t="str">
            <v>2025-06-17</v>
          </cell>
          <cell r="N135" t="str">
            <v>2025-10-15</v>
          </cell>
          <cell r="O135" t="str">
            <v>https://hana.modakita.com/azd942/avatar/23773820251015142152JFMLYL.jpg</v>
          </cell>
        </row>
        <row r="136">
          <cell r="I136" t="str">
            <v>KC04E1007496</v>
          </cell>
          <cell r="J136" t="str">
            <v>KB5570LR</v>
          </cell>
          <cell r="K136" t="str">
            <v>KPB2</v>
          </cell>
          <cell r="L136">
            <v>2593</v>
          </cell>
          <cell r="M136" t="str">
            <v>2025-06-17</v>
          </cell>
          <cell r="N136" t="str">
            <v>2025-10-15</v>
          </cell>
          <cell r="O136" t="str">
            <v>https://hana.modakita.com/azd942/avatar/21063208420251015140625COKPP8.jpg</v>
          </cell>
        </row>
        <row r="137">
          <cell r="I137" t="str">
            <v>KFE3E1039185</v>
          </cell>
          <cell r="J137" t="str">
            <v>KB6625PAI</v>
          </cell>
          <cell r="K137" t="str">
            <v>KPB2</v>
          </cell>
          <cell r="L137">
            <v>1602</v>
          </cell>
          <cell r="M137" t="str">
            <v>2025-06-17</v>
          </cell>
          <cell r="N137" t="str">
            <v>2025-10-15</v>
          </cell>
          <cell r="O137" t="str">
            <v>https://hana.modakita.com/azd942/avatar/21063208420251015130210CDBS24.jpg</v>
          </cell>
        </row>
        <row r="138">
          <cell r="I138" t="str">
            <v>JBK3E1589803</v>
          </cell>
          <cell r="J138" t="str">
            <v>X123YZ</v>
          </cell>
          <cell r="K138" t="str">
            <v>KPB1</v>
          </cell>
          <cell r="L138">
            <v>943</v>
          </cell>
          <cell r="M138" t="str">
            <v>2025-08-16</v>
          </cell>
          <cell r="N138" t="str">
            <v>2025-10-15</v>
          </cell>
          <cell r="O138" t="str">
            <v>https://hana.modakita.com/azd942/avatar/23773820251015121742UAHCBM.jpg</v>
          </cell>
        </row>
        <row r="139">
          <cell r="I139" t="str">
            <v>JMC1E1695854</v>
          </cell>
          <cell r="J139" t="str">
            <v>X123YZ</v>
          </cell>
          <cell r="K139" t="str">
            <v>KPB1</v>
          </cell>
          <cell r="L139">
            <v>467</v>
          </cell>
          <cell r="M139" t="str">
            <v>2025-08-16</v>
          </cell>
          <cell r="N139" t="str">
            <v>2025-10-15</v>
          </cell>
          <cell r="O139" t="str">
            <v>https://hana.modakita.com/azd942/avatar/21063208420251015120812LH3HF7.jpg</v>
          </cell>
        </row>
        <row r="140">
          <cell r="I140" t="str">
            <v>JMD1E2019437</v>
          </cell>
          <cell r="J140" t="str">
            <v>KB5047L</v>
          </cell>
          <cell r="K140" t="str">
            <v>KPB1</v>
          </cell>
          <cell r="L140">
            <v>214</v>
          </cell>
          <cell r="M140" t="str">
            <v>2025-08-16</v>
          </cell>
          <cell r="N140" t="str">
            <v>2025-10-15</v>
          </cell>
          <cell r="O140" t="str">
            <v>https://hana.modakita.com/azd942/avatar/23773820251015120254GZECZO.jpg</v>
          </cell>
        </row>
        <row r="141">
          <cell r="I141" t="str">
            <v>KF01E1942408</v>
          </cell>
          <cell r="J141" t="str">
            <v>KB4779L</v>
          </cell>
          <cell r="K141" t="str">
            <v>KPB1</v>
          </cell>
          <cell r="L141">
            <v>1089</v>
          </cell>
          <cell r="M141" t="str">
            <v>2025-08-16</v>
          </cell>
          <cell r="N141" t="str">
            <v>2025-10-15</v>
          </cell>
          <cell r="O141" t="str">
            <v>https://hana.modakita.com/azd942/avatar/23773820251015113914449YRT.jpg</v>
          </cell>
        </row>
        <row r="142">
          <cell r="I142" t="str">
            <v>JMD1E2026633</v>
          </cell>
          <cell r="J142" t="str">
            <v>KB6030BA</v>
          </cell>
          <cell r="K142" t="str">
            <v>KPB1</v>
          </cell>
          <cell r="L142">
            <v>987</v>
          </cell>
          <cell r="M142" t="str">
            <v>2025-08-16</v>
          </cell>
          <cell r="N142" t="str">
            <v>2025-10-15</v>
          </cell>
          <cell r="O142" t="str">
            <v>https://hana.modakita.com/azd942/avatar/23773820251015113020CZ6ZCD.jpg</v>
          </cell>
        </row>
        <row r="143">
          <cell r="I143" t="str">
            <v>KFC1E1102072</v>
          </cell>
          <cell r="J143" t="str">
            <v>X123YZ</v>
          </cell>
          <cell r="K143" t="str">
            <v>KPB3</v>
          </cell>
          <cell r="L143">
            <v>9433</v>
          </cell>
          <cell r="M143" t="str">
            <v>2025-02-16</v>
          </cell>
          <cell r="N143" t="str">
            <v>2025-10-15</v>
          </cell>
          <cell r="O143" t="str">
            <v>https://hana.modakita.com/azd942/avatar/21063208420251015112854DDM2FP.jpg</v>
          </cell>
        </row>
        <row r="144">
          <cell r="I144" t="str">
            <v>JMH2E1341745</v>
          </cell>
          <cell r="J144" t="str">
            <v>KB4591BA</v>
          </cell>
          <cell r="K144" t="str">
            <v>KPB2</v>
          </cell>
          <cell r="L144">
            <v>2912</v>
          </cell>
          <cell r="M144" t="str">
            <v>2025-06-16</v>
          </cell>
          <cell r="N144" t="str">
            <v>2025-10-15</v>
          </cell>
          <cell r="O144" t="str">
            <v>https://hana.modakita.com/azd942/avatar/21063208420251015112127G0PA7T.jpg</v>
          </cell>
        </row>
        <row r="145">
          <cell r="I145" t="str">
            <v>KF01E1951462</v>
          </cell>
          <cell r="J145" t="str">
            <v>KB5083L</v>
          </cell>
          <cell r="K145" t="str">
            <v>KPB1</v>
          </cell>
          <cell r="L145">
            <v>698</v>
          </cell>
          <cell r="M145" t="str">
            <v>2025-08-16</v>
          </cell>
          <cell r="N145" t="str">
            <v>2025-10-15</v>
          </cell>
          <cell r="O145" t="str">
            <v>https://hana.modakita.com/azd942/avatar/21063208420251015111455XNP6LM.jpg</v>
          </cell>
        </row>
        <row r="146">
          <cell r="I146" t="str">
            <v>KFC1E1104687</v>
          </cell>
          <cell r="J146" t="str">
            <v>X123YZ</v>
          </cell>
          <cell r="K146" t="str">
            <v>KPB3</v>
          </cell>
          <cell r="L146">
            <v>7230</v>
          </cell>
          <cell r="M146" t="str">
            <v>2025-02-15</v>
          </cell>
          <cell r="N146" t="str">
            <v>2025-10-15</v>
          </cell>
          <cell r="O146" t="str">
            <v>https://hana.modakita.com/azd942/avatar/23773820251015110738HHHQUS.jpg</v>
          </cell>
        </row>
        <row r="147">
          <cell r="I147" t="str">
            <v>KFA1E1312306</v>
          </cell>
          <cell r="J147" t="str">
            <v>X123YZ</v>
          </cell>
          <cell r="K147" t="str">
            <v>KPB2</v>
          </cell>
          <cell r="L147">
            <v>3554</v>
          </cell>
          <cell r="M147" t="str">
            <v>2025-06-17</v>
          </cell>
          <cell r="N147" t="str">
            <v>2025-10-15</v>
          </cell>
          <cell r="O147" t="str">
            <v>https://hana.modakita.com/azd942/avatar/23773820251015110116HHZHJB.jpg</v>
          </cell>
        </row>
        <row r="148">
          <cell r="I148" t="str">
            <v>JMH2E1124125</v>
          </cell>
          <cell r="J148" t="str">
            <v>KB6940XZ</v>
          </cell>
          <cell r="K148" t="str">
            <v>KPB3</v>
          </cell>
          <cell r="L148">
            <v>6367</v>
          </cell>
          <cell r="M148" t="str">
            <v>2025-02-18</v>
          </cell>
          <cell r="N148" t="str">
            <v>2025-10-15</v>
          </cell>
          <cell r="O148" t="str">
            <v>https://hana.modakita.com/azd942/avatar/21063208420251015110031CIFM67.jpg</v>
          </cell>
        </row>
        <row r="149">
          <cell r="I149" t="str">
            <v>KC04E1013107</v>
          </cell>
          <cell r="J149" t="str">
            <v>X123YZ</v>
          </cell>
          <cell r="K149" t="str">
            <v>KPB1</v>
          </cell>
          <cell r="L149">
            <v>1021</v>
          </cell>
          <cell r="M149" t="str">
            <v>2025-08-15</v>
          </cell>
          <cell r="N149" t="str">
            <v>2025-10-15</v>
          </cell>
          <cell r="O149" t="str">
            <v>https://hana.modakita.com/azd942/avatar/2106320842025101510535558GNL0.jpg</v>
          </cell>
        </row>
        <row r="150">
          <cell r="I150" t="str">
            <v>KC04E1013087</v>
          </cell>
          <cell r="J150" t="str">
            <v>X123YZ</v>
          </cell>
          <cell r="K150" t="str">
            <v>KPB1</v>
          </cell>
          <cell r="L150">
            <v>329</v>
          </cell>
          <cell r="M150" t="str">
            <v>2025-08-15</v>
          </cell>
          <cell r="N150" t="str">
            <v>2025-10-15</v>
          </cell>
          <cell r="O150" t="str">
            <v>https://hana.modakita.com/azd942/avatar/237738202510151047058YN123.jpg</v>
          </cell>
        </row>
        <row r="151">
          <cell r="I151" t="str">
            <v>KF01E1802398</v>
          </cell>
          <cell r="J151" t="str">
            <v>KB6911XZ</v>
          </cell>
          <cell r="K151" t="str">
            <v>KPB3</v>
          </cell>
          <cell r="L151">
            <v>9610</v>
          </cell>
          <cell r="M151" t="str">
            <v>2025-02-14</v>
          </cell>
          <cell r="N151" t="str">
            <v>2025-10-15</v>
          </cell>
          <cell r="O151" t="str">
            <v>https://hana.modakita.com/azd942/avatar/21063208420251015103941J6EJQP.jpg</v>
          </cell>
        </row>
        <row r="152">
          <cell r="I152" t="str">
            <v>JMD1E1952840</v>
          </cell>
          <cell r="J152" t="str">
            <v>KB2244XX</v>
          </cell>
          <cell r="K152" t="str">
            <v>KPB2</v>
          </cell>
          <cell r="L152">
            <v>3579</v>
          </cell>
          <cell r="M152" t="str">
            <v>2025-06-16</v>
          </cell>
          <cell r="N152" t="str">
            <v>2025-10-15</v>
          </cell>
          <cell r="O152" t="str">
            <v>https://hana.modakita.com/azd942/avatar/23773820251015103842GVDF6X.jpg</v>
          </cell>
        </row>
        <row r="153">
          <cell r="I153" t="str">
            <v>JMH2E1117594</v>
          </cell>
          <cell r="J153" t="str">
            <v>X123YZ</v>
          </cell>
          <cell r="K153" t="str">
            <v>KPB3</v>
          </cell>
          <cell r="L153">
            <v>5919</v>
          </cell>
          <cell r="M153" t="str">
            <v>2025-02-13</v>
          </cell>
          <cell r="N153" t="str">
            <v>2025-10-15</v>
          </cell>
          <cell r="O153" t="str">
            <v>https://hana.modakita.com/azd942/avatar/23773820251015103214XRPS4C.jpg</v>
          </cell>
        </row>
        <row r="154">
          <cell r="I154" t="str">
            <v>JMC1E1564076</v>
          </cell>
          <cell r="J154" t="str">
            <v>X123YZ</v>
          </cell>
          <cell r="K154" t="str">
            <v>KPB3</v>
          </cell>
          <cell r="L154">
            <v>4213</v>
          </cell>
          <cell r="M154" t="str">
            <v>2025-02-13</v>
          </cell>
          <cell r="N154" t="str">
            <v>2025-10-15</v>
          </cell>
          <cell r="O154" t="str">
            <v>https://hana.modakita.com/azd942/avatar/21063208420251015103139SYC9AA.jpg</v>
          </cell>
        </row>
        <row r="155">
          <cell r="I155" t="str">
            <v>KF01E1823278</v>
          </cell>
          <cell r="J155" t="str">
            <v>X123YZ</v>
          </cell>
          <cell r="K155" t="str">
            <v>KPB3</v>
          </cell>
          <cell r="L155">
            <v>7760</v>
          </cell>
          <cell r="M155" t="str">
            <v>2025-02-10</v>
          </cell>
          <cell r="N155" t="str">
            <v>2025-10-15</v>
          </cell>
          <cell r="O155" t="str">
            <v>https://hana.modakita.com/azd942/avatar/23773820251015102616R1UAP0.jpg</v>
          </cell>
        </row>
        <row r="156">
          <cell r="I156" t="str">
            <v>KFA1E1280857</v>
          </cell>
          <cell r="J156" t="str">
            <v>X123YZ</v>
          </cell>
          <cell r="K156" t="str">
            <v>KPB3</v>
          </cell>
          <cell r="L156">
            <v>8287</v>
          </cell>
          <cell r="M156" t="str">
            <v>2025-02-10</v>
          </cell>
          <cell r="N156" t="str">
            <v>2025-10-15</v>
          </cell>
          <cell r="O156" t="str">
            <v>https://hana.modakita.com/azd942/avatar/21063208420251015102430NWFEFT.jpg</v>
          </cell>
        </row>
        <row r="157">
          <cell r="I157" t="str">
            <v>JMH1E1063997</v>
          </cell>
          <cell r="J157" t="str">
            <v>X123YZ</v>
          </cell>
          <cell r="K157" t="str">
            <v>KPB3</v>
          </cell>
          <cell r="L157">
            <v>5112</v>
          </cell>
          <cell r="M157" t="str">
            <v>2025-02-10</v>
          </cell>
          <cell r="N157" t="str">
            <v>2025-10-15</v>
          </cell>
          <cell r="O157" t="str">
            <v>https://hana.modakita.com/azd942/avatar/21063208420251015102052YKFY1W.jpg</v>
          </cell>
        </row>
        <row r="158">
          <cell r="I158" t="str">
            <v>JME1E1643221</v>
          </cell>
          <cell r="J158" t="str">
            <v>X123YZ</v>
          </cell>
          <cell r="K158" t="str">
            <v>KPB1</v>
          </cell>
          <cell r="L158">
            <v>764</v>
          </cell>
          <cell r="M158" t="str">
            <v>2025-08-11</v>
          </cell>
          <cell r="N158" t="str">
            <v>2025-10-15</v>
          </cell>
          <cell r="O158" t="str">
            <v>https://hana.modakita.com/azd942/avatar/23773820251015101824ORCDJN.jpg</v>
          </cell>
        </row>
        <row r="159">
          <cell r="I159" t="str">
            <v>JMH1E1229155</v>
          </cell>
          <cell r="J159" t="str">
            <v>X123YZ</v>
          </cell>
          <cell r="K159" t="str">
            <v>KPB1</v>
          </cell>
          <cell r="L159">
            <v>1075</v>
          </cell>
          <cell r="M159" t="str">
            <v>2025-08-15</v>
          </cell>
          <cell r="N159" t="str">
            <v>2025-10-15</v>
          </cell>
          <cell r="O159" t="str">
            <v>https://hana.modakita.com/azd942/avatar/21301231220251015100800NE2GVM.jpg</v>
          </cell>
        </row>
        <row r="160">
          <cell r="I160" t="str">
            <v>JMD1E1942872</v>
          </cell>
          <cell r="J160" t="str">
            <v>X123YZ</v>
          </cell>
          <cell r="K160" t="str">
            <v>KPB2</v>
          </cell>
          <cell r="L160">
            <v>1446</v>
          </cell>
          <cell r="M160" t="str">
            <v>2025-06-09</v>
          </cell>
          <cell r="N160" t="str">
            <v>2025-10-15</v>
          </cell>
          <cell r="O160" t="str">
            <v>https://hana.modakita.com/azd942/avatar/21063208420251015100156BKRBLN.jpg</v>
          </cell>
        </row>
        <row r="161">
          <cell r="I161" t="str">
            <v>JMH2E1124612</v>
          </cell>
          <cell r="J161" t="str">
            <v>X123YZ</v>
          </cell>
          <cell r="K161" t="str">
            <v>KPB3</v>
          </cell>
          <cell r="L161">
            <v>4730</v>
          </cell>
          <cell r="M161" t="str">
            <v>2025-02-09</v>
          </cell>
          <cell r="N161" t="str">
            <v>2025-10-15</v>
          </cell>
          <cell r="O161" t="str">
            <v>https://hana.modakita.com/azd942/avatar/237738202510150956267V1Q7A.jpg</v>
          </cell>
        </row>
        <row r="162">
          <cell r="I162" t="str">
            <v>JBP1E2116374</v>
          </cell>
          <cell r="J162" t="str">
            <v>KB5637BA</v>
          </cell>
          <cell r="K162" t="str">
            <v>KPB1</v>
          </cell>
          <cell r="L162">
            <v>179</v>
          </cell>
          <cell r="M162" t="str">
            <v>2025-08-08</v>
          </cell>
          <cell r="N162" t="str">
            <v>2025-10-15</v>
          </cell>
          <cell r="O162" t="str">
            <v>https://hana.modakita.com/azd942/avatar/21301231220251015095003CVUVUE.jpg</v>
          </cell>
        </row>
        <row r="163">
          <cell r="I163" t="str">
            <v>JMH1E1228547</v>
          </cell>
          <cell r="J163" t="str">
            <v>KB4762L</v>
          </cell>
          <cell r="K163" t="str">
            <v>KPB1</v>
          </cell>
          <cell r="L163">
            <v>1059</v>
          </cell>
          <cell r="M163" t="str">
            <v>2025-08-14</v>
          </cell>
          <cell r="N163" t="str">
            <v>2025-10-15</v>
          </cell>
          <cell r="O163" t="str">
            <v>https://hana.modakita.com/azd942/avatar/21063208420251015094002LS0PEC.jpg</v>
          </cell>
        </row>
        <row r="164">
          <cell r="I164" t="str">
            <v>JMH2E1372407</v>
          </cell>
          <cell r="J164" t="str">
            <v>X123YZ</v>
          </cell>
          <cell r="K164" t="str">
            <v>KPB1</v>
          </cell>
          <cell r="L164">
            <v>755</v>
          </cell>
          <cell r="M164" t="str">
            <v>2025-08-11</v>
          </cell>
          <cell r="N164" t="str">
            <v>2025-10-15</v>
          </cell>
          <cell r="O164" t="str">
            <v>https://hana.modakita.com/azd942/avatar/21063208420251015093140DMIIT0.jpg</v>
          </cell>
        </row>
        <row r="165">
          <cell r="I165" t="str">
            <v>JME1E1662693</v>
          </cell>
          <cell r="J165" t="str">
            <v>KB4028L</v>
          </cell>
          <cell r="K165" t="str">
            <v>KPB1</v>
          </cell>
          <cell r="L165">
            <v>674</v>
          </cell>
          <cell r="M165" t="str">
            <v>2025-08-12</v>
          </cell>
          <cell r="N165" t="str">
            <v>2025-10-15</v>
          </cell>
          <cell r="O165" t="str">
            <v>https://hana.modakita.com/azd942/avatar/23773820251015091934CDOYYS.jpg</v>
          </cell>
        </row>
        <row r="166">
          <cell r="I166" t="str">
            <v>JMH2E1114594</v>
          </cell>
          <cell r="J166" t="str">
            <v>KB6739XZ</v>
          </cell>
          <cell r="K166" t="str">
            <v>KPB3</v>
          </cell>
          <cell r="L166">
            <v>6367</v>
          </cell>
          <cell r="M166" t="str">
            <v>2025-02-06</v>
          </cell>
          <cell r="N166" t="str">
            <v>2025-10-15</v>
          </cell>
          <cell r="O166" t="str">
            <v>https://hana.modakita.com/azd942/avatar/23773820251015091146NGIUNV.jpg</v>
          </cell>
        </row>
        <row r="167">
          <cell r="I167" t="str">
            <v>JMH2E1474189</v>
          </cell>
          <cell r="J167" t="str">
            <v>X123YZ</v>
          </cell>
          <cell r="K167" t="str">
            <v>KPB1</v>
          </cell>
          <cell r="L167">
            <v>1032</v>
          </cell>
          <cell r="M167" t="str">
            <v>2025-08-07</v>
          </cell>
          <cell r="N167" t="str">
            <v>2025-10-14</v>
          </cell>
          <cell r="O167" t="str">
            <v>https://hana.modakita.com/azd942/avatar/23773820251014153050FEKCOQ.jpg</v>
          </cell>
        </row>
        <row r="168">
          <cell r="I168" t="str">
            <v>KFC1E1169200</v>
          </cell>
          <cell r="J168" t="str">
            <v>KB5642BA</v>
          </cell>
          <cell r="K168" t="str">
            <v>KPB1</v>
          </cell>
          <cell r="L168">
            <v>250</v>
          </cell>
          <cell r="M168" t="str">
            <v>2025-08-08</v>
          </cell>
          <cell r="N168" t="str">
            <v>2025-10-14</v>
          </cell>
          <cell r="O168" t="str">
            <v>https://hana.modakita.com/azd942/avatar/237738202510141521575FPNFA.jpg</v>
          </cell>
        </row>
        <row r="169">
          <cell r="I169" t="str">
            <v>JMF2E1363241</v>
          </cell>
          <cell r="J169" t="str">
            <v>KB6039BA</v>
          </cell>
          <cell r="K169" t="str">
            <v>KPB1</v>
          </cell>
          <cell r="L169">
            <v>377</v>
          </cell>
          <cell r="M169" t="str">
            <v>2025-08-19</v>
          </cell>
          <cell r="N169" t="str">
            <v>2025-10-14</v>
          </cell>
          <cell r="O169" t="str">
            <v>https://hana.modakita.com/azd942/avatar/21063208420251014145249MQCH9I.jpg</v>
          </cell>
        </row>
        <row r="170">
          <cell r="I170" t="str">
            <v>JMD1E2026852</v>
          </cell>
          <cell r="J170" t="str">
            <v>X123YZ</v>
          </cell>
          <cell r="K170" t="str">
            <v>KPB1</v>
          </cell>
          <cell r="L170">
            <v>797</v>
          </cell>
          <cell r="M170" t="str">
            <v>2025-08-18</v>
          </cell>
          <cell r="N170" t="str">
            <v>2025-10-14</v>
          </cell>
          <cell r="O170" t="str">
            <v>https://hana.modakita.com/azd942/avatar/21063208420251014143720BXLZMQ.jpg</v>
          </cell>
        </row>
        <row r="171">
          <cell r="I171" t="str">
            <v>KFD1E1121463</v>
          </cell>
          <cell r="J171" t="str">
            <v>KB4338BA</v>
          </cell>
          <cell r="K171" t="str">
            <v>KPB2</v>
          </cell>
          <cell r="L171">
            <v>3343</v>
          </cell>
          <cell r="M171" t="str">
            <v>2025-06-03</v>
          </cell>
          <cell r="N171" t="str">
            <v>2025-10-14</v>
          </cell>
          <cell r="O171" t="str">
            <v>https://hana.modakita.com/azd942/avatar/237738202510141432493PVLIZ.jpg</v>
          </cell>
        </row>
        <row r="172">
          <cell r="I172" t="str">
            <v>JMC1E1691161</v>
          </cell>
          <cell r="J172" t="str">
            <v>KB6028BA</v>
          </cell>
          <cell r="K172" t="str">
            <v>KPB1</v>
          </cell>
          <cell r="L172">
            <v>601</v>
          </cell>
          <cell r="M172" t="str">
            <v>2025-08-18</v>
          </cell>
          <cell r="N172" t="str">
            <v>2025-10-14</v>
          </cell>
          <cell r="O172" t="str">
            <v>https://hana.modakita.com/azd942/avatar/21301231220251014090925JISLDF.jpg</v>
          </cell>
        </row>
        <row r="173">
          <cell r="I173" t="str">
            <v>JMD1E2013015</v>
          </cell>
          <cell r="J173" t="str">
            <v>KB6032BA</v>
          </cell>
          <cell r="K173" t="str">
            <v>KPB1</v>
          </cell>
          <cell r="L173">
            <v>380</v>
          </cell>
          <cell r="M173" t="str">
            <v>2025-08-15</v>
          </cell>
          <cell r="N173" t="str">
            <v>2025-10-14</v>
          </cell>
          <cell r="O173" t="str">
            <v>https://hana.modakita.com/azd942/avatar/21301231220251014085721IRCEN7.jpg</v>
          </cell>
        </row>
        <row r="174">
          <cell r="I174" t="str">
            <v>JMD1E1829589</v>
          </cell>
          <cell r="J174" t="str">
            <v>X123YZ</v>
          </cell>
          <cell r="K174" t="str">
            <v>KPB3</v>
          </cell>
          <cell r="L174">
            <v>7450</v>
          </cell>
          <cell r="M174" t="str">
            <v>2025-02-15</v>
          </cell>
          <cell r="N174" t="str">
            <v>2025-10-14</v>
          </cell>
          <cell r="O174" t="str">
            <v>https://hana.modakita.com/azd942/avatar/21301231220251014084803D2CNU0.jpg</v>
          </cell>
        </row>
        <row r="175">
          <cell r="I175" t="str">
            <v>JMC1E1687346</v>
          </cell>
          <cell r="J175" t="str">
            <v>X123YZ</v>
          </cell>
          <cell r="K175" t="str">
            <v>KPB1</v>
          </cell>
          <cell r="L175">
            <v>760</v>
          </cell>
          <cell r="M175" t="str">
            <v>2025-08-15</v>
          </cell>
          <cell r="N175" t="str">
            <v>2025-10-14</v>
          </cell>
          <cell r="O175" t="str">
            <v>https://hana.modakita.com/azd942/avatar/21301231220251014083712V86VLC.jpg</v>
          </cell>
        </row>
        <row r="176">
          <cell r="I176" t="str">
            <v>JMF1E1298358</v>
          </cell>
          <cell r="J176" t="str">
            <v>KB5040L</v>
          </cell>
          <cell r="K176" t="str">
            <v>KPB1</v>
          </cell>
          <cell r="L176">
            <v>973</v>
          </cell>
          <cell r="M176" t="str">
            <v>2025-08-15</v>
          </cell>
          <cell r="N176" t="str">
            <v>2025-10-13</v>
          </cell>
          <cell r="O176" t="str">
            <v>https://hana.modakita.com/azd942/avatar/21063208420251013144012ZCMPFK.jpg</v>
          </cell>
        </row>
        <row r="177">
          <cell r="I177" t="str">
            <v>JMF1E1182894</v>
          </cell>
          <cell r="J177" t="str">
            <v>X123YZ</v>
          </cell>
          <cell r="K177" t="str">
            <v>KPB3</v>
          </cell>
          <cell r="L177">
            <v>5094</v>
          </cell>
          <cell r="M177" t="str">
            <v>2025-02-15</v>
          </cell>
          <cell r="N177" t="str">
            <v>2025-10-13</v>
          </cell>
          <cell r="O177" t="str">
            <v>https://hana.modakita.com/azd942/avatar/23773820251013143057DZMKJ5.jpg</v>
          </cell>
        </row>
        <row r="178">
          <cell r="I178" t="str">
            <v>JMD1E2014342</v>
          </cell>
          <cell r="J178" t="str">
            <v>KB5085L</v>
          </cell>
          <cell r="K178" t="str">
            <v>KPB1</v>
          </cell>
          <cell r="L178">
            <v>435</v>
          </cell>
          <cell r="M178" t="str">
            <v>2025-08-15</v>
          </cell>
          <cell r="N178" t="str">
            <v>2025-10-13</v>
          </cell>
          <cell r="O178" t="str">
            <v>https://hana.modakita.com/azd942/avatar/23773820251013142419DXQOZA.jpg</v>
          </cell>
        </row>
        <row r="179">
          <cell r="I179" t="str">
            <v>JBK3E1589217</v>
          </cell>
          <cell r="J179" t="str">
            <v>KB4761I</v>
          </cell>
          <cell r="K179" t="str">
            <v>KPB1</v>
          </cell>
          <cell r="L179">
            <v>809</v>
          </cell>
          <cell r="M179" t="str">
            <v>2025-08-14</v>
          </cell>
          <cell r="N179" t="str">
            <v>2025-10-13</v>
          </cell>
          <cell r="O179" t="str">
            <v>https://hana.modakita.com/azd942/avatar/2106320842025101313591651ZSCF.jpg</v>
          </cell>
        </row>
        <row r="180">
          <cell r="I180" t="str">
            <v>JMC1E1565812</v>
          </cell>
          <cell r="J180" t="str">
            <v>X123YZ</v>
          </cell>
          <cell r="K180" t="str">
            <v>KPB3</v>
          </cell>
          <cell r="L180">
            <v>4889</v>
          </cell>
          <cell r="M180" t="str">
            <v>2025-02-15</v>
          </cell>
          <cell r="N180" t="str">
            <v>2025-10-13</v>
          </cell>
          <cell r="O180" t="str">
            <v>https://hana.modakita.com/azd942/avatar/21063208420251013134302TY0M12.jpg</v>
          </cell>
        </row>
        <row r="181">
          <cell r="I181" t="str">
            <v>JME1E1668351</v>
          </cell>
          <cell r="J181" t="str">
            <v>KB4763L</v>
          </cell>
          <cell r="K181" t="str">
            <v>KPB1</v>
          </cell>
          <cell r="L181">
            <v>177</v>
          </cell>
          <cell r="M181" t="str">
            <v>2025-08-14</v>
          </cell>
          <cell r="N181" t="str">
            <v>2025-10-13</v>
          </cell>
          <cell r="O181" t="str">
            <v>https://hana.modakita.com/azd942/avatar/23773820251013133550ZBLE3X.jpg</v>
          </cell>
        </row>
        <row r="182">
          <cell r="I182" t="str">
            <v>JMC1E1564488</v>
          </cell>
          <cell r="J182" t="str">
            <v>KB6924XZ</v>
          </cell>
          <cell r="K182" t="str">
            <v>KPB3</v>
          </cell>
          <cell r="L182">
            <v>6001</v>
          </cell>
          <cell r="M182" t="str">
            <v>2025-02-15</v>
          </cell>
          <cell r="N182" t="str">
            <v>2025-10-13</v>
          </cell>
          <cell r="O182" t="str">
            <v>https://hana.modakita.com/azd942/avatar/21063208420251013133449FFRU10.jpg</v>
          </cell>
        </row>
        <row r="183">
          <cell r="I183" t="str">
            <v>KFD1E1120139</v>
          </cell>
          <cell r="J183" t="str">
            <v>X123YZ</v>
          </cell>
          <cell r="K183" t="str">
            <v>KPB2</v>
          </cell>
          <cell r="L183">
            <v>2263</v>
          </cell>
          <cell r="M183" t="str">
            <v>2025-06-14</v>
          </cell>
          <cell r="N183" t="str">
            <v>2025-10-13</v>
          </cell>
          <cell r="O183" t="str">
            <v>https://hana.modakita.com/azd942/avatar/2106320842025101313280391XLQJ.jpg</v>
          </cell>
        </row>
        <row r="184">
          <cell r="I184" t="str">
            <v>KFA1E1325973</v>
          </cell>
          <cell r="J184" t="str">
            <v>KB5087L</v>
          </cell>
          <cell r="K184" t="str">
            <v>KPB1</v>
          </cell>
          <cell r="L184">
            <v>709</v>
          </cell>
          <cell r="M184" t="str">
            <v>2025-08-15</v>
          </cell>
          <cell r="N184" t="str">
            <v>2025-10-13</v>
          </cell>
          <cell r="O184" t="str">
            <v>https://hana.modakita.com/azd942/avatar/210632084202510131140210NQRC6.jpg</v>
          </cell>
        </row>
        <row r="185">
          <cell r="I185" t="str">
            <v>KFC1E1169668</v>
          </cell>
          <cell r="J185" t="str">
            <v>X123YZ</v>
          </cell>
          <cell r="K185" t="str">
            <v>KPB1</v>
          </cell>
          <cell r="L185">
            <v>528</v>
          </cell>
          <cell r="M185" t="str">
            <v>2025-08-08</v>
          </cell>
          <cell r="N185" t="str">
            <v>2025-10-13</v>
          </cell>
          <cell r="O185" t="str">
            <v>https://hana.modakita.com/azd942/avatar/23773820251013111818XKTQQS.jpg</v>
          </cell>
        </row>
        <row r="186">
          <cell r="I186" t="str">
            <v>JBK3E1577311</v>
          </cell>
          <cell r="J186" t="str">
            <v>KB6596LQ</v>
          </cell>
          <cell r="K186" t="str">
            <v>KPB2</v>
          </cell>
          <cell r="L186">
            <v>2536</v>
          </cell>
          <cell r="M186" t="str">
            <v>2025-06-06</v>
          </cell>
          <cell r="N186" t="str">
            <v>2025-10-13</v>
          </cell>
          <cell r="O186" t="str">
            <v>https://hana.modakita.com/azd942/avatar/21063208420251013111636IAKC8K.jpg</v>
          </cell>
        </row>
        <row r="187">
          <cell r="I187" t="str">
            <v>KC02E1287888</v>
          </cell>
          <cell r="J187" t="str">
            <v>X123YZ</v>
          </cell>
          <cell r="K187" t="str">
            <v>KPB3</v>
          </cell>
          <cell r="L187">
            <v>6932</v>
          </cell>
          <cell r="M187" t="str">
            <v>2025-02-05</v>
          </cell>
          <cell r="N187" t="str">
            <v>2025-10-13</v>
          </cell>
          <cell r="O187" t="str">
            <v>https://hana.modakita.com/azd942/avatar/21063208420251013111048IDBAYW.jpg</v>
          </cell>
        </row>
        <row r="188">
          <cell r="I188" t="str">
            <v>JBK3E1587689</v>
          </cell>
          <cell r="J188" t="str">
            <v>KB5610BA</v>
          </cell>
          <cell r="K188" t="str">
            <v>KPB1</v>
          </cell>
          <cell r="L188">
            <v>850</v>
          </cell>
          <cell r="M188" t="str">
            <v>2025-08-05</v>
          </cell>
          <cell r="N188" t="str">
            <v>2025-10-13</v>
          </cell>
          <cell r="O188" t="str">
            <v>https://hana.modakita.com/azd942/avatar/23773820251013110611DXOLOE.jpg</v>
          </cell>
        </row>
        <row r="189">
          <cell r="I189" t="str">
            <v>KFD1E1146369</v>
          </cell>
          <cell r="J189" t="str">
            <v>KB2912L</v>
          </cell>
          <cell r="K189" t="str">
            <v>KPB1</v>
          </cell>
          <cell r="L189">
            <v>980</v>
          </cell>
          <cell r="M189" t="str">
            <v>2025-08-03</v>
          </cell>
          <cell r="N189" t="str">
            <v>2025-10-13</v>
          </cell>
          <cell r="O189" t="str">
            <v>https://hana.modakita.com/azd942/avatar/21063208420251013105230U88SUY.jpg</v>
          </cell>
        </row>
        <row r="190">
          <cell r="I190" t="str">
            <v>JBP1E2107697</v>
          </cell>
          <cell r="J190" t="str">
            <v>X123YZ</v>
          </cell>
          <cell r="K190" t="str">
            <v>KPB2</v>
          </cell>
          <cell r="L190">
            <v>4081</v>
          </cell>
          <cell r="M190" t="str">
            <v>2025-06-16</v>
          </cell>
          <cell r="N190" t="str">
            <v>2025-10-13</v>
          </cell>
          <cell r="O190" t="str">
            <v>https://hana.modakita.com/azd942/avatar/21394210620251013104235WZB1DY.jpg</v>
          </cell>
        </row>
        <row r="191">
          <cell r="I191" t="str">
            <v>JBP1E2115418</v>
          </cell>
          <cell r="J191" t="str">
            <v>KB2911L</v>
          </cell>
          <cell r="K191" t="str">
            <v>KPB1</v>
          </cell>
          <cell r="L191">
            <v>962</v>
          </cell>
          <cell r="M191" t="str">
            <v>2025-08-04</v>
          </cell>
          <cell r="N191" t="str">
            <v>2025-10-13</v>
          </cell>
          <cell r="O191" t="str">
            <v>https://hana.modakita.com/azd942/avatar/23773820251013103537J6ADZ4.jpg</v>
          </cell>
        </row>
        <row r="192">
          <cell r="I192" t="str">
            <v>JMB1E1200251</v>
          </cell>
          <cell r="J192" t="str">
            <v>KB4330BA</v>
          </cell>
          <cell r="K192" t="str">
            <v>KPB2</v>
          </cell>
          <cell r="L192">
            <v>2080</v>
          </cell>
          <cell r="M192" t="str">
            <v>2025-06-04</v>
          </cell>
          <cell r="N192" t="str">
            <v>2025-10-13</v>
          </cell>
          <cell r="O192" t="str">
            <v>https://hana.modakita.com/azd942/avatar/21063208420251013102839RMV2EY.jpg</v>
          </cell>
        </row>
        <row r="193">
          <cell r="I193" t="str">
            <v>KFE3E1026836</v>
          </cell>
          <cell r="J193" t="str">
            <v>KB5623BA</v>
          </cell>
          <cell r="K193" t="str">
            <v>KPB1</v>
          </cell>
          <cell r="L193">
            <v>362</v>
          </cell>
          <cell r="M193" t="str">
            <v>2025-08-07</v>
          </cell>
          <cell r="N193" t="str">
            <v>2025-10-13</v>
          </cell>
          <cell r="O193" t="str">
            <v>https://hana.modakita.com/azd942/avatar/21063208420251013102147OJJGP1.jpg</v>
          </cell>
        </row>
        <row r="194">
          <cell r="I194" t="str">
            <v>JMH2E1449172</v>
          </cell>
          <cell r="J194" t="str">
            <v>KB3992L</v>
          </cell>
          <cell r="K194" t="str">
            <v>KPB1</v>
          </cell>
          <cell r="L194">
            <v>632</v>
          </cell>
          <cell r="M194" t="str">
            <v>2025-08-06</v>
          </cell>
          <cell r="N194" t="str">
            <v>2025-10-13</v>
          </cell>
          <cell r="O194" t="str">
            <v>https://hana.modakita.com/azd942/avatar/23773820251013101414EQ67BI.jpg</v>
          </cell>
        </row>
        <row r="195">
          <cell r="I195" t="str">
            <v>JBP1E2107737</v>
          </cell>
          <cell r="J195" t="str">
            <v>KB6621LQ</v>
          </cell>
          <cell r="K195" t="str">
            <v>KPB2</v>
          </cell>
          <cell r="L195">
            <v>1620</v>
          </cell>
          <cell r="M195" t="str">
            <v>2025-06-14</v>
          </cell>
          <cell r="N195" t="str">
            <v>2025-10-13</v>
          </cell>
          <cell r="O195" t="str">
            <v>https://hana.modakita.com/azd942/avatar/21394210620251013100547O9FVZM.jpg</v>
          </cell>
        </row>
        <row r="196">
          <cell r="I196" t="str">
            <v>KF01E1932685</v>
          </cell>
          <cell r="J196" t="str">
            <v>KB5621BA</v>
          </cell>
          <cell r="K196" t="str">
            <v>KPB1</v>
          </cell>
          <cell r="L196">
            <v>892</v>
          </cell>
          <cell r="M196" t="str">
            <v>2025-08-07</v>
          </cell>
          <cell r="N196" t="str">
            <v>2025-10-13</v>
          </cell>
          <cell r="O196" t="str">
            <v>https://hana.modakita.com/azd942/avatar/21063208420251013095103NPJW88.jpg</v>
          </cell>
        </row>
        <row r="197">
          <cell r="I197" t="str">
            <v>JMC1E1692447</v>
          </cell>
          <cell r="J197" t="str">
            <v>X123YZ</v>
          </cell>
          <cell r="K197" t="str">
            <v>KPB1</v>
          </cell>
          <cell r="L197">
            <v>825</v>
          </cell>
          <cell r="M197" t="str">
            <v>2025-08-14</v>
          </cell>
          <cell r="N197" t="str">
            <v>2025-10-13</v>
          </cell>
          <cell r="O197" t="str">
            <v>https://hana.modakita.com/azd942/avatar/21301231220251013093243ZWHVGA.jpg</v>
          </cell>
        </row>
        <row r="198">
          <cell r="I198" t="str">
            <v>JME1E1643820</v>
          </cell>
          <cell r="J198" t="str">
            <v>KB5615BA</v>
          </cell>
          <cell r="K198" t="str">
            <v>KPB1</v>
          </cell>
          <cell r="L198">
            <v>1041</v>
          </cell>
          <cell r="M198" t="str">
            <v>2025-08-07</v>
          </cell>
          <cell r="N198" t="str">
            <v>2025-10-13</v>
          </cell>
          <cell r="O198" t="str">
            <v>https://hana.modakita.com/azd942/avatar/23773820251013091628BIHVCV.jpg</v>
          </cell>
        </row>
        <row r="199">
          <cell r="I199" t="str">
            <v>JMC1E1692437</v>
          </cell>
          <cell r="J199" t="str">
            <v>X123YZ</v>
          </cell>
          <cell r="K199" t="str">
            <v>KPB1</v>
          </cell>
          <cell r="L199">
            <v>610</v>
          </cell>
          <cell r="M199" t="str">
            <v>2025-08-14</v>
          </cell>
          <cell r="N199" t="str">
            <v>2025-10-13</v>
          </cell>
          <cell r="O199" t="str">
            <v>https://hana.modakita.com/azd942/avatar/21301231220251013090636HYT4LP.jpg</v>
          </cell>
        </row>
        <row r="200">
          <cell r="I200" t="str">
            <v>JMC1E1692590</v>
          </cell>
          <cell r="J200" t="str">
            <v>KB4780L</v>
          </cell>
          <cell r="K200" t="str">
            <v>KPB1</v>
          </cell>
          <cell r="L200">
            <v>975</v>
          </cell>
          <cell r="M200" t="str">
            <v>2025-08-14</v>
          </cell>
          <cell r="N200" t="str">
            <v>2025-10-11</v>
          </cell>
          <cell r="O200" t="str">
            <v>https://hana.modakita.com/azd942/avatar/21063208420251011142036T2VI1H.jpg</v>
          </cell>
        </row>
        <row r="201">
          <cell r="I201" t="str">
            <v>JMF1E1296363</v>
          </cell>
          <cell r="J201" t="str">
            <v>KB5814BA</v>
          </cell>
          <cell r="K201" t="str">
            <v>KPB1</v>
          </cell>
          <cell r="L201">
            <v>228</v>
          </cell>
          <cell r="M201" t="str">
            <v>2025-08-15</v>
          </cell>
          <cell r="N201" t="str">
            <v>2025-10-11</v>
          </cell>
          <cell r="O201" t="str">
            <v>https://hana.modakita.com/azd942/avatar/23773820251011140939OEJTGF.jpg</v>
          </cell>
        </row>
        <row r="202">
          <cell r="I202" t="str">
            <v>KF01E1907123</v>
          </cell>
          <cell r="J202" t="str">
            <v>KB4586BA</v>
          </cell>
          <cell r="K202" t="str">
            <v>KPB2</v>
          </cell>
          <cell r="L202">
            <v>1170</v>
          </cell>
          <cell r="M202" t="str">
            <v>2025-06-13</v>
          </cell>
          <cell r="N202" t="str">
            <v>2025-10-11</v>
          </cell>
          <cell r="O202" t="str">
            <v>https://hana.modakita.com/azd942/avatar/2130123122025101114081823SKR3.jpg</v>
          </cell>
        </row>
        <row r="203">
          <cell r="I203" t="str">
            <v>JMH1E1076459</v>
          </cell>
          <cell r="J203" t="str">
            <v>X123YZ</v>
          </cell>
          <cell r="K203" t="str">
            <v>KPB3</v>
          </cell>
          <cell r="L203">
            <v>2743</v>
          </cell>
          <cell r="M203" t="str">
            <v>2025-02-13</v>
          </cell>
          <cell r="N203" t="str">
            <v>2025-10-11</v>
          </cell>
          <cell r="O203" t="str">
            <v>https://hana.modakita.com/azd942/avatar/210632084202510111406074LO13C.jpg</v>
          </cell>
        </row>
        <row r="204">
          <cell r="I204" t="str">
            <v>JMD1E1955621</v>
          </cell>
          <cell r="J204" t="str">
            <v>X123YZ</v>
          </cell>
          <cell r="K204" t="str">
            <v>KPB2</v>
          </cell>
          <cell r="L204">
            <v>2460</v>
          </cell>
          <cell r="M204" t="str">
            <v>2025-06-13</v>
          </cell>
          <cell r="N204" t="str">
            <v>2025-10-11</v>
          </cell>
          <cell r="O204" t="str">
            <v>https://hana.modakita.com/azd942/avatar/21063208420251011140044YPNAXL.jpg</v>
          </cell>
        </row>
        <row r="205">
          <cell r="I205" t="str">
            <v>JMH1E1183678</v>
          </cell>
          <cell r="J205" t="str">
            <v>KB6618LQ</v>
          </cell>
          <cell r="K205" t="str">
            <v>KPB2</v>
          </cell>
          <cell r="L205">
            <v>1232</v>
          </cell>
          <cell r="M205" t="str">
            <v>2025-06-14</v>
          </cell>
          <cell r="N205" t="str">
            <v>2025-10-11</v>
          </cell>
          <cell r="O205" t="str">
            <v>https://hana.modakita.com/azd942/avatar/21394210620251011135855MZTWJB.jpg</v>
          </cell>
        </row>
        <row r="206">
          <cell r="I206" t="str">
            <v>JME1E1551320</v>
          </cell>
          <cell r="J206" t="str">
            <v>KB4575BA</v>
          </cell>
          <cell r="K206" t="str">
            <v>KPB2</v>
          </cell>
          <cell r="L206">
            <v>3420</v>
          </cell>
          <cell r="M206" t="str">
            <v>2025-06-13</v>
          </cell>
          <cell r="N206" t="str">
            <v>2025-10-11</v>
          </cell>
          <cell r="O206" t="str">
            <v>https://hana.modakita.com/azd942/avatar/23773820251011134622ZFUGCK.jpg</v>
          </cell>
        </row>
        <row r="207">
          <cell r="I207" t="str">
            <v>KFD1E1151326</v>
          </cell>
          <cell r="J207" t="str">
            <v>KB4141BX</v>
          </cell>
          <cell r="K207" t="str">
            <v>KPB1</v>
          </cell>
          <cell r="L207">
            <v>969</v>
          </cell>
          <cell r="M207" t="str">
            <v>2025-08-14</v>
          </cell>
          <cell r="N207" t="str">
            <v>2025-10-11</v>
          </cell>
          <cell r="O207" t="str">
            <v>https://hana.modakita.com/azd942/avatar/21301231220251011134412QV0FPO.jpg</v>
          </cell>
        </row>
        <row r="208">
          <cell r="I208" t="str">
            <v>KF01E1947744</v>
          </cell>
          <cell r="J208" t="str">
            <v>KB5061L</v>
          </cell>
          <cell r="K208" t="str">
            <v>KPB1</v>
          </cell>
          <cell r="L208">
            <v>814</v>
          </cell>
          <cell r="M208" t="str">
            <v>2025-08-15</v>
          </cell>
          <cell r="N208" t="str">
            <v>2025-10-11</v>
          </cell>
          <cell r="O208" t="str">
            <v>https://hana.modakita.com/azd942/avatar/21063208420251011134340TBUV2I.jpg</v>
          </cell>
        </row>
        <row r="209">
          <cell r="I209" t="str">
            <v>KFE1E1101438</v>
          </cell>
          <cell r="J209" t="str">
            <v>X123YZ</v>
          </cell>
          <cell r="K209" t="str">
            <v>KPB2</v>
          </cell>
          <cell r="L209">
            <v>3696</v>
          </cell>
          <cell r="M209" t="str">
            <v>2025-04-17</v>
          </cell>
          <cell r="N209" t="str">
            <v>2025-10-11</v>
          </cell>
          <cell r="O209" t="str">
            <v>https://hana.modakita.com/azd942/avatar/237738202510111339419HDCHU.jpg</v>
          </cell>
        </row>
        <row r="210">
          <cell r="I210" t="str">
            <v>JMD1E2007293</v>
          </cell>
          <cell r="J210" t="str">
            <v>X123YZ</v>
          </cell>
          <cell r="K210" t="str">
            <v>KPB1</v>
          </cell>
          <cell r="L210">
            <v>728</v>
          </cell>
          <cell r="M210" t="str">
            <v>2025-08-13</v>
          </cell>
          <cell r="N210" t="str">
            <v>2025-10-11</v>
          </cell>
          <cell r="O210" t="str">
            <v>https://hana.modakita.com/azd942/avatar/21301231220251011133728OHMRSJ.jpg</v>
          </cell>
        </row>
        <row r="211">
          <cell r="I211" t="str">
            <v>JMD1E2019492</v>
          </cell>
          <cell r="J211" t="str">
            <v>X123YZ</v>
          </cell>
          <cell r="K211" t="str">
            <v>KPB1</v>
          </cell>
          <cell r="L211">
            <v>885</v>
          </cell>
          <cell r="M211" t="str">
            <v>2025-08-13</v>
          </cell>
          <cell r="N211" t="str">
            <v>2025-10-11</v>
          </cell>
          <cell r="O211" t="str">
            <v>https://hana.modakita.com/azd942/avatar/23773820251011133325NWTU7Z.jpg</v>
          </cell>
        </row>
        <row r="212">
          <cell r="I212" t="str">
            <v>JME1E1165602</v>
          </cell>
          <cell r="J212" t="str">
            <v>X123YZ</v>
          </cell>
          <cell r="K212" t="str">
            <v>KPB4</v>
          </cell>
          <cell r="L212">
            <v>11290</v>
          </cell>
          <cell r="M212" t="str">
            <v>2024-10-15</v>
          </cell>
          <cell r="N212" t="str">
            <v>2025-10-11</v>
          </cell>
          <cell r="O212" t="str">
            <v>https://hana.modakita.com/azd942/avatar/23773820251011111349KGSXRE.jpg</v>
          </cell>
        </row>
        <row r="213">
          <cell r="I213" t="str">
            <v>KD11E1607900</v>
          </cell>
          <cell r="J213" t="str">
            <v>KB6036LQ</v>
          </cell>
          <cell r="K213" t="str">
            <v>KPB2</v>
          </cell>
          <cell r="L213">
            <v>2894</v>
          </cell>
          <cell r="M213" t="str">
            <v>2025-06-17</v>
          </cell>
          <cell r="N213" t="str">
            <v>2025-10-11</v>
          </cell>
          <cell r="O213" t="str">
            <v>https://hana.modakita.com/azd942/avatar/21063208420251011111218OXYJ5Z.jpg</v>
          </cell>
        </row>
        <row r="214">
          <cell r="I214" t="str">
            <v>JMC1E1646691</v>
          </cell>
          <cell r="J214" t="str">
            <v>X123YZ</v>
          </cell>
          <cell r="K214" t="str">
            <v>KPB2</v>
          </cell>
          <cell r="L214">
            <v>2051</v>
          </cell>
          <cell r="M214" t="str">
            <v>2025-06-13</v>
          </cell>
          <cell r="N214" t="str">
            <v>2025-10-11</v>
          </cell>
          <cell r="O214" t="str">
            <v>https://hana.modakita.com/azd942/avatar/23773820251011110737PENRQ6.jpg</v>
          </cell>
        </row>
        <row r="215">
          <cell r="I215" t="str">
            <v>JMC1E1692010</v>
          </cell>
          <cell r="J215" t="str">
            <v>KB4053L</v>
          </cell>
          <cell r="K215" t="str">
            <v>KPB1</v>
          </cell>
          <cell r="L215">
            <v>931</v>
          </cell>
          <cell r="M215" t="str">
            <v>2025-08-13</v>
          </cell>
          <cell r="N215" t="str">
            <v>2025-10-11</v>
          </cell>
          <cell r="O215" t="str">
            <v>https://hana.modakita.com/azd942/avatar/23773820251011102249KYRQMM.jpg</v>
          </cell>
        </row>
        <row r="216">
          <cell r="I216" t="str">
            <v>JMC1E1562666</v>
          </cell>
          <cell r="J216" t="str">
            <v>KB6916XZ</v>
          </cell>
          <cell r="K216" t="str">
            <v>KPB3</v>
          </cell>
          <cell r="L216">
            <v>6207</v>
          </cell>
          <cell r="M216" t="str">
            <v>2025-02-13</v>
          </cell>
          <cell r="N216" t="str">
            <v>2025-10-11</v>
          </cell>
          <cell r="O216" t="str">
            <v>https://hana.modakita.com/azd942/avatar/21301231220251011100316W3IGZP.jpg</v>
          </cell>
        </row>
        <row r="217">
          <cell r="I217" t="str">
            <v>KC04E1012465</v>
          </cell>
          <cell r="J217" t="str">
            <v>X123YZ</v>
          </cell>
          <cell r="K217" t="str">
            <v>KPB1</v>
          </cell>
          <cell r="L217">
            <v>898</v>
          </cell>
          <cell r="M217" t="str">
            <v>2025-08-12</v>
          </cell>
          <cell r="N217" t="str">
            <v>2025-10-11</v>
          </cell>
          <cell r="O217" t="str">
            <v>https://hana.modakita.com/azd942/avatar/21301231220251011093842HYPJ1O.jpg</v>
          </cell>
        </row>
        <row r="218">
          <cell r="I218" t="str">
            <v>KC04E1012723</v>
          </cell>
          <cell r="J218" t="str">
            <v>X123YZ</v>
          </cell>
          <cell r="K218" t="str">
            <v>KPB1</v>
          </cell>
          <cell r="L218">
            <v>378</v>
          </cell>
          <cell r="M218" t="str">
            <v>2025-08-13</v>
          </cell>
          <cell r="N218" t="str">
            <v>2025-10-11</v>
          </cell>
          <cell r="O218" t="str">
            <v>https://hana.modakita.com/azd942/avatar/2106320842025101109382167UQB6.jpg</v>
          </cell>
        </row>
        <row r="219">
          <cell r="I219" t="str">
            <v>KC04E1013120</v>
          </cell>
          <cell r="J219" t="str">
            <v>KB5801BA</v>
          </cell>
          <cell r="K219" t="str">
            <v>KPB1</v>
          </cell>
          <cell r="L219">
            <v>609</v>
          </cell>
          <cell r="M219" t="str">
            <v>2025-08-12</v>
          </cell>
          <cell r="N219" t="str">
            <v>2025-10-11</v>
          </cell>
          <cell r="O219" t="str">
            <v>https://hana.modakita.com/azd942/avatar/23773820251011092542RGAKMY.jpg</v>
          </cell>
        </row>
        <row r="220">
          <cell r="I220" t="str">
            <v>JMH1E1062159</v>
          </cell>
          <cell r="J220" t="str">
            <v>X123YZ</v>
          </cell>
          <cell r="K220" t="str">
            <v>KPB3</v>
          </cell>
          <cell r="L220">
            <v>6402</v>
          </cell>
          <cell r="M220" t="str">
            <v>2025-02-12</v>
          </cell>
          <cell r="N220" t="str">
            <v>2025-10-11</v>
          </cell>
          <cell r="O220" t="str">
            <v>https://hana.modakita.com/azd942/avatar/21301231220251011092424OWJDIH.jpg</v>
          </cell>
        </row>
        <row r="221">
          <cell r="I221" t="str">
            <v>JMC1E1487223</v>
          </cell>
          <cell r="K221" t="str">
            <v>KPB4</v>
          </cell>
          <cell r="L221">
            <v>10479</v>
          </cell>
          <cell r="M221" t="str">
            <v>2024-10-13</v>
          </cell>
          <cell r="N221" t="str">
            <v>2025-10-11</v>
          </cell>
          <cell r="O221" t="str">
            <v>https://hana.modakita.com/azd942/avatar/210632084202510110920359T84XU.jpg</v>
          </cell>
        </row>
        <row r="222">
          <cell r="I222" t="str">
            <v>KC04E1013105</v>
          </cell>
          <cell r="J222" t="str">
            <v>KB4041L</v>
          </cell>
          <cell r="K222" t="str">
            <v>KPB1</v>
          </cell>
          <cell r="L222">
            <v>423</v>
          </cell>
          <cell r="M222" t="str">
            <v>2025-08-12</v>
          </cell>
          <cell r="N222" t="str">
            <v>2025-10-11</v>
          </cell>
          <cell r="O222" t="str">
            <v>https://hana.modakita.com/azd942/avatar/23773820251011091651BVYQHO.jpg</v>
          </cell>
        </row>
        <row r="223">
          <cell r="I223" t="str">
            <v>JMC1E1649181</v>
          </cell>
          <cell r="J223" t="str">
            <v>KB4584BA</v>
          </cell>
          <cell r="K223" t="str">
            <v>KPB2</v>
          </cell>
          <cell r="L223">
            <v>1582</v>
          </cell>
          <cell r="M223" t="str">
            <v>2025-06-13</v>
          </cell>
          <cell r="N223" t="str">
            <v>2025-10-11</v>
          </cell>
          <cell r="O223" t="str">
            <v>https://hana.modakita.com/azd942/avatar/21063208420251011091133XOPW6H.jpg</v>
          </cell>
        </row>
        <row r="224">
          <cell r="I224" t="str">
            <v>JMC1E1687712</v>
          </cell>
          <cell r="J224" t="str">
            <v>X123YZ</v>
          </cell>
          <cell r="K224" t="str">
            <v>KPB1</v>
          </cell>
          <cell r="L224">
            <v>202</v>
          </cell>
          <cell r="M224" t="str">
            <v>2025-08-11</v>
          </cell>
          <cell r="N224" t="str">
            <v>2025-10-10</v>
          </cell>
          <cell r="O224" t="str">
            <v>https://hana.modakita.com/azd942/avatar/21063208420251010153716GM2OJX.jpg</v>
          </cell>
        </row>
        <row r="225">
          <cell r="I225" t="str">
            <v>JMC1E1646876</v>
          </cell>
          <cell r="J225" t="str">
            <v>X123YZ</v>
          </cell>
          <cell r="K225" t="str">
            <v>KPB2</v>
          </cell>
          <cell r="L225">
            <v>1866</v>
          </cell>
          <cell r="M225" t="str">
            <v>2025-06-12</v>
          </cell>
          <cell r="N225" t="str">
            <v>2025-10-10</v>
          </cell>
          <cell r="O225" t="str">
            <v>https://hana.modakita.com/azd942/avatar/23773820251010151820TDSLJZ.jpg</v>
          </cell>
        </row>
        <row r="226">
          <cell r="I226" t="str">
            <v>JME1E1167935</v>
          </cell>
          <cell r="J226" t="str">
            <v>KB5827BX</v>
          </cell>
          <cell r="K226" t="str">
            <v>KPB4</v>
          </cell>
          <cell r="L226">
            <v>10678</v>
          </cell>
          <cell r="M226" t="str">
            <v>2024-10-14</v>
          </cell>
          <cell r="N226" t="str">
            <v>2025-10-10</v>
          </cell>
          <cell r="O226" t="str">
            <v>https://hana.modakita.com/azd942/avatar/2106320842025101015053147OMLB.jpg</v>
          </cell>
        </row>
        <row r="227">
          <cell r="I227" t="str">
            <v>JBK3E1541996</v>
          </cell>
          <cell r="K227" t="str">
            <v>KPB4</v>
          </cell>
          <cell r="L227">
            <v>8355</v>
          </cell>
          <cell r="M227" t="str">
            <v>2024-10-10</v>
          </cell>
          <cell r="N227" t="str">
            <v>2025-10-10</v>
          </cell>
          <cell r="O227" t="str">
            <v>https://hana.modakita.com/azd942/avatar/210632084202510101450044NHXU5.jpg</v>
          </cell>
        </row>
        <row r="228">
          <cell r="I228" t="str">
            <v>KF01E1946882</v>
          </cell>
          <cell r="J228" t="str">
            <v>KB4051L</v>
          </cell>
          <cell r="K228" t="str">
            <v>KPB1</v>
          </cell>
          <cell r="L228">
            <v>469</v>
          </cell>
          <cell r="M228" t="str">
            <v>2025-08-12</v>
          </cell>
          <cell r="N228" t="str">
            <v>2025-10-10</v>
          </cell>
          <cell r="O228" t="str">
            <v>https://hana.modakita.com/azd942/avatar/23773820251010143113RIJA8Y.jpg</v>
          </cell>
        </row>
        <row r="229">
          <cell r="I229" t="str">
            <v>JME1E1331747</v>
          </cell>
          <cell r="J229" t="str">
            <v>KB6738XZ</v>
          </cell>
          <cell r="K229" t="str">
            <v>KPB3</v>
          </cell>
          <cell r="L229">
            <v>6085</v>
          </cell>
          <cell r="M229" t="str">
            <v>2025-02-06</v>
          </cell>
          <cell r="N229" t="str">
            <v>2025-10-10</v>
          </cell>
          <cell r="O229" t="str">
            <v>https://hana.modakita.com/azd942/avatar/21063208420251010140843SYRLKH.jpg</v>
          </cell>
        </row>
        <row r="230">
          <cell r="I230" t="str">
            <v>JMC1E1687960</v>
          </cell>
          <cell r="J230" t="str">
            <v>X123YZ</v>
          </cell>
          <cell r="K230" t="str">
            <v>KPB1</v>
          </cell>
          <cell r="L230">
            <v>558</v>
          </cell>
          <cell r="M230" t="str">
            <v>2025-08-12</v>
          </cell>
          <cell r="N230" t="str">
            <v>2025-10-10</v>
          </cell>
          <cell r="O230" t="str">
            <v>https://hana.modakita.com/azd942/avatar/23773820251010140219MGEWHU.jpg</v>
          </cell>
        </row>
        <row r="231">
          <cell r="I231" t="str">
            <v>KFA1E1285890</v>
          </cell>
          <cell r="J231" t="str">
            <v>X123YZ</v>
          </cell>
          <cell r="K231" t="str">
            <v>KPB3</v>
          </cell>
          <cell r="L231">
            <v>3365</v>
          </cell>
          <cell r="M231" t="str">
            <v>2025-02-11</v>
          </cell>
          <cell r="N231" t="str">
            <v>2025-10-10</v>
          </cell>
          <cell r="O231" t="str">
            <v>https://hana.modakita.com/azd942/avatar/21394210620251010133719F4MTHT.jpg</v>
          </cell>
        </row>
        <row r="232">
          <cell r="I232" t="str">
            <v>JME1E1645215</v>
          </cell>
          <cell r="J232" t="str">
            <v>KB3994L</v>
          </cell>
          <cell r="K232" t="str">
            <v>KPB1</v>
          </cell>
          <cell r="L232">
            <v>357</v>
          </cell>
          <cell r="M232" t="str">
            <v>2025-08-07</v>
          </cell>
          <cell r="N232" t="str">
            <v>2025-10-10</v>
          </cell>
          <cell r="O232" t="str">
            <v>https://hana.modakita.com/azd942/avatar/210632084202510101336360Y4DNG.jpg</v>
          </cell>
        </row>
        <row r="233">
          <cell r="I233" t="str">
            <v>JMC1E1686576</v>
          </cell>
          <cell r="J233" t="str">
            <v>KB4034L</v>
          </cell>
          <cell r="K233" t="str">
            <v>KPB1</v>
          </cell>
          <cell r="L233">
            <v>426</v>
          </cell>
          <cell r="M233" t="str">
            <v>2025-08-12</v>
          </cell>
          <cell r="N233" t="str">
            <v>2025-10-10</v>
          </cell>
          <cell r="O233" t="str">
            <v>https://hana.modakita.com/azd942/avatar/23773820251010132954YOASLW.jpg</v>
          </cell>
        </row>
        <row r="234">
          <cell r="I234" t="str">
            <v>JBP1E2065130</v>
          </cell>
          <cell r="K234" t="str">
            <v>KPB4</v>
          </cell>
          <cell r="L234">
            <v>9191</v>
          </cell>
          <cell r="M234" t="str">
            <v>2024-10-13</v>
          </cell>
          <cell r="N234" t="str">
            <v>2025-10-10</v>
          </cell>
          <cell r="O234" t="str">
            <v>https://hana.modakita.com/azd942/avatar/23773820251010131253SUVLZ8.jpg</v>
          </cell>
        </row>
        <row r="235">
          <cell r="I235" t="str">
            <v>JMC1E1562719</v>
          </cell>
          <cell r="J235" t="str">
            <v>X123YZ</v>
          </cell>
          <cell r="K235" t="str">
            <v>KPB3</v>
          </cell>
          <cell r="L235">
            <v>5486</v>
          </cell>
          <cell r="M235" t="str">
            <v>2025-02-11</v>
          </cell>
          <cell r="N235" t="str">
            <v>2025-10-10</v>
          </cell>
          <cell r="O235" t="str">
            <v>https://hana.modakita.com/azd942/avatar/21394210620251010115443N34KYD.jpg</v>
          </cell>
        </row>
        <row r="236">
          <cell r="I236" t="str">
            <v>JBK3E1575741</v>
          </cell>
          <cell r="J236" t="str">
            <v>KB4327BA</v>
          </cell>
          <cell r="K236" t="str">
            <v>KPB2</v>
          </cell>
          <cell r="L236">
            <v>2238</v>
          </cell>
          <cell r="M236" t="str">
            <v>2025-06-03</v>
          </cell>
          <cell r="N236" t="str">
            <v>2025-10-10</v>
          </cell>
          <cell r="O236" t="str">
            <v>https://hana.modakita.com/azd942/avatar/21063208420251010115217X6FYIL.jpg</v>
          </cell>
        </row>
        <row r="237">
          <cell r="I237" t="str">
            <v>JMH1E1225580</v>
          </cell>
          <cell r="J237" t="str">
            <v>X123YZ</v>
          </cell>
          <cell r="K237" t="str">
            <v>KPB1</v>
          </cell>
          <cell r="L237">
            <v>456</v>
          </cell>
          <cell r="M237" t="str">
            <v>2025-08-06</v>
          </cell>
          <cell r="N237" t="str">
            <v>2025-10-10</v>
          </cell>
          <cell r="O237" t="str">
            <v>https://hana.modakita.com/azd942/avatar/23773820251010114434W7UTOY.jpg</v>
          </cell>
        </row>
        <row r="238">
          <cell r="I238" t="str">
            <v>JMH1E1092436</v>
          </cell>
          <cell r="J238" t="str">
            <v>KB6912XZ</v>
          </cell>
          <cell r="K238" t="str">
            <v>KPB3</v>
          </cell>
          <cell r="L238">
            <v>5007</v>
          </cell>
          <cell r="M238" t="str">
            <v>2025-02-12</v>
          </cell>
          <cell r="N238" t="str">
            <v>2025-10-10</v>
          </cell>
          <cell r="O238" t="str">
            <v>https://hana.modakita.com/azd942/avatar/21301231220251010113542V0IQ4N.jpg</v>
          </cell>
        </row>
        <row r="239">
          <cell r="I239" t="str">
            <v>KFA1E1309110</v>
          </cell>
          <cell r="J239" t="str">
            <v>KB6955XG</v>
          </cell>
          <cell r="K239" t="str">
            <v>KPB1</v>
          </cell>
          <cell r="L239">
            <v>429</v>
          </cell>
          <cell r="M239" t="str">
            <v>2025-08-11</v>
          </cell>
          <cell r="N239" t="str">
            <v>2025-10-10</v>
          </cell>
          <cell r="O239" t="str">
            <v>https://hana.modakita.com/azd942/avatar/21301231220251010105302FWE6D7.jpg</v>
          </cell>
        </row>
        <row r="240">
          <cell r="I240" t="str">
            <v>JMH1E1173837</v>
          </cell>
          <cell r="J240" t="str">
            <v>KB4403BA</v>
          </cell>
          <cell r="K240" t="str">
            <v>KPB2</v>
          </cell>
          <cell r="L240">
            <v>2240</v>
          </cell>
          <cell r="M240" t="str">
            <v>2025-06-11</v>
          </cell>
          <cell r="N240" t="str">
            <v>2025-10-10</v>
          </cell>
          <cell r="O240" t="str">
            <v>https://hana.modakita.com/azd942/avatar/21394210620251010095921RCNXFF.jpg</v>
          </cell>
        </row>
        <row r="241">
          <cell r="I241" t="str">
            <v>JME1E1651749</v>
          </cell>
          <cell r="J241" t="str">
            <v>KB5784BA</v>
          </cell>
          <cell r="K241" t="str">
            <v>KPB1</v>
          </cell>
          <cell r="L241">
            <v>456</v>
          </cell>
          <cell r="M241" t="str">
            <v>2025-08-11</v>
          </cell>
          <cell r="N241" t="str">
            <v>2025-10-10</v>
          </cell>
          <cell r="O241" t="str">
            <v>https://hana.modakita.com/azd942/avatar/21301231220251010091825VCEH0U.jpg</v>
          </cell>
        </row>
        <row r="242">
          <cell r="I242" t="str">
            <v>JMD1E1828073</v>
          </cell>
          <cell r="J242" t="str">
            <v>KB6858XZ</v>
          </cell>
          <cell r="K242" t="str">
            <v>KPB3</v>
          </cell>
          <cell r="L242">
            <v>5323</v>
          </cell>
          <cell r="M242" t="str">
            <v>2025-02-11</v>
          </cell>
          <cell r="N242" t="str">
            <v>2025-10-10</v>
          </cell>
          <cell r="O242" t="str">
            <v>https://hana.modakita.com/azd942/avatar/21301231220251010090101OSH2I2.jpg</v>
          </cell>
        </row>
        <row r="243">
          <cell r="I243" t="str">
            <v>KF01E1851277</v>
          </cell>
          <cell r="J243" t="str">
            <v>KB2302BA</v>
          </cell>
          <cell r="K243" t="str">
            <v>KPB3</v>
          </cell>
          <cell r="L243">
            <v>6712</v>
          </cell>
          <cell r="M243" t="str">
            <v>2025-03-11</v>
          </cell>
          <cell r="N243" t="str">
            <v>2025-10-10</v>
          </cell>
          <cell r="O243" t="str">
            <v>https://hana.modakita.com/azd942/avatar/213012312202510100845564NAI0L.jpg</v>
          </cell>
        </row>
        <row r="244">
          <cell r="I244" t="str">
            <v>KD11E1622718</v>
          </cell>
          <cell r="J244" t="str">
            <v>X123YZ</v>
          </cell>
          <cell r="K244" t="str">
            <v>KPB1</v>
          </cell>
          <cell r="L244">
            <v>835</v>
          </cell>
          <cell r="M244" t="str">
            <v>2025-08-11</v>
          </cell>
          <cell r="N244" t="str">
            <v>2025-10-09</v>
          </cell>
          <cell r="O244" t="str">
            <v>https://fruitbasket.blob.core.windows.net/gk2o5k/avatar/21063208420251009160657SO9DFI.jpg</v>
          </cell>
        </row>
        <row r="245">
          <cell r="I245" t="str">
            <v>JMB1E1214060</v>
          </cell>
          <cell r="J245" t="str">
            <v>KB4020L</v>
          </cell>
          <cell r="K245" t="str">
            <v>KPB1</v>
          </cell>
          <cell r="L245">
            <v>342</v>
          </cell>
          <cell r="M245" t="str">
            <v>2025-08-11</v>
          </cell>
          <cell r="N245" t="str">
            <v>2025-10-09</v>
          </cell>
          <cell r="O245" t="str">
            <v>https://fruitbasket.blob.core.windows.net/gk2o5k/avatar/23773820251009155809S7WX1W.jpg</v>
          </cell>
        </row>
        <row r="246">
          <cell r="I246" t="str">
            <v>JMC1E1687407</v>
          </cell>
          <cell r="J246" t="str">
            <v>KB3978PAJ</v>
          </cell>
          <cell r="K246" t="str">
            <v>KPB1</v>
          </cell>
          <cell r="L246">
            <v>112</v>
          </cell>
          <cell r="M246" t="str">
            <v>2025-08-11</v>
          </cell>
          <cell r="N246" t="str">
            <v>2025-10-09</v>
          </cell>
          <cell r="O246" t="str">
            <v>https://fruitbasket.blob.core.windows.net/gk2o5k/avatar/21063208420251009154609L3D6TG.jpg</v>
          </cell>
        </row>
        <row r="247">
          <cell r="I247" t="str">
            <v>JMH2E1290809</v>
          </cell>
          <cell r="J247" t="str">
            <v>KB2241XX</v>
          </cell>
          <cell r="K247" t="str">
            <v>KPB2</v>
          </cell>
          <cell r="L247">
            <v>1582</v>
          </cell>
          <cell r="M247" t="str">
            <v>1970-01-01</v>
          </cell>
          <cell r="N247" t="str">
            <v>2025-10-09</v>
          </cell>
          <cell r="O247" t="str">
            <v>https://fruitbasket.blob.core.windows.net/gk2o5k/avatar/23773820251009153912WJVFX7.jpg</v>
          </cell>
        </row>
        <row r="248">
          <cell r="I248" t="str">
            <v>JMH1E1170664</v>
          </cell>
          <cell r="J248" t="str">
            <v>X123YZ</v>
          </cell>
          <cell r="K248" t="str">
            <v>KPB2</v>
          </cell>
          <cell r="L248">
            <v>4052</v>
          </cell>
          <cell r="M248" t="str">
            <v>1970-01-01</v>
          </cell>
          <cell r="N248" t="str">
            <v>2025-10-09</v>
          </cell>
          <cell r="O248" t="str">
            <v>https://fruitbasket.blob.core.windows.net/gk2o5k/avatar/21063208420251009153313PKT3AN.jpg</v>
          </cell>
        </row>
        <row r="249">
          <cell r="I249" t="str">
            <v>JMF2E1437315</v>
          </cell>
          <cell r="J249" t="str">
            <v>KB3709MAJ</v>
          </cell>
          <cell r="K249" t="str">
            <v>KPB2</v>
          </cell>
          <cell r="L249">
            <v>3638</v>
          </cell>
          <cell r="M249" t="str">
            <v>1970-01-01</v>
          </cell>
          <cell r="N249" t="str">
            <v>2025-10-09</v>
          </cell>
          <cell r="O249" t="str">
            <v>https://fruitbasket.blob.core.windows.net/gk2o5k/avatar/23773820251009152812LWXY85.jpg</v>
          </cell>
        </row>
        <row r="250">
          <cell r="I250" t="str">
            <v>KC02E1268184</v>
          </cell>
          <cell r="K250" t="str">
            <v>KPB4</v>
          </cell>
          <cell r="L250">
            <v>10684</v>
          </cell>
          <cell r="M250" t="str">
            <v>2024-10-10</v>
          </cell>
          <cell r="N250" t="str">
            <v>2025-10-09</v>
          </cell>
          <cell r="O250" t="str">
            <v>https://fruitbasket.blob.core.windows.net/gk2o5k/avatar/21063208420251009152752BYHXMM.jpg</v>
          </cell>
        </row>
        <row r="251">
          <cell r="I251" t="str">
            <v>JMC1E1480922</v>
          </cell>
          <cell r="J251" t="str">
            <v>X123YZ</v>
          </cell>
          <cell r="K251" t="str">
            <v>KPB4</v>
          </cell>
          <cell r="L251">
            <v>9070</v>
          </cell>
          <cell r="M251" t="str">
            <v>2024-10-13</v>
          </cell>
          <cell r="N251" t="str">
            <v>2025-10-09</v>
          </cell>
          <cell r="O251" t="str">
            <v>https://fruitbasket.blob.core.windows.net/gk2o5k/avatar/23773820251009151154AREWYR.jpg</v>
          </cell>
        </row>
        <row r="252">
          <cell r="I252" t="str">
            <v>JBK3E1560111</v>
          </cell>
          <cell r="J252" t="str">
            <v>B2240XX</v>
          </cell>
          <cell r="K252" t="str">
            <v>KPB3</v>
          </cell>
          <cell r="L252">
            <v>4518</v>
          </cell>
          <cell r="M252" t="str">
            <v>1970-01-01</v>
          </cell>
          <cell r="N252" t="str">
            <v>2025-10-09</v>
          </cell>
          <cell r="O252" t="str">
            <v>https://fruitbasket.blob.core.windows.net/gk2o5k/avatar/21063208420251009150853V0FXBP.jpg</v>
          </cell>
        </row>
        <row r="253">
          <cell r="I253" t="str">
            <v>KF01E1893269</v>
          </cell>
          <cell r="J253" t="str">
            <v>KB2240XX</v>
          </cell>
          <cell r="K253" t="str">
            <v>KPB2</v>
          </cell>
          <cell r="L253">
            <v>4358</v>
          </cell>
          <cell r="M253" t="str">
            <v>1970-01-01</v>
          </cell>
          <cell r="N253" t="str">
            <v>2025-10-09</v>
          </cell>
          <cell r="O253" t="str">
            <v>https://fruitbasket.blob.core.windows.net/gk2o5k/avatar/23773820251009145810NT2STD.jpg</v>
          </cell>
        </row>
        <row r="254">
          <cell r="I254" t="str">
            <v>KD11E1603553</v>
          </cell>
          <cell r="J254" t="str">
            <v>X123YZ</v>
          </cell>
          <cell r="K254" t="str">
            <v>KPB2</v>
          </cell>
          <cell r="L254">
            <v>2790</v>
          </cell>
          <cell r="M254" t="str">
            <v>2025-06-10</v>
          </cell>
          <cell r="N254" t="str">
            <v>2025-10-09</v>
          </cell>
          <cell r="O254" t="str">
            <v>https://fruitbasket.blob.core.windows.net/gk2o5k/avatar/21063208420251009145110DST8KT.jpg</v>
          </cell>
        </row>
        <row r="255">
          <cell r="I255" t="str">
            <v>KFE1E1146136</v>
          </cell>
          <cell r="J255" t="str">
            <v>KB123XXX</v>
          </cell>
          <cell r="K255" t="str">
            <v>KPB2</v>
          </cell>
          <cell r="L255">
            <v>3380</v>
          </cell>
          <cell r="M255" t="str">
            <v>1970-01-01</v>
          </cell>
          <cell r="N255" t="str">
            <v>2025-10-09</v>
          </cell>
          <cell r="O255" t="str">
            <v>https://fruitbasket.blob.core.windows.net/gk2o5k/avatar/23773820251009143157JEMEV8.jpg</v>
          </cell>
        </row>
        <row r="256">
          <cell r="I256" t="str">
            <v>JMF2E1381265</v>
          </cell>
          <cell r="J256" t="str">
            <v>X123YZ</v>
          </cell>
          <cell r="K256" t="str">
            <v>KPB2</v>
          </cell>
          <cell r="L256">
            <v>1135</v>
          </cell>
          <cell r="M256" t="str">
            <v>2025-06-10</v>
          </cell>
          <cell r="N256" t="str">
            <v>2025-10-09</v>
          </cell>
          <cell r="O256" t="str">
            <v>https://fruitbasket.blob.core.windows.net/gk2o5k/avatar/23773820251009141754QHYJK5.jpg</v>
          </cell>
        </row>
        <row r="257">
          <cell r="I257" t="str">
            <v>KF01E1794316</v>
          </cell>
          <cell r="J257" t="str">
            <v>X123YZ</v>
          </cell>
          <cell r="K257" t="str">
            <v>KPB3</v>
          </cell>
          <cell r="L257">
            <v>10505</v>
          </cell>
          <cell r="M257" t="str">
            <v>2025-01-14</v>
          </cell>
          <cell r="N257" t="str">
            <v>2025-10-09</v>
          </cell>
          <cell r="O257" t="str">
            <v>https://fruitbasket.blob.core.windows.net/gk2o5k/avatar/23773820251009140146AOY40X.jpg</v>
          </cell>
        </row>
        <row r="258">
          <cell r="I258" t="str">
            <v>KFC1E1169676</v>
          </cell>
          <cell r="J258" t="str">
            <v>X123YZ</v>
          </cell>
          <cell r="K258" t="str">
            <v>KPB1</v>
          </cell>
          <cell r="L258">
            <v>999</v>
          </cell>
          <cell r="M258" t="str">
            <v>2025-08-10</v>
          </cell>
          <cell r="N258" t="str">
            <v>2025-10-09</v>
          </cell>
          <cell r="O258" t="str">
            <v>https://fruitbasket.blob.core.windows.net/gk2o5k/avatar/21063208420251009135032I0B7OM.jpg</v>
          </cell>
        </row>
        <row r="259">
          <cell r="I259" t="str">
            <v>KF81E1367023</v>
          </cell>
          <cell r="K259" t="str">
            <v>KPB3</v>
          </cell>
          <cell r="L259">
            <v>9303</v>
          </cell>
          <cell r="M259" t="str">
            <v>2024-10-10</v>
          </cell>
          <cell r="N259" t="str">
            <v>2025-10-09</v>
          </cell>
          <cell r="O259" t="str">
            <v>https://fruitbasket.blob.core.windows.net/gk2o5k/avatar/23773820251009134613FTQKJE.jpg</v>
          </cell>
        </row>
        <row r="260">
          <cell r="I260" t="str">
            <v>JME1E1592227</v>
          </cell>
          <cell r="J260" t="str">
            <v>X123YZ</v>
          </cell>
          <cell r="K260" t="str">
            <v>KPB1</v>
          </cell>
          <cell r="L260">
            <v>399</v>
          </cell>
          <cell r="M260" t="str">
            <v>2025-08-09</v>
          </cell>
          <cell r="N260" t="str">
            <v>2025-10-09</v>
          </cell>
          <cell r="O260" t="str">
            <v>https://fruitbasket.blob.core.windows.net/gk2o5k/avatar/23773820251009130244IMTQSR.jpg</v>
          </cell>
        </row>
        <row r="261">
          <cell r="I261" t="str">
            <v>JMH2E1261042</v>
          </cell>
          <cell r="J261" t="str">
            <v>KB4011L</v>
          </cell>
          <cell r="K261" t="str">
            <v>KPB1</v>
          </cell>
          <cell r="L261">
            <v>251</v>
          </cell>
          <cell r="M261" t="str">
            <v>2025-08-11</v>
          </cell>
          <cell r="N261" t="str">
            <v>2025-10-09</v>
          </cell>
          <cell r="O261" t="str">
            <v>https://fruitbasket.blob.core.windows.net/gk2o5k/avatar/210632084202510091159257VEIOH.jpg</v>
          </cell>
        </row>
        <row r="262">
          <cell r="I262" t="str">
            <v>JBK1E2048788</v>
          </cell>
          <cell r="K262" t="str">
            <v>KPB4</v>
          </cell>
          <cell r="L262">
            <v>9315</v>
          </cell>
          <cell r="M262" t="str">
            <v>2024-10-10</v>
          </cell>
          <cell r="N262" t="str">
            <v>2025-10-09</v>
          </cell>
          <cell r="O262" t="str">
            <v>https://fruitbasket.blob.core.windows.net/gk2o5k/avatar/21063208420251009115250TVTLYH.jpg</v>
          </cell>
        </row>
        <row r="263">
          <cell r="I263" t="str">
            <v>JMH2E1473957</v>
          </cell>
          <cell r="J263" t="str">
            <v>KB5778BA</v>
          </cell>
          <cell r="K263" t="str">
            <v>KPB1</v>
          </cell>
          <cell r="L263">
            <v>226</v>
          </cell>
          <cell r="M263" t="str">
            <v>2025-08-10</v>
          </cell>
          <cell r="N263" t="str">
            <v>2025-10-09</v>
          </cell>
          <cell r="O263" t="str">
            <v>https://fruitbasket.blob.core.windows.net/gk2o5k/avatar/23773820251009115223NP8G5R.jpg</v>
          </cell>
        </row>
        <row r="264">
          <cell r="I264" t="str">
            <v>JME1E1530260</v>
          </cell>
          <cell r="J264" t="str">
            <v>KB124XXX</v>
          </cell>
          <cell r="K264" t="str">
            <v>KPB2</v>
          </cell>
          <cell r="L264">
            <v>2864</v>
          </cell>
          <cell r="M264" t="str">
            <v>1970-01-01</v>
          </cell>
          <cell r="N264" t="str">
            <v>2025-10-09</v>
          </cell>
          <cell r="O264" t="str">
            <v>https://fruitbasket.blob.core.windows.net/gk2o5k/avatar/21063208420251009114637UNORRC.jpg</v>
          </cell>
        </row>
        <row r="265">
          <cell r="I265" t="str">
            <v>KFC1E1143722</v>
          </cell>
          <cell r="J265" t="str">
            <v>KB124XXX</v>
          </cell>
          <cell r="K265" t="str">
            <v>KPB2</v>
          </cell>
          <cell r="L265">
            <v>1484</v>
          </cell>
          <cell r="M265" t="str">
            <v>1970-01-01</v>
          </cell>
          <cell r="N265" t="str">
            <v>2025-10-09</v>
          </cell>
          <cell r="O265" t="str">
            <v>https://fruitbasket.blob.core.windows.net/gk2o5k/avatar/21063208420251009113109WYGD5M.jpg</v>
          </cell>
        </row>
        <row r="266">
          <cell r="I266" t="str">
            <v>JBK3E1577565</v>
          </cell>
          <cell r="J266" t="str">
            <v>KB6609LQ</v>
          </cell>
          <cell r="K266" t="str">
            <v>KPB2</v>
          </cell>
          <cell r="L266">
            <v>1748</v>
          </cell>
          <cell r="M266" t="str">
            <v>1970-01-01</v>
          </cell>
          <cell r="N266" t="str">
            <v>2025-10-09</v>
          </cell>
          <cell r="O266" t="str">
            <v>https://fruitbasket.blob.core.windows.net/gk2o5k/avatar/23773820251009111707GRYAAN.jpg</v>
          </cell>
        </row>
        <row r="267">
          <cell r="I267" t="str">
            <v>JME1E1551233</v>
          </cell>
          <cell r="J267" t="str">
            <v>KB6607LQ</v>
          </cell>
          <cell r="K267" t="str">
            <v>KPB2</v>
          </cell>
          <cell r="L267">
            <v>1783</v>
          </cell>
          <cell r="M267" t="str">
            <v>1970-01-01</v>
          </cell>
          <cell r="N267" t="str">
            <v>2025-10-09</v>
          </cell>
          <cell r="O267" t="str">
            <v>https://fruitbasket.blob.core.windows.net/gk2o5k/avatar/21063208420251009111557A3W4DY.jpg</v>
          </cell>
        </row>
        <row r="268">
          <cell r="I268" t="str">
            <v>JMH1E1174540</v>
          </cell>
          <cell r="J268" t="str">
            <v>X123YZ</v>
          </cell>
          <cell r="K268" t="str">
            <v>KPB2</v>
          </cell>
          <cell r="L268">
            <v>3814</v>
          </cell>
          <cell r="M268" t="str">
            <v>1970-01-01</v>
          </cell>
          <cell r="N268" t="str">
            <v>2025-10-09</v>
          </cell>
          <cell r="O268" t="str">
            <v>https://fruitbasket.blob.core.windows.net/gk2o5k/avatar/23773820251009110540PDXL8D.jpg</v>
          </cell>
        </row>
        <row r="269">
          <cell r="I269" t="str">
            <v>JMD1E1927835</v>
          </cell>
          <cell r="J269" t="str">
            <v>KB6603LQ</v>
          </cell>
          <cell r="K269" t="str">
            <v>KPB2</v>
          </cell>
          <cell r="L269">
            <v>1416</v>
          </cell>
          <cell r="M269" t="str">
            <v>1970-01-01</v>
          </cell>
          <cell r="N269" t="str">
            <v>2025-10-09</v>
          </cell>
          <cell r="O269" t="str">
            <v>https://fruitbasket.blob.core.windows.net/gk2o5k/avatar/21063208420251009110311RLU3ZH.jpg</v>
          </cell>
        </row>
        <row r="270">
          <cell r="I270" t="str">
            <v>JMD1E2016237</v>
          </cell>
          <cell r="J270" t="str">
            <v>X123YZ</v>
          </cell>
          <cell r="K270" t="str">
            <v>KPB1</v>
          </cell>
          <cell r="L270">
            <v>476</v>
          </cell>
          <cell r="M270" t="str">
            <v>2025-08-10</v>
          </cell>
          <cell r="N270" t="str">
            <v>2025-10-09</v>
          </cell>
          <cell r="O270" t="str">
            <v>https://fruitbasket.blob.core.windows.net/gk2o5k/avatar/23773820251009105858SJYTRH.jpg</v>
          </cell>
        </row>
        <row r="271">
          <cell r="I271" t="str">
            <v>KC04E1005977</v>
          </cell>
          <cell r="J271" t="str">
            <v>KB6604LQ</v>
          </cell>
          <cell r="K271" t="str">
            <v>KPB2</v>
          </cell>
          <cell r="L271">
            <v>1204</v>
          </cell>
          <cell r="M271" t="str">
            <v>1970-01-01</v>
          </cell>
          <cell r="N271" t="str">
            <v>2025-10-09</v>
          </cell>
          <cell r="O271" t="str">
            <v>https://fruitbasket.blob.core.windows.net/gk2o5k/avatar/21063208420251009104906W66USB.jpg</v>
          </cell>
        </row>
        <row r="272">
          <cell r="I272" t="str">
            <v>KFE1E1226918</v>
          </cell>
          <cell r="J272" t="str">
            <v>X123YZ</v>
          </cell>
          <cell r="K272" t="str">
            <v>KPB1</v>
          </cell>
          <cell r="L272">
            <v>161</v>
          </cell>
          <cell r="M272" t="str">
            <v>2025-08-08</v>
          </cell>
          <cell r="N272" t="str">
            <v>2025-10-09</v>
          </cell>
          <cell r="O272" t="str">
            <v>https://fruitbasket.blob.core.windows.net/gk2o5k/avatar/2106320842025100909203537ADSO.jpg</v>
          </cell>
        </row>
        <row r="273">
          <cell r="I273" t="str">
            <v>JMH1E1210783</v>
          </cell>
          <cell r="J273" t="str">
            <v>KB5649BA</v>
          </cell>
          <cell r="K273" t="str">
            <v>KPB1</v>
          </cell>
          <cell r="L273">
            <v>717</v>
          </cell>
          <cell r="M273" t="str">
            <v>2025-08-08</v>
          </cell>
          <cell r="N273" t="str">
            <v>2025-10-09</v>
          </cell>
          <cell r="O273" t="str">
            <v>https://fruitbasket.blob.core.windows.net/gk2o5k/avatar/21063208420251009084105IPRWMD.jpg</v>
          </cell>
        </row>
        <row r="274">
          <cell r="I274" t="str">
            <v>JMD1E2008393</v>
          </cell>
          <cell r="J274" t="str">
            <v>KB5770BA</v>
          </cell>
          <cell r="K274" t="str">
            <v>KPB1</v>
          </cell>
          <cell r="L274">
            <v>624</v>
          </cell>
          <cell r="M274" t="str">
            <v>2025-08-08</v>
          </cell>
          <cell r="N274" t="str">
            <v>2025-10-09</v>
          </cell>
          <cell r="O274" t="str">
            <v>https://fruitbasket.blob.core.windows.net/gk2o5k/avatar/21063208420251009083520V7R622.jpg</v>
          </cell>
        </row>
        <row r="275">
          <cell r="I275" t="str">
            <v>JMC1E1686850</v>
          </cell>
          <cell r="J275" t="str">
            <v>KB5780BA</v>
          </cell>
          <cell r="K275" t="str">
            <v>KPB1</v>
          </cell>
          <cell r="L275">
            <v>832</v>
          </cell>
          <cell r="M275" t="str">
            <v>2025-08-10</v>
          </cell>
          <cell r="N275" t="str">
            <v>2025-10-09</v>
          </cell>
          <cell r="O275" t="str">
            <v>https://fruitbasket.blob.core.windows.net/gk2o5k/avatar/23773820251009083137FNVLX1.jpg</v>
          </cell>
        </row>
        <row r="276">
          <cell r="I276" t="str">
            <v>JMD1E2014157</v>
          </cell>
          <cell r="J276" t="str">
            <v>X123YZ</v>
          </cell>
          <cell r="K276" t="str">
            <v>KPB1</v>
          </cell>
          <cell r="L276">
            <v>818</v>
          </cell>
          <cell r="M276" t="str">
            <v>2025-08-20</v>
          </cell>
          <cell r="N276" t="str">
            <v>2025-10-17</v>
          </cell>
          <cell r="O276" t="str">
            <v>https://hana.modakita.com/azd942/avatar/21301231220251017151559YOBZ3W.jpg</v>
          </cell>
        </row>
        <row r="277">
          <cell r="I277" t="str">
            <v>JMC1E1695752</v>
          </cell>
          <cell r="J277" t="str">
            <v>KB6043BA</v>
          </cell>
          <cell r="K277" t="str">
            <v>KPB1</v>
          </cell>
          <cell r="L277">
            <v>773</v>
          </cell>
          <cell r="M277" t="str">
            <v>2025-08-19</v>
          </cell>
          <cell r="N277" t="str">
            <v>2025-10-17</v>
          </cell>
          <cell r="O277" t="str">
            <v>https://hana.modakita.com/azd942/avatar/237738202510171500017R14QC.jpg</v>
          </cell>
        </row>
        <row r="278">
          <cell r="I278" t="str">
            <v>KFD1E1086884</v>
          </cell>
          <cell r="J278" t="str">
            <v>KB2195MAI</v>
          </cell>
          <cell r="K278" t="str">
            <v>KPB3</v>
          </cell>
          <cell r="L278">
            <v>6115</v>
          </cell>
          <cell r="M278" t="str">
            <v>2025-02-19</v>
          </cell>
          <cell r="N278" t="str">
            <v>2025-10-17</v>
          </cell>
          <cell r="O278" t="str">
            <v>https://hana.modakita.com/azd942/avatar/21063208420251017144945FWJE8U.jpg</v>
          </cell>
        </row>
        <row r="279">
          <cell r="I279" t="str">
            <v>KF01E1949345</v>
          </cell>
          <cell r="J279" t="str">
            <v>KB6157BA</v>
          </cell>
          <cell r="K279" t="str">
            <v>KPB1</v>
          </cell>
          <cell r="L279">
            <v>788</v>
          </cell>
          <cell r="M279" t="str">
            <v>2025-08-25</v>
          </cell>
          <cell r="N279" t="str">
            <v>2025-10-17</v>
          </cell>
          <cell r="O279" t="str">
            <v>https://hana.modakita.com/azd942/avatar/21063208420251017143924NADDHB.jpg</v>
          </cell>
        </row>
        <row r="280">
          <cell r="I280" t="str">
            <v>KFC1E1170823</v>
          </cell>
          <cell r="J280" t="str">
            <v>X123YZ</v>
          </cell>
          <cell r="K280" t="str">
            <v>KPB1</v>
          </cell>
          <cell r="L280">
            <v>618</v>
          </cell>
          <cell r="M280" t="str">
            <v>2025-08-20</v>
          </cell>
          <cell r="N280" t="str">
            <v>2025-10-17</v>
          </cell>
          <cell r="O280" t="str">
            <v>https://hana.modakita.com/azd942/avatar/23773820251017143324IGOSGL.jpg</v>
          </cell>
        </row>
        <row r="281">
          <cell r="I281" t="str">
            <v>KC02E1290415</v>
          </cell>
          <cell r="J281" t="str">
            <v>KB5659LO</v>
          </cell>
          <cell r="K281" t="str">
            <v>KPB3</v>
          </cell>
          <cell r="L281">
            <v>7474</v>
          </cell>
          <cell r="M281" t="str">
            <v>2025-02-18</v>
          </cell>
          <cell r="N281" t="str">
            <v>2025-10-17</v>
          </cell>
          <cell r="O281" t="str">
            <v>https://hana.modakita.com/azd942/avatar/21063208420251017143013JLSGA6.jpg</v>
          </cell>
        </row>
        <row r="282">
          <cell r="I282" t="str">
            <v>JMD1E1724654</v>
          </cell>
          <cell r="J282" t="str">
            <v>X123YZ</v>
          </cell>
          <cell r="K282" t="str">
            <v>KPB4</v>
          </cell>
          <cell r="L282">
            <v>11896</v>
          </cell>
          <cell r="M282" t="str">
            <v>2024-10-22</v>
          </cell>
          <cell r="N282" t="str">
            <v>2025-10-17</v>
          </cell>
          <cell r="O282" t="str">
            <v>https://hana.modakita.com/azd942/avatar/21063208420251017142257T1SD3V.jpg</v>
          </cell>
        </row>
        <row r="283">
          <cell r="I283" t="str">
            <v>JMB1E1208451</v>
          </cell>
          <cell r="J283" t="str">
            <v>X123YZ</v>
          </cell>
          <cell r="K283" t="str">
            <v>KPB1</v>
          </cell>
          <cell r="L283">
            <v>735</v>
          </cell>
          <cell r="M283" t="str">
            <v>2025-08-13</v>
          </cell>
          <cell r="N283" t="str">
            <v>2025-10-17</v>
          </cell>
          <cell r="O283" t="str">
            <v>https://hana.modakita.com/azd942/avatar/23773820251017142119SRYITJ.jpg</v>
          </cell>
        </row>
        <row r="284">
          <cell r="I284" t="str">
            <v>JBK1E2117837</v>
          </cell>
          <cell r="J284" t="str">
            <v>X123YZ</v>
          </cell>
          <cell r="K284" t="str">
            <v>KPB1</v>
          </cell>
          <cell r="L284">
            <v>1060</v>
          </cell>
          <cell r="M284" t="str">
            <v>2025-08-20</v>
          </cell>
          <cell r="N284" t="str">
            <v>2025-10-17</v>
          </cell>
          <cell r="O284" t="str">
            <v>https://hana.modakita.com/azd942/avatar/21063208420251017140545KGTBC1.jpg</v>
          </cell>
        </row>
        <row r="285">
          <cell r="I285" t="str">
            <v>KC02E1291045</v>
          </cell>
          <cell r="J285" t="str">
            <v>KB5781LO</v>
          </cell>
          <cell r="K285" t="str">
            <v>KPB3</v>
          </cell>
          <cell r="L285">
            <v>7863</v>
          </cell>
          <cell r="M285" t="str">
            <v>2025-02-20</v>
          </cell>
          <cell r="N285" t="str">
            <v>2025-10-17</v>
          </cell>
          <cell r="O285" t="str">
            <v>https://hana.modakita.com/azd942/avatar/23773820251017140326HSGOCJ.jpg</v>
          </cell>
        </row>
        <row r="286">
          <cell r="I286" t="str">
            <v>JMC1E1653174</v>
          </cell>
          <cell r="J286" t="str">
            <v>X123YZ</v>
          </cell>
          <cell r="K286" t="str">
            <v>KPB2</v>
          </cell>
          <cell r="L286">
            <v>1461</v>
          </cell>
          <cell r="M286" t="str">
            <v>2025-06-19</v>
          </cell>
          <cell r="N286" t="str">
            <v>2025-10-17</v>
          </cell>
          <cell r="O286" t="str">
            <v>https://hana.modakita.com/azd942/avatar/21394210620251017114601ZRCQN1.jpg</v>
          </cell>
        </row>
        <row r="287">
          <cell r="I287" t="str">
            <v>JMF1E1241986</v>
          </cell>
          <cell r="J287" t="str">
            <v>KB6040BA</v>
          </cell>
          <cell r="K287" t="str">
            <v>KPB1</v>
          </cell>
          <cell r="L287">
            <v>579</v>
          </cell>
          <cell r="M287" t="str">
            <v>2025-08-19</v>
          </cell>
          <cell r="N287" t="str">
            <v>2025-10-17</v>
          </cell>
          <cell r="O287" t="str">
            <v>https://hana.modakita.com/azd942/avatar/21394210620251017113839JG3SVY.jpg</v>
          </cell>
        </row>
        <row r="288">
          <cell r="I288" t="str">
            <v>JMH1E1233030</v>
          </cell>
          <cell r="J288" t="str">
            <v>KB5815BA</v>
          </cell>
          <cell r="K288" t="str">
            <v>KPB1</v>
          </cell>
          <cell r="L288">
            <v>675</v>
          </cell>
          <cell r="M288" t="str">
            <v>2025-08-18</v>
          </cell>
          <cell r="N288" t="str">
            <v>2025-10-17</v>
          </cell>
          <cell r="O288" t="str">
            <v>https://hana.modakita.com/azd942/avatar/213942106202510170918248UBWWL.jpg</v>
          </cell>
        </row>
        <row r="289">
          <cell r="I289" t="str">
            <v>JMH1E1231622</v>
          </cell>
          <cell r="J289" t="str">
            <v>X123YZ</v>
          </cell>
          <cell r="K289" t="str">
            <v>KPB1</v>
          </cell>
          <cell r="L289">
            <v>995</v>
          </cell>
          <cell r="M289" t="str">
            <v>2025-08-18</v>
          </cell>
          <cell r="N289" t="str">
            <v>2025-10-17</v>
          </cell>
          <cell r="O289" t="str">
            <v>https://hana.modakita.com/azd942/avatar/23773820251017090704VILCTB.jpg</v>
          </cell>
        </row>
        <row r="290">
          <cell r="I290" t="str">
            <v>KC04E1014077</v>
          </cell>
          <cell r="J290" t="str">
            <v>X123YZ</v>
          </cell>
          <cell r="K290" t="str">
            <v>KPB1</v>
          </cell>
          <cell r="L290">
            <v>447</v>
          </cell>
          <cell r="M290" t="str">
            <v>2025-08-19</v>
          </cell>
          <cell r="N290" t="str">
            <v>2025-10-17</v>
          </cell>
          <cell r="O290" t="str">
            <v>https://hana.modakita.com/azd942/avatar/23773820251017085322OS0WUP.jpg</v>
          </cell>
        </row>
        <row r="291">
          <cell r="I291" t="str">
            <v>JME1E1666833</v>
          </cell>
          <cell r="J291" t="str">
            <v>KB6045BA</v>
          </cell>
          <cell r="K291" t="str">
            <v>KPB1</v>
          </cell>
          <cell r="L291">
            <v>627</v>
          </cell>
          <cell r="M291" t="str">
            <v>2025-08-20</v>
          </cell>
          <cell r="N291" t="str">
            <v>2025-10-17</v>
          </cell>
          <cell r="O291" t="str">
            <v>https://hana.modakita.com/azd942/avatar/210632084202510170845463MFSRC.jpg</v>
          </cell>
        </row>
        <row r="292">
          <cell r="I292" t="str">
            <v>JMD1E1967874</v>
          </cell>
          <cell r="J292" t="str">
            <v>KB4708BA</v>
          </cell>
          <cell r="K292" t="str">
            <v>KPB2</v>
          </cell>
          <cell r="L292">
            <v>1568</v>
          </cell>
          <cell r="M292" t="str">
            <v>2025-06-24</v>
          </cell>
          <cell r="N292" t="str">
            <v>2025-10-20</v>
          </cell>
          <cell r="O292" t="str">
            <v>https://hana.modakita.com/azd942/avatar/23773820251020144021OKFPA6.jpg</v>
          </cell>
        </row>
        <row r="293">
          <cell r="I293" t="str">
            <v>KC02E1274641</v>
          </cell>
          <cell r="J293" t="str">
            <v>KB6170BX</v>
          </cell>
          <cell r="K293" t="str">
            <v>KPB4</v>
          </cell>
          <cell r="L293">
            <v>9037</v>
          </cell>
          <cell r="M293" t="str">
            <v>2024-10-28</v>
          </cell>
          <cell r="N293" t="str">
            <v>2025-10-20</v>
          </cell>
          <cell r="O293" t="str">
            <v>https://hana.modakita.com/azd942/avatar/23773820251020140345RCT9NV.jpg</v>
          </cell>
        </row>
        <row r="294">
          <cell r="I294" t="str">
            <v>KD11E1547106</v>
          </cell>
          <cell r="J294" t="str">
            <v>X123YZ</v>
          </cell>
          <cell r="K294" t="str">
            <v>KPB4</v>
          </cell>
          <cell r="L294">
            <v>11291</v>
          </cell>
          <cell r="M294" t="str">
            <v>2024-10-24</v>
          </cell>
          <cell r="N294" t="str">
            <v>2025-10-20</v>
          </cell>
          <cell r="O294" t="str">
            <v>https://hana.modakita.com/azd942/avatar/210632084202510201401063BKQKP.jpg</v>
          </cell>
        </row>
        <row r="295">
          <cell r="I295" t="str">
            <v>JMD1E1841858</v>
          </cell>
          <cell r="J295" t="str">
            <v>X123YZ</v>
          </cell>
          <cell r="K295" t="str">
            <v>KPB3</v>
          </cell>
          <cell r="L295">
            <v>4968</v>
          </cell>
          <cell r="M295" t="str">
            <v>2025-02-24</v>
          </cell>
          <cell r="N295" t="str">
            <v>2025-10-20</v>
          </cell>
          <cell r="O295" t="str">
            <v>https://hana.modakita.com/azd942/avatar/21063208420251020135236OKGLXI.jpg</v>
          </cell>
        </row>
        <row r="296">
          <cell r="I296" t="str">
            <v>JBP1E2108535</v>
          </cell>
          <cell r="J296" t="str">
            <v>KB2244XX</v>
          </cell>
          <cell r="K296" t="str">
            <v>KPB2</v>
          </cell>
          <cell r="L296">
            <v>2479</v>
          </cell>
          <cell r="M296" t="str">
            <v>2025-06-24</v>
          </cell>
          <cell r="N296" t="str">
            <v>2025-10-20</v>
          </cell>
          <cell r="O296" t="str">
            <v>https://hana.modakita.com/azd942/avatar/23773820251020135134FXTNKP.jpg</v>
          </cell>
        </row>
        <row r="297">
          <cell r="I297" t="str">
            <v>JMG1E1433428</v>
          </cell>
          <cell r="J297" t="str">
            <v>X123YZ</v>
          </cell>
          <cell r="K297" t="str">
            <v>KPB2</v>
          </cell>
          <cell r="L297">
            <v>3886</v>
          </cell>
          <cell r="M297" t="str">
            <v>2025-06-25</v>
          </cell>
          <cell r="N297" t="str">
            <v>2025-10-20</v>
          </cell>
          <cell r="O297" t="str">
            <v>https://hana.modakita.com/azd942/avatar/237738202510201344514M3A0V.jpg</v>
          </cell>
        </row>
        <row r="298">
          <cell r="I298" t="str">
            <v>JBP1E2108823</v>
          </cell>
          <cell r="J298" t="str">
            <v>X123YZ</v>
          </cell>
          <cell r="K298" t="str">
            <v>KPB2</v>
          </cell>
          <cell r="L298">
            <v>2861</v>
          </cell>
          <cell r="M298" t="str">
            <v>2025-06-24</v>
          </cell>
          <cell r="N298" t="str">
            <v>2025-10-20</v>
          </cell>
          <cell r="O298" t="str">
            <v>https://hana.modakita.com/azd942/avatar/21063208420251020134449BEGLRD.jpg</v>
          </cell>
        </row>
        <row r="299">
          <cell r="I299" t="str">
            <v>JMD1E1954127</v>
          </cell>
          <cell r="J299" t="str">
            <v>KB2242XX</v>
          </cell>
          <cell r="K299" t="str">
            <v>KPB2</v>
          </cell>
          <cell r="L299">
            <v>1908</v>
          </cell>
          <cell r="M299" t="str">
            <v>2025-06-20</v>
          </cell>
          <cell r="N299" t="str">
            <v>2025-10-20</v>
          </cell>
          <cell r="O299" t="str">
            <v>https://hana.modakita.com/azd942/avatar/23773820251020133054BXM8R0.jpg</v>
          </cell>
        </row>
        <row r="300">
          <cell r="I300" t="str">
            <v>JMD1E1963111</v>
          </cell>
          <cell r="J300" t="str">
            <v>KB5823LR</v>
          </cell>
          <cell r="K300" t="str">
            <v>KPB2</v>
          </cell>
          <cell r="L300">
            <v>1911</v>
          </cell>
          <cell r="M300" t="str">
            <v>2025-06-24</v>
          </cell>
          <cell r="N300" t="str">
            <v>2025-10-20</v>
          </cell>
          <cell r="O300" t="str">
            <v>https://hana.modakita.com/azd942/avatar/21394210620251020123855ADN8DU.jpg</v>
          </cell>
        </row>
        <row r="301">
          <cell r="I301" t="str">
            <v>JMH2E1499725</v>
          </cell>
          <cell r="J301" t="str">
            <v>X123YZ</v>
          </cell>
          <cell r="K301" t="str">
            <v>KPB1</v>
          </cell>
          <cell r="L301">
            <v>765</v>
          </cell>
          <cell r="M301" t="str">
            <v>2025-08-23</v>
          </cell>
          <cell r="N301" t="str">
            <v>2025-10-20</v>
          </cell>
          <cell r="O301" t="str">
            <v>https://hana.modakita.com/azd942/avatar/23773820251020122515YUE4UI.jpg</v>
          </cell>
        </row>
        <row r="302">
          <cell r="I302" t="str">
            <v>JMC1E1696844</v>
          </cell>
          <cell r="J302" t="str">
            <v>X123YZ</v>
          </cell>
          <cell r="K302" t="str">
            <v>KPB1</v>
          </cell>
          <cell r="L302">
            <v>526</v>
          </cell>
          <cell r="M302" t="str">
            <v>2025-08-24</v>
          </cell>
          <cell r="N302" t="str">
            <v>2025-10-20</v>
          </cell>
          <cell r="O302" t="str">
            <v>https://hana.modakita.com/azd942/avatar/210632084202510201218190GR0GC.jpg</v>
          </cell>
        </row>
        <row r="303">
          <cell r="I303" t="str">
            <v>KF01E1908568</v>
          </cell>
          <cell r="J303" t="str">
            <v>KB5826LR</v>
          </cell>
          <cell r="K303" t="str">
            <v>KPB2</v>
          </cell>
          <cell r="L303">
            <v>4071</v>
          </cell>
          <cell r="M303" t="str">
            <v>2025-06-23</v>
          </cell>
          <cell r="N303" t="str">
            <v>2025-10-20</v>
          </cell>
          <cell r="O303" t="str">
            <v>https://hana.modakita.com/azd942/avatar/23773820251020121136EB6VRM.jpg</v>
          </cell>
        </row>
        <row r="304">
          <cell r="I304" t="str">
            <v>JMH1E1182682</v>
          </cell>
          <cell r="J304" t="str">
            <v>X123YZ</v>
          </cell>
          <cell r="K304" t="str">
            <v>KPB2</v>
          </cell>
          <cell r="L304">
            <v>1233</v>
          </cell>
          <cell r="M304" t="str">
            <v>2025-06-23</v>
          </cell>
          <cell r="N304" t="str">
            <v>2025-10-20</v>
          </cell>
          <cell r="O304" t="str">
            <v>https://hana.modakita.com/azd942/avatar/210632084202510201209432FUDYW.jpg</v>
          </cell>
        </row>
        <row r="305">
          <cell r="I305" t="str">
            <v>KF01E1950767</v>
          </cell>
          <cell r="J305" t="str">
            <v>X123YZ</v>
          </cell>
          <cell r="K305" t="str">
            <v>KPB1</v>
          </cell>
          <cell r="L305">
            <v>670</v>
          </cell>
          <cell r="M305" t="str">
            <v>2025-08-23</v>
          </cell>
          <cell r="N305" t="str">
            <v>2025-10-20</v>
          </cell>
          <cell r="O305" t="str">
            <v>https://hana.modakita.com/azd942/avatar/21394210620251020120732QNJYVF.jpg</v>
          </cell>
        </row>
        <row r="306">
          <cell r="I306" t="str">
            <v>KFE1E1254108</v>
          </cell>
          <cell r="J306" t="str">
            <v>X123YZ</v>
          </cell>
          <cell r="K306" t="str">
            <v>KPB1</v>
          </cell>
          <cell r="L306">
            <v>272</v>
          </cell>
          <cell r="M306" t="str">
            <v>2025-08-23</v>
          </cell>
          <cell r="N306" t="str">
            <v>2025-10-20</v>
          </cell>
          <cell r="O306" t="str">
            <v>https://hana.modakita.com/azd942/avatar/23773820251020115140E4AZFU.jpg</v>
          </cell>
        </row>
        <row r="307">
          <cell r="I307" t="str">
            <v>JMD1E2036487</v>
          </cell>
          <cell r="J307" t="str">
            <v>KB2248XX</v>
          </cell>
          <cell r="K307" t="str">
            <v>KPB1</v>
          </cell>
          <cell r="L307">
            <v>683</v>
          </cell>
          <cell r="M307" t="str">
            <v>2025-08-23</v>
          </cell>
          <cell r="N307" t="str">
            <v>2025-10-20</v>
          </cell>
          <cell r="O307" t="str">
            <v>https://hana.modakita.com/azd942/avatar/21301231220251020114041Q1E5UM.jpg</v>
          </cell>
        </row>
        <row r="308">
          <cell r="I308" t="str">
            <v>JMD1E2023844</v>
          </cell>
          <cell r="J308" t="str">
            <v>X123YZ</v>
          </cell>
          <cell r="K308" t="str">
            <v>KPB1</v>
          </cell>
          <cell r="L308">
            <v>1029</v>
          </cell>
          <cell r="M308" t="str">
            <v>2025-08-23</v>
          </cell>
          <cell r="N308" t="str">
            <v>2025-10-20</v>
          </cell>
          <cell r="O308" t="str">
            <v>https://hana.modakita.com/azd942/avatar/23773820251020112508E6W8AJ.jpg</v>
          </cell>
        </row>
        <row r="309">
          <cell r="I309" t="str">
            <v>JMD1E1841920</v>
          </cell>
          <cell r="J309" t="str">
            <v>X123YZ</v>
          </cell>
          <cell r="K309" t="str">
            <v>KPB3</v>
          </cell>
          <cell r="L309">
            <v>5464</v>
          </cell>
          <cell r="M309" t="str">
            <v>2025-02-22</v>
          </cell>
          <cell r="N309" t="str">
            <v>2025-10-20</v>
          </cell>
          <cell r="O309" t="str">
            <v>https://hana.modakita.com/azd942/avatar/21063208420251020111744T1F2PX.jpg</v>
          </cell>
        </row>
        <row r="310">
          <cell r="I310" t="str">
            <v>JMH2E1133724</v>
          </cell>
          <cell r="J310" t="str">
            <v>KB2094BA</v>
          </cell>
          <cell r="K310" t="str">
            <v>KPB3</v>
          </cell>
          <cell r="L310">
            <v>4475</v>
          </cell>
          <cell r="M310" t="str">
            <v>2025-02-22</v>
          </cell>
          <cell r="N310" t="str">
            <v>2025-10-20</v>
          </cell>
          <cell r="O310" t="str">
            <v>https://hana.modakita.com/azd942/avatar/21063208420251020111428DI3XCZ.jpg</v>
          </cell>
        </row>
        <row r="311">
          <cell r="I311" t="str">
            <v>JMC1E1572279</v>
          </cell>
          <cell r="J311" t="str">
            <v>X123YZ</v>
          </cell>
          <cell r="K311" t="str">
            <v>KPB3</v>
          </cell>
          <cell r="L311">
            <v>7659</v>
          </cell>
          <cell r="M311" t="str">
            <v>2025-02-22</v>
          </cell>
          <cell r="N311" t="str">
            <v>2025-10-20</v>
          </cell>
          <cell r="O311" t="str">
            <v>https://hana.modakita.com/azd942/avatar/21063208420251020110041TAVC0R.jpg</v>
          </cell>
        </row>
        <row r="312">
          <cell r="I312" t="str">
            <v>JMF1E1195381</v>
          </cell>
          <cell r="J312" t="str">
            <v>X123YZ</v>
          </cell>
          <cell r="K312" t="str">
            <v>KPB3</v>
          </cell>
          <cell r="L312">
            <v>7628</v>
          </cell>
          <cell r="M312" t="str">
            <v>2025-02-23</v>
          </cell>
          <cell r="N312" t="str">
            <v>2025-10-20</v>
          </cell>
          <cell r="O312" t="str">
            <v>https://hana.modakita.com/azd942/avatar/21063208420251020105726AALEV0.jpg</v>
          </cell>
        </row>
        <row r="313">
          <cell r="I313" t="str">
            <v>JMC1E1570033</v>
          </cell>
          <cell r="J313" t="str">
            <v>X123YZ</v>
          </cell>
          <cell r="K313" t="str">
            <v>KPB3</v>
          </cell>
          <cell r="L313">
            <v>6313</v>
          </cell>
          <cell r="M313" t="str">
            <v>2025-02-22</v>
          </cell>
          <cell r="N313" t="str">
            <v>2025-10-20</v>
          </cell>
          <cell r="O313" t="str">
            <v>https://hana.modakita.com/azd942/avatar/21063208420251020105310T8MZFG.jpg</v>
          </cell>
        </row>
        <row r="314">
          <cell r="I314" t="str">
            <v>JMF1E1227457</v>
          </cell>
          <cell r="J314" t="str">
            <v>KB5822LR</v>
          </cell>
          <cell r="K314" t="str">
            <v>KPB2</v>
          </cell>
          <cell r="L314">
            <v>1407</v>
          </cell>
          <cell r="M314" t="str">
            <v>2025-06-23</v>
          </cell>
          <cell r="N314" t="str">
            <v>2025-10-20</v>
          </cell>
          <cell r="O314" t="str">
            <v>https://hana.modakita.com/azd942/avatar/23773820251020094051SO8ZNG.jpg</v>
          </cell>
        </row>
        <row r="315">
          <cell r="I315" t="str">
            <v>KFD1E1131462</v>
          </cell>
          <cell r="J315" t="str">
            <v>KB5818LR</v>
          </cell>
          <cell r="K315" t="str">
            <v>KPB2</v>
          </cell>
          <cell r="L315">
            <v>2324</v>
          </cell>
          <cell r="M315" t="str">
            <v>2025-06-22</v>
          </cell>
          <cell r="N315" t="str">
            <v>2025-10-20</v>
          </cell>
          <cell r="O315" t="str">
            <v>https://hana.modakita.com/azd942/avatar/21063208420251020092721ACEUPI.jpg</v>
          </cell>
        </row>
        <row r="316">
          <cell r="I316" t="str">
            <v>KC04E1014565</v>
          </cell>
          <cell r="J316" t="str">
            <v>KB6057BA</v>
          </cell>
          <cell r="K316" t="str">
            <v>KPB1</v>
          </cell>
          <cell r="L316">
            <v>589</v>
          </cell>
          <cell r="M316" t="str">
            <v>2025-08-22</v>
          </cell>
          <cell r="N316" t="str">
            <v>2025-10-20</v>
          </cell>
          <cell r="O316" t="str">
            <v>https://hana.modakita.com/azd942/avatar/21301231220251020085345TBTTYV.jpg</v>
          </cell>
        </row>
        <row r="317">
          <cell r="I317" t="str">
            <v>KFD1E1143818</v>
          </cell>
          <cell r="J317" t="str">
            <v>KB2248XX</v>
          </cell>
          <cell r="K317" t="str">
            <v>KPB1</v>
          </cell>
          <cell r="L317">
            <v>481</v>
          </cell>
          <cell r="M317" t="str">
            <v>2025-08-22</v>
          </cell>
          <cell r="N317" t="str">
            <v>2025-10-18</v>
          </cell>
          <cell r="O317" t="str">
            <v>https://hana.modakita.com/azd942/avatar/21301231220251018150952FRJTZW.jpg</v>
          </cell>
        </row>
        <row r="318">
          <cell r="I318" t="str">
            <v>JMD1E2019559</v>
          </cell>
          <cell r="J318" t="str">
            <v>X123YZ</v>
          </cell>
          <cell r="K318" t="str">
            <v>KPB1</v>
          </cell>
          <cell r="L318">
            <v>940</v>
          </cell>
          <cell r="M318" t="str">
            <v>2025-08-21</v>
          </cell>
          <cell r="N318" t="str">
            <v>2025-10-18</v>
          </cell>
          <cell r="O318" t="str">
            <v>https://hana.modakita.com/azd942/avatar/21301231220251018150423AKVYLL.jpg</v>
          </cell>
        </row>
        <row r="319">
          <cell r="I319" t="str">
            <v>JMC1E1571018</v>
          </cell>
          <cell r="J319" t="str">
            <v>X123YZ</v>
          </cell>
          <cell r="K319" t="str">
            <v>KPB3</v>
          </cell>
          <cell r="L319">
            <v>4779</v>
          </cell>
          <cell r="M319" t="str">
            <v>2025-02-21</v>
          </cell>
          <cell r="N319" t="str">
            <v>2025-10-18</v>
          </cell>
          <cell r="O319" t="str">
            <v>https://hana.modakita.com/azd942/avatar/21301231220251018145806PGASVN.jpg</v>
          </cell>
        </row>
        <row r="320">
          <cell r="I320" t="str">
            <v>JMC1E1572020</v>
          </cell>
          <cell r="J320" t="str">
            <v>X123YZ</v>
          </cell>
          <cell r="K320" t="str">
            <v>KPB3</v>
          </cell>
          <cell r="L320">
            <v>7649</v>
          </cell>
          <cell r="M320" t="str">
            <v>2025-02-21</v>
          </cell>
          <cell r="N320" t="str">
            <v>2025-10-18</v>
          </cell>
          <cell r="O320" t="str">
            <v>https://hana.modakita.com/azd942/avatar/21301231220251018145416X2MBKT.jpg</v>
          </cell>
        </row>
        <row r="321">
          <cell r="I321" t="str">
            <v>JMC1E1563832</v>
          </cell>
          <cell r="J321" t="str">
            <v>KB2095BA</v>
          </cell>
          <cell r="K321" t="str">
            <v>KPB3</v>
          </cell>
          <cell r="L321">
            <v>4602</v>
          </cell>
          <cell r="M321" t="str">
            <v>2025-02-23</v>
          </cell>
          <cell r="N321" t="str">
            <v>2025-10-18</v>
          </cell>
          <cell r="O321" t="str">
            <v>https://hana.modakita.com/azd942/avatar/21063208420251018141344RN27VI.jpg</v>
          </cell>
        </row>
        <row r="322">
          <cell r="I322" t="str">
            <v>KFD1E1125742</v>
          </cell>
          <cell r="J322" t="str">
            <v>X123YZ</v>
          </cell>
          <cell r="K322" t="str">
            <v>KPB2</v>
          </cell>
          <cell r="L322">
            <v>3777</v>
          </cell>
          <cell r="M322" t="str">
            <v>2025-06-23</v>
          </cell>
          <cell r="N322" t="str">
            <v>2025-10-18</v>
          </cell>
          <cell r="O322" t="str">
            <v>https://hana.modakita.com/azd942/avatar/23773820251018140722S9GVZR.jpg</v>
          </cell>
        </row>
        <row r="323">
          <cell r="I323" t="str">
            <v>JBP1E2108450</v>
          </cell>
          <cell r="J323" t="str">
            <v>KB5815LR</v>
          </cell>
          <cell r="K323" t="str">
            <v>KPB2</v>
          </cell>
          <cell r="L323">
            <v>1500</v>
          </cell>
          <cell r="M323" t="str">
            <v>2025-06-21</v>
          </cell>
          <cell r="N323" t="str">
            <v>2025-10-18</v>
          </cell>
          <cell r="O323" t="str">
            <v>https://hana.modakita.com/azd942/avatar/21063208420251018135649WTIQD4.jpg</v>
          </cell>
        </row>
        <row r="324">
          <cell r="I324" t="str">
            <v>JMD1E1961872</v>
          </cell>
          <cell r="J324" t="str">
            <v>KB5813LR</v>
          </cell>
          <cell r="K324" t="str">
            <v>KPB2</v>
          </cell>
          <cell r="L324">
            <v>3611</v>
          </cell>
          <cell r="M324" t="str">
            <v>2025-06-21</v>
          </cell>
          <cell r="N324" t="str">
            <v>2025-10-18</v>
          </cell>
          <cell r="O324" t="str">
            <v>https://hana.modakita.com/azd942/avatar/21063208420251018120506KM8FIW.jpg</v>
          </cell>
        </row>
        <row r="325">
          <cell r="I325" t="str">
            <v>JMF1E1233778</v>
          </cell>
          <cell r="J325" t="str">
            <v>KB4694BA</v>
          </cell>
          <cell r="K325" t="str">
            <v>KPB2</v>
          </cell>
          <cell r="L325">
            <v>3013</v>
          </cell>
          <cell r="M325" t="str">
            <v>2025-06-22</v>
          </cell>
          <cell r="N325" t="str">
            <v>2025-10-18</v>
          </cell>
          <cell r="O325" t="str">
            <v>https://hana.modakita.com/azd942/avatar/23773820251018115916TS5TIA.jpg</v>
          </cell>
        </row>
        <row r="326">
          <cell r="I326" t="str">
            <v>JBK3E1592854</v>
          </cell>
          <cell r="J326" t="str">
            <v>X123YZ</v>
          </cell>
          <cell r="K326" t="str">
            <v>KPB1</v>
          </cell>
          <cell r="L326">
            <v>452</v>
          </cell>
          <cell r="M326" t="str">
            <v>2025-08-30</v>
          </cell>
          <cell r="N326" t="str">
            <v>2025-10-18</v>
          </cell>
          <cell r="O326" t="str">
            <v>https://hana.modakita.com/azd942/avatar/21063208420251018115457TO4TH7.jpg</v>
          </cell>
        </row>
        <row r="327">
          <cell r="I327" t="str">
            <v>JMD1E2016232</v>
          </cell>
          <cell r="J327" t="str">
            <v>X123YZ</v>
          </cell>
          <cell r="K327" t="str">
            <v>KPB1</v>
          </cell>
          <cell r="L327">
            <v>110</v>
          </cell>
          <cell r="M327" t="str">
            <v>2025-08-21</v>
          </cell>
          <cell r="N327" t="str">
            <v>2025-10-18</v>
          </cell>
          <cell r="O327" t="str">
            <v>https://hana.modakita.com/azd942/avatar/23773820251018114712K3TSU1.jpg</v>
          </cell>
        </row>
        <row r="328">
          <cell r="I328" t="str">
            <v>JMH1E1240245</v>
          </cell>
          <cell r="J328" t="str">
            <v>X123YZ</v>
          </cell>
          <cell r="K328" t="str">
            <v>KPB1</v>
          </cell>
          <cell r="L328">
            <v>449</v>
          </cell>
          <cell r="M328" t="str">
            <v>2025-08-30</v>
          </cell>
          <cell r="N328" t="str">
            <v>2025-10-18</v>
          </cell>
          <cell r="O328" t="str">
            <v>https://hana.modakita.com/azd942/avatar/21063208420251018113950CM43RU.jpg</v>
          </cell>
        </row>
        <row r="329">
          <cell r="I329" t="str">
            <v>JME1E1688465</v>
          </cell>
          <cell r="J329" t="str">
            <v>KB2240XX</v>
          </cell>
          <cell r="K329" t="str">
            <v>KPB1</v>
          </cell>
          <cell r="L329">
            <v>643</v>
          </cell>
          <cell r="M329" t="str">
            <v>2025-08-29</v>
          </cell>
          <cell r="N329" t="str">
            <v>2025-10-18</v>
          </cell>
          <cell r="O329" t="str">
            <v>https://hana.modakita.com/azd942/avatar/21063208420251018112232EVROHZ.jpg</v>
          </cell>
        </row>
        <row r="330">
          <cell r="I330" t="str">
            <v>KFA1E1328376</v>
          </cell>
          <cell r="J330" t="str">
            <v>X123YZ</v>
          </cell>
          <cell r="K330" t="str">
            <v>KPB1</v>
          </cell>
          <cell r="L330">
            <v>604</v>
          </cell>
          <cell r="M330" t="str">
            <v>2025-08-21</v>
          </cell>
          <cell r="N330" t="str">
            <v>2025-10-18</v>
          </cell>
          <cell r="O330" t="str">
            <v>https://hana.modakita.com/azd942/avatar/237738202510181116496MA5WL.jpg</v>
          </cell>
        </row>
        <row r="331">
          <cell r="I331" t="str">
            <v>JMH1E1093849</v>
          </cell>
          <cell r="J331" t="str">
            <v>X123YZ</v>
          </cell>
          <cell r="K331" t="str">
            <v>KPB3</v>
          </cell>
          <cell r="L331">
            <v>4641</v>
          </cell>
          <cell r="M331" t="str">
            <v>2025-02-21</v>
          </cell>
          <cell r="N331" t="str">
            <v>2025-10-18</v>
          </cell>
          <cell r="O331" t="str">
            <v>https://hana.modakita.com/azd942/avatar/21063208420251018111141KC2TVQ.jpg</v>
          </cell>
        </row>
        <row r="332">
          <cell r="I332" t="str">
            <v>KFE1E1253529</v>
          </cell>
          <cell r="J332" t="str">
            <v>X123YZ</v>
          </cell>
          <cell r="K332" t="str">
            <v>KPB1</v>
          </cell>
          <cell r="L332">
            <v>947</v>
          </cell>
          <cell r="M332" t="str">
            <v>2025-08-22</v>
          </cell>
          <cell r="N332" t="str">
            <v>2025-10-18</v>
          </cell>
          <cell r="O332" t="str">
            <v>https://hana.modakita.com/azd942/avatar/23773820251018110929UBIJV9.jpg</v>
          </cell>
        </row>
        <row r="333">
          <cell r="I333" t="str">
            <v>JMC1E1698804</v>
          </cell>
          <cell r="J333" t="str">
            <v>KB6067BA</v>
          </cell>
          <cell r="K333" t="str">
            <v>KPB1</v>
          </cell>
          <cell r="L333">
            <v>837</v>
          </cell>
          <cell r="M333" t="str">
            <v>2025-08-21</v>
          </cell>
          <cell r="N333" t="str">
            <v>2025-10-18</v>
          </cell>
          <cell r="O333" t="str">
            <v>https://hana.modakita.com/azd942/avatar/21301231220251018104245GUXVD7.jpg</v>
          </cell>
        </row>
        <row r="334">
          <cell r="I334" t="str">
            <v>JMF1E1273964</v>
          </cell>
          <cell r="J334" t="str">
            <v>KB4922BA</v>
          </cell>
          <cell r="K334" t="str">
            <v>KPB2</v>
          </cell>
          <cell r="L334">
            <v>3696</v>
          </cell>
          <cell r="M334" t="str">
            <v>2025-06-30</v>
          </cell>
          <cell r="N334" t="str">
            <v>2025-10-18</v>
          </cell>
          <cell r="O334" t="str">
            <v>https://hana.modakita.com/azd942/avatar/21063208420251018104046NBWEQ4.jpg</v>
          </cell>
        </row>
        <row r="335">
          <cell r="I335" t="str">
            <v>KFE3E1061060</v>
          </cell>
          <cell r="J335" t="str">
            <v>X123YZ</v>
          </cell>
          <cell r="K335" t="str">
            <v>KPB1</v>
          </cell>
          <cell r="L335">
            <v>689</v>
          </cell>
          <cell r="M335" t="str">
            <v>2025-08-22</v>
          </cell>
          <cell r="N335" t="str">
            <v>2025-10-18</v>
          </cell>
          <cell r="O335" t="str">
            <v>https://hana.modakita.com/azd942/avatar/23773820251018103029ELI0IJ.jpg</v>
          </cell>
        </row>
        <row r="336">
          <cell r="I336" t="str">
            <v>JBK1E2080766</v>
          </cell>
          <cell r="J336" t="str">
            <v>X123YZ</v>
          </cell>
          <cell r="K336" t="str">
            <v>KPB3</v>
          </cell>
          <cell r="L336">
            <v>6466</v>
          </cell>
          <cell r="M336" t="str">
            <v>2025-02-21</v>
          </cell>
          <cell r="N336" t="str">
            <v>2025-10-18</v>
          </cell>
          <cell r="O336" t="str">
            <v>https://hana.modakita.com/azd942/avatar/210632084202510181027561BAAIP.jpg</v>
          </cell>
        </row>
        <row r="337">
          <cell r="I337" t="str">
            <v>KFE1E1164928</v>
          </cell>
          <cell r="J337" t="str">
            <v>KB4706BA</v>
          </cell>
          <cell r="K337" t="str">
            <v>KPB1</v>
          </cell>
          <cell r="L337">
            <v>2996</v>
          </cell>
          <cell r="M337" t="str">
            <v>2025-06-21</v>
          </cell>
          <cell r="N337" t="str">
            <v>2025-10-18</v>
          </cell>
          <cell r="O337" t="str">
            <v>https://hana.modakita.com/azd942/avatar/23773820251018102213GMZMJE.jpg</v>
          </cell>
        </row>
        <row r="338">
          <cell r="I338" t="str">
            <v>JMD1E1961875</v>
          </cell>
          <cell r="J338" t="str">
            <v>KB6522SAH</v>
          </cell>
          <cell r="K338" t="str">
            <v>KPB2</v>
          </cell>
          <cell r="L338">
            <v>1242</v>
          </cell>
          <cell r="M338" t="str">
            <v>2025-06-20</v>
          </cell>
          <cell r="N338" t="str">
            <v>2025-10-18</v>
          </cell>
          <cell r="O338" t="str">
            <v>https://hana.modakita.com/azd942/avatar/21394210620251018101713IHAWCY.jpg</v>
          </cell>
        </row>
        <row r="339">
          <cell r="I339" t="str">
            <v>KB22E1057429</v>
          </cell>
          <cell r="J339" t="str">
            <v>KB5817LR</v>
          </cell>
          <cell r="K339" t="str">
            <v>KPB2</v>
          </cell>
          <cell r="L339">
            <v>4428</v>
          </cell>
          <cell r="M339" t="str">
            <v>2025-06-20</v>
          </cell>
          <cell r="N339" t="str">
            <v>2025-10-18</v>
          </cell>
          <cell r="O339" t="str">
            <v>https://hana.modakita.com/azd942/avatar/23773820251018101008NOKVZO.jpg</v>
          </cell>
        </row>
        <row r="340">
          <cell r="I340" t="str">
            <v>KC04E1015886</v>
          </cell>
          <cell r="J340" t="str">
            <v>X123YZ</v>
          </cell>
          <cell r="K340" t="str">
            <v>KPB1</v>
          </cell>
          <cell r="L340">
            <v>590</v>
          </cell>
          <cell r="M340" t="str">
            <v>2025-08-28</v>
          </cell>
          <cell r="N340" t="str">
            <v>2025-10-18</v>
          </cell>
          <cell r="O340" t="str">
            <v>https://hana.modakita.com/azd942/avatar/210632084202510181006582HBPRQ.jpg</v>
          </cell>
        </row>
        <row r="341">
          <cell r="I341" t="str">
            <v>JME1E1567050</v>
          </cell>
          <cell r="J341" t="str">
            <v>KB5309LR</v>
          </cell>
          <cell r="K341" t="str">
            <v>KPB2</v>
          </cell>
          <cell r="L341">
            <v>2110</v>
          </cell>
          <cell r="M341" t="str">
            <v>2025-06-21</v>
          </cell>
          <cell r="N341" t="str">
            <v>2025-10-18</v>
          </cell>
          <cell r="O341" t="str">
            <v>https://hana.modakita.com/azd942/avatar/23773820251018100113NQYD0Y.jpg</v>
          </cell>
        </row>
        <row r="342">
          <cell r="I342" t="str">
            <v>JBK3E1589938</v>
          </cell>
          <cell r="J342" t="str">
            <v>KB6172BA</v>
          </cell>
          <cell r="K342" t="str">
            <v>KPB1</v>
          </cell>
          <cell r="L342">
            <v>496</v>
          </cell>
          <cell r="M342" t="str">
            <v>2025-08-28</v>
          </cell>
          <cell r="N342" t="str">
            <v>2025-10-18</v>
          </cell>
          <cell r="O342" t="str">
            <v>https://hana.modakita.com/azd942/avatar/21063208420251018095751GJ3WWT.jpg</v>
          </cell>
        </row>
        <row r="343">
          <cell r="I343" t="str">
            <v>JBK1E2101985</v>
          </cell>
          <cell r="J343" t="str">
            <v>X123YZ</v>
          </cell>
          <cell r="K343" t="str">
            <v>KPB2</v>
          </cell>
          <cell r="L343">
            <v>1906</v>
          </cell>
          <cell r="M343" t="str">
            <v>2025-06-10</v>
          </cell>
          <cell r="N343" t="str">
            <v>2025-10-18</v>
          </cell>
          <cell r="O343" t="str">
            <v>https://hana.modakita.com/azd942/avatar/21273061520251018094858O1XON4.jpg</v>
          </cell>
        </row>
        <row r="344">
          <cell r="I344" t="str">
            <v>JBP1E2108339</v>
          </cell>
          <cell r="J344" t="str">
            <v>KB4701BA</v>
          </cell>
          <cell r="K344" t="str">
            <v>KPB2</v>
          </cell>
          <cell r="L344">
            <v>2817</v>
          </cell>
          <cell r="M344" t="str">
            <v>2025-06-20</v>
          </cell>
          <cell r="N344" t="str">
            <v>2025-10-18</v>
          </cell>
          <cell r="O344" t="str">
            <v>https://hana.modakita.com/azd942/avatar/23773820251018093704WDI6CR.jpg</v>
          </cell>
        </row>
        <row r="345">
          <cell r="I345" t="str">
            <v>JMA1E1179577</v>
          </cell>
          <cell r="J345" t="str">
            <v>X123YZ</v>
          </cell>
          <cell r="K345" t="str">
            <v>KPB1</v>
          </cell>
          <cell r="L345">
            <v>295</v>
          </cell>
          <cell r="M345" t="str">
            <v>2025-08-20</v>
          </cell>
          <cell r="N345" t="str">
            <v>2025-10-18</v>
          </cell>
          <cell r="O345" t="str">
            <v>https://hana.modakita.com/azd942/avatar/23773820251018091651MCOUQ1.jpg</v>
          </cell>
        </row>
        <row r="346">
          <cell r="I346" t="str">
            <v>KFE2E1051690</v>
          </cell>
          <cell r="J346" t="str">
            <v>KB4793L</v>
          </cell>
          <cell r="K346" t="str">
            <v>KPB1</v>
          </cell>
          <cell r="L346">
            <v>851</v>
          </cell>
          <cell r="M346" t="str">
            <v>2025-08-14</v>
          </cell>
          <cell r="N346" t="str">
            <v>2025-10-18</v>
          </cell>
          <cell r="O346" t="str">
            <v>https://hana.modakita.com/azd942/avatar/21063208420251018091556ANGKY9.jpg</v>
          </cell>
        </row>
        <row r="347">
          <cell r="I347" t="str">
            <v>JMF1E1224567</v>
          </cell>
          <cell r="J347" t="str">
            <v>KB3667SAI</v>
          </cell>
          <cell r="K347" t="str">
            <v>KPB1</v>
          </cell>
          <cell r="L347">
            <v>997</v>
          </cell>
          <cell r="M347" t="str">
            <v>2025-08-27</v>
          </cell>
          <cell r="N347" t="str">
            <v>2025-10-18</v>
          </cell>
          <cell r="O347" t="str">
            <v>https://hana.modakita.com/azd942/avatar/21063208420251018090237REIMWQ.jpg</v>
          </cell>
        </row>
        <row r="348">
          <cell r="I348" t="str">
            <v>JMD1E2019608</v>
          </cell>
          <cell r="J348" t="str">
            <v>KB6047BA</v>
          </cell>
          <cell r="K348" t="str">
            <v>KPB1</v>
          </cell>
          <cell r="L348">
            <v>123</v>
          </cell>
          <cell r="M348" t="str">
            <v>2025-08-20</v>
          </cell>
          <cell r="N348" t="str">
            <v>2025-10-18</v>
          </cell>
          <cell r="O348" t="str">
            <v>https://hana.modakita.com/azd942/avatar/23773820251018085536ASQKA7.jpg</v>
          </cell>
        </row>
        <row r="349">
          <cell r="I349" t="str">
            <v>JME1E1692182</v>
          </cell>
          <cell r="J349" t="str">
            <v>KB6163BA</v>
          </cell>
          <cell r="K349" t="str">
            <v>KPB1</v>
          </cell>
          <cell r="L349">
            <v>181</v>
          </cell>
          <cell r="M349" t="str">
            <v>2025-08-27</v>
          </cell>
          <cell r="N349" t="str">
            <v>2025-10-18</v>
          </cell>
          <cell r="O349" t="str">
            <v>https://hana.modakita.com/azd942/avatar/210632084202510180848348ANSHL.jpg</v>
          </cell>
        </row>
        <row r="350">
          <cell r="I350" t="str">
            <v>JMD1E2025309</v>
          </cell>
          <cell r="J350" t="str">
            <v>KB5344SAG</v>
          </cell>
          <cell r="K350" t="str">
            <v>KPB1</v>
          </cell>
          <cell r="L350">
            <v>925</v>
          </cell>
          <cell r="M350" t="str">
            <v>2025-08-20</v>
          </cell>
          <cell r="N350" t="str">
            <v>2025-10-18</v>
          </cell>
          <cell r="O350" t="str">
            <v>https://hana.modakita.com/azd942/avatar/23773820251018084645VRQFKV.jpg</v>
          </cell>
        </row>
        <row r="351">
          <cell r="I351" t="str">
            <v>KC02E1275094</v>
          </cell>
          <cell r="J351" t="str">
            <v>X123YZ</v>
          </cell>
          <cell r="K351" t="str">
            <v>KPB4</v>
          </cell>
          <cell r="L351">
            <v>8880</v>
          </cell>
          <cell r="M351" t="str">
            <v>2024-10-25</v>
          </cell>
          <cell r="N351" t="str">
            <v>2025-10-18</v>
          </cell>
          <cell r="O351" t="str">
            <v>https://hana.modakita.com/azd942/avatar/210632084202510180836090J7C9T.jpg</v>
          </cell>
        </row>
        <row r="352">
          <cell r="I352" t="str">
            <v>JBP1E2117531</v>
          </cell>
          <cell r="J352" t="str">
            <v>KB3206XY</v>
          </cell>
          <cell r="K352" t="str">
            <v>KPB1</v>
          </cell>
          <cell r="L352">
            <v>836</v>
          </cell>
          <cell r="M352" t="str">
            <v>2025-08-20</v>
          </cell>
          <cell r="N352" t="str">
            <v>2025-10-18</v>
          </cell>
          <cell r="O352" t="str">
            <v>https://hana.modakita.com/azd942/avatar/21394210620251018082923HIKVDI.jpg</v>
          </cell>
        </row>
        <row r="353">
          <cell r="I353" t="str">
            <v>JMB1E1214167</v>
          </cell>
          <cell r="J353" t="str">
            <v>KB4052L</v>
          </cell>
          <cell r="K353" t="str">
            <v>KPB1</v>
          </cell>
          <cell r="L353">
            <v>985</v>
          </cell>
          <cell r="M353" t="str">
            <v>2025-08-13</v>
          </cell>
          <cell r="N353" t="str">
            <v>2025-10-23</v>
          </cell>
          <cell r="O353" t="str">
            <v>https://hana.modakita.com/azd942/avatar/21301231220251023155238NLODKU.jpg</v>
          </cell>
        </row>
        <row r="354">
          <cell r="I354" t="str">
            <v>JMH1E1076445</v>
          </cell>
          <cell r="J354" t="str">
            <v>KB6941XZ</v>
          </cell>
          <cell r="K354" t="str">
            <v>KPB3</v>
          </cell>
          <cell r="L354">
            <v>6190</v>
          </cell>
          <cell r="M354" t="str">
            <v>2025-02-18</v>
          </cell>
          <cell r="N354" t="str">
            <v>2025-10-23</v>
          </cell>
          <cell r="O354" t="str">
            <v>https://hana.modakita.com/azd942/avatar/23773820251023150341UOPOLV.jpg</v>
          </cell>
        </row>
        <row r="355">
          <cell r="I355" t="str">
            <v>JBP1E2091017</v>
          </cell>
          <cell r="J355" t="str">
            <v>X123YZ</v>
          </cell>
          <cell r="K355" t="str">
            <v>KPB3</v>
          </cell>
          <cell r="L355">
            <v>5932</v>
          </cell>
          <cell r="M355" t="str">
            <v>2025-02-16</v>
          </cell>
          <cell r="N355" t="str">
            <v>2025-10-23</v>
          </cell>
          <cell r="O355" t="str">
            <v>https://hana.modakita.com/azd942/avatar/23773820251023145133FBY5XV.jpg</v>
          </cell>
        </row>
        <row r="356">
          <cell r="I356" t="str">
            <v>JME1E1676069</v>
          </cell>
          <cell r="J356" t="str">
            <v>X123YZ</v>
          </cell>
          <cell r="K356" t="str">
            <v>KPB1</v>
          </cell>
          <cell r="L356">
            <v>625</v>
          </cell>
          <cell r="M356" t="str">
            <v>2025-08-16</v>
          </cell>
          <cell r="N356" t="str">
            <v>2025-10-23</v>
          </cell>
          <cell r="O356" t="str">
            <v>https://hana.modakita.com/azd942/avatar/23773820251023142043LW0QXI.jpg</v>
          </cell>
        </row>
        <row r="357">
          <cell r="I357" t="str">
            <v>JBK1E2117018</v>
          </cell>
          <cell r="J357" t="str">
            <v>X123YZ</v>
          </cell>
          <cell r="K357" t="str">
            <v>KPB1</v>
          </cell>
          <cell r="L357">
            <v>588</v>
          </cell>
          <cell r="M357" t="str">
            <v>2025-08-16</v>
          </cell>
          <cell r="N357" t="str">
            <v>2025-10-23</v>
          </cell>
          <cell r="O357" t="str">
            <v>https://hana.modakita.com/azd942/avatar/237738202510231404155VSHFY.jpg</v>
          </cell>
        </row>
        <row r="358">
          <cell r="I358" t="str">
            <v>KC04E1013867</v>
          </cell>
          <cell r="J358" t="str">
            <v>X123YZ</v>
          </cell>
          <cell r="K358" t="str">
            <v>KPB1</v>
          </cell>
          <cell r="L358">
            <v>689</v>
          </cell>
          <cell r="M358" t="str">
            <v>2025-08-16</v>
          </cell>
          <cell r="N358" t="str">
            <v>2025-10-23</v>
          </cell>
          <cell r="O358" t="str">
            <v>https://hana.modakita.com/azd942/avatar/23773820251023135954YQ7GMZ.jpg</v>
          </cell>
        </row>
        <row r="359">
          <cell r="I359" t="str">
            <v>JMF1E1268220</v>
          </cell>
          <cell r="J359" t="str">
            <v>KB6607YX</v>
          </cell>
          <cell r="K359" t="str">
            <v>KPB1</v>
          </cell>
          <cell r="L359">
            <v>365</v>
          </cell>
          <cell r="M359" t="str">
            <v>2025-08-13</v>
          </cell>
          <cell r="N359" t="str">
            <v>2025-10-23</v>
          </cell>
          <cell r="O359" t="str">
            <v>https://hana.modakita.com/azd942/avatar/21063208420251023124319O5NPWJ.jpg</v>
          </cell>
        </row>
        <row r="360">
          <cell r="I360" t="str">
            <v>KD11E1576698</v>
          </cell>
          <cell r="J360" t="str">
            <v>KB6932XZ</v>
          </cell>
          <cell r="K360" t="str">
            <v>KPB3</v>
          </cell>
          <cell r="L360">
            <v>6398</v>
          </cell>
          <cell r="M360" t="str">
            <v>2025-02-16</v>
          </cell>
          <cell r="N360" t="str">
            <v>2025-10-23</v>
          </cell>
          <cell r="O360" t="str">
            <v>https://hana.modakita.com/azd942/avatar/21063208420251023120934M8V53I.jpg</v>
          </cell>
        </row>
        <row r="361">
          <cell r="I361" t="str">
            <v>JMH2E1328807</v>
          </cell>
          <cell r="J361" t="str">
            <v>X123YZ</v>
          </cell>
          <cell r="K361" t="str">
            <v>KPB1</v>
          </cell>
          <cell r="L361">
            <v>523</v>
          </cell>
          <cell r="M361" t="str">
            <v>2025-08-18</v>
          </cell>
          <cell r="N361" t="str">
            <v>2025-10-23</v>
          </cell>
          <cell r="O361" t="str">
            <v>https://hana.modakita.com/azd942/avatar/23773820251023120835FI2BP8.jpg</v>
          </cell>
        </row>
        <row r="362">
          <cell r="I362" t="str">
            <v>JBP1E2090340</v>
          </cell>
          <cell r="J362" t="str">
            <v>X123YZ</v>
          </cell>
          <cell r="K362" t="str">
            <v>KPB3</v>
          </cell>
          <cell r="L362">
            <v>5894</v>
          </cell>
          <cell r="M362" t="str">
            <v>2025-02-16</v>
          </cell>
          <cell r="N362" t="str">
            <v>2025-10-23</v>
          </cell>
          <cell r="O362" t="str">
            <v>https://hana.modakita.com/azd942/avatar/21063208420251023120547BCM48C.jpg</v>
          </cell>
        </row>
        <row r="363">
          <cell r="I363" t="str">
            <v>JBP1E2067406</v>
          </cell>
          <cell r="J363" t="str">
            <v>X123YZ</v>
          </cell>
          <cell r="K363" t="str">
            <v>KPB4</v>
          </cell>
          <cell r="L363">
            <v>9365</v>
          </cell>
          <cell r="M363" t="str">
            <v>2024-10-15</v>
          </cell>
          <cell r="N363" t="str">
            <v>2025-10-23</v>
          </cell>
          <cell r="O363" t="str">
            <v>https://hana.modakita.com/azd942/avatar/21063208420251023120253TCJYVL.jpg</v>
          </cell>
        </row>
        <row r="364">
          <cell r="I364" t="str">
            <v>JBP1E2091394</v>
          </cell>
          <cell r="J364" t="str">
            <v>X123YZ</v>
          </cell>
          <cell r="K364" t="str">
            <v>KPB3</v>
          </cell>
          <cell r="L364">
            <v>6325</v>
          </cell>
          <cell r="M364" t="str">
            <v>2025-02-15</v>
          </cell>
          <cell r="N364" t="str">
            <v>2025-10-23</v>
          </cell>
          <cell r="O364" t="str">
            <v>https://hana.modakita.com/azd942/avatar/21063208420251023115918QYKXYT.jpg</v>
          </cell>
        </row>
        <row r="365">
          <cell r="I365" t="str">
            <v>JBP1E2116893</v>
          </cell>
          <cell r="J365" t="str">
            <v>X123YZ</v>
          </cell>
          <cell r="K365" t="str">
            <v>KPB1</v>
          </cell>
          <cell r="L365">
            <v>890</v>
          </cell>
          <cell r="M365" t="str">
            <v>2025-08-15</v>
          </cell>
          <cell r="N365" t="str">
            <v>2025-10-23</v>
          </cell>
          <cell r="O365" t="str">
            <v>https://hana.modakita.com/azd942/avatar/21063208420251023115436LCC3RX.jpg</v>
          </cell>
        </row>
        <row r="366">
          <cell r="I366" t="str">
            <v>KC04E1013100</v>
          </cell>
          <cell r="J366" t="str">
            <v>X123YZ</v>
          </cell>
          <cell r="K366" t="str">
            <v>KPB1</v>
          </cell>
          <cell r="L366">
            <v>638</v>
          </cell>
          <cell r="M366" t="str">
            <v>2025-08-14</v>
          </cell>
          <cell r="N366" t="str">
            <v>2025-10-23</v>
          </cell>
          <cell r="O366" t="str">
            <v>https://hana.modakita.com/azd942/avatar/23773820251023113912294QEP.jpg</v>
          </cell>
        </row>
        <row r="367">
          <cell r="I367" t="str">
            <v>KC04E1013102</v>
          </cell>
          <cell r="J367" t="str">
            <v>X123YZ</v>
          </cell>
          <cell r="K367" t="str">
            <v>KPB1</v>
          </cell>
          <cell r="L367">
            <v>326</v>
          </cell>
          <cell r="M367" t="str">
            <v>2025-08-14</v>
          </cell>
          <cell r="N367" t="str">
            <v>2025-10-23</v>
          </cell>
          <cell r="O367" t="str">
            <v>https://hana.modakita.com/azd942/avatar/21063208420251023113631HAGYJL.jpg</v>
          </cell>
        </row>
        <row r="368">
          <cell r="I368" t="str">
            <v>JME1E1658382</v>
          </cell>
          <cell r="J368" t="str">
            <v>X123YZ</v>
          </cell>
          <cell r="K368" t="str">
            <v>KPB1</v>
          </cell>
          <cell r="L368">
            <v>862</v>
          </cell>
          <cell r="M368" t="str">
            <v>2025-08-14</v>
          </cell>
          <cell r="N368" t="str">
            <v>2025-10-23</v>
          </cell>
          <cell r="O368" t="str">
            <v>https://hana.modakita.com/azd942/avatar/210632084202510231110145TRQFU.jpg</v>
          </cell>
        </row>
        <row r="369">
          <cell r="I369" t="str">
            <v>KC04E1012722</v>
          </cell>
          <cell r="J369" t="str">
            <v>X123YZ</v>
          </cell>
          <cell r="K369" t="str">
            <v>KPB1</v>
          </cell>
          <cell r="L369">
            <v>792</v>
          </cell>
          <cell r="M369" t="str">
            <v>2025-08-14</v>
          </cell>
          <cell r="N369" t="str">
            <v>2025-10-23</v>
          </cell>
          <cell r="O369" t="str">
            <v>https://hana.modakita.com/azd942/avatar/21063208420251023110625RLAJKT.jpg</v>
          </cell>
        </row>
        <row r="370">
          <cell r="I370" t="str">
            <v>KB22E1058093</v>
          </cell>
          <cell r="J370" t="str">
            <v>KB5081L</v>
          </cell>
          <cell r="K370" t="str">
            <v>KPB1</v>
          </cell>
          <cell r="L370">
            <v>858</v>
          </cell>
          <cell r="M370" t="str">
            <v>2025-08-15</v>
          </cell>
          <cell r="N370" t="str">
            <v>2025-10-23</v>
          </cell>
          <cell r="O370" t="str">
            <v>https://hana.modakita.com/azd942/avatar/21394210620251023110619VZRYLU.jpg</v>
          </cell>
        </row>
        <row r="371">
          <cell r="I371" t="str">
            <v>KC04E1013114</v>
          </cell>
          <cell r="J371" t="str">
            <v>KB4782L</v>
          </cell>
          <cell r="K371" t="str">
            <v>KPB1</v>
          </cell>
          <cell r="L371">
            <v>785</v>
          </cell>
          <cell r="M371" t="str">
            <v>2025-08-14</v>
          </cell>
          <cell r="N371" t="str">
            <v>2025-10-23</v>
          </cell>
          <cell r="O371" t="str">
            <v>https://hana.modakita.com/azd942/avatar/23773820251023110339XEODVZ.jpg</v>
          </cell>
        </row>
        <row r="372">
          <cell r="I372" t="str">
            <v>JMH2E1433973</v>
          </cell>
          <cell r="J372" t="str">
            <v>KB5813BA</v>
          </cell>
          <cell r="K372" t="str">
            <v>KPB1</v>
          </cell>
          <cell r="L372">
            <v>853</v>
          </cell>
          <cell r="M372" t="str">
            <v>2025-08-15</v>
          </cell>
          <cell r="N372" t="str">
            <v>2025-10-23</v>
          </cell>
          <cell r="O372" t="str">
            <v>https://hana.modakita.com/azd942/avatar/210632084202510231102203W1SQ5.jpg</v>
          </cell>
        </row>
        <row r="373">
          <cell r="I373" t="str">
            <v>JBK1E2115725</v>
          </cell>
          <cell r="J373" t="str">
            <v>X123YZ</v>
          </cell>
          <cell r="K373" t="str">
            <v>KPB1</v>
          </cell>
          <cell r="L373">
            <v>852</v>
          </cell>
          <cell r="M373" t="str">
            <v>2025-08-14</v>
          </cell>
          <cell r="N373" t="str">
            <v>2025-10-23</v>
          </cell>
          <cell r="O373" t="str">
            <v>https://hana.modakita.com/azd942/avatar/237738202510231057166XNY98.jpg</v>
          </cell>
        </row>
        <row r="374">
          <cell r="I374" t="str">
            <v>KF01E1817178</v>
          </cell>
          <cell r="J374" t="str">
            <v>X123YZ</v>
          </cell>
          <cell r="K374" t="str">
            <v>KPB3</v>
          </cell>
          <cell r="L374">
            <v>10295</v>
          </cell>
          <cell r="M374" t="str">
            <v>2025-02-14</v>
          </cell>
          <cell r="N374" t="str">
            <v>2025-10-23</v>
          </cell>
          <cell r="O374" t="str">
            <v>https://hana.modakita.com/azd942/avatar/213942106202510231057149JZFH3.jpg</v>
          </cell>
        </row>
        <row r="375">
          <cell r="I375" t="str">
            <v>JME1E1651220</v>
          </cell>
          <cell r="J375" t="str">
            <v>X123YZ</v>
          </cell>
          <cell r="K375" t="str">
            <v>KPB1</v>
          </cell>
          <cell r="L375">
            <v>618</v>
          </cell>
          <cell r="M375" t="str">
            <v>2025-08-14</v>
          </cell>
          <cell r="N375" t="str">
            <v>2025-10-23</v>
          </cell>
          <cell r="O375" t="str">
            <v>https://hana.modakita.com/azd942/avatar/21063208420251023105546GLY8Y5.jpg</v>
          </cell>
        </row>
        <row r="376">
          <cell r="I376" t="str">
            <v>JBK3E1560193</v>
          </cell>
          <cell r="J376" t="str">
            <v>X123YZ</v>
          </cell>
          <cell r="K376" t="str">
            <v>KPB3</v>
          </cell>
          <cell r="L376">
            <v>5209</v>
          </cell>
          <cell r="M376" t="str">
            <v>2025-02-13</v>
          </cell>
          <cell r="N376" t="str">
            <v>2025-10-23</v>
          </cell>
          <cell r="O376" t="str">
            <v>https://hana.modakita.com/azd942/avatar/23773820251023105226JXEL11.jpg</v>
          </cell>
        </row>
        <row r="377">
          <cell r="I377" t="str">
            <v>JMH1E1089362</v>
          </cell>
          <cell r="J377" t="str">
            <v>KB6919XZ</v>
          </cell>
          <cell r="K377" t="str">
            <v>KPB3</v>
          </cell>
          <cell r="L377">
            <v>5832</v>
          </cell>
          <cell r="M377" t="str">
            <v>2025-02-14</v>
          </cell>
          <cell r="N377" t="str">
            <v>2025-10-23</v>
          </cell>
          <cell r="O377" t="str">
            <v>https://hana.modakita.com/azd942/avatar/21063208420251023105149MF9PVP.jpg</v>
          </cell>
        </row>
        <row r="378">
          <cell r="I378" t="str">
            <v>KD11E1608563</v>
          </cell>
          <cell r="J378" t="str">
            <v>KB6624LQ</v>
          </cell>
          <cell r="K378" t="str">
            <v>KPB2</v>
          </cell>
          <cell r="L378">
            <v>3655</v>
          </cell>
          <cell r="M378" t="str">
            <v>2025-06-13</v>
          </cell>
          <cell r="N378" t="str">
            <v>2025-10-23</v>
          </cell>
          <cell r="O378" t="str">
            <v>https://hana.modakita.com/azd942/avatar/21063208420251023104516U7LSEW.jpg</v>
          </cell>
        </row>
        <row r="379">
          <cell r="I379" t="str">
            <v>JBP1E2115893</v>
          </cell>
          <cell r="J379" t="str">
            <v>X123YZ</v>
          </cell>
          <cell r="K379" t="str">
            <v>KPB1</v>
          </cell>
          <cell r="L379">
            <v>582</v>
          </cell>
          <cell r="M379" t="str">
            <v>2025-08-13</v>
          </cell>
          <cell r="N379" t="str">
            <v>2025-10-23</v>
          </cell>
          <cell r="O379" t="str">
            <v>https://hana.modakita.com/azd942/avatar/21063208420251023103914DUJS2S.jpg</v>
          </cell>
        </row>
        <row r="380">
          <cell r="I380" t="str">
            <v>KC04E1012751</v>
          </cell>
          <cell r="J380" t="str">
            <v>KB4059L</v>
          </cell>
          <cell r="K380" t="str">
            <v>KPB1</v>
          </cell>
          <cell r="L380">
            <v>875</v>
          </cell>
          <cell r="M380" t="str">
            <v>2025-08-13</v>
          </cell>
          <cell r="N380" t="str">
            <v>2025-10-23</v>
          </cell>
          <cell r="O380" t="str">
            <v>https://hana.modakita.com/azd942/avatar/21301231220251023103603TM3WA6.jpg</v>
          </cell>
        </row>
        <row r="381">
          <cell r="I381" t="str">
            <v>JBK1E2103656</v>
          </cell>
          <cell r="J381" t="str">
            <v>X123YZ</v>
          </cell>
          <cell r="K381" t="str">
            <v>KPB2</v>
          </cell>
          <cell r="L381">
            <v>3925</v>
          </cell>
          <cell r="M381" t="str">
            <v>2025-06-12</v>
          </cell>
          <cell r="N381" t="str">
            <v>2025-10-23</v>
          </cell>
          <cell r="O381" t="str">
            <v>https://hana.modakita.com/azd942/avatar/21063208420251023103326OAN3OC.jpg</v>
          </cell>
        </row>
        <row r="382">
          <cell r="I382" t="str">
            <v>JMH2E1391356</v>
          </cell>
          <cell r="J382" t="str">
            <v>X123YZ</v>
          </cell>
          <cell r="K382" t="str">
            <v>KPB1</v>
          </cell>
          <cell r="L382">
            <v>492</v>
          </cell>
          <cell r="M382" t="str">
            <v>2025-08-12</v>
          </cell>
          <cell r="N382" t="str">
            <v>2025-10-23</v>
          </cell>
          <cell r="O382" t="str">
            <v>https://hana.modakita.com/azd942/avatar/23773820251023103153LD9EAE.jpg</v>
          </cell>
        </row>
        <row r="383">
          <cell r="I383" t="str">
            <v>JMF2E1509256</v>
          </cell>
          <cell r="J383" t="str">
            <v>X123YZ</v>
          </cell>
          <cell r="K383" t="str">
            <v>KPB1</v>
          </cell>
          <cell r="L383">
            <v>468</v>
          </cell>
          <cell r="M383" t="str">
            <v>2025-08-13</v>
          </cell>
          <cell r="N383" t="str">
            <v>2025-10-23</v>
          </cell>
          <cell r="O383" t="str">
            <v>https://hana.modakita.com/azd942/avatar/21063208420251023102926VTI9OA.jpg</v>
          </cell>
        </row>
        <row r="384">
          <cell r="I384" t="str">
            <v>JBK1E2115347</v>
          </cell>
          <cell r="J384" t="str">
            <v>X123YZ</v>
          </cell>
          <cell r="K384" t="str">
            <v>KPB1</v>
          </cell>
          <cell r="L384">
            <v>325</v>
          </cell>
          <cell r="M384" t="str">
            <v>2025-08-12</v>
          </cell>
          <cell r="N384" t="str">
            <v>2025-10-23</v>
          </cell>
          <cell r="O384" t="str">
            <v>https://hana.modakita.com/azd942/avatar/23773820251023102720LKBHM7.jpg</v>
          </cell>
        </row>
        <row r="385">
          <cell r="I385" t="str">
            <v>KD11E1568152</v>
          </cell>
          <cell r="J385" t="str">
            <v>X123YZ</v>
          </cell>
          <cell r="K385" t="str">
            <v>KPB3</v>
          </cell>
          <cell r="L385">
            <v>6593</v>
          </cell>
          <cell r="M385" t="str">
            <v>2025-02-12</v>
          </cell>
          <cell r="N385" t="str">
            <v>2025-10-23</v>
          </cell>
          <cell r="O385" t="str">
            <v>https://hana.modakita.com/azd942/avatar/23773820251023101148OHH1YT.jpg</v>
          </cell>
        </row>
        <row r="386">
          <cell r="I386" t="str">
            <v>JMH1E1212628</v>
          </cell>
          <cell r="J386" t="str">
            <v>KB5928BA</v>
          </cell>
          <cell r="K386" t="str">
            <v>KPB1</v>
          </cell>
          <cell r="L386">
            <v>459</v>
          </cell>
          <cell r="M386" t="str">
            <v>2025-08-13</v>
          </cell>
          <cell r="N386" t="str">
            <v>2025-10-23</v>
          </cell>
          <cell r="O386" t="str">
            <v>https://hana.modakita.com/azd942/avatar/23773820251023095942VY1UTG.jpg</v>
          </cell>
        </row>
        <row r="387">
          <cell r="I387" t="str">
            <v>KD11E1621463</v>
          </cell>
          <cell r="J387" t="str">
            <v>KB4036L</v>
          </cell>
          <cell r="K387" t="str">
            <v>KPB1</v>
          </cell>
          <cell r="L387">
            <v>693</v>
          </cell>
          <cell r="M387" t="str">
            <v>2025-08-12</v>
          </cell>
          <cell r="N387" t="str">
            <v>2025-10-23</v>
          </cell>
          <cell r="O387" t="str">
            <v>https://hana.modakita.com/azd942/avatar/23773820251023095414R8YOUN.jpg</v>
          </cell>
        </row>
        <row r="388">
          <cell r="I388" t="str">
            <v>JBK3E1575693</v>
          </cell>
          <cell r="J388" t="str">
            <v>X123YZ</v>
          </cell>
          <cell r="K388" t="str">
            <v>KPB2</v>
          </cell>
          <cell r="L388">
            <v>2635</v>
          </cell>
          <cell r="M388" t="str">
            <v>2025-06-09</v>
          </cell>
          <cell r="N388" t="str">
            <v>2025-10-23</v>
          </cell>
          <cell r="O388" t="str">
            <v>https://hana.modakita.com/azd942/avatar/23773820251023094226J1V9WQ.jpg</v>
          </cell>
        </row>
        <row r="389">
          <cell r="I389" t="str">
            <v>KFE1E1262354</v>
          </cell>
          <cell r="J389" t="str">
            <v>X123YZ</v>
          </cell>
          <cell r="K389" t="str">
            <v>KPB1</v>
          </cell>
          <cell r="L389">
            <v>119</v>
          </cell>
          <cell r="M389" t="str">
            <v>2025-08-31</v>
          </cell>
          <cell r="N389" t="str">
            <v>2025-10-23</v>
          </cell>
          <cell r="O389" t="str">
            <v>https://hana.modakita.com/azd942/avatar/23773820251023093521SSI3EV.jpg</v>
          </cell>
        </row>
        <row r="390">
          <cell r="I390" t="str">
            <v>KD11E1624163</v>
          </cell>
          <cell r="J390" t="str">
            <v>X123YZ</v>
          </cell>
          <cell r="K390" t="str">
            <v>KPB1</v>
          </cell>
          <cell r="L390">
            <v>1081</v>
          </cell>
          <cell r="M390" t="str">
            <v>2025-08-31</v>
          </cell>
          <cell r="N390" t="str">
            <v>2025-10-23</v>
          </cell>
          <cell r="O390" t="str">
            <v>https://hana.modakita.com/azd942/avatar/23773820251023084410YNNJQL.jpg</v>
          </cell>
        </row>
        <row r="391">
          <cell r="I391" t="str">
            <v>JBK3E1577568</v>
          </cell>
          <cell r="J391" t="str">
            <v>X123YZ</v>
          </cell>
          <cell r="K391" t="str">
            <v>KPB2</v>
          </cell>
          <cell r="L391">
            <v>1439</v>
          </cell>
          <cell r="M391" t="str">
            <v>2025-06-16</v>
          </cell>
          <cell r="N391" t="str">
            <v>2025-10-23</v>
          </cell>
          <cell r="O391" t="str">
            <v>https://hana.modakita.com/azd942/avatar/23773820251023083637DTGHVW.jpg</v>
          </cell>
        </row>
        <row r="392">
          <cell r="I392" t="str">
            <v>KFC1E1169184</v>
          </cell>
          <cell r="J392" t="str">
            <v>KB5806BA</v>
          </cell>
          <cell r="K392" t="str">
            <v>KPB1</v>
          </cell>
          <cell r="L392">
            <v>523</v>
          </cell>
          <cell r="M392" t="str">
            <v>2025-08-13</v>
          </cell>
          <cell r="N392" t="str">
            <v>2025-10-23</v>
          </cell>
          <cell r="O392" t="str">
            <v>https://hana.modakita.com/azd942/avatar/21301231220251023082957BVRXTL.jpg</v>
          </cell>
        </row>
        <row r="393">
          <cell r="I393" t="str">
            <v>JBK1E2103980</v>
          </cell>
          <cell r="J393" t="str">
            <v>KB6615LQ</v>
          </cell>
          <cell r="K393" t="str">
            <v>KPB2</v>
          </cell>
          <cell r="L393">
            <v>1692</v>
          </cell>
          <cell r="M393" t="str">
            <v>2025-06-13</v>
          </cell>
          <cell r="N393" t="str">
            <v>2025-10-23</v>
          </cell>
          <cell r="O393" t="str">
            <v>https://hana.modakita.com/azd942/avatar/23773820251023082558Q8B1CN.jpg</v>
          </cell>
        </row>
        <row r="394">
          <cell r="I394" t="str">
            <v>JME1E1689062</v>
          </cell>
          <cell r="J394" t="str">
            <v>KB6183BA</v>
          </cell>
          <cell r="K394" t="str">
            <v>KPB1</v>
          </cell>
          <cell r="L394">
            <v>844</v>
          </cell>
          <cell r="M394" t="str">
            <v>2025-08-31</v>
          </cell>
          <cell r="N394" t="str">
            <v>2025-10-22</v>
          </cell>
          <cell r="O394" t="str">
            <v>https://hana.modakita.com/azd942/avatar/23773820251022154325NHZLRS.jpg</v>
          </cell>
        </row>
        <row r="395">
          <cell r="I395" t="str">
            <v>JM04E2245669</v>
          </cell>
          <cell r="J395" t="str">
            <v>X123YZ</v>
          </cell>
          <cell r="K395" t="str">
            <v>KPB4</v>
          </cell>
          <cell r="L395">
            <v>9967</v>
          </cell>
          <cell r="M395" t="str">
            <v>2024-10-30</v>
          </cell>
          <cell r="N395" t="str">
            <v>2025-10-22</v>
          </cell>
          <cell r="O395" t="str">
            <v>https://hana.modakita.com/azd942/avatar/23773820251022153750C477BX.jpg</v>
          </cell>
        </row>
        <row r="396">
          <cell r="I396" t="str">
            <v>KF81E1408253</v>
          </cell>
          <cell r="J396" t="str">
            <v>KB6236BX</v>
          </cell>
          <cell r="K396" t="str">
            <v>KPB3</v>
          </cell>
          <cell r="L396">
            <v>8981</v>
          </cell>
          <cell r="M396" t="str">
            <v>2024-10-31</v>
          </cell>
          <cell r="N396" t="str">
            <v>2025-10-22</v>
          </cell>
          <cell r="O396" t="str">
            <v>https://hana.modakita.com/azd942/avatar/21063208420251022153737SDXYMN.jpg</v>
          </cell>
        </row>
        <row r="397">
          <cell r="I397" t="str">
            <v>KF01E1894242</v>
          </cell>
          <cell r="J397" t="str">
            <v>X123YZ</v>
          </cell>
          <cell r="K397" t="str">
            <v>KPB2</v>
          </cell>
          <cell r="L397">
            <v>5522</v>
          </cell>
          <cell r="M397" t="str">
            <v>2025-06-30</v>
          </cell>
          <cell r="N397" t="str">
            <v>2025-10-22</v>
          </cell>
          <cell r="O397" t="str">
            <v>https://hana.modakita.com/azd942/avatar/23773820251022152832EWX1CK.jpg</v>
          </cell>
        </row>
        <row r="398">
          <cell r="I398" t="str">
            <v>KFE1E1171037</v>
          </cell>
          <cell r="J398" t="str">
            <v>KB4929BA</v>
          </cell>
          <cell r="K398" t="str">
            <v>KPB2</v>
          </cell>
          <cell r="L398">
            <v>1191</v>
          </cell>
          <cell r="M398" t="str">
            <v>2025-06-30</v>
          </cell>
          <cell r="N398" t="str">
            <v>2025-10-22</v>
          </cell>
          <cell r="O398" t="str">
            <v>https://hana.modakita.com/azd942/avatar/23773820251022152153A1RXAJ.jpg</v>
          </cell>
        </row>
        <row r="399">
          <cell r="I399" t="str">
            <v>JMD1E2040152</v>
          </cell>
          <cell r="J399" t="str">
            <v>KB6189BA</v>
          </cell>
          <cell r="K399" t="str">
            <v>KPB1</v>
          </cell>
          <cell r="L399">
            <v>639</v>
          </cell>
          <cell r="M399" t="str">
            <v>2025-08-30</v>
          </cell>
          <cell r="N399" t="str">
            <v>2025-10-22</v>
          </cell>
          <cell r="O399" t="str">
            <v>https://hana.modakita.com/azd942/avatar/23773820251022151800OQVO3L.jpg</v>
          </cell>
        </row>
        <row r="400">
          <cell r="I400" t="str">
            <v>JMC1E1703131</v>
          </cell>
          <cell r="J400" t="str">
            <v>X123YZ</v>
          </cell>
          <cell r="K400" t="str">
            <v>KPB1</v>
          </cell>
          <cell r="L400">
            <v>240</v>
          </cell>
          <cell r="M400" t="str">
            <v>2025-08-30</v>
          </cell>
          <cell r="N400" t="str">
            <v>2025-10-22</v>
          </cell>
          <cell r="O400" t="str">
            <v>https://hana.modakita.com/azd942/avatar/23773820251022150233JZ4ZBJ.jpg</v>
          </cell>
        </row>
        <row r="401">
          <cell r="I401" t="str">
            <v>JMD1E2036994</v>
          </cell>
          <cell r="J401" t="str">
            <v>KB3690SAN</v>
          </cell>
          <cell r="K401" t="str">
            <v>KPB1</v>
          </cell>
          <cell r="L401">
            <v>544</v>
          </cell>
          <cell r="M401" t="str">
            <v>2025-08-31</v>
          </cell>
          <cell r="N401" t="str">
            <v>2025-10-22</v>
          </cell>
          <cell r="O401" t="str">
            <v>https://hana.modakita.com/azd942/avatar/23773820251022142254OXYCQO.jpg</v>
          </cell>
        </row>
        <row r="402">
          <cell r="I402" t="str">
            <v>JMH1E1237223</v>
          </cell>
          <cell r="J402" t="str">
            <v>KB2241XX</v>
          </cell>
          <cell r="K402" t="str">
            <v>KPB1</v>
          </cell>
          <cell r="L402">
            <v>1010</v>
          </cell>
          <cell r="M402" t="str">
            <v>2025-08-31</v>
          </cell>
          <cell r="N402" t="str">
            <v>2025-10-22</v>
          </cell>
          <cell r="O402" t="str">
            <v>https://hana.modakita.com/azd942/avatar/23773820251022141040EN5GXE.jpg</v>
          </cell>
        </row>
        <row r="403">
          <cell r="I403" t="str">
            <v>JMG1E1536262</v>
          </cell>
          <cell r="J403" t="str">
            <v>KB2240XX</v>
          </cell>
          <cell r="K403" t="str">
            <v>KPB1</v>
          </cell>
          <cell r="L403">
            <v>527</v>
          </cell>
          <cell r="M403" t="str">
            <v>2025-08-30</v>
          </cell>
          <cell r="N403" t="str">
            <v>2025-10-22</v>
          </cell>
          <cell r="O403" t="str">
            <v>https://hana.modakita.com/azd942/avatar/21301231220251022140456VA0D8A.jpg</v>
          </cell>
        </row>
        <row r="404">
          <cell r="I404" t="str">
            <v>JMD1E2040151</v>
          </cell>
          <cell r="J404" t="str">
            <v>KB6188BA</v>
          </cell>
          <cell r="K404" t="str">
            <v>KPB1</v>
          </cell>
          <cell r="L404">
            <v>577</v>
          </cell>
          <cell r="M404" t="str">
            <v>2025-08-31</v>
          </cell>
          <cell r="N404" t="str">
            <v>2025-10-22</v>
          </cell>
          <cell r="O404" t="str">
            <v>https://hana.modakita.com/azd942/avatar/21394210620251022131406KHUXS2.jpg</v>
          </cell>
        </row>
        <row r="405">
          <cell r="I405" t="str">
            <v>JMC1E1702431</v>
          </cell>
          <cell r="J405" t="str">
            <v>X123YZ</v>
          </cell>
          <cell r="K405" t="str">
            <v>KPB1</v>
          </cell>
          <cell r="L405">
            <v>1014</v>
          </cell>
          <cell r="M405" t="str">
            <v>2025-08-29</v>
          </cell>
          <cell r="N405" t="str">
            <v>2025-10-22</v>
          </cell>
          <cell r="O405" t="str">
            <v>https://hana.modakita.com/azd942/avatar/23773820251022114633DO1SJO.jpg</v>
          </cell>
        </row>
        <row r="406">
          <cell r="I406" t="str">
            <v>JMC1E1701013</v>
          </cell>
          <cell r="J406" t="str">
            <v>KB6176BA</v>
          </cell>
          <cell r="K406" t="str">
            <v>KPB1</v>
          </cell>
          <cell r="L406">
            <v>675</v>
          </cell>
          <cell r="M406" t="str">
            <v>2025-08-29</v>
          </cell>
          <cell r="N406" t="str">
            <v>2025-10-22</v>
          </cell>
          <cell r="O406" t="str">
            <v>https://hana.modakita.com/azd942/avatar/23773820251022114010ER9WO4.jpg</v>
          </cell>
        </row>
        <row r="407">
          <cell r="I407" t="str">
            <v>JMD1E2039390</v>
          </cell>
          <cell r="J407" t="str">
            <v>X123YZ</v>
          </cell>
          <cell r="K407" t="str">
            <v>KPB1</v>
          </cell>
          <cell r="L407">
            <v>711</v>
          </cell>
          <cell r="M407" t="str">
            <v>2025-08-29</v>
          </cell>
          <cell r="N407" t="str">
            <v>2025-10-22</v>
          </cell>
          <cell r="O407" t="str">
            <v>https://hana.modakita.com/azd942/avatar/21394210620251022103902MRYAR9.jpg</v>
          </cell>
        </row>
        <row r="408">
          <cell r="I408" t="str">
            <v>KFD1E1142320</v>
          </cell>
          <cell r="J408" t="str">
            <v>X123YZ</v>
          </cell>
          <cell r="K408" t="str">
            <v>KPB1</v>
          </cell>
          <cell r="L408">
            <v>530</v>
          </cell>
          <cell r="M408" t="str">
            <v>2025-08-28</v>
          </cell>
          <cell r="N408" t="str">
            <v>2025-10-22</v>
          </cell>
          <cell r="O408" t="str">
            <v>https://hana.modakita.com/azd942/avatar/21301231220251022101027T0UZ9N.jpg</v>
          </cell>
        </row>
        <row r="409">
          <cell r="I409" t="str">
            <v>JBK3E1589222</v>
          </cell>
          <cell r="J409" t="str">
            <v>KB6173BA</v>
          </cell>
          <cell r="K409" t="str">
            <v>KPB1</v>
          </cell>
          <cell r="L409">
            <v>76</v>
          </cell>
          <cell r="M409" t="str">
            <v>2025-08-28</v>
          </cell>
          <cell r="N409" t="str">
            <v>2025-10-22</v>
          </cell>
          <cell r="O409" t="str">
            <v>https://hana.modakita.com/azd942/avatar/21301231220251022094919R9MKRJ.jpg</v>
          </cell>
        </row>
        <row r="410">
          <cell r="I410" t="str">
            <v>KFC1E1180562</v>
          </cell>
          <cell r="J410" t="str">
            <v>X123YZ</v>
          </cell>
          <cell r="K410" t="str">
            <v>KPB1</v>
          </cell>
          <cell r="L410">
            <v>618</v>
          </cell>
          <cell r="M410" t="str">
            <v>2025-08-28</v>
          </cell>
          <cell r="N410" t="str">
            <v>2025-10-22</v>
          </cell>
          <cell r="O410" t="str">
            <v>https://hana.modakita.com/azd942/avatar/23773820251022093857LIAFI4.jpg</v>
          </cell>
        </row>
        <row r="411">
          <cell r="I411" t="str">
            <v>JME1E1515776</v>
          </cell>
          <cell r="J411" t="str">
            <v>KB4794BA</v>
          </cell>
          <cell r="K411" t="str">
            <v>KPB2</v>
          </cell>
          <cell r="L411">
            <v>1821</v>
          </cell>
          <cell r="M411" t="str">
            <v>2025-06-28</v>
          </cell>
          <cell r="N411" t="str">
            <v>2025-10-22</v>
          </cell>
          <cell r="O411" t="str">
            <v>https://hana.modakita.com/azd942/avatar/21063208420251022093047X7C8OL.jpg</v>
          </cell>
        </row>
        <row r="412">
          <cell r="I412" t="str">
            <v>KFD1E1146337</v>
          </cell>
          <cell r="J412" t="str">
            <v>KB6170BA</v>
          </cell>
          <cell r="K412" t="str">
            <v>KPB1</v>
          </cell>
          <cell r="L412">
            <v>514</v>
          </cell>
          <cell r="M412" t="str">
            <v>2025-08-28</v>
          </cell>
          <cell r="N412" t="str">
            <v>2025-10-22</v>
          </cell>
          <cell r="O412" t="str">
            <v>https://hana.modakita.com/azd942/avatar/237738202510220852008RWZ7H.jpg</v>
          </cell>
        </row>
        <row r="413">
          <cell r="I413" t="str">
            <v>JMA1E1178568</v>
          </cell>
          <cell r="J413" t="str">
            <v>X123YZ</v>
          </cell>
          <cell r="K413" t="str">
            <v>KPB1</v>
          </cell>
          <cell r="L413">
            <v>218</v>
          </cell>
          <cell r="M413" t="str">
            <v>2025-08-28</v>
          </cell>
          <cell r="N413" t="str">
            <v>2025-10-22</v>
          </cell>
          <cell r="O413" t="str">
            <v>https://hana.modakita.com/azd942/avatar/21063208420251022084705SAW9QT.jpg</v>
          </cell>
        </row>
        <row r="414">
          <cell r="I414" t="str">
            <v>JMH1E1168914</v>
          </cell>
          <cell r="J414" t="str">
            <v>KB5835LR</v>
          </cell>
          <cell r="K414" t="str">
            <v>KPB2</v>
          </cell>
          <cell r="L414">
            <v>1885</v>
          </cell>
          <cell r="M414" t="str">
            <v>2025-06-28</v>
          </cell>
          <cell r="N414" t="str">
            <v>2025-10-21</v>
          </cell>
          <cell r="O414" t="str">
            <v>https://hana.modakita.com/azd942/avatar/21063208420251021160015BMHEH2.jpg</v>
          </cell>
        </row>
        <row r="415">
          <cell r="I415" t="str">
            <v>JMC1E1699590</v>
          </cell>
          <cell r="J415" t="str">
            <v>X123YZ</v>
          </cell>
          <cell r="K415" t="str">
            <v>KPB1</v>
          </cell>
          <cell r="L415">
            <v>590</v>
          </cell>
          <cell r="M415" t="str">
            <v>2025-08-28</v>
          </cell>
          <cell r="N415" t="str">
            <v>2025-10-21</v>
          </cell>
          <cell r="O415" t="str">
            <v>https://hana.modakita.com/azd942/avatar/23773820251021155922TWQFK5.jpg</v>
          </cell>
        </row>
        <row r="416">
          <cell r="I416" t="str">
            <v>JMC1E1594996</v>
          </cell>
          <cell r="J416" t="str">
            <v>X123YZ</v>
          </cell>
          <cell r="K416" t="str">
            <v>KPB3</v>
          </cell>
          <cell r="L416">
            <v>5579</v>
          </cell>
          <cell r="M416" t="str">
            <v>2025-03-28</v>
          </cell>
          <cell r="N416" t="str">
            <v>2025-10-21</v>
          </cell>
          <cell r="O416" t="str">
            <v>https://hana.modakita.com/azd942/avatar/21273061520251021155325C6SF4M.jpg</v>
          </cell>
        </row>
        <row r="417">
          <cell r="I417" t="str">
            <v>JMC1E1702435</v>
          </cell>
          <cell r="J417" t="str">
            <v>KB6164BA</v>
          </cell>
          <cell r="K417" t="str">
            <v>KPB1</v>
          </cell>
          <cell r="L417">
            <v>559</v>
          </cell>
          <cell r="M417" t="str">
            <v>2025-08-28</v>
          </cell>
          <cell r="N417" t="str">
            <v>2025-10-21</v>
          </cell>
          <cell r="O417" t="str">
            <v>https://hana.modakita.com/azd942/avatar/2130123122025102115431694JQSB.jpg</v>
          </cell>
        </row>
        <row r="418">
          <cell r="I418" t="str">
            <v>KC02E1274579</v>
          </cell>
          <cell r="J418" t="str">
            <v>X123YZ</v>
          </cell>
          <cell r="K418" t="str">
            <v>KPB4</v>
          </cell>
          <cell r="L418">
            <v>9276</v>
          </cell>
          <cell r="M418" t="str">
            <v>2024-10-27</v>
          </cell>
          <cell r="N418" t="str">
            <v>2025-10-21</v>
          </cell>
          <cell r="O418" t="str">
            <v>https://hana.modakita.com/azd942/avatar/21063208420251021153658UXTHFN.jpg</v>
          </cell>
        </row>
        <row r="419">
          <cell r="I419" t="str">
            <v>JMD1E1843398</v>
          </cell>
          <cell r="J419" t="str">
            <v>X123YZ</v>
          </cell>
          <cell r="K419" t="str">
            <v>KPB3</v>
          </cell>
          <cell r="L419">
            <v>5245</v>
          </cell>
          <cell r="M419" t="str">
            <v>2025-02-27</v>
          </cell>
          <cell r="N419" t="str">
            <v>2025-10-21</v>
          </cell>
          <cell r="O419" t="str">
            <v>https://hana.modakita.com/azd942/avatar/21063208420251021152349YF6I8T.jpg</v>
          </cell>
        </row>
        <row r="420">
          <cell r="I420" t="str">
            <v>JMC1E1572410</v>
          </cell>
          <cell r="J420" t="str">
            <v>X123YZ</v>
          </cell>
          <cell r="K420" t="str">
            <v>KPB3</v>
          </cell>
          <cell r="L420">
            <v>4115</v>
          </cell>
          <cell r="M420" t="str">
            <v>2025-02-28</v>
          </cell>
          <cell r="N420" t="str">
            <v>2025-10-21</v>
          </cell>
          <cell r="O420" t="str">
            <v>https://hana.modakita.com/azd942/avatar/210632084202510211516096EWK2F.jpg</v>
          </cell>
        </row>
        <row r="421">
          <cell r="I421" t="str">
            <v>KF01E1910249</v>
          </cell>
          <cell r="J421" t="str">
            <v>KB5839LR</v>
          </cell>
          <cell r="K421" t="str">
            <v>KPB2</v>
          </cell>
          <cell r="L421">
            <v>3118</v>
          </cell>
          <cell r="M421" t="str">
            <v>2025-06-27</v>
          </cell>
          <cell r="N421" t="str">
            <v>2025-10-21</v>
          </cell>
          <cell r="O421" t="str">
            <v>https://hana.modakita.com/azd942/avatar/21063208420251021150242JUUP3G.jpg</v>
          </cell>
        </row>
        <row r="422">
          <cell r="I422" t="str">
            <v>JM03E1802574</v>
          </cell>
          <cell r="J422" t="str">
            <v>X123YZ</v>
          </cell>
          <cell r="K422" t="str">
            <v>KPB4</v>
          </cell>
          <cell r="L422">
            <v>10016</v>
          </cell>
          <cell r="M422" t="str">
            <v>2024-10-27</v>
          </cell>
          <cell r="N422" t="str">
            <v>2025-10-21</v>
          </cell>
          <cell r="O422" t="str">
            <v>https://hana.modakita.com/azd942/avatar/23773820251021142813CNC4PU.jpg</v>
          </cell>
        </row>
        <row r="423">
          <cell r="I423" t="str">
            <v>KFD1E1087791</v>
          </cell>
          <cell r="J423" t="str">
            <v>X123YZ</v>
          </cell>
          <cell r="K423" t="str">
            <v>KPB3</v>
          </cell>
          <cell r="L423">
            <v>6988</v>
          </cell>
          <cell r="M423" t="str">
            <v>2025-02-26</v>
          </cell>
          <cell r="N423" t="str">
            <v>2025-10-21</v>
          </cell>
          <cell r="O423" t="str">
            <v>https://hana.modakita.com/azd942/avatar/210632084202510211427169HGCVX.jpg</v>
          </cell>
        </row>
        <row r="424">
          <cell r="I424" t="str">
            <v>JMD1E1841023</v>
          </cell>
          <cell r="J424" t="str">
            <v>KB2124XV</v>
          </cell>
          <cell r="K424" t="str">
            <v>KPB3</v>
          </cell>
          <cell r="L424">
            <v>4496</v>
          </cell>
          <cell r="M424" t="str">
            <v>2025-02-26</v>
          </cell>
          <cell r="N424" t="str">
            <v>2025-10-21</v>
          </cell>
          <cell r="O424" t="str">
            <v>https://hana.modakita.com/azd942/avatar/21063208420251021141727SBRHZN.jpg</v>
          </cell>
        </row>
        <row r="425">
          <cell r="I425" t="str">
            <v>KFC1E1110276</v>
          </cell>
          <cell r="J425" t="str">
            <v>X123YZ</v>
          </cell>
          <cell r="K425" t="str">
            <v>KPB3</v>
          </cell>
          <cell r="L425">
            <v>10832</v>
          </cell>
          <cell r="M425" t="str">
            <v>2025-02-27</v>
          </cell>
          <cell r="N425" t="str">
            <v>2025-10-21</v>
          </cell>
          <cell r="O425" t="str">
            <v>https://hana.modakita.com/azd942/avatar/21063208420251021140429HJ7WGY.jpg</v>
          </cell>
        </row>
        <row r="426">
          <cell r="I426" t="str">
            <v>JMH1E1181596</v>
          </cell>
          <cell r="J426" t="str">
            <v>KB5834LR</v>
          </cell>
          <cell r="K426" t="str">
            <v>KPB2</v>
          </cell>
          <cell r="L426">
            <v>3972</v>
          </cell>
          <cell r="M426" t="str">
            <v>2025-06-26</v>
          </cell>
          <cell r="N426" t="str">
            <v>2025-10-21</v>
          </cell>
          <cell r="O426" t="str">
            <v>https://hana.modakita.com/azd942/avatar/23773820251021135938TWPTIO.jpg</v>
          </cell>
        </row>
        <row r="427">
          <cell r="I427" t="str">
            <v>KFD1E1072118</v>
          </cell>
          <cell r="J427" t="str">
            <v>X123YZ</v>
          </cell>
          <cell r="K427" t="str">
            <v>KPB3</v>
          </cell>
          <cell r="L427">
            <v>6202</v>
          </cell>
          <cell r="M427" t="str">
            <v>2025-01-27</v>
          </cell>
          <cell r="N427" t="str">
            <v>2025-10-21</v>
          </cell>
          <cell r="O427" t="str">
            <v>https://hana.modakita.com/azd942/avatar/21063208420251021135559UAKYWI.jpg</v>
          </cell>
        </row>
        <row r="428">
          <cell r="I428" t="str">
            <v>KFC1E1146163</v>
          </cell>
          <cell r="J428" t="str">
            <v>KB6799KX</v>
          </cell>
          <cell r="K428" t="str">
            <v>KPB2</v>
          </cell>
          <cell r="L428">
            <v>2448</v>
          </cell>
          <cell r="M428" t="str">
            <v>2025-06-26</v>
          </cell>
          <cell r="N428" t="str">
            <v>2025-10-21</v>
          </cell>
          <cell r="O428" t="str">
            <v>https://hana.modakita.com/azd942/avatar/21301231220251021123707USRD0E.jpg</v>
          </cell>
        </row>
        <row r="429">
          <cell r="I429" t="str">
            <v>KFC1E1127702</v>
          </cell>
          <cell r="J429" t="str">
            <v>X123YZ</v>
          </cell>
          <cell r="K429" t="str">
            <v>KPB2</v>
          </cell>
          <cell r="L429">
            <v>1928</v>
          </cell>
          <cell r="M429" t="str">
            <v>2025-04-26</v>
          </cell>
          <cell r="N429" t="str">
            <v>2025-10-21</v>
          </cell>
          <cell r="O429" t="str">
            <v>https://hana.modakita.com/azd942/avatar/21063208420251021111857TZVVPO.jpg</v>
          </cell>
        </row>
        <row r="430">
          <cell r="I430" t="str">
            <v>KF01E1949054</v>
          </cell>
          <cell r="J430" t="str">
            <v>X123YZ</v>
          </cell>
          <cell r="K430" t="str">
            <v>KPB1</v>
          </cell>
          <cell r="L430">
            <v>497</v>
          </cell>
          <cell r="M430" t="str">
            <v>2025-08-26</v>
          </cell>
          <cell r="N430" t="str">
            <v>2025-10-21</v>
          </cell>
          <cell r="O430" t="str">
            <v>https://hana.modakita.com/azd942/avatar/23773820251021111635UF5GQG.jpg</v>
          </cell>
        </row>
        <row r="431">
          <cell r="I431" t="str">
            <v>JME1E1676075</v>
          </cell>
          <cell r="J431" t="str">
            <v>KB6153BA</v>
          </cell>
          <cell r="K431" t="str">
            <v>KPB1</v>
          </cell>
          <cell r="L431">
            <v>378</v>
          </cell>
          <cell r="M431" t="str">
            <v>2025-08-25</v>
          </cell>
          <cell r="N431" t="str">
            <v>2025-10-21</v>
          </cell>
          <cell r="O431" t="str">
            <v>https://hana.modakita.com/azd942/avatar/210632084202510211113399YY4FX.jpg</v>
          </cell>
        </row>
        <row r="432">
          <cell r="I432" t="str">
            <v>JBK1E2118151</v>
          </cell>
          <cell r="J432" t="str">
            <v>X123YZ</v>
          </cell>
          <cell r="K432" t="str">
            <v>KPB1</v>
          </cell>
          <cell r="L432">
            <v>748</v>
          </cell>
          <cell r="M432" t="str">
            <v>2025-08-25</v>
          </cell>
          <cell r="N432" t="str">
            <v>2025-10-21</v>
          </cell>
          <cell r="O432" t="str">
            <v>https://hana.modakita.com/azd942/avatar/23773820251021110900HY7QK6.jpg</v>
          </cell>
        </row>
        <row r="433">
          <cell r="I433" t="str">
            <v>JMC1E1572308</v>
          </cell>
          <cell r="J433" t="str">
            <v>X123YZ</v>
          </cell>
          <cell r="K433" t="str">
            <v>KPB3</v>
          </cell>
          <cell r="L433">
            <v>4568</v>
          </cell>
          <cell r="M433" t="str">
            <v>2025-02-25</v>
          </cell>
          <cell r="N433" t="str">
            <v>2025-10-21</v>
          </cell>
          <cell r="O433" t="str">
            <v>https://hana.modakita.com/azd942/avatar/21063208420251021110701FOYVIF.jpg</v>
          </cell>
        </row>
        <row r="434">
          <cell r="I434" t="str">
            <v>JM03E1801464</v>
          </cell>
          <cell r="K434" t="str">
            <v>KPB4</v>
          </cell>
          <cell r="L434">
            <v>10306</v>
          </cell>
          <cell r="M434" t="str">
            <v>2024-10-21</v>
          </cell>
          <cell r="N434" t="str">
            <v>2025-10-21</v>
          </cell>
          <cell r="O434" t="str">
            <v>https://hana.modakita.com/azd942/avatar/23773820251021105916X8JRWY.jpg</v>
          </cell>
        </row>
        <row r="435">
          <cell r="I435" t="str">
            <v>JMC1E1654816</v>
          </cell>
          <cell r="J435" t="str">
            <v>KB4716BA</v>
          </cell>
          <cell r="K435" t="str">
            <v>KPB2</v>
          </cell>
          <cell r="L435">
            <v>3583</v>
          </cell>
          <cell r="M435" t="str">
            <v>2025-06-25</v>
          </cell>
          <cell r="N435" t="str">
            <v>2025-10-21</v>
          </cell>
          <cell r="O435" t="str">
            <v>https://hana.modakita.com/azd942/avatar/21063208420251021105604MHXKNZ.jpg</v>
          </cell>
        </row>
        <row r="436">
          <cell r="I436" t="str">
            <v>JMC1E1699883</v>
          </cell>
          <cell r="J436" t="str">
            <v>X123YZ</v>
          </cell>
          <cell r="K436" t="str">
            <v>KPB1</v>
          </cell>
          <cell r="L436">
            <v>797</v>
          </cell>
          <cell r="M436" t="str">
            <v>2025-08-26</v>
          </cell>
          <cell r="N436" t="str">
            <v>2025-10-21</v>
          </cell>
          <cell r="O436" t="str">
            <v>https://hana.modakita.com/azd942/avatar/23773820251021105031QTZESF.jpg</v>
          </cell>
        </row>
        <row r="437">
          <cell r="I437" t="str">
            <v>JMD1E1963934</v>
          </cell>
          <cell r="J437" t="str">
            <v>KB5831LR</v>
          </cell>
          <cell r="K437" t="str">
            <v>KPB2</v>
          </cell>
          <cell r="L437">
            <v>1681</v>
          </cell>
          <cell r="M437" t="str">
            <v>2025-06-25</v>
          </cell>
          <cell r="N437" t="str">
            <v>2025-10-21</v>
          </cell>
          <cell r="O437" t="str">
            <v>https://hana.modakita.com/azd942/avatar/21301231220251021102748CKV5YJ.jpg</v>
          </cell>
        </row>
        <row r="438">
          <cell r="I438" t="str">
            <v>KFE1E1255752</v>
          </cell>
          <cell r="J438" t="str">
            <v>KB6155BA</v>
          </cell>
          <cell r="K438" t="str">
            <v>KPB1</v>
          </cell>
          <cell r="L438">
            <v>383</v>
          </cell>
          <cell r="M438" t="str">
            <v>2025-08-25</v>
          </cell>
          <cell r="N438" t="str">
            <v>2025-10-21</v>
          </cell>
          <cell r="O438" t="str">
            <v>https://hana.modakita.com/azd942/avatar/21301231220251021101038JAC2PL.jpg</v>
          </cell>
        </row>
        <row r="439">
          <cell r="I439" t="str">
            <v>JMH1E1095588</v>
          </cell>
          <cell r="J439" t="str">
            <v>X123YZ</v>
          </cell>
          <cell r="K439" t="str">
            <v>KPB1</v>
          </cell>
          <cell r="L439">
            <v>1010</v>
          </cell>
          <cell r="M439" t="str">
            <v>2025-08-26</v>
          </cell>
          <cell r="N439" t="str">
            <v>2025-10-21</v>
          </cell>
          <cell r="O439" t="str">
            <v>https://hana.modakita.com/azd942/avatar/23773820251021092747DOFXIH.jpg</v>
          </cell>
        </row>
        <row r="440">
          <cell r="I440" t="str">
            <v>JMH2E1459333</v>
          </cell>
          <cell r="J440" t="str">
            <v>X123YZ</v>
          </cell>
          <cell r="K440" t="str">
            <v>KPB1</v>
          </cell>
          <cell r="L440">
            <v>984</v>
          </cell>
          <cell r="M440" t="str">
            <v>2025-08-25</v>
          </cell>
          <cell r="N440" t="str">
            <v>2025-10-21</v>
          </cell>
          <cell r="O440" t="str">
            <v>https://hana.modakita.com/azd942/avatar/210632084202510210917227STPBL.jpg</v>
          </cell>
        </row>
        <row r="441">
          <cell r="I441" t="str">
            <v>JMC1E1700528</v>
          </cell>
          <cell r="J441" t="str">
            <v>X123YZ</v>
          </cell>
          <cell r="K441" t="str">
            <v>KPB1</v>
          </cell>
          <cell r="L441">
            <v>686</v>
          </cell>
          <cell r="M441" t="str">
            <v>2025-08-25</v>
          </cell>
          <cell r="N441" t="str">
            <v>2025-10-21</v>
          </cell>
          <cell r="O441" t="str">
            <v>https://hana.modakita.com/azd942/avatar/23773820251021091205EOQGSZ.jpg</v>
          </cell>
        </row>
        <row r="442">
          <cell r="I442" t="str">
            <v>KF01E1904127</v>
          </cell>
          <cell r="J442" t="str">
            <v>KB5827LR</v>
          </cell>
          <cell r="K442" t="str">
            <v>KPB2</v>
          </cell>
          <cell r="L442">
            <v>1669</v>
          </cell>
          <cell r="M442" t="str">
            <v>2025-06-24</v>
          </cell>
          <cell r="N442" t="str">
            <v>2025-10-21</v>
          </cell>
          <cell r="O442" t="str">
            <v>https://hana.modakita.com/azd942/avatar/210632084202510210907153WHUVE.jpg</v>
          </cell>
        </row>
        <row r="443">
          <cell r="I443" t="str">
            <v>JME1E1687323</v>
          </cell>
          <cell r="J443" t="str">
            <v>X123YZ</v>
          </cell>
          <cell r="K443" t="str">
            <v>KPB1</v>
          </cell>
          <cell r="L443">
            <v>952</v>
          </cell>
          <cell r="M443" t="str">
            <v>2025-08-23</v>
          </cell>
          <cell r="N443" t="str">
            <v>2025-10-24</v>
          </cell>
          <cell r="O443" t="str">
            <v>https://hana.modakita.com/azd942/avatar/23773820251024143728NTLYVU.jpg</v>
          </cell>
        </row>
        <row r="444">
          <cell r="I444" t="str">
            <v>JBK3E1562204</v>
          </cell>
          <cell r="J444" t="str">
            <v>X123YZ</v>
          </cell>
          <cell r="K444" t="str">
            <v>KPB3</v>
          </cell>
          <cell r="L444">
            <v>6325</v>
          </cell>
          <cell r="M444" t="str">
            <v>2025-02-20</v>
          </cell>
          <cell r="N444" t="str">
            <v>2025-10-24</v>
          </cell>
          <cell r="O444" t="str">
            <v>https://hana.modakita.com/azd942/avatar/2377382025102414291844UU97.jpg</v>
          </cell>
        </row>
        <row r="445">
          <cell r="I445" t="str">
            <v>JMC1E1695790</v>
          </cell>
          <cell r="J445" t="str">
            <v>KB6035BA</v>
          </cell>
          <cell r="K445" t="str">
            <v>KPB1</v>
          </cell>
          <cell r="L445">
            <v>550</v>
          </cell>
          <cell r="M445" t="str">
            <v>2025-08-19</v>
          </cell>
          <cell r="N445" t="str">
            <v>2025-10-24</v>
          </cell>
          <cell r="O445" t="str">
            <v>https://hana.modakita.com/azd942/avatar/2377382025102414244885RFQR.jpg</v>
          </cell>
        </row>
        <row r="446">
          <cell r="I446" t="str">
            <v>JMH1E1094245</v>
          </cell>
          <cell r="J446" t="str">
            <v>X123YZ</v>
          </cell>
          <cell r="K446" t="str">
            <v>KPB3</v>
          </cell>
          <cell r="L446">
            <v>7919</v>
          </cell>
          <cell r="M446" t="str">
            <v>2025-02-20</v>
          </cell>
          <cell r="N446" t="str">
            <v>2025-10-24</v>
          </cell>
          <cell r="O446" t="str">
            <v>https://hana.modakita.com/azd942/avatar/23773820251024131609OYTMSW.jpg</v>
          </cell>
        </row>
        <row r="447">
          <cell r="I447" t="str">
            <v>KFE1E1053490</v>
          </cell>
          <cell r="J447" t="str">
            <v>KB2073BA</v>
          </cell>
          <cell r="K447" t="str">
            <v>KPB3</v>
          </cell>
          <cell r="L447">
            <v>11832</v>
          </cell>
          <cell r="M447" t="str">
            <v>2025-02-20</v>
          </cell>
          <cell r="N447" t="str">
            <v>2025-10-24</v>
          </cell>
          <cell r="O447" t="str">
            <v>https://hana.modakita.com/azd942/avatar/21063208420251024131322TO6YTW.jpg</v>
          </cell>
        </row>
        <row r="448">
          <cell r="I448" t="str">
            <v>JBP1E2116470</v>
          </cell>
          <cell r="J448" t="str">
            <v>X123YZ</v>
          </cell>
          <cell r="K448" t="str">
            <v>KPB1</v>
          </cell>
          <cell r="L448">
            <v>629</v>
          </cell>
          <cell r="M448" t="str">
            <v>2025-08-20</v>
          </cell>
          <cell r="N448" t="str">
            <v>2025-10-24</v>
          </cell>
          <cell r="O448" t="str">
            <v>https://hana.modakita.com/azd942/avatar/237738202510241309230SYXIX.jpg</v>
          </cell>
        </row>
        <row r="449">
          <cell r="I449" t="str">
            <v>JME1E1656097</v>
          </cell>
          <cell r="J449" t="str">
            <v>KB2243XX</v>
          </cell>
          <cell r="K449" t="str">
            <v>KPB1</v>
          </cell>
          <cell r="L449">
            <v>556</v>
          </cell>
          <cell r="M449" t="str">
            <v>2025-08-19</v>
          </cell>
          <cell r="N449" t="str">
            <v>2025-10-24</v>
          </cell>
          <cell r="O449" t="str">
            <v>https://hana.modakita.com/azd942/avatar/23773820251024121031SM7GAY.jpg</v>
          </cell>
        </row>
        <row r="450">
          <cell r="I450" t="str">
            <v>JME1E1687324</v>
          </cell>
          <cell r="J450" t="str">
            <v>KB6041BA</v>
          </cell>
          <cell r="K450" t="str">
            <v>KPB1</v>
          </cell>
          <cell r="L450">
            <v>882</v>
          </cell>
          <cell r="M450" t="str">
            <v>2025-08-19</v>
          </cell>
          <cell r="N450" t="str">
            <v>2025-10-24</v>
          </cell>
          <cell r="O450" t="str">
            <v>https://hana.modakita.com/azd942/avatar/23773820251024115831O1Z59C.jpg</v>
          </cell>
        </row>
        <row r="451">
          <cell r="I451" t="str">
            <v>JME1E1687325</v>
          </cell>
          <cell r="J451" t="str">
            <v>KB6042BA</v>
          </cell>
          <cell r="K451" t="str">
            <v>KPB1</v>
          </cell>
          <cell r="L451">
            <v>669</v>
          </cell>
          <cell r="M451" t="str">
            <v>2025-08-19</v>
          </cell>
          <cell r="N451" t="str">
            <v>2025-10-24</v>
          </cell>
          <cell r="O451" t="str">
            <v>https://hana.modakita.com/azd942/avatar/23773820251024114144TGFEYQ.jpg</v>
          </cell>
        </row>
        <row r="452">
          <cell r="I452" t="str">
            <v>JBK3E1579226</v>
          </cell>
          <cell r="J452" t="str">
            <v>KB4691BA</v>
          </cell>
          <cell r="K452" t="str">
            <v>KPB2</v>
          </cell>
          <cell r="L452">
            <v>2698</v>
          </cell>
          <cell r="M452" t="str">
            <v>2025-06-19</v>
          </cell>
          <cell r="N452" t="str">
            <v>2025-10-24</v>
          </cell>
          <cell r="O452" t="str">
            <v>https://hana.modakita.com/azd942/avatar/2106320842025102411334092IKZY.jpg</v>
          </cell>
        </row>
        <row r="453">
          <cell r="I453" t="str">
            <v>KC04E1013866</v>
          </cell>
          <cell r="J453" t="str">
            <v>KB2248XX</v>
          </cell>
          <cell r="K453" t="str">
            <v>KPB1</v>
          </cell>
          <cell r="L453">
            <v>588</v>
          </cell>
          <cell r="M453" t="str">
            <v>2025-08-19</v>
          </cell>
          <cell r="N453" t="str">
            <v>2025-10-24</v>
          </cell>
          <cell r="O453" t="str">
            <v>https://hana.modakita.com/azd942/avatar/23773820251024113228XHFDQH.jpg</v>
          </cell>
        </row>
        <row r="454">
          <cell r="I454" t="str">
            <v>KC02E1290462</v>
          </cell>
          <cell r="J454" t="str">
            <v>X123YZ</v>
          </cell>
          <cell r="K454" t="str">
            <v>KPB3</v>
          </cell>
          <cell r="L454">
            <v>6939</v>
          </cell>
          <cell r="M454" t="str">
            <v>2025-02-18</v>
          </cell>
          <cell r="N454" t="str">
            <v>2025-10-24</v>
          </cell>
          <cell r="O454" t="str">
            <v>https://hana.modakita.com/azd942/avatar/210632084202510241120377LNRMH.jpg</v>
          </cell>
        </row>
        <row r="455">
          <cell r="I455" t="str">
            <v>KC02E1289436</v>
          </cell>
          <cell r="J455" t="str">
            <v>X123YZ</v>
          </cell>
          <cell r="K455" t="str">
            <v>KPB3</v>
          </cell>
          <cell r="L455">
            <v>5195</v>
          </cell>
          <cell r="M455" t="str">
            <v>2025-02-19</v>
          </cell>
          <cell r="N455" t="str">
            <v>2025-10-24</v>
          </cell>
          <cell r="O455" t="str">
            <v>https://hana.modakita.com/azd942/avatar/23773820251024110337HICMXG.jpg</v>
          </cell>
        </row>
        <row r="456">
          <cell r="I456" t="str">
            <v>JMH2E1472172</v>
          </cell>
          <cell r="J456" t="str">
            <v>KB123XXX</v>
          </cell>
          <cell r="K456" t="str">
            <v>KPB1</v>
          </cell>
          <cell r="L456">
            <v>559</v>
          </cell>
          <cell r="M456" t="str">
            <v>2025-08-19</v>
          </cell>
          <cell r="N456" t="str">
            <v>2025-10-24</v>
          </cell>
          <cell r="O456" t="str">
            <v>https://hana.modakita.com/azd942/avatar/237738202510241054499TMSZ8.jpg</v>
          </cell>
        </row>
        <row r="457">
          <cell r="I457" t="str">
            <v>KC04E1013553</v>
          </cell>
          <cell r="J457" t="str">
            <v>KB2243XX</v>
          </cell>
          <cell r="K457" t="str">
            <v>KPB1</v>
          </cell>
          <cell r="L457">
            <v>1021</v>
          </cell>
          <cell r="M457" t="str">
            <v>2025-08-18</v>
          </cell>
          <cell r="N457" t="str">
            <v>2025-10-24</v>
          </cell>
          <cell r="O457" t="str">
            <v>https://hana.modakita.com/azd942/avatar/23773820251024103105SYBAE1.jpg</v>
          </cell>
        </row>
        <row r="458">
          <cell r="I458" t="str">
            <v>KC04E1013104</v>
          </cell>
          <cell r="J458" t="str">
            <v>KB6037BA</v>
          </cell>
          <cell r="K458" t="str">
            <v>KPB1</v>
          </cell>
          <cell r="L458">
            <v>543</v>
          </cell>
          <cell r="M458" t="str">
            <v>2025-08-18</v>
          </cell>
          <cell r="N458" t="str">
            <v>2025-10-24</v>
          </cell>
          <cell r="O458" t="str">
            <v>https://hana.modakita.com/azd942/avatar/23773820251024102406C7ADFD.jpg</v>
          </cell>
        </row>
        <row r="459">
          <cell r="I459" t="str">
            <v>KC04E1013143</v>
          </cell>
          <cell r="J459" t="str">
            <v>X123YZ</v>
          </cell>
          <cell r="K459" t="str">
            <v>KPB1</v>
          </cell>
          <cell r="L459">
            <v>492</v>
          </cell>
          <cell r="M459" t="str">
            <v>2025-08-18</v>
          </cell>
          <cell r="N459" t="str">
            <v>2025-10-24</v>
          </cell>
          <cell r="O459" t="str">
            <v>https://hana.modakita.com/azd942/avatar/23773820251024093332VRQGUQ.jpg</v>
          </cell>
        </row>
        <row r="460">
          <cell r="I460" t="str">
            <v>KD11E1624166</v>
          </cell>
          <cell r="J460" t="str">
            <v>KB6036BA</v>
          </cell>
          <cell r="K460" t="str">
            <v>KPB1</v>
          </cell>
          <cell r="L460">
            <v>617</v>
          </cell>
          <cell r="M460" t="str">
            <v>2025-08-18</v>
          </cell>
          <cell r="N460" t="str">
            <v>2025-10-24</v>
          </cell>
          <cell r="O460" t="str">
            <v>https://hana.modakita.com/azd942/avatar/23773820251024091954H2W12C.jpg</v>
          </cell>
        </row>
        <row r="461">
          <cell r="I461" t="str">
            <v>JBK1E2106745</v>
          </cell>
          <cell r="J461" t="str">
            <v>KB4605BA</v>
          </cell>
          <cell r="K461" t="str">
            <v>KPB2</v>
          </cell>
          <cell r="L461">
            <v>2401</v>
          </cell>
          <cell r="M461" t="str">
            <v>2025-06-18</v>
          </cell>
          <cell r="N461" t="str">
            <v>2025-10-24</v>
          </cell>
          <cell r="O461" t="str">
            <v>https://hana.modakita.com/azd942/avatar/23773820251024084059S4CROX.jpg</v>
          </cell>
        </row>
        <row r="462">
          <cell r="I462" t="str">
            <v>JBP1E2085193</v>
          </cell>
          <cell r="J462" t="str">
            <v>KB2062BA</v>
          </cell>
          <cell r="K462" t="str">
            <v>KPB3</v>
          </cell>
          <cell r="L462">
            <v>6019</v>
          </cell>
          <cell r="M462" t="str">
            <v>2025-02-20</v>
          </cell>
          <cell r="N462" t="str">
            <v>2025-10-24</v>
          </cell>
          <cell r="O462" t="str">
            <v>https://hana.modakita.com/azd942/avatar/23773820251024083534FGWZTB.jpg</v>
          </cell>
        </row>
        <row r="463">
          <cell r="I463" t="str">
            <v>JMH1E1082576</v>
          </cell>
          <cell r="J463" t="str">
            <v>X123YZ</v>
          </cell>
          <cell r="K463" t="str">
            <v>KPB3</v>
          </cell>
          <cell r="L463">
            <v>5962</v>
          </cell>
          <cell r="M463" t="str">
            <v>2025-02-19</v>
          </cell>
          <cell r="N463" t="str">
            <v>2025-10-24</v>
          </cell>
          <cell r="O463" t="str">
            <v>https://hana.modakita.com/azd942/avatar/23773820251024083048YV9TF9.jpg</v>
          </cell>
        </row>
        <row r="464">
          <cell r="I464" t="str">
            <v>JBK1E2105644</v>
          </cell>
          <cell r="J464" t="str">
            <v>KB4595BA</v>
          </cell>
          <cell r="K464" t="str">
            <v>KPB2</v>
          </cell>
          <cell r="L464">
            <v>2635</v>
          </cell>
          <cell r="M464" t="str">
            <v>2025-06-17</v>
          </cell>
          <cell r="N464" t="str">
            <v>2025-10-24</v>
          </cell>
          <cell r="O464" t="str">
            <v>https://hana.modakita.com/azd942/avatar/23773820251024082654C7N4N1.jpg</v>
          </cell>
        </row>
        <row r="465">
          <cell r="I465" t="str">
            <v>KD11E1604838</v>
          </cell>
          <cell r="J465" t="str">
            <v>X123YZ</v>
          </cell>
          <cell r="K465" t="str">
            <v>KPB2</v>
          </cell>
          <cell r="L465">
            <v>2698</v>
          </cell>
          <cell r="M465" t="str">
            <v>2025-06-17</v>
          </cell>
          <cell r="N465" t="str">
            <v>2025-10-24</v>
          </cell>
          <cell r="O465" t="str">
            <v>https://hana.modakita.com/azd942/avatar/21394210620251024081344PBOILG.jpg</v>
          </cell>
        </row>
        <row r="466">
          <cell r="I466" t="str">
            <v>JMC1E1572633</v>
          </cell>
          <cell r="J466" t="str">
            <v>X123YZ</v>
          </cell>
          <cell r="K466" t="str">
            <v>KPB3</v>
          </cell>
          <cell r="L466">
            <v>6562</v>
          </cell>
          <cell r="M466" t="str">
            <v>2025-02-27</v>
          </cell>
          <cell r="N466" t="str">
            <v>2025-10-25</v>
          </cell>
          <cell r="O466" t="str">
            <v>https://hana.modakita.com/azd942/avatar/21063208420251025155027J4MJEY.jpg</v>
          </cell>
        </row>
        <row r="467">
          <cell r="I467" t="str">
            <v>JME1E1327466</v>
          </cell>
          <cell r="J467" t="str">
            <v>KB2201BA</v>
          </cell>
          <cell r="K467" t="str">
            <v>KPB3</v>
          </cell>
          <cell r="L467">
            <v>5639</v>
          </cell>
          <cell r="M467" t="str">
            <v>2025-02-28</v>
          </cell>
          <cell r="N467" t="str">
            <v>2025-10-25</v>
          </cell>
          <cell r="O467" t="str">
            <v>https://hana.modakita.com/azd942/avatar/23773820251025153002A1O47P.jpg</v>
          </cell>
        </row>
        <row r="468">
          <cell r="I468" t="str">
            <v>JMH2E1135052</v>
          </cell>
          <cell r="J468" t="str">
            <v>KB2203BA</v>
          </cell>
          <cell r="K468" t="str">
            <v>KPB3</v>
          </cell>
          <cell r="L468">
            <v>6395</v>
          </cell>
          <cell r="M468" t="str">
            <v>2025-02-28</v>
          </cell>
          <cell r="N468" t="str">
            <v>2025-10-25</v>
          </cell>
          <cell r="O468" t="str">
            <v>https://hana.modakita.com/azd942/avatar/2377382025102515231134PPCQ.jpg</v>
          </cell>
        </row>
        <row r="469">
          <cell r="I469" t="str">
            <v>JBK3E1563996</v>
          </cell>
          <cell r="J469" t="str">
            <v>KB6034LO</v>
          </cell>
          <cell r="K469" t="str">
            <v>KPB3</v>
          </cell>
          <cell r="L469">
            <v>5285</v>
          </cell>
          <cell r="M469" t="str">
            <v>2025-02-27</v>
          </cell>
          <cell r="N469" t="str">
            <v>2025-10-25</v>
          </cell>
          <cell r="O469" t="str">
            <v>https://hana.modakita.com/azd942/avatar/23773820251025144702OK4R7Z.jpg</v>
          </cell>
        </row>
        <row r="470">
          <cell r="I470" t="str">
            <v>JMH1E1090159</v>
          </cell>
          <cell r="J470" t="str">
            <v>X123YZ</v>
          </cell>
          <cell r="K470" t="str">
            <v>KPB3</v>
          </cell>
          <cell r="L470">
            <v>5412</v>
          </cell>
          <cell r="M470" t="str">
            <v>2025-02-28</v>
          </cell>
          <cell r="N470" t="str">
            <v>2025-10-25</v>
          </cell>
          <cell r="O470" t="str">
            <v>https://hana.modakita.com/azd942/avatar/21063208420251025144223MH9SXN.jpg</v>
          </cell>
        </row>
        <row r="471">
          <cell r="I471" t="str">
            <v>KD11E1624165</v>
          </cell>
          <cell r="J471" t="str">
            <v>KB6168BA</v>
          </cell>
          <cell r="K471" t="str">
            <v>KPB1</v>
          </cell>
          <cell r="L471">
            <v>511</v>
          </cell>
          <cell r="M471" t="str">
            <v>2025-08-27</v>
          </cell>
          <cell r="N471" t="str">
            <v>2025-10-25</v>
          </cell>
          <cell r="O471" t="str">
            <v>https://hana.modakita.com/azd942/avatar/23773820251025143707QRFKXE.jpg</v>
          </cell>
        </row>
        <row r="472">
          <cell r="I472" t="str">
            <v>JMF1E1308575</v>
          </cell>
          <cell r="J472" t="str">
            <v>KB2248XX</v>
          </cell>
          <cell r="K472" t="str">
            <v>KPB1</v>
          </cell>
          <cell r="L472">
            <v>765</v>
          </cell>
          <cell r="M472" t="str">
            <v>2025-08-27</v>
          </cell>
          <cell r="N472" t="str">
            <v>2025-10-25</v>
          </cell>
          <cell r="O472" t="str">
            <v>https://hana.modakita.com/azd942/avatar/21301231220251025143626TUELBB.jpg</v>
          </cell>
        </row>
        <row r="473">
          <cell r="I473" t="str">
            <v>KC04E1015095</v>
          </cell>
          <cell r="J473" t="str">
            <v>X123YZ</v>
          </cell>
          <cell r="K473" t="str">
            <v>KPB1</v>
          </cell>
          <cell r="L473">
            <v>582</v>
          </cell>
          <cell r="M473" t="str">
            <v>2025-08-28</v>
          </cell>
          <cell r="N473" t="str">
            <v>2025-10-25</v>
          </cell>
          <cell r="O473" t="str">
            <v>https://hana.modakita.com/azd942/avatar/21063208420251025142741N0OV2G.jpg</v>
          </cell>
        </row>
        <row r="474">
          <cell r="I474" t="str">
            <v>JME1E1685024</v>
          </cell>
          <cell r="J474" t="str">
            <v>X123YZ</v>
          </cell>
          <cell r="K474" t="str">
            <v>KPB1</v>
          </cell>
          <cell r="L474">
            <v>556</v>
          </cell>
          <cell r="M474" t="str">
            <v>2025-08-27</v>
          </cell>
          <cell r="N474" t="str">
            <v>2025-10-25</v>
          </cell>
          <cell r="O474" t="str">
            <v>https://hana.modakita.com/azd942/avatar/21063208420251025142320R3DEGG.jpg</v>
          </cell>
        </row>
        <row r="475">
          <cell r="I475" t="str">
            <v>JME1E1187095</v>
          </cell>
          <cell r="J475" t="str">
            <v>KB6164BX</v>
          </cell>
          <cell r="K475" t="str">
            <v>KPB4</v>
          </cell>
          <cell r="L475">
            <v>9542</v>
          </cell>
          <cell r="M475" t="str">
            <v>2024-10-26</v>
          </cell>
          <cell r="N475" t="str">
            <v>2025-10-25</v>
          </cell>
          <cell r="O475" t="str">
            <v>https://hana.modakita.com/azd942/avatar/21063208420251025141212VK3NJA.jpg</v>
          </cell>
        </row>
        <row r="476">
          <cell r="I476" t="str">
            <v>KFE1E1255999</v>
          </cell>
          <cell r="J476" t="str">
            <v>KB6156BA</v>
          </cell>
          <cell r="K476" t="str">
            <v>KPB1</v>
          </cell>
          <cell r="L476">
            <v>632</v>
          </cell>
          <cell r="M476" t="str">
            <v>2025-08-26</v>
          </cell>
          <cell r="N476" t="str">
            <v>2025-10-25</v>
          </cell>
          <cell r="O476" t="str">
            <v>https://hana.modakita.com/azd942/avatar/23773820251025141056QL0YGS.jpg</v>
          </cell>
        </row>
        <row r="477">
          <cell r="I477" t="str">
            <v>KF01E1951532</v>
          </cell>
          <cell r="J477" t="str">
            <v>KB6167BA</v>
          </cell>
          <cell r="K477" t="str">
            <v>KPB1</v>
          </cell>
          <cell r="L477">
            <v>664</v>
          </cell>
          <cell r="M477" t="str">
            <v>2025-08-27</v>
          </cell>
          <cell r="N477" t="str">
            <v>2025-10-25</v>
          </cell>
          <cell r="O477" t="str">
            <v>https://hana.modakita.com/azd942/avatar/237738202510251355156MJ5Z0.jpg</v>
          </cell>
        </row>
        <row r="478">
          <cell r="I478" t="str">
            <v>JMH1E1087780</v>
          </cell>
          <cell r="J478" t="str">
            <v>X123YZ</v>
          </cell>
          <cell r="K478" t="str">
            <v>KPB3</v>
          </cell>
          <cell r="L478">
            <v>6214</v>
          </cell>
          <cell r="M478" t="str">
            <v>2025-02-26</v>
          </cell>
          <cell r="N478" t="str">
            <v>2025-10-25</v>
          </cell>
          <cell r="O478" t="str">
            <v>https://hana.modakita.com/azd942/avatar/210632084202510251354539XSFVC.jpg</v>
          </cell>
        </row>
        <row r="479">
          <cell r="I479" t="str">
            <v>JMH2E1133915</v>
          </cell>
          <cell r="J479" t="str">
            <v>X123YZ</v>
          </cell>
          <cell r="K479" t="str">
            <v>KPB3</v>
          </cell>
          <cell r="L479">
            <v>5252</v>
          </cell>
          <cell r="M479" t="str">
            <v>2025-02-25</v>
          </cell>
          <cell r="N479" t="str">
            <v>2025-10-25</v>
          </cell>
          <cell r="O479" t="str">
            <v>https://hana.modakita.com/azd942/avatar/23773820251025133723ONVRR3.jpg</v>
          </cell>
        </row>
        <row r="480">
          <cell r="I480" t="str">
            <v>JMG1E1519386</v>
          </cell>
          <cell r="J480" t="str">
            <v>KB6154BA</v>
          </cell>
          <cell r="K480" t="str">
            <v>KPB1</v>
          </cell>
          <cell r="L480">
            <v>692</v>
          </cell>
          <cell r="M480" t="str">
            <v>2025-08-26</v>
          </cell>
          <cell r="N480" t="str">
            <v>2025-10-25</v>
          </cell>
          <cell r="O480" t="str">
            <v>https://hana.modakita.com/azd942/avatar/21063208420251025133214I0YFXT.jpg</v>
          </cell>
        </row>
        <row r="481">
          <cell r="I481" t="str">
            <v>KFE1E1054437</v>
          </cell>
          <cell r="J481" t="str">
            <v>KB2141BA</v>
          </cell>
          <cell r="K481" t="str">
            <v>KPB3</v>
          </cell>
          <cell r="L481">
            <v>9992</v>
          </cell>
          <cell r="M481" t="str">
            <v>2025-02-26</v>
          </cell>
          <cell r="N481" t="str">
            <v>2025-10-25</v>
          </cell>
          <cell r="O481" t="str">
            <v>https://hana.modakita.com/azd942/avatar/23773820251025120927IT2GV9.jpg</v>
          </cell>
        </row>
        <row r="482">
          <cell r="I482" t="str">
            <v>JBK1E2108317</v>
          </cell>
          <cell r="J482" t="str">
            <v>X123YZ</v>
          </cell>
          <cell r="K482" t="str">
            <v>KPB2</v>
          </cell>
          <cell r="L482">
            <v>2659</v>
          </cell>
          <cell r="M482" t="str">
            <v>2025-06-25</v>
          </cell>
          <cell r="N482" t="str">
            <v>2025-10-25</v>
          </cell>
          <cell r="O482" t="str">
            <v>https://hana.modakita.com/azd942/avatar/23773820251025120348QAUWVD.jpg</v>
          </cell>
        </row>
        <row r="483">
          <cell r="I483" t="str">
            <v>JBP1E2108522</v>
          </cell>
          <cell r="J483" t="str">
            <v>X123YZ</v>
          </cell>
          <cell r="K483" t="str">
            <v>KPB2</v>
          </cell>
          <cell r="L483">
            <v>3253</v>
          </cell>
          <cell r="M483" t="str">
            <v>2025-06-26</v>
          </cell>
          <cell r="N483" t="str">
            <v>2025-10-25</v>
          </cell>
          <cell r="O483" t="str">
            <v>https://hana.modakita.com/azd942/avatar/21063208420251025115516VHGFO7.jpg</v>
          </cell>
        </row>
        <row r="484">
          <cell r="I484" t="str">
            <v>JMH1E1057879</v>
          </cell>
          <cell r="J484" t="str">
            <v>X123YZ</v>
          </cell>
          <cell r="K484" t="str">
            <v>KPB3</v>
          </cell>
          <cell r="L484">
            <v>5587</v>
          </cell>
          <cell r="M484" t="str">
            <v>2025-02-24</v>
          </cell>
          <cell r="N484" t="str">
            <v>2025-10-25</v>
          </cell>
          <cell r="O484" t="str">
            <v>https://hana.modakita.com/azd942/avatar/23773820251025115210GAP0HQ.jpg</v>
          </cell>
        </row>
        <row r="485">
          <cell r="I485" t="str">
            <v>KFE1E1042620</v>
          </cell>
          <cell r="J485" t="str">
            <v>X123YZ</v>
          </cell>
          <cell r="K485" t="str">
            <v>KPB3</v>
          </cell>
          <cell r="L485">
            <v>9632</v>
          </cell>
          <cell r="M485" t="str">
            <v>2025-02-26</v>
          </cell>
          <cell r="N485" t="str">
            <v>2025-10-25</v>
          </cell>
          <cell r="O485" t="str">
            <v>https://hana.modakita.com/azd942/avatar/21063208420251025114603IMFTV1.jpg</v>
          </cell>
        </row>
        <row r="486">
          <cell r="I486" t="str">
            <v>JMF1E1183843</v>
          </cell>
          <cell r="J486" t="str">
            <v>KB2152BA</v>
          </cell>
          <cell r="K486" t="str">
            <v>KPB3</v>
          </cell>
          <cell r="L486">
            <v>6253</v>
          </cell>
          <cell r="M486" t="str">
            <v>2025-02-26</v>
          </cell>
          <cell r="N486" t="str">
            <v>2025-10-25</v>
          </cell>
          <cell r="O486" t="str">
            <v>https://hana.modakita.com/azd942/avatar/21063208420251025112935TG1RJG.jpg</v>
          </cell>
        </row>
        <row r="487">
          <cell r="I487" t="str">
            <v>JBK1E2103462</v>
          </cell>
          <cell r="J487" t="str">
            <v>X123YZ</v>
          </cell>
          <cell r="K487" t="str">
            <v>KPB2</v>
          </cell>
          <cell r="L487">
            <v>2255</v>
          </cell>
          <cell r="M487" t="str">
            <v>2025-06-24</v>
          </cell>
          <cell r="N487" t="str">
            <v>2025-10-25</v>
          </cell>
          <cell r="O487" t="str">
            <v>https://hana.modakita.com/azd942/avatar/21063208420251025111021CATMMY.jpg</v>
          </cell>
        </row>
        <row r="488">
          <cell r="I488" t="str">
            <v>KFC1E1178345</v>
          </cell>
          <cell r="J488" t="str">
            <v>X123YZ</v>
          </cell>
          <cell r="K488" t="str">
            <v>KPB1</v>
          </cell>
          <cell r="L488">
            <v>653</v>
          </cell>
          <cell r="M488" t="str">
            <v>2025-08-24</v>
          </cell>
          <cell r="N488" t="str">
            <v>2025-10-25</v>
          </cell>
          <cell r="O488" t="str">
            <v>https://hana.modakita.com/azd942/avatar/23773820251025110736YMXWX1.jpg</v>
          </cell>
        </row>
        <row r="489">
          <cell r="I489" t="str">
            <v>KD11E1624730</v>
          </cell>
          <cell r="J489" t="str">
            <v>X123YZ</v>
          </cell>
          <cell r="K489" t="str">
            <v>KPB1</v>
          </cell>
          <cell r="L489">
            <v>582</v>
          </cell>
          <cell r="M489" t="str">
            <v>2025-08-24</v>
          </cell>
          <cell r="N489" t="str">
            <v>2025-10-25</v>
          </cell>
          <cell r="O489" t="str">
            <v>https://hana.modakita.com/azd942/avatar/210632084202510251103478TJAOG.jpg</v>
          </cell>
        </row>
        <row r="490">
          <cell r="I490" t="str">
            <v>KF01E1834759</v>
          </cell>
          <cell r="J490" t="str">
            <v>KB2156BA</v>
          </cell>
          <cell r="K490" t="str">
            <v>KPB3</v>
          </cell>
          <cell r="L490">
            <v>9857</v>
          </cell>
          <cell r="M490" t="str">
            <v>2025-02-26</v>
          </cell>
          <cell r="N490" t="str">
            <v>2025-10-25</v>
          </cell>
          <cell r="O490" t="str">
            <v>https://hana.modakita.com/azd942/avatar/23773820251025110200L8ZGNK.jpg</v>
          </cell>
        </row>
        <row r="491">
          <cell r="I491" t="str">
            <v>JBP1E2091582</v>
          </cell>
          <cell r="J491" t="str">
            <v>X123YZ</v>
          </cell>
          <cell r="K491" t="str">
            <v>KPB3</v>
          </cell>
          <cell r="L491">
            <v>5960</v>
          </cell>
          <cell r="M491" t="str">
            <v>2025-02-23</v>
          </cell>
          <cell r="N491" t="str">
            <v>2025-10-25</v>
          </cell>
          <cell r="O491" t="str">
            <v>https://hana.modakita.com/azd942/avatar/21063208420251025105636K1FUWQ.jpg</v>
          </cell>
        </row>
        <row r="492">
          <cell r="I492" t="str">
            <v>JBK1E2106403</v>
          </cell>
          <cell r="J492" t="str">
            <v>X123YZ</v>
          </cell>
          <cell r="K492" t="str">
            <v>KPB2</v>
          </cell>
          <cell r="L492">
            <v>3269</v>
          </cell>
          <cell r="M492" t="str">
            <v>2025-06-23</v>
          </cell>
          <cell r="N492" t="str">
            <v>2025-10-25</v>
          </cell>
          <cell r="O492" t="str">
            <v>https://hana.modakita.com/azd942/avatar/21063208420251025105219YXTVVF.jpg</v>
          </cell>
        </row>
        <row r="493">
          <cell r="I493" t="str">
            <v>KFC1E1178763</v>
          </cell>
          <cell r="J493" t="str">
            <v>KB6061BA</v>
          </cell>
          <cell r="K493" t="str">
            <v>KPB1</v>
          </cell>
          <cell r="L493">
            <v>326</v>
          </cell>
          <cell r="M493" t="str">
            <v>2025-08-23</v>
          </cell>
          <cell r="N493" t="str">
            <v>2025-10-25</v>
          </cell>
          <cell r="O493" t="str">
            <v>https://hana.modakita.com/azd942/avatar/21063208420251025104606R6IW7F.jpg</v>
          </cell>
        </row>
        <row r="494">
          <cell r="I494" t="str">
            <v>JMG1E1522168</v>
          </cell>
          <cell r="J494" t="str">
            <v>KB2248XX</v>
          </cell>
          <cell r="K494" t="str">
            <v>KPB1</v>
          </cell>
          <cell r="L494">
            <v>661</v>
          </cell>
          <cell r="M494" t="str">
            <v>2025-08-23</v>
          </cell>
          <cell r="N494" t="str">
            <v>2025-10-25</v>
          </cell>
          <cell r="O494" t="str">
            <v>https://hana.modakita.com/azd942/avatar/21063208420251025104240G4M2QK.jpg</v>
          </cell>
        </row>
        <row r="495">
          <cell r="I495" t="str">
            <v>KC04E1014567</v>
          </cell>
          <cell r="J495" t="str">
            <v>X123YZ</v>
          </cell>
          <cell r="K495" t="str">
            <v>KPB1</v>
          </cell>
          <cell r="L495">
            <v>632</v>
          </cell>
          <cell r="M495" t="str">
            <v>2025-08-23</v>
          </cell>
          <cell r="N495" t="str">
            <v>2025-10-25</v>
          </cell>
          <cell r="O495" t="str">
            <v>https://hana.modakita.com/azd942/avatar/21063208420251025103725BARKBC.jpg</v>
          </cell>
        </row>
        <row r="496">
          <cell r="I496" t="str">
            <v>JBP1E2115863</v>
          </cell>
          <cell r="J496" t="str">
            <v>KB2247XX</v>
          </cell>
          <cell r="K496" t="str">
            <v>KPB1</v>
          </cell>
          <cell r="L496">
            <v>362</v>
          </cell>
          <cell r="M496" t="str">
            <v>2025-08-23</v>
          </cell>
          <cell r="N496" t="str">
            <v>2025-10-25</v>
          </cell>
          <cell r="O496" t="str">
            <v>https://hana.modakita.com/azd942/avatar/23773820251025103247AVVD72.jpg</v>
          </cell>
        </row>
        <row r="497">
          <cell r="I497" t="str">
            <v>KC04E1014213</v>
          </cell>
          <cell r="J497" t="str">
            <v>X123YZ</v>
          </cell>
          <cell r="K497" t="str">
            <v>KPB1</v>
          </cell>
          <cell r="L497">
            <v>663</v>
          </cell>
          <cell r="M497" t="str">
            <v>2025-08-23</v>
          </cell>
          <cell r="N497" t="str">
            <v>2025-10-25</v>
          </cell>
          <cell r="O497" t="str">
            <v>https://hana.modakita.com/azd942/avatar/21394210620251025103001ZOS5OA.jpg</v>
          </cell>
        </row>
        <row r="498">
          <cell r="I498" t="str">
            <v>JBP1E2119323</v>
          </cell>
          <cell r="J498" t="str">
            <v>KB123XXX</v>
          </cell>
          <cell r="K498" t="str">
            <v>KPB1</v>
          </cell>
          <cell r="L498">
            <v>417</v>
          </cell>
          <cell r="M498" t="str">
            <v>2025-08-23</v>
          </cell>
          <cell r="N498" t="str">
            <v>2025-10-25</v>
          </cell>
          <cell r="O498" t="str">
            <v>https://hana.modakita.com/azd942/avatar/23773820251025102030ZP08MB.jpg</v>
          </cell>
        </row>
        <row r="499">
          <cell r="I499" t="str">
            <v>JBP1E2108421</v>
          </cell>
          <cell r="J499" t="str">
            <v>KB4702BA</v>
          </cell>
          <cell r="K499" t="str">
            <v>KPB2</v>
          </cell>
          <cell r="L499">
            <v>2568</v>
          </cell>
          <cell r="M499" t="str">
            <v>2025-06-22</v>
          </cell>
          <cell r="N499" t="str">
            <v>2025-10-25</v>
          </cell>
          <cell r="O499" t="str">
            <v>https://hana.modakita.com/azd942/avatar/23773820251025101445MY8BWM.jpg</v>
          </cell>
        </row>
        <row r="500">
          <cell r="I500" t="str">
            <v>JBP1E2093440</v>
          </cell>
          <cell r="J500" t="str">
            <v>X123YZ</v>
          </cell>
          <cell r="K500" t="str">
            <v>KPB3</v>
          </cell>
          <cell r="L500">
            <v>6659</v>
          </cell>
          <cell r="M500" t="str">
            <v>2025-02-22</v>
          </cell>
          <cell r="N500" t="str">
            <v>2025-10-25</v>
          </cell>
          <cell r="O500" t="str">
            <v>https://hana.modakita.com/azd942/avatar/21301231220251025101019DJOAHS.jpg</v>
          </cell>
        </row>
        <row r="501">
          <cell r="I501" t="str">
            <v>JMG1E1499820</v>
          </cell>
          <cell r="J501" t="str">
            <v>KB6051BA</v>
          </cell>
          <cell r="K501" t="str">
            <v>KPB1</v>
          </cell>
          <cell r="L501">
            <v>989</v>
          </cell>
          <cell r="M501" t="str">
            <v>2025-08-22</v>
          </cell>
          <cell r="N501" t="str">
            <v>2025-10-25</v>
          </cell>
          <cell r="O501" t="str">
            <v>https://hana.modakita.com/azd942/avatar/21301231220251025100032JSGQ8Q.jpg</v>
          </cell>
        </row>
        <row r="502">
          <cell r="I502" t="str">
            <v>JBK3E1563548</v>
          </cell>
          <cell r="J502" t="str">
            <v>X123YZ</v>
          </cell>
          <cell r="K502" t="str">
            <v>KPB3</v>
          </cell>
          <cell r="L502">
            <v>5809</v>
          </cell>
          <cell r="M502" t="str">
            <v>2025-02-21</v>
          </cell>
          <cell r="N502" t="str">
            <v>2025-10-25</v>
          </cell>
          <cell r="O502" t="str">
            <v>https://hana.modakita.com/azd942/avatar/23773820251025094105ML7WJH.jpg</v>
          </cell>
        </row>
        <row r="503">
          <cell r="I503" t="str">
            <v>JMB1E1210356</v>
          </cell>
          <cell r="J503" t="str">
            <v>KB6052BA</v>
          </cell>
          <cell r="K503" t="str">
            <v>KPB1</v>
          </cell>
          <cell r="L503">
            <v>568</v>
          </cell>
          <cell r="M503" t="str">
            <v>2025-08-21</v>
          </cell>
          <cell r="N503" t="str">
            <v>2025-10-25</v>
          </cell>
          <cell r="O503" t="str">
            <v>https://hana.modakita.com/azd942/avatar/23773820251025093704IL4RYI.jpg</v>
          </cell>
        </row>
        <row r="504">
          <cell r="I504" t="str">
            <v>JMH1E1076476</v>
          </cell>
          <cell r="J504" t="str">
            <v>X123YZ</v>
          </cell>
          <cell r="K504" t="str">
            <v>KPB3</v>
          </cell>
          <cell r="L504">
            <v>5236</v>
          </cell>
          <cell r="M504" t="str">
            <v>2025-02-24</v>
          </cell>
          <cell r="N504" t="str">
            <v>2025-10-25</v>
          </cell>
          <cell r="O504" t="str">
            <v>https://hana.modakita.com/azd942/avatar/21063208420251025093602GHMKZQ.jpg</v>
          </cell>
        </row>
        <row r="505">
          <cell r="I505" t="str">
            <v>JBP1E2092223</v>
          </cell>
          <cell r="J505" t="str">
            <v>X123YZ</v>
          </cell>
          <cell r="K505" t="str">
            <v>KPB3</v>
          </cell>
          <cell r="L505">
            <v>6523</v>
          </cell>
          <cell r="M505" t="str">
            <v>2025-02-20</v>
          </cell>
          <cell r="N505" t="str">
            <v>2025-10-25</v>
          </cell>
          <cell r="O505" t="str">
            <v>https://hana.modakita.com/azd942/avatar/23773820251025093311MBOUWI.jpg</v>
          </cell>
        </row>
        <row r="506">
          <cell r="I506" t="str">
            <v>JMG1E1508379</v>
          </cell>
          <cell r="J506" t="str">
            <v>KB2243XX</v>
          </cell>
          <cell r="K506" t="str">
            <v>KPB1</v>
          </cell>
          <cell r="L506">
            <v>965</v>
          </cell>
          <cell r="M506" t="str">
            <v>2025-08-20</v>
          </cell>
          <cell r="N506" t="str">
            <v>2025-10-25</v>
          </cell>
          <cell r="O506" t="str">
            <v>https://hana.modakita.com/azd942/avatar/213942106202510250841579YDZNL.jpg</v>
          </cell>
        </row>
        <row r="507">
          <cell r="I507" t="str">
            <v>JMH2E1449690</v>
          </cell>
          <cell r="J507" t="str">
            <v>KB4835SAH</v>
          </cell>
          <cell r="K507" t="str">
            <v>KPB1</v>
          </cell>
          <cell r="L507">
            <v>696</v>
          </cell>
          <cell r="M507" t="str">
            <v>2025-08-20</v>
          </cell>
          <cell r="N507" t="str">
            <v>2025-10-25</v>
          </cell>
          <cell r="O507" t="str">
            <v>https://hana.modakita.com/azd942/avatar/21394210620251025083850FC8HCS.jpg</v>
          </cell>
        </row>
        <row r="508">
          <cell r="I508" t="str">
            <v>JBP1E2116907</v>
          </cell>
          <cell r="J508" t="str">
            <v>X123YZ</v>
          </cell>
          <cell r="K508" t="str">
            <v>KPB1</v>
          </cell>
          <cell r="L508">
            <v>1013</v>
          </cell>
          <cell r="M508" t="str">
            <v>2025-08-20</v>
          </cell>
          <cell r="N508" t="str">
            <v>2025-10-25</v>
          </cell>
          <cell r="O508" t="str">
            <v>https://hana.modakita.com/azd942/avatar/21394210620251025083412LFPHRI.jpg</v>
          </cell>
        </row>
        <row r="509">
          <cell r="I509" t="str">
            <v>JMH2E1299515</v>
          </cell>
          <cell r="J509" t="str">
            <v>KB6053BA</v>
          </cell>
          <cell r="K509" t="str">
            <v>KPB1</v>
          </cell>
          <cell r="L509">
            <v>42</v>
          </cell>
          <cell r="M509" t="str">
            <v>2025-08-22</v>
          </cell>
          <cell r="N509" t="str">
            <v>2025-10-25</v>
          </cell>
          <cell r="O509" t="str">
            <v>https://hana.modakita.com/azd942/avatar/23773820251025082811FO7ZXL.jpg</v>
          </cell>
        </row>
        <row r="510">
          <cell r="I510" t="str">
            <v>JBP1E2116475</v>
          </cell>
          <cell r="J510" t="str">
            <v>X123YZ</v>
          </cell>
          <cell r="K510" t="str">
            <v>KPB1</v>
          </cell>
          <cell r="L510">
            <v>652</v>
          </cell>
          <cell r="M510" t="str">
            <v>2025-08-20</v>
          </cell>
          <cell r="N510" t="str">
            <v>2025-10-25</v>
          </cell>
          <cell r="O510" t="str">
            <v>https://hana.modakita.com/azd942/avatar/23773820251025081222QSLWS8.jpg</v>
          </cell>
        </row>
        <row r="511">
          <cell r="I511" t="str">
            <v>JMH1E1205279</v>
          </cell>
          <cell r="J511" t="str">
            <v>X123YZ</v>
          </cell>
          <cell r="K511" t="str">
            <v>KPB1</v>
          </cell>
          <cell r="L511">
            <v>325</v>
          </cell>
          <cell r="M511" t="str">
            <v>2025-08-31</v>
          </cell>
          <cell r="N511" t="str">
            <v>2025-10-27</v>
          </cell>
          <cell r="O511" t="str">
            <v>https://hana.modakita.com/azd942/avatar/23773820251027141927PPZQN8.jpg</v>
          </cell>
        </row>
        <row r="512">
          <cell r="I512" t="str">
            <v>JMG1E1533438</v>
          </cell>
          <cell r="J512" t="str">
            <v>KB6181BA</v>
          </cell>
          <cell r="K512" t="str">
            <v>KPB1</v>
          </cell>
          <cell r="L512">
            <v>823</v>
          </cell>
          <cell r="M512" t="str">
            <v>2025-08-31</v>
          </cell>
          <cell r="N512" t="str">
            <v>2025-10-27</v>
          </cell>
          <cell r="O512" t="str">
            <v>https://hana.modakita.com/azd942/avatar/23773820251027141515JZIWTN.jpg</v>
          </cell>
        </row>
        <row r="513">
          <cell r="I513" t="str">
            <v>JME1E1699892</v>
          </cell>
          <cell r="J513" t="str">
            <v>X123YZ</v>
          </cell>
          <cell r="K513" t="str">
            <v>KPB1</v>
          </cell>
          <cell r="L513">
            <v>325</v>
          </cell>
          <cell r="M513" t="str">
            <v>2025-08-31</v>
          </cell>
          <cell r="N513" t="str">
            <v>2025-10-27</v>
          </cell>
          <cell r="O513" t="str">
            <v>https://hana.modakita.com/azd942/avatar/21063208420251027141336LNDONN.jpg</v>
          </cell>
        </row>
        <row r="514">
          <cell r="I514" t="str">
            <v>JM03E1795697</v>
          </cell>
          <cell r="J514" t="str">
            <v>X123YZ</v>
          </cell>
          <cell r="K514" t="str">
            <v>KPB4</v>
          </cell>
          <cell r="L514">
            <v>10514</v>
          </cell>
          <cell r="M514" t="str">
            <v>2024-10-30</v>
          </cell>
          <cell r="N514" t="str">
            <v>2025-10-27</v>
          </cell>
          <cell r="O514" t="str">
            <v>https://hana.modakita.com/azd942/avatar/21063208420251027140657FPAQ43.jpg</v>
          </cell>
        </row>
        <row r="515">
          <cell r="I515" t="str">
            <v>JMH2E1466373</v>
          </cell>
          <cell r="J515" t="str">
            <v>X123YZ</v>
          </cell>
          <cell r="K515" t="str">
            <v>KPB1</v>
          </cell>
          <cell r="L515">
            <v>582</v>
          </cell>
          <cell r="M515" t="str">
            <v>2025-08-27</v>
          </cell>
          <cell r="N515" t="str">
            <v>2025-10-27</v>
          </cell>
          <cell r="O515" t="str">
            <v>https://hana.modakita.com/azd942/avatar/21063208420251027140332PNCMN3.jpg</v>
          </cell>
        </row>
        <row r="516">
          <cell r="I516" t="str">
            <v>JMC1E1703032</v>
          </cell>
          <cell r="J516" t="str">
            <v>KB6190BA</v>
          </cell>
          <cell r="K516" t="str">
            <v>KPB1</v>
          </cell>
          <cell r="L516">
            <v>542</v>
          </cell>
          <cell r="M516" t="str">
            <v>2025-08-30</v>
          </cell>
          <cell r="N516" t="str">
            <v>2025-10-27</v>
          </cell>
          <cell r="O516" t="str">
            <v>https://hana.modakita.com/azd942/avatar/23773820251027135502BYVJWE.jpg</v>
          </cell>
        </row>
        <row r="517">
          <cell r="I517" t="str">
            <v>JBP1E2120350</v>
          </cell>
          <cell r="J517" t="str">
            <v>X123YZ</v>
          </cell>
          <cell r="K517" t="str">
            <v>KPB1</v>
          </cell>
          <cell r="L517">
            <v>732</v>
          </cell>
          <cell r="M517" t="str">
            <v>2025-08-30</v>
          </cell>
          <cell r="N517" t="str">
            <v>2025-10-27</v>
          </cell>
          <cell r="O517" t="str">
            <v>https://hana.modakita.com/azd942/avatar/21063208420251027135214RX2CGB.jpg</v>
          </cell>
        </row>
        <row r="518">
          <cell r="I518" t="str">
            <v>JMF2E1535784</v>
          </cell>
          <cell r="J518" t="str">
            <v>KB6249BA</v>
          </cell>
          <cell r="K518" t="str">
            <v>KPB1</v>
          </cell>
          <cell r="L518">
            <v>742</v>
          </cell>
          <cell r="M518" t="str">
            <v>2025-08-30</v>
          </cell>
          <cell r="N518" t="str">
            <v>2025-10-27</v>
          </cell>
          <cell r="O518" t="str">
            <v>https://hana.modakita.com/azd942/avatar/23773820251027134818HGBEHE.jpg</v>
          </cell>
        </row>
        <row r="519">
          <cell r="I519" t="str">
            <v>JMH1E1247765</v>
          </cell>
          <cell r="J519" t="str">
            <v>KB2248XX</v>
          </cell>
          <cell r="K519" t="str">
            <v>KPB1</v>
          </cell>
          <cell r="L519">
            <v>632</v>
          </cell>
          <cell r="M519" t="str">
            <v>2025-08-30</v>
          </cell>
          <cell r="N519" t="str">
            <v>2025-10-27</v>
          </cell>
          <cell r="O519" t="str">
            <v>https://hana.modakita.com/azd942/avatar/21063208420251027134446VJLEXC.jpg</v>
          </cell>
        </row>
        <row r="520">
          <cell r="I520" t="str">
            <v>KFD1E1160960</v>
          </cell>
          <cell r="J520" t="str">
            <v>X123YZ</v>
          </cell>
          <cell r="K520" t="str">
            <v>KPB1</v>
          </cell>
          <cell r="L520">
            <v>582</v>
          </cell>
          <cell r="M520" t="str">
            <v>2025-08-31</v>
          </cell>
          <cell r="N520" t="str">
            <v>2025-10-27</v>
          </cell>
          <cell r="O520" t="str">
            <v>https://hana.modakita.com/azd942/avatar/21063208420251027125638AKJQWV.jpg</v>
          </cell>
        </row>
        <row r="521">
          <cell r="I521" t="str">
            <v>JBP1E2110321</v>
          </cell>
          <cell r="J521" t="str">
            <v>KB0321YX</v>
          </cell>
          <cell r="K521" t="str">
            <v>KPB2</v>
          </cell>
          <cell r="L521">
            <v>2684</v>
          </cell>
          <cell r="M521" t="str">
            <v>2025-06-25</v>
          </cell>
          <cell r="N521" t="str">
            <v>2025-10-27</v>
          </cell>
          <cell r="O521" t="str">
            <v>https://hana.modakita.com/azd942/avatar/23773820251027124532U7DYKR.jpg</v>
          </cell>
        </row>
        <row r="522">
          <cell r="I522" t="str">
            <v>JMF2E1184648</v>
          </cell>
          <cell r="J522" t="str">
            <v>X123YZ</v>
          </cell>
          <cell r="K522" t="str">
            <v>KPB4</v>
          </cell>
          <cell r="L522">
            <v>11285</v>
          </cell>
          <cell r="M522" t="str">
            <v>2024-10-29</v>
          </cell>
          <cell r="N522" t="str">
            <v>2025-10-27</v>
          </cell>
          <cell r="O522" t="str">
            <v>https://hana.modakita.com/azd942/avatar/21063208420251027124153RVAPUN.jpg</v>
          </cell>
        </row>
        <row r="523">
          <cell r="I523" t="str">
            <v>JME1E1695530</v>
          </cell>
          <cell r="J523" t="str">
            <v>X123YZ</v>
          </cell>
          <cell r="K523" t="str">
            <v>KPB1</v>
          </cell>
          <cell r="L523">
            <v>965</v>
          </cell>
          <cell r="M523" t="str">
            <v>2025-08-30</v>
          </cell>
          <cell r="N523" t="str">
            <v>2025-10-27</v>
          </cell>
          <cell r="O523" t="str">
            <v>https://hana.modakita.com/azd942/avatar/23773820251027123154SLHE3D.jpg</v>
          </cell>
        </row>
        <row r="524">
          <cell r="I524" t="str">
            <v>KC04E1015783</v>
          </cell>
          <cell r="J524" t="str">
            <v>X123YZ</v>
          </cell>
          <cell r="K524" t="str">
            <v>KPB1</v>
          </cell>
          <cell r="L524">
            <v>523</v>
          </cell>
          <cell r="M524" t="str">
            <v>2025-08-30</v>
          </cell>
          <cell r="N524" t="str">
            <v>2025-10-27</v>
          </cell>
          <cell r="O524" t="str">
            <v>https://hana.modakita.com/azd942/avatar/21063208420251027122906O1QRQV.jpg</v>
          </cell>
        </row>
        <row r="525">
          <cell r="I525" t="str">
            <v>JMH1E1136583</v>
          </cell>
          <cell r="J525" t="str">
            <v>KB6184BA</v>
          </cell>
          <cell r="K525" t="str">
            <v>KPB1</v>
          </cell>
          <cell r="L525">
            <v>556</v>
          </cell>
          <cell r="M525" t="str">
            <v>2025-08-30</v>
          </cell>
          <cell r="N525" t="str">
            <v>2025-10-27</v>
          </cell>
          <cell r="O525" t="str">
            <v>https://hana.modakita.com/azd942/avatar/21063208420251027120241VO7PET.jpg</v>
          </cell>
        </row>
        <row r="526">
          <cell r="I526" t="str">
            <v>KFC1E1180967</v>
          </cell>
          <cell r="J526" t="str">
            <v>X123YZ</v>
          </cell>
          <cell r="K526" t="str">
            <v>KPB1</v>
          </cell>
          <cell r="L526">
            <v>693</v>
          </cell>
          <cell r="M526" t="str">
            <v>2025-08-29</v>
          </cell>
          <cell r="N526" t="str">
            <v>2025-10-27</v>
          </cell>
          <cell r="O526" t="str">
            <v>https://hana.modakita.com/azd942/avatar/21063208420251027114338VZTP4A.jpg</v>
          </cell>
        </row>
        <row r="527">
          <cell r="I527" t="str">
            <v>KC04E1015968</v>
          </cell>
          <cell r="J527" t="str">
            <v>X123YZ</v>
          </cell>
          <cell r="K527" t="str">
            <v>KPB1</v>
          </cell>
          <cell r="L527">
            <v>615</v>
          </cell>
          <cell r="M527" t="str">
            <v>2025-08-28</v>
          </cell>
          <cell r="N527" t="str">
            <v>2025-10-27</v>
          </cell>
          <cell r="O527" t="str">
            <v>https://hana.modakita.com/azd942/avatar/21063208420251027113438V4TL4N.jpg</v>
          </cell>
        </row>
        <row r="528">
          <cell r="I528" t="str">
            <v>JMF1E1273075</v>
          </cell>
          <cell r="J528" t="str">
            <v>KB5840LR</v>
          </cell>
          <cell r="K528" t="str">
            <v>KPB2</v>
          </cell>
          <cell r="L528">
            <v>1707</v>
          </cell>
          <cell r="M528" t="str">
            <v>2025-06-28</v>
          </cell>
          <cell r="N528" t="str">
            <v>2025-10-27</v>
          </cell>
          <cell r="O528" t="str">
            <v>https://hana.modakita.com/azd942/avatar/23773820251027112514QODDWA.jpg</v>
          </cell>
        </row>
        <row r="529">
          <cell r="I529" t="str">
            <v>JMB1E1177337</v>
          </cell>
          <cell r="K529" t="str">
            <v>KPB4</v>
          </cell>
          <cell r="L529">
            <v>9963</v>
          </cell>
          <cell r="M529" t="str">
            <v>2024-10-28</v>
          </cell>
          <cell r="N529" t="str">
            <v>2025-10-27</v>
          </cell>
          <cell r="O529" t="str">
            <v>https://hana.modakita.com/azd942/avatar/23773820251027111536JXHWAQ.jpg</v>
          </cell>
        </row>
        <row r="530">
          <cell r="I530" t="str">
            <v>JMC1E1574897</v>
          </cell>
          <cell r="J530" t="str">
            <v>X123YZ</v>
          </cell>
          <cell r="K530" t="str">
            <v>KPB3</v>
          </cell>
          <cell r="L530">
            <v>6411</v>
          </cell>
          <cell r="M530" t="str">
            <v>2025-02-28</v>
          </cell>
          <cell r="N530" t="str">
            <v>2025-10-27</v>
          </cell>
          <cell r="O530" t="str">
            <v>https://hana.modakita.com/azd942/avatar/21063208420251027111257BB4ILK.jpg</v>
          </cell>
        </row>
        <row r="531">
          <cell r="I531" t="str">
            <v>JME1E1380794</v>
          </cell>
          <cell r="J531" t="str">
            <v>KB2020XX</v>
          </cell>
          <cell r="K531" t="str">
            <v>KPB3</v>
          </cell>
          <cell r="L531">
            <v>6396</v>
          </cell>
          <cell r="M531" t="str">
            <v>2025-02-28</v>
          </cell>
          <cell r="N531" t="str">
            <v>2025-10-27</v>
          </cell>
          <cell r="O531" t="str">
            <v>https://hana.modakita.com/azd942/avatar/2106320842025102710122715QOAD.jpg</v>
          </cell>
        </row>
        <row r="532">
          <cell r="I532" t="str">
            <v>JMH2E1110054</v>
          </cell>
          <cell r="J532" t="str">
            <v>X123YZ</v>
          </cell>
          <cell r="K532" t="str">
            <v>KPB3</v>
          </cell>
          <cell r="L532">
            <v>5623</v>
          </cell>
          <cell r="M532" t="str">
            <v>2025-02-28</v>
          </cell>
          <cell r="N532" t="str">
            <v>2025-10-27</v>
          </cell>
          <cell r="O532" t="str">
            <v>https://hana.modakita.com/azd942/avatar/23773820251027101009MZJUOP.jpg</v>
          </cell>
        </row>
        <row r="533">
          <cell r="I533" t="str">
            <v>JMH2E1421504</v>
          </cell>
          <cell r="J533" t="str">
            <v>KB6159BA</v>
          </cell>
          <cell r="K533" t="str">
            <v>KPB1</v>
          </cell>
          <cell r="L533">
            <v>523</v>
          </cell>
          <cell r="M533" t="str">
            <v>2025-08-28</v>
          </cell>
          <cell r="N533" t="str">
            <v>2025-10-27</v>
          </cell>
          <cell r="O533" t="str">
            <v>https://hana.modakita.com/azd942/avatar/2377382025102709590102V4MS.jpg</v>
          </cell>
        </row>
        <row r="534">
          <cell r="I534" t="str">
            <v>JMD1E1845660</v>
          </cell>
          <cell r="J534" t="str">
            <v>X123YZ</v>
          </cell>
          <cell r="K534" t="str">
            <v>KPB3</v>
          </cell>
          <cell r="L534">
            <v>6328</v>
          </cell>
          <cell r="M534" t="str">
            <v>2025-02-28</v>
          </cell>
          <cell r="N534" t="str">
            <v>2025-10-27</v>
          </cell>
          <cell r="O534" t="str">
            <v>https://hana.modakita.com/azd942/avatar/21063208420251027095854FZDLWX.jpg</v>
          </cell>
        </row>
        <row r="535">
          <cell r="I535" t="str">
            <v>JMH2E1391494</v>
          </cell>
          <cell r="J535" t="str">
            <v>X123YZ</v>
          </cell>
          <cell r="K535" t="str">
            <v>KPB1</v>
          </cell>
          <cell r="L535">
            <v>998</v>
          </cell>
          <cell r="M535" t="str">
            <v>2025-08-27</v>
          </cell>
          <cell r="N535" t="str">
            <v>2025-10-27</v>
          </cell>
          <cell r="O535" t="str">
            <v>https://hana.modakita.com/azd942/avatar/21063208420251027095402TRAR87.jpg</v>
          </cell>
        </row>
        <row r="536">
          <cell r="I536" t="str">
            <v>JMC1E1575614</v>
          </cell>
          <cell r="J536" t="str">
            <v>KB5614YX</v>
          </cell>
          <cell r="K536" t="str">
            <v>KPB3</v>
          </cell>
          <cell r="L536">
            <v>5512</v>
          </cell>
          <cell r="M536" t="str">
            <v>2025-02-28</v>
          </cell>
          <cell r="N536" t="str">
            <v>2025-10-29</v>
          </cell>
          <cell r="O536" t="str">
            <v>https://hana.modakita.com/azd942/avatar/21063208420251029143711OLVXB1.jpg</v>
          </cell>
        </row>
        <row r="537">
          <cell r="I537" t="str">
            <v>KF01E1825804</v>
          </cell>
          <cell r="J537" t="str">
            <v>X123YZ</v>
          </cell>
          <cell r="K537" t="str">
            <v>KPB3</v>
          </cell>
          <cell r="L537">
            <v>9235</v>
          </cell>
          <cell r="M537" t="str">
            <v>2025-02-28</v>
          </cell>
          <cell r="N537" t="str">
            <v>2025-10-29</v>
          </cell>
          <cell r="O537" t="str">
            <v>https://hana.modakita.com/azd942/avatar/210632084202510291023297DXPOB.jpg</v>
          </cell>
        </row>
        <row r="538">
          <cell r="I538" t="str">
            <v>KC02E1289809</v>
          </cell>
          <cell r="J538" t="str">
            <v>X123YZ</v>
          </cell>
          <cell r="K538" t="str">
            <v>KPB3</v>
          </cell>
          <cell r="L538">
            <v>6215</v>
          </cell>
          <cell r="M538" t="str">
            <v>2025-02-25</v>
          </cell>
          <cell r="N538" t="str">
            <v>2025-10-29</v>
          </cell>
          <cell r="O538" t="str">
            <v>https://hana.modakita.com/azd942/avatar/21063208420251029093909OFI6JB.jpg</v>
          </cell>
        </row>
        <row r="539">
          <cell r="I539" t="str">
            <v>JBK3E1589690</v>
          </cell>
          <cell r="J539" t="str">
            <v>KB6175BA</v>
          </cell>
          <cell r="K539" t="str">
            <v>KPB1</v>
          </cell>
          <cell r="L539">
            <v>100</v>
          </cell>
          <cell r="M539" t="str">
            <v>2025-08-29</v>
          </cell>
          <cell r="N539" t="str">
            <v>2025-10-28</v>
          </cell>
          <cell r="O539" t="str">
            <v>https://hana.modakita.com/azd942/avatar/23773820251028092207VKIPWA.jpg</v>
          </cell>
        </row>
        <row r="540">
          <cell r="I540" t="str">
            <v>JMF2E1141399</v>
          </cell>
          <cell r="J540" t="str">
            <v>X123YZ</v>
          </cell>
          <cell r="K540" t="str">
            <v>KPB4</v>
          </cell>
          <cell r="L540">
            <v>10298</v>
          </cell>
          <cell r="M540" t="str">
            <v>2024-10-22</v>
          </cell>
          <cell r="N540" t="str">
            <v>2025-10-28</v>
          </cell>
          <cell r="O540" t="str">
            <v>https://hana.modakita.com/azd942/avatar/21063208420251028084022A1K3HQ.jpg</v>
          </cell>
        </row>
        <row r="541">
          <cell r="I541" t="str">
            <v>JM03E1776107</v>
          </cell>
          <cell r="J541" t="str">
            <v>X123YZ</v>
          </cell>
          <cell r="K541" t="str">
            <v>KPB4</v>
          </cell>
          <cell r="L541">
            <v>9787</v>
          </cell>
          <cell r="M541" t="str">
            <v>2024-10-29</v>
          </cell>
          <cell r="N541" t="str">
            <v>2025-10-28</v>
          </cell>
          <cell r="O541" t="str">
            <v>https://hana.modakita.com/azd942/avatar/23773820251028083931LNEONH.jpg</v>
          </cell>
        </row>
        <row r="542">
          <cell r="I542" t="str">
            <v>JMF2E1462674</v>
          </cell>
          <cell r="J542" t="str">
            <v>KB4606BA</v>
          </cell>
          <cell r="K542" t="str">
            <v>KPB2</v>
          </cell>
          <cell r="L542">
            <v>2365</v>
          </cell>
          <cell r="M542" t="str">
            <v>2025-06-18</v>
          </cell>
          <cell r="N542" t="str">
            <v>2025-10-28</v>
          </cell>
          <cell r="O542" t="str">
            <v>https://hana.modakita.com/azd942/avatar/21063208420251028083657T7Z7XG.jpg</v>
          </cell>
        </row>
        <row r="543">
          <cell r="I543" t="str">
            <v>JMH2E1129186</v>
          </cell>
          <cell r="J543" t="str">
            <v>KB6942XZ</v>
          </cell>
          <cell r="K543" t="str">
            <v>KPB3</v>
          </cell>
          <cell r="L543">
            <v>6142</v>
          </cell>
          <cell r="M543" t="str">
            <v>2025-02-18</v>
          </cell>
          <cell r="N543" t="str">
            <v>2025-10-28</v>
          </cell>
          <cell r="O543" t="str">
            <v>https://hana.modakita.com/azd942/avatar/23773820251028083252O7ESTX.jpg</v>
          </cell>
        </row>
        <row r="544">
          <cell r="I544" t="str">
            <v>JMC1E1691182</v>
          </cell>
          <cell r="J544" t="str">
            <v>KB56DF</v>
          </cell>
          <cell r="K544" t="str">
            <v>KPB1</v>
          </cell>
          <cell r="L544">
            <v>365</v>
          </cell>
          <cell r="M544" t="str">
            <v>2025-08-16</v>
          </cell>
          <cell r="N544" t="str">
            <v>2025-10-28</v>
          </cell>
          <cell r="O544" t="str">
            <v>https://hana.modakita.com/azd942/avatar/21063208420251028082912UO9QTF.jpg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HM-Q01-251105-2511051358"/>
    </sheetNames>
    <sheetDataSet>
      <sheetData sheetId="0">
        <row r="2">
          <cell r="E2" t="str">
            <v>JBK1E2048788</v>
          </cell>
          <cell r="F2" t="str">
            <v>'11102024</v>
          </cell>
          <cell r="G2" t="str">
            <v>'10102024</v>
          </cell>
          <cell r="H2" t="str">
            <v>10/10/2024</v>
          </cell>
        </row>
        <row r="3">
          <cell r="E3" t="str">
            <v>JBK1E2080766</v>
          </cell>
          <cell r="F3" t="str">
            <v>'27022025</v>
          </cell>
          <cell r="G3" t="str">
            <v>'21022025</v>
          </cell>
          <cell r="H3" t="str">
            <v>21/02/2025</v>
          </cell>
        </row>
        <row r="4">
          <cell r="E4" t="str">
            <v>JBK1E2081858</v>
          </cell>
          <cell r="F4" t="str">
            <v>'11022025</v>
          </cell>
          <cell r="G4" t="str">
            <v>'08022025</v>
          </cell>
          <cell r="H4" t="str">
            <v>08/02/2025</v>
          </cell>
        </row>
        <row r="5">
          <cell r="E5" t="str">
            <v>JBK1E2101985</v>
          </cell>
          <cell r="F5" t="str">
            <v>'16062025</v>
          </cell>
          <cell r="G5" t="str">
            <v>'10062025</v>
          </cell>
          <cell r="H5" t="str">
            <v>10/06/2025</v>
          </cell>
        </row>
        <row r="6">
          <cell r="E6" t="str">
            <v>JBK1E2102393</v>
          </cell>
          <cell r="F6" t="str">
            <v>'12062025</v>
          </cell>
          <cell r="G6" t="str">
            <v>'08062025</v>
          </cell>
          <cell r="H6" t="str">
            <v>08/06/2025</v>
          </cell>
        </row>
        <row r="7">
          <cell r="E7" t="str">
            <v>JBK1E2103980</v>
          </cell>
          <cell r="F7" t="str">
            <v>'18062025</v>
          </cell>
          <cell r="G7" t="str">
            <v>'13062025</v>
          </cell>
          <cell r="H7" t="str">
            <v>13/06/2025</v>
          </cell>
        </row>
        <row r="8">
          <cell r="E8" t="str">
            <v>JBK1E2117837</v>
          </cell>
          <cell r="F8" t="str">
            <v>'21082025</v>
          </cell>
          <cell r="G8" t="str">
            <v>'20082025</v>
          </cell>
          <cell r="H8" t="str">
            <v>20/08/2025</v>
          </cell>
        </row>
        <row r="9">
          <cell r="E9" t="str">
            <v>JBK1E2118151</v>
          </cell>
          <cell r="F9" t="str">
            <v>'27082025</v>
          </cell>
          <cell r="G9" t="str">
            <v>'25082025</v>
          </cell>
          <cell r="H9" t="str">
            <v>25/08/2025</v>
          </cell>
        </row>
        <row r="10">
          <cell r="E10" t="str">
            <v>JBK3E1541996</v>
          </cell>
          <cell r="F10" t="str">
            <v>'11102024</v>
          </cell>
          <cell r="G10" t="str">
            <v>'10102024</v>
          </cell>
          <cell r="H10" t="str">
            <v>10/10/2024</v>
          </cell>
        </row>
        <row r="11">
          <cell r="E11" t="str">
            <v>JBK3E1560111</v>
          </cell>
          <cell r="F11" t="str">
            <v>'12022025</v>
          </cell>
          <cell r="G11" t="str">
            <v>'10022025</v>
          </cell>
          <cell r="H11" t="str">
            <v>10/02/2025</v>
          </cell>
        </row>
        <row r="12">
          <cell r="E12" t="str">
            <v>JBK3E1561346</v>
          </cell>
          <cell r="F12" t="str">
            <v>'11022025</v>
          </cell>
          <cell r="G12" t="str">
            <v>'08022025</v>
          </cell>
          <cell r="H12" t="str">
            <v>08/02/2025</v>
          </cell>
        </row>
        <row r="13">
          <cell r="E13" t="str">
            <v>JBK3E1575741</v>
          </cell>
          <cell r="F13" t="str">
            <v>'10062025</v>
          </cell>
          <cell r="G13" t="str">
            <v>'03062025</v>
          </cell>
          <cell r="H13" t="str">
            <v>03/06/2025</v>
          </cell>
        </row>
        <row r="14">
          <cell r="E14" t="str">
            <v>JBK3E1577565</v>
          </cell>
          <cell r="F14" t="str">
            <v>'16062025</v>
          </cell>
          <cell r="G14" t="str">
            <v>'10062025</v>
          </cell>
          <cell r="H14" t="str">
            <v>10/06/2025</v>
          </cell>
        </row>
        <row r="15">
          <cell r="E15" t="str">
            <v>JBK3E1577568</v>
          </cell>
          <cell r="F15" t="str">
            <v>'19062025</v>
          </cell>
          <cell r="G15" t="str">
            <v>'16062025</v>
          </cell>
          <cell r="H15" t="str">
            <v>16/06/2025</v>
          </cell>
        </row>
        <row r="16">
          <cell r="E16" t="str">
            <v>JBK3E1586349</v>
          </cell>
          <cell r="F16" t="str">
            <v>'01082025</v>
          </cell>
          <cell r="G16" t="str">
            <v>'01082025</v>
          </cell>
          <cell r="H16" t="str">
            <v>01/08/2025</v>
          </cell>
        </row>
        <row r="17">
          <cell r="E17" t="str">
            <v>JBK3E1587689</v>
          </cell>
          <cell r="F17" t="str">
            <v>'06082025</v>
          </cell>
          <cell r="G17" t="str">
            <v>'05082025</v>
          </cell>
          <cell r="H17" t="str">
            <v>05/08/2025</v>
          </cell>
        </row>
        <row r="18">
          <cell r="E18" t="str">
            <v>JBK3E1589217</v>
          </cell>
          <cell r="F18" t="str">
            <v>'15082025</v>
          </cell>
          <cell r="G18" t="str">
            <v>'14082025</v>
          </cell>
          <cell r="H18" t="str">
            <v>14/08/2025</v>
          </cell>
        </row>
        <row r="19">
          <cell r="E19" t="str">
            <v>JBK3E1589222</v>
          </cell>
          <cell r="F19" t="str">
            <v>'29082025</v>
          </cell>
          <cell r="G19" t="str">
            <v>'28082025</v>
          </cell>
          <cell r="H19" t="str">
            <v>28/08/2025</v>
          </cell>
        </row>
        <row r="20">
          <cell r="E20" t="str">
            <v>JBK3E1589690</v>
          </cell>
          <cell r="F20" t="str">
            <v>'30082025</v>
          </cell>
          <cell r="G20" t="str">
            <v>'29082025</v>
          </cell>
          <cell r="H20" t="str">
            <v>29/08/2025</v>
          </cell>
        </row>
        <row r="21">
          <cell r="E21" t="str">
            <v>JBK3E1589803</v>
          </cell>
          <cell r="F21" t="str">
            <v>'18082025</v>
          </cell>
          <cell r="G21" t="str">
            <v>'16082025</v>
          </cell>
          <cell r="H21" t="str">
            <v>16/08/2025</v>
          </cell>
        </row>
        <row r="22">
          <cell r="E22" t="str">
            <v>JBK3E1589938</v>
          </cell>
          <cell r="F22" t="str">
            <v>'29082025</v>
          </cell>
          <cell r="G22" t="str">
            <v>'28082025</v>
          </cell>
          <cell r="H22" t="str">
            <v>28/08/2025</v>
          </cell>
        </row>
        <row r="23">
          <cell r="E23" t="str">
            <v>JBK3E1592854</v>
          </cell>
          <cell r="F23" t="str">
            <v>'03092025</v>
          </cell>
          <cell r="G23" t="str">
            <v>'30082025</v>
          </cell>
          <cell r="H23" t="str">
            <v>30/08/2025</v>
          </cell>
        </row>
        <row r="24">
          <cell r="E24" t="str">
            <v>JBP1E2065130</v>
          </cell>
          <cell r="F24" t="str">
            <v>'14102024</v>
          </cell>
          <cell r="G24" t="str">
            <v>'13102024</v>
          </cell>
          <cell r="H24" t="str">
            <v>13/10/2024</v>
          </cell>
        </row>
        <row r="25">
          <cell r="E25" t="str">
            <v>JBP1E2088469</v>
          </cell>
          <cell r="F25" t="str">
            <v>'10022025</v>
          </cell>
          <cell r="G25" t="str">
            <v>'07022025</v>
          </cell>
          <cell r="H25" t="str">
            <v>07/02/2025</v>
          </cell>
        </row>
        <row r="26">
          <cell r="E26" t="str">
            <v>JBP1E2106961</v>
          </cell>
          <cell r="F26" t="str">
            <v>'10062025</v>
          </cell>
          <cell r="G26" t="str">
            <v>'04062025</v>
          </cell>
          <cell r="H26" t="str">
            <v>04/06/2025</v>
          </cell>
        </row>
        <row r="27">
          <cell r="E27" t="str">
            <v>JBP1E2107697</v>
          </cell>
          <cell r="F27" t="str">
            <v>'19062025</v>
          </cell>
          <cell r="G27" t="str">
            <v>'16062025</v>
          </cell>
          <cell r="H27" t="str">
            <v>16/06/2025</v>
          </cell>
        </row>
        <row r="28">
          <cell r="E28" t="str">
            <v>JBP1E2107737</v>
          </cell>
          <cell r="F28" t="str">
            <v>'18062025</v>
          </cell>
          <cell r="G28" t="str">
            <v>'14062025</v>
          </cell>
          <cell r="H28" t="str">
            <v>14/06/2025</v>
          </cell>
        </row>
        <row r="29">
          <cell r="E29" t="str">
            <v>JBP1E2108339</v>
          </cell>
          <cell r="F29" t="str">
            <v>'30062025</v>
          </cell>
          <cell r="G29" t="str">
            <v>'20062025</v>
          </cell>
          <cell r="H29" t="str">
            <v>20/06/2025</v>
          </cell>
        </row>
        <row r="30">
          <cell r="E30" t="str">
            <v>JBP1E2108450</v>
          </cell>
          <cell r="F30" t="str">
            <v>'30062025</v>
          </cell>
          <cell r="G30" t="str">
            <v>'21062025</v>
          </cell>
          <cell r="H30" t="str">
            <v>21/06/2025</v>
          </cell>
        </row>
        <row r="31">
          <cell r="E31" t="str">
            <v>JBP1E2108535</v>
          </cell>
          <cell r="F31" t="str">
            <v>'02072025</v>
          </cell>
          <cell r="G31" t="str">
            <v>'24062025</v>
          </cell>
          <cell r="H31" t="str">
            <v>24/06/2025</v>
          </cell>
        </row>
        <row r="32">
          <cell r="E32" t="str">
            <v>JBP1E2108823</v>
          </cell>
          <cell r="F32" t="str">
            <v>'02072025</v>
          </cell>
          <cell r="G32" t="str">
            <v>'24062025</v>
          </cell>
          <cell r="H32" t="str">
            <v>24/06/2025</v>
          </cell>
        </row>
        <row r="33">
          <cell r="E33" t="str">
            <v>JBP1E2110321</v>
          </cell>
          <cell r="F33" t="str">
            <v>'26062025</v>
          </cell>
          <cell r="G33" t="str">
            <v>'25062025</v>
          </cell>
          <cell r="H33" t="str">
            <v>25/06/2025</v>
          </cell>
        </row>
        <row r="34">
          <cell r="E34" t="str">
            <v>JBP1E2115147</v>
          </cell>
          <cell r="F34" t="str">
            <v>'02082025</v>
          </cell>
          <cell r="G34" t="str">
            <v>'01082025</v>
          </cell>
          <cell r="H34" t="str">
            <v>01/08/2025</v>
          </cell>
        </row>
        <row r="35">
          <cell r="E35" t="str">
            <v>JBP1E2115150</v>
          </cell>
          <cell r="F35" t="str">
            <v>'04082025</v>
          </cell>
          <cell r="G35" t="str">
            <v>'03082025</v>
          </cell>
          <cell r="H35" t="str">
            <v>03/08/2025</v>
          </cell>
        </row>
        <row r="36">
          <cell r="E36" t="str">
            <v>JBP1E2116288</v>
          </cell>
          <cell r="F36" t="str">
            <v>'07082025</v>
          </cell>
          <cell r="G36" t="str">
            <v>'07082025</v>
          </cell>
          <cell r="H36" t="str">
            <v>07/08/2025</v>
          </cell>
        </row>
        <row r="37">
          <cell r="E37" t="str">
            <v>JBP1E2116374</v>
          </cell>
          <cell r="F37" t="str">
            <v>'08082025</v>
          </cell>
          <cell r="G37" t="str">
            <v>'08082025</v>
          </cell>
          <cell r="H37" t="str">
            <v>08/08/2025</v>
          </cell>
        </row>
        <row r="38">
          <cell r="E38" t="str">
            <v>JBP1E2117531</v>
          </cell>
          <cell r="F38" t="str">
            <v>'21082025</v>
          </cell>
          <cell r="G38" t="str">
            <v>'20082025</v>
          </cell>
          <cell r="H38" t="str">
            <v>20/08/2025</v>
          </cell>
        </row>
        <row r="39">
          <cell r="E39" t="str">
            <v>JM03E1777688</v>
          </cell>
          <cell r="F39" t="str">
            <v>'02102024</v>
          </cell>
          <cell r="G39" t="str">
            <v>'01102024</v>
          </cell>
          <cell r="H39" t="str">
            <v>01/10/2024</v>
          </cell>
        </row>
        <row r="40">
          <cell r="E40" t="str">
            <v>JM03E1781989</v>
          </cell>
          <cell r="F40" t="str">
            <v>'04102024</v>
          </cell>
          <cell r="G40" t="str">
            <v>'03102024</v>
          </cell>
          <cell r="H40" t="str">
            <v>03/10/2024</v>
          </cell>
        </row>
        <row r="41">
          <cell r="E41" t="str">
            <v>JM03E1801464</v>
          </cell>
          <cell r="F41" t="str">
            <v>'22102024</v>
          </cell>
          <cell r="G41" t="str">
            <v>'21102024</v>
          </cell>
          <cell r="H41" t="str">
            <v>21/10/2024</v>
          </cell>
        </row>
        <row r="42">
          <cell r="E42" t="str">
            <v>JM03E1802574</v>
          </cell>
          <cell r="F42" t="str">
            <v>'28102024</v>
          </cell>
          <cell r="G42" t="str">
            <v>'27102024</v>
          </cell>
          <cell r="H42" t="str">
            <v>27/10/2024</v>
          </cell>
        </row>
        <row r="43">
          <cell r="E43" t="str">
            <v>JM04E2245669</v>
          </cell>
          <cell r="F43" t="str">
            <v>'31102024</v>
          </cell>
          <cell r="G43" t="str">
            <v>'30102024</v>
          </cell>
          <cell r="H43" t="str">
            <v>30/10/2024</v>
          </cell>
        </row>
        <row r="44">
          <cell r="E44" t="str">
            <v>JMA1E1178568</v>
          </cell>
          <cell r="F44" t="str">
            <v>'29082025</v>
          </cell>
          <cell r="G44" t="str">
            <v>'28082025</v>
          </cell>
          <cell r="H44" t="str">
            <v>28/08/2025</v>
          </cell>
        </row>
        <row r="45">
          <cell r="E45" t="str">
            <v>JMA1E1179577</v>
          </cell>
          <cell r="F45" t="str">
            <v>'21082025</v>
          </cell>
          <cell r="G45" t="str">
            <v>'20082025</v>
          </cell>
          <cell r="H45" t="str">
            <v>20/08/2025</v>
          </cell>
        </row>
        <row r="46">
          <cell r="E46" t="str">
            <v>JMA1E1190887</v>
          </cell>
          <cell r="F46" t="str">
            <v>'07082025</v>
          </cell>
          <cell r="G46" t="str">
            <v>'06082025</v>
          </cell>
          <cell r="H46" t="str">
            <v>06/08/2025</v>
          </cell>
        </row>
        <row r="47">
          <cell r="E47" t="str">
            <v>JMB1E1208451</v>
          </cell>
          <cell r="F47" t="str">
            <v>'14082025</v>
          </cell>
          <cell r="G47" t="str">
            <v>'13082025</v>
          </cell>
          <cell r="H47" t="str">
            <v>13/08/2025</v>
          </cell>
        </row>
        <row r="48">
          <cell r="E48" t="str">
            <v>JMB1E1214060</v>
          </cell>
          <cell r="F48" t="str">
            <v>'12082025</v>
          </cell>
          <cell r="G48" t="str">
            <v>'11082025</v>
          </cell>
          <cell r="H48" t="str">
            <v>11/08/2025</v>
          </cell>
        </row>
        <row r="49">
          <cell r="E49" t="str">
            <v>JMC1E1480922</v>
          </cell>
          <cell r="F49" t="str">
            <v>'14102024</v>
          </cell>
          <cell r="G49" t="str">
            <v>'13102024</v>
          </cell>
          <cell r="H49" t="str">
            <v>13/10/2024</v>
          </cell>
        </row>
        <row r="50">
          <cell r="E50" t="str">
            <v>JMC1E1487223</v>
          </cell>
          <cell r="F50" t="str">
            <v>'14102024</v>
          </cell>
          <cell r="G50" t="str">
            <v>'13102024</v>
          </cell>
          <cell r="H50" t="str">
            <v>13/10/2024</v>
          </cell>
        </row>
        <row r="51">
          <cell r="E51" t="str">
            <v>JMC1E1557632</v>
          </cell>
          <cell r="F51" t="str">
            <v>'08022025</v>
          </cell>
          <cell r="G51" t="str">
            <v>'06022025</v>
          </cell>
          <cell r="H51" t="str">
            <v>06/02/2025</v>
          </cell>
        </row>
        <row r="52">
          <cell r="E52" t="str">
            <v>JMC1E1558213</v>
          </cell>
          <cell r="F52" t="str">
            <v>'07022025</v>
          </cell>
          <cell r="G52" t="str">
            <v>'05022025</v>
          </cell>
          <cell r="H52" t="str">
            <v>05/02/2025</v>
          </cell>
        </row>
        <row r="53">
          <cell r="E53" t="str">
            <v>JMC1E1558331</v>
          </cell>
          <cell r="F53" t="str">
            <v>'05022025</v>
          </cell>
          <cell r="G53" t="str">
            <v>'04022025</v>
          </cell>
          <cell r="H53" t="str">
            <v>04/02/2025</v>
          </cell>
        </row>
        <row r="54">
          <cell r="E54" t="str">
            <v>JMC1E1559771</v>
          </cell>
          <cell r="F54" t="str">
            <v>'10022025</v>
          </cell>
          <cell r="G54" t="str">
            <v>'07022025</v>
          </cell>
          <cell r="H54" t="str">
            <v>07/02/2025</v>
          </cell>
        </row>
        <row r="55">
          <cell r="E55" t="str">
            <v>JMC1E1561230</v>
          </cell>
          <cell r="F55" t="str">
            <v>'11022025</v>
          </cell>
          <cell r="G55" t="str">
            <v>'09022025</v>
          </cell>
          <cell r="H55" t="str">
            <v>09/02/2025</v>
          </cell>
        </row>
        <row r="56">
          <cell r="E56" t="str">
            <v>JMC1E1562666</v>
          </cell>
          <cell r="F56" t="str">
            <v>'17022025</v>
          </cell>
          <cell r="G56" t="str">
            <v>'13022025</v>
          </cell>
          <cell r="H56" t="str">
            <v>13/02/2025</v>
          </cell>
        </row>
        <row r="57">
          <cell r="E57" t="str">
            <v>JMC1E1562719</v>
          </cell>
          <cell r="F57" t="str">
            <v>'15022025</v>
          </cell>
          <cell r="G57" t="str">
            <v>'11022025</v>
          </cell>
          <cell r="H57" t="str">
            <v>11/02/2025</v>
          </cell>
        </row>
        <row r="58">
          <cell r="E58" t="str">
            <v>JMC1E1563832</v>
          </cell>
          <cell r="F58" t="str">
            <v>'28022025</v>
          </cell>
          <cell r="G58" t="str">
            <v>'23022025</v>
          </cell>
          <cell r="H58" t="str">
            <v>23/02/2025</v>
          </cell>
        </row>
        <row r="59">
          <cell r="E59" t="str">
            <v>JMC1E1564076</v>
          </cell>
          <cell r="F59" t="str">
            <v>'17022025</v>
          </cell>
          <cell r="G59" t="str">
            <v>'13022025</v>
          </cell>
          <cell r="H59" t="str">
            <v>13/02/2025</v>
          </cell>
        </row>
        <row r="60">
          <cell r="E60" t="str">
            <v>JMC1E1564488</v>
          </cell>
          <cell r="F60" t="str">
            <v>'20022025</v>
          </cell>
          <cell r="G60" t="str">
            <v>'15022025</v>
          </cell>
          <cell r="H60" t="str">
            <v>15/02/2025</v>
          </cell>
        </row>
        <row r="61">
          <cell r="E61" t="str">
            <v>JMC1E1565812</v>
          </cell>
          <cell r="F61" t="str">
            <v>'20022025</v>
          </cell>
          <cell r="G61" t="str">
            <v>'15022025</v>
          </cell>
          <cell r="H61" t="str">
            <v>15/02/2025</v>
          </cell>
        </row>
        <row r="62">
          <cell r="E62" t="str">
            <v>JMC1E1567293</v>
          </cell>
          <cell r="F62" t="str">
            <v>'25022025</v>
          </cell>
          <cell r="G62" t="str">
            <v>'20022025</v>
          </cell>
          <cell r="H62" t="str">
            <v>20/02/2025</v>
          </cell>
        </row>
        <row r="63">
          <cell r="E63" t="str">
            <v>JMC1E1568162</v>
          </cell>
          <cell r="F63" t="str">
            <v>'22022025</v>
          </cell>
          <cell r="G63" t="str">
            <v>'18022025</v>
          </cell>
          <cell r="H63" t="str">
            <v>18/02/2025</v>
          </cell>
        </row>
        <row r="64">
          <cell r="E64" t="str">
            <v>JMC1E1570033</v>
          </cell>
          <cell r="F64" t="str">
            <v>'24022025</v>
          </cell>
          <cell r="G64" t="str">
            <v>'22022025</v>
          </cell>
          <cell r="H64" t="str">
            <v>22/02/2025</v>
          </cell>
        </row>
        <row r="65">
          <cell r="E65" t="str">
            <v>JMC1E1571018</v>
          </cell>
          <cell r="F65" t="str">
            <v>'27022025</v>
          </cell>
          <cell r="G65" t="str">
            <v>'21022025</v>
          </cell>
          <cell r="H65" t="str">
            <v>21/02/2025</v>
          </cell>
        </row>
        <row r="66">
          <cell r="E66" t="str">
            <v>JMC1E1572020</v>
          </cell>
          <cell r="F66" t="str">
            <v>'27022025</v>
          </cell>
          <cell r="G66" t="str">
            <v>'21022025</v>
          </cell>
          <cell r="H66" t="str">
            <v>21/02/2025</v>
          </cell>
        </row>
        <row r="67">
          <cell r="E67" t="str">
            <v>JMC1E1572279</v>
          </cell>
          <cell r="F67" t="str">
            <v>'28022025</v>
          </cell>
          <cell r="G67" t="str">
            <v>'22022025</v>
          </cell>
          <cell r="H67" t="str">
            <v>22/02/2025</v>
          </cell>
        </row>
        <row r="68">
          <cell r="E68" t="str">
            <v>JMC1E1572308</v>
          </cell>
          <cell r="F68" t="str">
            <v>'03032025</v>
          </cell>
          <cell r="G68" t="str">
            <v>'25022025</v>
          </cell>
          <cell r="H68" t="str">
            <v>25/02/2025</v>
          </cell>
        </row>
        <row r="69">
          <cell r="E69" t="str">
            <v>JMC1E1572410</v>
          </cell>
          <cell r="F69" t="str">
            <v>'05032025</v>
          </cell>
          <cell r="G69" t="str">
            <v>'28022025</v>
          </cell>
          <cell r="H69" t="str">
            <v>28/02/2025</v>
          </cell>
        </row>
        <row r="70">
          <cell r="E70" t="str">
            <v>JMC1E1575614</v>
          </cell>
          <cell r="F70" t="str">
            <v>'01032025</v>
          </cell>
          <cell r="G70" t="str">
            <v>'28022025</v>
          </cell>
          <cell r="H70" t="str">
            <v>28/02/2025</v>
          </cell>
        </row>
        <row r="71">
          <cell r="E71" t="str">
            <v>JMC1E1594996</v>
          </cell>
          <cell r="F71" t="str">
            <v>'21042025</v>
          </cell>
          <cell r="G71" t="str">
            <v>'28032025</v>
          </cell>
          <cell r="H71" t="str">
            <v>28/03/2025</v>
          </cell>
        </row>
        <row r="72">
          <cell r="E72" t="str">
            <v>JMC1E1630314</v>
          </cell>
          <cell r="F72" t="str">
            <v>'24062025</v>
          </cell>
          <cell r="G72" t="str">
            <v>'18062025</v>
          </cell>
          <cell r="H72" t="str">
            <v>18/06/2025</v>
          </cell>
        </row>
        <row r="73">
          <cell r="E73" t="str">
            <v>JMC1E1637038</v>
          </cell>
          <cell r="F73" t="str">
            <v>'11062025</v>
          </cell>
          <cell r="G73" t="str">
            <v>'05062025</v>
          </cell>
          <cell r="H73" t="str">
            <v>05/06/2025</v>
          </cell>
        </row>
        <row r="74">
          <cell r="E74" t="str">
            <v>JMC1E1637047</v>
          </cell>
          <cell r="F74" t="str">
            <v>'10062025</v>
          </cell>
          <cell r="G74" t="str">
            <v>'04062025</v>
          </cell>
          <cell r="H74" t="str">
            <v>04/06/2025</v>
          </cell>
        </row>
        <row r="75">
          <cell r="E75" t="str">
            <v>JMC1E1639703</v>
          </cell>
          <cell r="F75" t="str">
            <v>'11062025</v>
          </cell>
          <cell r="G75" t="str">
            <v>'06062025</v>
          </cell>
          <cell r="H75" t="str">
            <v>06/06/2025</v>
          </cell>
        </row>
        <row r="76">
          <cell r="E76" t="str">
            <v>JMC1E1639731</v>
          </cell>
          <cell r="F76" t="str">
            <v>'12062025</v>
          </cell>
          <cell r="G76" t="str">
            <v>'07062025</v>
          </cell>
          <cell r="H76" t="str">
            <v>07/06/2025</v>
          </cell>
        </row>
        <row r="77">
          <cell r="E77" t="str">
            <v>JMC1E1646691</v>
          </cell>
          <cell r="F77" t="str">
            <v>'18062025</v>
          </cell>
          <cell r="G77" t="str">
            <v>'13062025</v>
          </cell>
          <cell r="H77" t="str">
            <v>13/06/2025</v>
          </cell>
        </row>
        <row r="78">
          <cell r="E78" t="str">
            <v>JMC1E1646876</v>
          </cell>
          <cell r="F78" t="str">
            <v>'17062025</v>
          </cell>
          <cell r="G78" t="str">
            <v>'12062025</v>
          </cell>
          <cell r="H78" t="str">
            <v>12/06/2025</v>
          </cell>
        </row>
        <row r="79">
          <cell r="E79" t="str">
            <v>JMC1E1648529</v>
          </cell>
          <cell r="F79" t="str">
            <v>'23062025</v>
          </cell>
          <cell r="G79" t="str">
            <v>'17062025</v>
          </cell>
          <cell r="H79" t="str">
            <v>17/06/2025</v>
          </cell>
        </row>
        <row r="80">
          <cell r="E80" t="str">
            <v>JMC1E1649181</v>
          </cell>
          <cell r="F80" t="str">
            <v>'18062025</v>
          </cell>
          <cell r="G80" t="str">
            <v>'13062025</v>
          </cell>
          <cell r="H80" t="str">
            <v>13/06/2025</v>
          </cell>
        </row>
        <row r="81">
          <cell r="E81" t="str">
            <v>JMC1E1649515</v>
          </cell>
          <cell r="F81" t="str">
            <v>'24062025</v>
          </cell>
          <cell r="G81" t="str">
            <v>'18062025</v>
          </cell>
          <cell r="H81" t="str">
            <v>18/06/2025</v>
          </cell>
        </row>
        <row r="82">
          <cell r="E82" t="str">
            <v>JMC1E1653174</v>
          </cell>
          <cell r="F82" t="str">
            <v>'20062025</v>
          </cell>
          <cell r="G82" t="str">
            <v>'19062025</v>
          </cell>
          <cell r="H82" t="str">
            <v>19/06/2025</v>
          </cell>
        </row>
        <row r="83">
          <cell r="E83" t="str">
            <v>JMC1E1654816</v>
          </cell>
          <cell r="F83" t="str">
            <v>'03072025</v>
          </cell>
          <cell r="G83" t="str">
            <v>'25062025</v>
          </cell>
          <cell r="H83" t="str">
            <v>25/06/2025</v>
          </cell>
        </row>
        <row r="84">
          <cell r="E84" t="str">
            <v>JMC1E1682934</v>
          </cell>
          <cell r="F84" t="str">
            <v>'08082025</v>
          </cell>
          <cell r="G84" t="str">
            <v>'08082025</v>
          </cell>
          <cell r="H84" t="str">
            <v>08/08/2025</v>
          </cell>
        </row>
        <row r="85">
          <cell r="E85" t="str">
            <v>JMC1E1684043</v>
          </cell>
          <cell r="F85" t="str">
            <v>'04082025</v>
          </cell>
          <cell r="G85" t="str">
            <v>'03082025</v>
          </cell>
          <cell r="H85" t="str">
            <v>03/08/2025</v>
          </cell>
        </row>
        <row r="86">
          <cell r="E86" t="str">
            <v>JMC1E1684847</v>
          </cell>
          <cell r="F86" t="str">
            <v>'08082025</v>
          </cell>
          <cell r="G86" t="str">
            <v>'08082025</v>
          </cell>
          <cell r="H86" t="str">
            <v>08/08/2025</v>
          </cell>
        </row>
        <row r="87">
          <cell r="E87" t="str">
            <v>JMC1E1685719</v>
          </cell>
          <cell r="F87" t="str">
            <v>'08082025</v>
          </cell>
          <cell r="G87" t="str">
            <v>'08082025</v>
          </cell>
          <cell r="H87" t="str">
            <v>08/08/2025</v>
          </cell>
        </row>
        <row r="88">
          <cell r="E88" t="str">
            <v>JMC1E1686059</v>
          </cell>
          <cell r="F88" t="str">
            <v>'07082025</v>
          </cell>
          <cell r="G88" t="str">
            <v>'07082025</v>
          </cell>
          <cell r="H88" t="str">
            <v>07/08/2025</v>
          </cell>
        </row>
        <row r="89">
          <cell r="E89" t="str">
            <v>JMC1E1686061</v>
          </cell>
          <cell r="F89" t="str">
            <v>'09082025</v>
          </cell>
          <cell r="G89" t="str">
            <v>'08082025</v>
          </cell>
          <cell r="H89" t="str">
            <v>08/08/2025</v>
          </cell>
        </row>
        <row r="90">
          <cell r="E90" t="str">
            <v>JMC1E1686576</v>
          </cell>
          <cell r="F90" t="str">
            <v>'13082025</v>
          </cell>
          <cell r="G90" t="str">
            <v>'12082025</v>
          </cell>
          <cell r="H90" t="str">
            <v>12/08/2025</v>
          </cell>
        </row>
        <row r="91">
          <cell r="E91" t="str">
            <v>JMC1E1686850</v>
          </cell>
          <cell r="F91" t="str">
            <v>'11082025</v>
          </cell>
          <cell r="G91" t="str">
            <v>'10082025</v>
          </cell>
          <cell r="H91" t="str">
            <v>10/08/2025</v>
          </cell>
        </row>
        <row r="92">
          <cell r="E92" t="str">
            <v>JMC1E1687346</v>
          </cell>
          <cell r="F92" t="str">
            <v>'18082025</v>
          </cell>
          <cell r="G92" t="str">
            <v>'15082025</v>
          </cell>
          <cell r="H92" t="str">
            <v>15/08/2025</v>
          </cell>
        </row>
        <row r="93">
          <cell r="E93" t="str">
            <v>JMC1E1687407</v>
          </cell>
          <cell r="F93" t="str">
            <v>'12082025</v>
          </cell>
          <cell r="G93" t="str">
            <v>'11082025</v>
          </cell>
          <cell r="H93" t="str">
            <v>11/08/2025</v>
          </cell>
        </row>
        <row r="94">
          <cell r="E94" t="str">
            <v>JMC1E1687712</v>
          </cell>
          <cell r="F94" t="str">
            <v>'12082025</v>
          </cell>
          <cell r="G94" t="str">
            <v>'11082025</v>
          </cell>
          <cell r="H94" t="str">
            <v>11/08/2025</v>
          </cell>
        </row>
        <row r="95">
          <cell r="E95" t="str">
            <v>JMC1E1687960</v>
          </cell>
          <cell r="F95" t="str">
            <v>'13082025</v>
          </cell>
          <cell r="G95" t="str">
            <v>'12082025</v>
          </cell>
          <cell r="H95" t="str">
            <v>12/08/2025</v>
          </cell>
        </row>
        <row r="96">
          <cell r="E96" t="str">
            <v>JMC1E1691161</v>
          </cell>
          <cell r="F96" t="str">
            <v>'18082025</v>
          </cell>
          <cell r="G96" t="str">
            <v>'18082025</v>
          </cell>
          <cell r="H96" t="str">
            <v>18/08/2025</v>
          </cell>
        </row>
        <row r="97">
          <cell r="E97" t="str">
            <v>JMC1E1692010</v>
          </cell>
          <cell r="F97" t="str">
            <v>'14082025</v>
          </cell>
          <cell r="G97" t="str">
            <v>'13082025</v>
          </cell>
          <cell r="H97" t="str">
            <v>13/08/2025</v>
          </cell>
        </row>
        <row r="98">
          <cell r="E98" t="str">
            <v>JMC1E1692437</v>
          </cell>
          <cell r="F98" t="str">
            <v>'15082025</v>
          </cell>
          <cell r="G98" t="str">
            <v>'14082025</v>
          </cell>
          <cell r="H98" t="str">
            <v>14/08/2025</v>
          </cell>
        </row>
        <row r="99">
          <cell r="E99" t="str">
            <v>JMC1E1692447</v>
          </cell>
          <cell r="F99" t="str">
            <v>'15082025</v>
          </cell>
          <cell r="G99" t="str">
            <v>'14082025</v>
          </cell>
          <cell r="H99" t="str">
            <v>14/08/2025</v>
          </cell>
        </row>
        <row r="100">
          <cell r="E100" t="str">
            <v>JMC1E1692590</v>
          </cell>
          <cell r="F100" t="str">
            <v>'15082025</v>
          </cell>
          <cell r="G100" t="str">
            <v>'14082025</v>
          </cell>
          <cell r="H100" t="str">
            <v>14/08/2025</v>
          </cell>
        </row>
        <row r="101">
          <cell r="E101" t="str">
            <v>JMC1E1694265</v>
          </cell>
          <cell r="F101" t="str">
            <v>'19082025</v>
          </cell>
          <cell r="G101" t="str">
            <v>'18082025</v>
          </cell>
          <cell r="H101" t="str">
            <v>18/08/2025</v>
          </cell>
        </row>
        <row r="102">
          <cell r="E102" t="str">
            <v>JMC1E1694290</v>
          </cell>
          <cell r="F102" t="str">
            <v>'19082025</v>
          </cell>
          <cell r="G102" t="str">
            <v>'18082025</v>
          </cell>
          <cell r="H102" t="str">
            <v>18/08/2025</v>
          </cell>
        </row>
        <row r="103">
          <cell r="E103" t="str">
            <v>JMC1E1695752</v>
          </cell>
          <cell r="F103" t="str">
            <v>'20082025</v>
          </cell>
          <cell r="G103" t="str">
            <v>'19082025</v>
          </cell>
          <cell r="H103" t="str">
            <v>19/08/2025</v>
          </cell>
        </row>
        <row r="104">
          <cell r="E104" t="str">
            <v>JMC1E1695854</v>
          </cell>
          <cell r="F104" t="str">
            <v>'18082025</v>
          </cell>
          <cell r="G104" t="str">
            <v>'16082025</v>
          </cell>
          <cell r="H104" t="str">
            <v>16/08/2025</v>
          </cell>
        </row>
        <row r="105">
          <cell r="E105" t="str">
            <v>JMC1E1696844</v>
          </cell>
          <cell r="F105" t="str">
            <v>'25082025</v>
          </cell>
          <cell r="G105" t="str">
            <v>'24082025</v>
          </cell>
          <cell r="H105" t="str">
            <v>24/08/2025</v>
          </cell>
        </row>
        <row r="106">
          <cell r="E106" t="str">
            <v>JMC1E1698804</v>
          </cell>
          <cell r="F106" t="str">
            <v>'22082025</v>
          </cell>
          <cell r="G106" t="str">
            <v>'21082025</v>
          </cell>
          <cell r="H106" t="str">
            <v>21/08/2025</v>
          </cell>
        </row>
        <row r="107">
          <cell r="E107" t="str">
            <v>JMC1E1699590</v>
          </cell>
          <cell r="F107" t="str">
            <v>'28082025</v>
          </cell>
          <cell r="G107" t="str">
            <v>'28082025</v>
          </cell>
          <cell r="H107" t="str">
            <v>28/08/2025</v>
          </cell>
        </row>
        <row r="108">
          <cell r="E108" t="str">
            <v>JMC1E1699883</v>
          </cell>
          <cell r="F108" t="str">
            <v>'27082025</v>
          </cell>
          <cell r="G108" t="str">
            <v>'26082025</v>
          </cell>
          <cell r="H108" t="str">
            <v>26/08/2025</v>
          </cell>
        </row>
        <row r="109">
          <cell r="E109" t="str">
            <v>JMC1E1700528</v>
          </cell>
          <cell r="F109" t="str">
            <v>'27082025</v>
          </cell>
          <cell r="G109" t="str">
            <v>'25082025</v>
          </cell>
          <cell r="H109" t="str">
            <v>25/08/2025</v>
          </cell>
        </row>
        <row r="110">
          <cell r="E110" t="str">
            <v>JMC1E1701013</v>
          </cell>
          <cell r="F110" t="str">
            <v>'30082025</v>
          </cell>
          <cell r="G110" t="str">
            <v>'29082025</v>
          </cell>
          <cell r="H110" t="str">
            <v>29/08/2025</v>
          </cell>
        </row>
        <row r="111">
          <cell r="E111" t="str">
            <v>JMC1E1702431</v>
          </cell>
          <cell r="F111" t="str">
            <v>'30082025</v>
          </cell>
          <cell r="G111" t="str">
            <v>'29082025</v>
          </cell>
          <cell r="H111" t="str">
            <v>29/08/2025</v>
          </cell>
        </row>
        <row r="112">
          <cell r="E112" t="str">
            <v>JMC1E1702435</v>
          </cell>
          <cell r="F112" t="str">
            <v>'28082025</v>
          </cell>
          <cell r="G112" t="str">
            <v>'28082025</v>
          </cell>
          <cell r="H112" t="str">
            <v>28/08/2025</v>
          </cell>
        </row>
        <row r="113">
          <cell r="E113" t="str">
            <v>JMC1E1703131</v>
          </cell>
          <cell r="F113" t="str">
            <v>'03092025</v>
          </cell>
          <cell r="G113" t="str">
            <v>'30082025</v>
          </cell>
          <cell r="H113" t="str">
            <v>30/08/2025</v>
          </cell>
        </row>
        <row r="114">
          <cell r="E114" t="str">
            <v>JMD1E1709213</v>
          </cell>
          <cell r="F114" t="str">
            <v>'14102024</v>
          </cell>
          <cell r="G114" t="str">
            <v>'12102024</v>
          </cell>
          <cell r="H114" t="str">
            <v>12/10/2024</v>
          </cell>
        </row>
        <row r="115">
          <cell r="E115" t="str">
            <v>JMD1E1721844</v>
          </cell>
          <cell r="F115" t="str">
            <v>'18102024</v>
          </cell>
          <cell r="G115" t="str">
            <v>'17102024</v>
          </cell>
          <cell r="H115" t="str">
            <v>17/10/2024</v>
          </cell>
        </row>
        <row r="116">
          <cell r="E116" t="str">
            <v>JMD1E1724654</v>
          </cell>
          <cell r="F116" t="str">
            <v>'22102024</v>
          </cell>
          <cell r="G116" t="str">
            <v>'22102024</v>
          </cell>
          <cell r="H116" t="str">
            <v>22/10/2024</v>
          </cell>
        </row>
        <row r="117">
          <cell r="E117" t="str">
            <v>JMD1E1816170</v>
          </cell>
          <cell r="F117" t="str">
            <v>'11022025</v>
          </cell>
          <cell r="G117" t="str">
            <v>'09022025</v>
          </cell>
          <cell r="H117" t="str">
            <v>09/02/2025</v>
          </cell>
        </row>
        <row r="118">
          <cell r="E118" t="str">
            <v>JMD1E1816584</v>
          </cell>
          <cell r="F118" t="str">
            <v>'08022025</v>
          </cell>
          <cell r="G118" t="str">
            <v>'06022025</v>
          </cell>
          <cell r="H118" t="str">
            <v>06/02/2025</v>
          </cell>
        </row>
        <row r="119">
          <cell r="E119" t="str">
            <v>JMD1E1822731</v>
          </cell>
          <cell r="F119" t="str">
            <v>'10022025</v>
          </cell>
          <cell r="G119" t="str">
            <v>'07022025</v>
          </cell>
          <cell r="H119" t="str">
            <v>07/02/2025</v>
          </cell>
        </row>
        <row r="120">
          <cell r="E120" t="str">
            <v>JMD1E1823091</v>
          </cell>
          <cell r="F120" t="str">
            <v>'11022025</v>
          </cell>
          <cell r="G120" t="str">
            <v>'08022025</v>
          </cell>
          <cell r="H120" t="str">
            <v>08/02/2025</v>
          </cell>
        </row>
        <row r="121">
          <cell r="E121" t="str">
            <v>JMD1E1828073</v>
          </cell>
          <cell r="F121" t="str">
            <v>'15022025</v>
          </cell>
          <cell r="G121" t="str">
            <v>'11022025</v>
          </cell>
          <cell r="H121" t="str">
            <v>11/02/2025</v>
          </cell>
        </row>
        <row r="122">
          <cell r="E122" t="str">
            <v>JMD1E1829589</v>
          </cell>
          <cell r="F122" t="str">
            <v>'20022025</v>
          </cell>
          <cell r="G122" t="str">
            <v>'15022025</v>
          </cell>
          <cell r="H122" t="str">
            <v>15/02/2025</v>
          </cell>
        </row>
        <row r="123">
          <cell r="E123" t="str">
            <v>JMD1E1833026</v>
          </cell>
          <cell r="F123" t="str">
            <v>'20022025</v>
          </cell>
          <cell r="G123" t="str">
            <v>'17022025</v>
          </cell>
          <cell r="H123" t="str">
            <v>17/02/2025</v>
          </cell>
        </row>
        <row r="124">
          <cell r="E124" t="str">
            <v>JMD1E1835504</v>
          </cell>
          <cell r="F124" t="str">
            <v>'20022025</v>
          </cell>
          <cell r="G124" t="str">
            <v>'17022025</v>
          </cell>
          <cell r="H124" t="str">
            <v>17/02/2025</v>
          </cell>
        </row>
        <row r="125">
          <cell r="E125" t="str">
            <v>JMD1E1841023</v>
          </cell>
          <cell r="F125" t="str">
            <v>'04032025</v>
          </cell>
          <cell r="G125" t="str">
            <v>'26022025</v>
          </cell>
          <cell r="H125" t="str">
            <v>26/02/2025</v>
          </cell>
        </row>
        <row r="126">
          <cell r="E126" t="str">
            <v>JMD1E1841858</v>
          </cell>
          <cell r="F126" t="str">
            <v>'01032025</v>
          </cell>
          <cell r="G126" t="str">
            <v>'24022025</v>
          </cell>
          <cell r="H126" t="str">
            <v>24/02/2025</v>
          </cell>
        </row>
        <row r="127">
          <cell r="E127" t="str">
            <v>JMD1E1841920</v>
          </cell>
          <cell r="F127" t="str">
            <v>'28022025</v>
          </cell>
          <cell r="G127" t="str">
            <v>'22022025</v>
          </cell>
          <cell r="H127" t="str">
            <v>22/02/2025</v>
          </cell>
        </row>
        <row r="128">
          <cell r="E128" t="str">
            <v>JMD1E1843398</v>
          </cell>
          <cell r="F128" t="str">
            <v>'05032025</v>
          </cell>
          <cell r="G128" t="str">
            <v>'27022025</v>
          </cell>
          <cell r="H128" t="str">
            <v>27/02/2025</v>
          </cell>
        </row>
        <row r="129">
          <cell r="E129" t="str">
            <v>JMD1E1927835</v>
          </cell>
          <cell r="F129" t="str">
            <v>'13062025</v>
          </cell>
          <cell r="G129" t="str">
            <v>'09062025</v>
          </cell>
          <cell r="H129" t="str">
            <v>09/06/2025</v>
          </cell>
        </row>
        <row r="130">
          <cell r="E130" t="str">
            <v>JMD1E1938792</v>
          </cell>
          <cell r="F130" t="str">
            <v>'11062025</v>
          </cell>
          <cell r="G130" t="str">
            <v>'05062025</v>
          </cell>
          <cell r="H130" t="str">
            <v>05/06/2025</v>
          </cell>
        </row>
        <row r="131">
          <cell r="E131" t="str">
            <v>JMD1E1942875</v>
          </cell>
          <cell r="F131" t="str">
            <v>'11062025</v>
          </cell>
          <cell r="G131" t="str">
            <v>'05062025</v>
          </cell>
          <cell r="H131" t="str">
            <v>05/06/2025</v>
          </cell>
        </row>
        <row r="132">
          <cell r="E132" t="str">
            <v>JMD1E1943571</v>
          </cell>
          <cell r="F132" t="str">
            <v>'11062025</v>
          </cell>
          <cell r="G132" t="str">
            <v>'06062025</v>
          </cell>
          <cell r="H132" t="str">
            <v>06/06/2025</v>
          </cell>
        </row>
        <row r="133">
          <cell r="E133" t="str">
            <v>JMD1E1952840</v>
          </cell>
          <cell r="F133" t="str">
            <v>'19062025</v>
          </cell>
          <cell r="G133" t="str">
            <v>'16062025</v>
          </cell>
          <cell r="H133" t="str">
            <v>16/06/2025</v>
          </cell>
        </row>
        <row r="134">
          <cell r="E134" t="str">
            <v>JMD1E1954127</v>
          </cell>
          <cell r="F134" t="str">
            <v>'30062025</v>
          </cell>
          <cell r="G134" t="str">
            <v>'20062025</v>
          </cell>
          <cell r="H134" t="str">
            <v>20/06/2025</v>
          </cell>
        </row>
        <row r="135">
          <cell r="E135" t="str">
            <v>JMD1E1955621</v>
          </cell>
          <cell r="F135" t="str">
            <v>'18062025</v>
          </cell>
          <cell r="G135" t="str">
            <v>'13062025</v>
          </cell>
          <cell r="H135" t="str">
            <v>13/06/2025</v>
          </cell>
        </row>
        <row r="136">
          <cell r="E136" t="str">
            <v>JMD1E1957006</v>
          </cell>
          <cell r="F136" t="str">
            <v>'23062025</v>
          </cell>
          <cell r="G136" t="str">
            <v>'17062025</v>
          </cell>
          <cell r="H136" t="str">
            <v>17/06/2025</v>
          </cell>
        </row>
        <row r="137">
          <cell r="E137" t="str">
            <v>JMD1E1958797</v>
          </cell>
          <cell r="F137" t="str">
            <v>'24062025</v>
          </cell>
          <cell r="G137" t="str">
            <v>'18062025</v>
          </cell>
          <cell r="H137" t="str">
            <v>18/06/2025</v>
          </cell>
        </row>
        <row r="138">
          <cell r="E138" t="str">
            <v>JMD1E1961872</v>
          </cell>
          <cell r="F138" t="str">
            <v>'30062025</v>
          </cell>
          <cell r="G138" t="str">
            <v>'21062025</v>
          </cell>
          <cell r="H138" t="str">
            <v>21/06/2025</v>
          </cell>
        </row>
        <row r="139">
          <cell r="E139" t="str">
            <v>JMD1E1961875</v>
          </cell>
          <cell r="F139" t="str">
            <v>'30062025</v>
          </cell>
          <cell r="G139" t="str">
            <v>'20062025</v>
          </cell>
          <cell r="H139" t="str">
            <v>20/06/2025</v>
          </cell>
        </row>
        <row r="140">
          <cell r="E140" t="str">
            <v>JMD1E1963111</v>
          </cell>
          <cell r="F140" t="str">
            <v>'02072025</v>
          </cell>
          <cell r="G140" t="str">
            <v>'24062025</v>
          </cell>
          <cell r="H140" t="str">
            <v>24/06/2025</v>
          </cell>
        </row>
        <row r="141">
          <cell r="E141" t="str">
            <v>JMD1E1963934</v>
          </cell>
          <cell r="F141" t="str">
            <v>'03072025</v>
          </cell>
          <cell r="G141" t="str">
            <v>'25062025</v>
          </cell>
          <cell r="H141" t="str">
            <v>25/06/2025</v>
          </cell>
        </row>
        <row r="142">
          <cell r="E142" t="str">
            <v>JMD1E1967874</v>
          </cell>
          <cell r="F142" t="str">
            <v>'02072025</v>
          </cell>
          <cell r="G142" t="str">
            <v>'24062025</v>
          </cell>
          <cell r="H142" t="str">
            <v>24/06/2025</v>
          </cell>
        </row>
        <row r="143">
          <cell r="E143" t="str">
            <v>JMD1E1976881</v>
          </cell>
          <cell r="F143" t="str">
            <v>'04082025</v>
          </cell>
          <cell r="G143" t="str">
            <v>'03082025</v>
          </cell>
          <cell r="H143" t="str">
            <v>03/08/2025</v>
          </cell>
        </row>
        <row r="144">
          <cell r="E144" t="str">
            <v>JMD1E2007293</v>
          </cell>
          <cell r="F144" t="str">
            <v>'13082025</v>
          </cell>
          <cell r="G144" t="str">
            <v>'13082025</v>
          </cell>
          <cell r="H144" t="str">
            <v>13/08/2025</v>
          </cell>
        </row>
        <row r="145">
          <cell r="E145" t="str">
            <v>JMD1E2008393</v>
          </cell>
          <cell r="F145" t="str">
            <v>'09082025</v>
          </cell>
          <cell r="G145" t="str">
            <v>'08082025</v>
          </cell>
          <cell r="H145" t="str">
            <v>08/08/2025</v>
          </cell>
        </row>
        <row r="146">
          <cell r="E146" t="str">
            <v>JMD1E2008456</v>
          </cell>
          <cell r="F146" t="str">
            <v>'08082025</v>
          </cell>
          <cell r="G146" t="str">
            <v>'08082025</v>
          </cell>
          <cell r="H146" t="str">
            <v>08/08/2025</v>
          </cell>
        </row>
        <row r="147">
          <cell r="E147" t="str">
            <v>JMD1E2013015</v>
          </cell>
          <cell r="F147" t="str">
            <v>'18082025</v>
          </cell>
          <cell r="G147" t="str">
            <v>'15082025</v>
          </cell>
          <cell r="H147" t="str">
            <v>15/08/2025</v>
          </cell>
        </row>
        <row r="148">
          <cell r="E148" t="str">
            <v>JMD1E2014157</v>
          </cell>
          <cell r="F148" t="str">
            <v>'21082025</v>
          </cell>
          <cell r="G148" t="str">
            <v>'20082025</v>
          </cell>
          <cell r="H148" t="str">
            <v>20/08/2025</v>
          </cell>
        </row>
        <row r="149">
          <cell r="E149" t="str">
            <v>JMD1E2014342</v>
          </cell>
          <cell r="F149" t="str">
            <v>'18082025</v>
          </cell>
          <cell r="G149" t="str">
            <v>'15082025</v>
          </cell>
          <cell r="H149" t="str">
            <v>15/08/2025</v>
          </cell>
        </row>
        <row r="150">
          <cell r="E150" t="str">
            <v>JMD1E2014908</v>
          </cell>
          <cell r="F150" t="str">
            <v>'12082025</v>
          </cell>
          <cell r="G150" t="str">
            <v>'11082025</v>
          </cell>
          <cell r="H150" t="str">
            <v>11/08/2025</v>
          </cell>
        </row>
        <row r="151">
          <cell r="E151" t="str">
            <v>JMD1E2016185</v>
          </cell>
          <cell r="F151" t="str">
            <v>'18082025</v>
          </cell>
          <cell r="G151" t="str">
            <v>'18082025</v>
          </cell>
          <cell r="H151" t="str">
            <v>18/08/2025</v>
          </cell>
        </row>
        <row r="152">
          <cell r="E152" t="str">
            <v>JMD1E2016232</v>
          </cell>
          <cell r="F152" t="str">
            <v>'25082025</v>
          </cell>
          <cell r="G152" t="str">
            <v>'21082025</v>
          </cell>
          <cell r="H152" t="str">
            <v>21/08/2025</v>
          </cell>
        </row>
        <row r="153">
          <cell r="E153" t="str">
            <v>JMD1E2016237</v>
          </cell>
          <cell r="F153" t="str">
            <v>'11082025</v>
          </cell>
          <cell r="G153" t="str">
            <v>'10082025</v>
          </cell>
          <cell r="H153" t="str">
            <v>10/08/2025</v>
          </cell>
        </row>
        <row r="154">
          <cell r="E154" t="str">
            <v>JMD1E2019437</v>
          </cell>
          <cell r="F154" t="str">
            <v>'18082025</v>
          </cell>
          <cell r="G154" t="str">
            <v>'16082025</v>
          </cell>
          <cell r="H154" t="str">
            <v>16/08/2025</v>
          </cell>
        </row>
        <row r="155">
          <cell r="E155" t="str">
            <v>JMD1E2019492</v>
          </cell>
          <cell r="F155" t="str">
            <v>'14082025</v>
          </cell>
          <cell r="G155" t="str">
            <v>'13082025</v>
          </cell>
          <cell r="H155" t="str">
            <v>13/08/2025</v>
          </cell>
        </row>
        <row r="156">
          <cell r="E156" t="str">
            <v>JMD1E2019559</v>
          </cell>
          <cell r="F156" t="str">
            <v>'25082025</v>
          </cell>
          <cell r="G156" t="str">
            <v>'21082025</v>
          </cell>
          <cell r="H156" t="str">
            <v>21/08/2025</v>
          </cell>
        </row>
        <row r="157">
          <cell r="E157" t="str">
            <v>JMD1E2019608</v>
          </cell>
          <cell r="F157" t="str">
            <v>'21082025</v>
          </cell>
          <cell r="G157" t="str">
            <v>'20082025</v>
          </cell>
          <cell r="H157" t="str">
            <v>20/08/2025</v>
          </cell>
        </row>
        <row r="158">
          <cell r="E158" t="str">
            <v>JMD1E2019639</v>
          </cell>
          <cell r="F158" t="str">
            <v>'19082025</v>
          </cell>
          <cell r="G158" t="str">
            <v>'18082025</v>
          </cell>
          <cell r="H158" t="str">
            <v>18/08/2025</v>
          </cell>
        </row>
        <row r="159">
          <cell r="E159" t="str">
            <v>JMD1E2023844</v>
          </cell>
          <cell r="F159" t="str">
            <v>'25082025</v>
          </cell>
          <cell r="G159" t="str">
            <v>'23082025</v>
          </cell>
          <cell r="H159" t="str">
            <v>23/08/2025</v>
          </cell>
        </row>
        <row r="160">
          <cell r="E160" t="str">
            <v>JMD1E2025309</v>
          </cell>
          <cell r="F160" t="str">
            <v>'21082025</v>
          </cell>
          <cell r="G160" t="str">
            <v>'20082025</v>
          </cell>
          <cell r="H160" t="str">
            <v>20/08/2025</v>
          </cell>
        </row>
        <row r="161">
          <cell r="E161" t="str">
            <v>JMD1E2026633</v>
          </cell>
          <cell r="F161" t="str">
            <v>'18082025</v>
          </cell>
          <cell r="G161" t="str">
            <v>'16082025</v>
          </cell>
          <cell r="H161" t="str">
            <v>16/08/2025</v>
          </cell>
        </row>
        <row r="162">
          <cell r="E162" t="str">
            <v>JMD1E2026852</v>
          </cell>
          <cell r="F162" t="str">
            <v>'19082025</v>
          </cell>
          <cell r="G162" t="str">
            <v>'18082025</v>
          </cell>
          <cell r="H162" t="str">
            <v>18/08/2025</v>
          </cell>
        </row>
        <row r="163">
          <cell r="E163" t="str">
            <v>JMD1E2036487</v>
          </cell>
          <cell r="F163" t="str">
            <v>'25082025</v>
          </cell>
          <cell r="G163" t="str">
            <v>'23082025</v>
          </cell>
          <cell r="H163" t="str">
            <v>23/08/2025</v>
          </cell>
        </row>
        <row r="164">
          <cell r="E164" t="str">
            <v>JMD1E2036994</v>
          </cell>
          <cell r="F164" t="str">
            <v>'02092025</v>
          </cell>
          <cell r="G164" t="str">
            <v>'31082025</v>
          </cell>
          <cell r="H164" t="str">
            <v>31/08/2025</v>
          </cell>
        </row>
        <row r="165">
          <cell r="E165" t="str">
            <v>JMD1E2039390</v>
          </cell>
          <cell r="F165" t="str">
            <v>'30082025</v>
          </cell>
          <cell r="G165" t="str">
            <v>'29082025</v>
          </cell>
          <cell r="H165" t="str">
            <v>29/08/2025</v>
          </cell>
        </row>
        <row r="166">
          <cell r="E166" t="str">
            <v>JMD1E2040151</v>
          </cell>
          <cell r="F166" t="str">
            <v>'03092025</v>
          </cell>
          <cell r="G166" t="str">
            <v>'31082025</v>
          </cell>
          <cell r="H166" t="str">
            <v>31/08/2025</v>
          </cell>
        </row>
        <row r="167">
          <cell r="E167" t="str">
            <v>JMD1E2040152</v>
          </cell>
          <cell r="F167" t="str">
            <v>'03092025</v>
          </cell>
          <cell r="G167" t="str">
            <v>'30082025</v>
          </cell>
          <cell r="H167" t="str">
            <v>30/08/2025</v>
          </cell>
        </row>
        <row r="168">
          <cell r="E168" t="str">
            <v>JME1E1154710</v>
          </cell>
          <cell r="F168" t="str">
            <v>'08102024</v>
          </cell>
          <cell r="G168" t="str">
            <v>'07102024</v>
          </cell>
          <cell r="H168" t="str">
            <v>07/10/2024</v>
          </cell>
        </row>
        <row r="169">
          <cell r="E169" t="str">
            <v>JME1E1159300</v>
          </cell>
          <cell r="F169" t="str">
            <v>'18102024</v>
          </cell>
          <cell r="G169" t="str">
            <v>'17102024</v>
          </cell>
          <cell r="H169" t="str">
            <v>17/10/2024</v>
          </cell>
        </row>
        <row r="170">
          <cell r="E170" t="str">
            <v>JME1E1165602</v>
          </cell>
          <cell r="F170" t="str">
            <v>'16102024</v>
          </cell>
          <cell r="G170" t="str">
            <v>'15102024</v>
          </cell>
          <cell r="H170" t="str">
            <v>15/10/2024</v>
          </cell>
        </row>
        <row r="171">
          <cell r="E171" t="str">
            <v>JME1E1167935</v>
          </cell>
          <cell r="F171" t="str">
            <v>'15102024</v>
          </cell>
          <cell r="G171" t="str">
            <v>'14102024</v>
          </cell>
          <cell r="H171" t="str">
            <v>14/10/2024</v>
          </cell>
        </row>
        <row r="172">
          <cell r="E172" t="str">
            <v>JME1E1331747</v>
          </cell>
          <cell r="F172" t="str">
            <v>'08022025</v>
          </cell>
          <cell r="G172" t="str">
            <v>'06022025</v>
          </cell>
          <cell r="H172" t="str">
            <v>06/02/2025</v>
          </cell>
        </row>
        <row r="173">
          <cell r="E173" t="str">
            <v>JME1E1331835</v>
          </cell>
          <cell r="F173" t="str">
            <v>'05022025</v>
          </cell>
          <cell r="G173" t="str">
            <v>'03022025</v>
          </cell>
          <cell r="H173" t="str">
            <v>03/02/2025</v>
          </cell>
        </row>
        <row r="174">
          <cell r="E174" t="str">
            <v>JME1E1515776</v>
          </cell>
          <cell r="F174" t="str">
            <v>'30062025</v>
          </cell>
          <cell r="G174" t="str">
            <v>'28062025</v>
          </cell>
          <cell r="H174" t="str">
            <v>28/06/2025</v>
          </cell>
        </row>
        <row r="175">
          <cell r="E175" t="str">
            <v>JME1E1528106</v>
          </cell>
          <cell r="F175" t="str">
            <v>'10062025</v>
          </cell>
          <cell r="G175" t="str">
            <v>'04062025</v>
          </cell>
          <cell r="H175" t="str">
            <v>04/06/2025</v>
          </cell>
        </row>
        <row r="176">
          <cell r="E176" t="str">
            <v>JME1E1530260</v>
          </cell>
          <cell r="F176" t="str">
            <v>'13062025</v>
          </cell>
          <cell r="G176" t="str">
            <v>'09062025</v>
          </cell>
          <cell r="H176" t="str">
            <v>09/06/2025</v>
          </cell>
        </row>
        <row r="177">
          <cell r="E177" t="str">
            <v>JME1E1549006</v>
          </cell>
          <cell r="F177" t="str">
            <v>'23062025</v>
          </cell>
          <cell r="G177" t="str">
            <v>'17062025</v>
          </cell>
          <cell r="H177" t="str">
            <v>17/06/2025</v>
          </cell>
        </row>
        <row r="178">
          <cell r="E178" t="str">
            <v>JME1E1551233</v>
          </cell>
          <cell r="F178" t="str">
            <v>'16062025</v>
          </cell>
          <cell r="G178" t="str">
            <v>'10062025</v>
          </cell>
          <cell r="H178" t="str">
            <v>10/06/2025</v>
          </cell>
        </row>
        <row r="179">
          <cell r="E179" t="str">
            <v>JME1E1551320</v>
          </cell>
          <cell r="F179" t="str">
            <v>'18062025</v>
          </cell>
          <cell r="G179" t="str">
            <v>'13062025</v>
          </cell>
          <cell r="H179" t="str">
            <v>13/06/2025</v>
          </cell>
        </row>
        <row r="180">
          <cell r="E180" t="str">
            <v>JME1E1567050</v>
          </cell>
          <cell r="F180" t="str">
            <v>'30062025</v>
          </cell>
          <cell r="G180" t="str">
            <v>'21062025</v>
          </cell>
          <cell r="H180" t="str">
            <v>21/06/2025</v>
          </cell>
        </row>
        <row r="181">
          <cell r="E181" t="str">
            <v>JME1E1592227</v>
          </cell>
          <cell r="F181" t="str">
            <v>'11082025</v>
          </cell>
          <cell r="G181" t="str">
            <v>'09082025</v>
          </cell>
          <cell r="H181" t="str">
            <v>09/08/2025</v>
          </cell>
        </row>
        <row r="182">
          <cell r="E182" t="str">
            <v>JME1E1643221</v>
          </cell>
          <cell r="F182" t="str">
            <v>'12082025</v>
          </cell>
          <cell r="G182" t="str">
            <v>'11082025</v>
          </cell>
          <cell r="H182" t="str">
            <v>11/08/2025</v>
          </cell>
        </row>
        <row r="183">
          <cell r="E183" t="str">
            <v>JME1E1645215</v>
          </cell>
          <cell r="F183" t="str">
            <v>'07082025</v>
          </cell>
          <cell r="G183" t="str">
            <v>'07082025</v>
          </cell>
          <cell r="H183" t="str">
            <v>07/08/2025</v>
          </cell>
        </row>
        <row r="184">
          <cell r="E184" t="str">
            <v>JME1E1651749</v>
          </cell>
          <cell r="F184" t="str">
            <v>'12082025</v>
          </cell>
          <cell r="G184" t="str">
            <v>'11082025</v>
          </cell>
          <cell r="H184" t="str">
            <v>11/08/2025</v>
          </cell>
        </row>
        <row r="185">
          <cell r="E185" t="str">
            <v>JME1E1662693</v>
          </cell>
          <cell r="F185" t="str">
            <v>'13082025</v>
          </cell>
          <cell r="G185" t="str">
            <v>'12082025</v>
          </cell>
          <cell r="H185" t="str">
            <v>12/08/2025</v>
          </cell>
        </row>
        <row r="186">
          <cell r="E186" t="str">
            <v>JME1E1666833</v>
          </cell>
          <cell r="F186" t="str">
            <v>'21082025</v>
          </cell>
          <cell r="G186" t="str">
            <v>'20082025</v>
          </cell>
          <cell r="H186" t="str">
            <v>20/08/2025</v>
          </cell>
        </row>
        <row r="187">
          <cell r="E187" t="str">
            <v>JME1E1668351</v>
          </cell>
          <cell r="F187" t="str">
            <v>'15082025</v>
          </cell>
          <cell r="G187" t="str">
            <v>'14082025</v>
          </cell>
          <cell r="H187" t="str">
            <v>14/08/2025</v>
          </cell>
        </row>
        <row r="188">
          <cell r="E188" t="str">
            <v>JME1E1676075</v>
          </cell>
          <cell r="F188" t="str">
            <v>'27082025</v>
          </cell>
          <cell r="G188" t="str">
            <v>'25082025</v>
          </cell>
          <cell r="H188" t="str">
            <v>25/08/2025</v>
          </cell>
        </row>
        <row r="189">
          <cell r="E189" t="str">
            <v>JME1E1687323</v>
          </cell>
          <cell r="F189" t="str">
            <v>'25082025</v>
          </cell>
          <cell r="G189" t="str">
            <v>'23082025</v>
          </cell>
          <cell r="H189" t="str">
            <v>23/08/2025</v>
          </cell>
        </row>
        <row r="190">
          <cell r="E190" t="str">
            <v>JME1E1688465</v>
          </cell>
          <cell r="F190" t="str">
            <v>'30082025</v>
          </cell>
          <cell r="G190" t="str">
            <v>'29082025</v>
          </cell>
          <cell r="H190" t="str">
            <v>29/08/2025</v>
          </cell>
        </row>
        <row r="191">
          <cell r="E191" t="str">
            <v>JME1E1689062</v>
          </cell>
          <cell r="F191" t="str">
            <v>'03092025</v>
          </cell>
          <cell r="G191" t="str">
            <v>'31082025</v>
          </cell>
          <cell r="H191" t="str">
            <v>31/08/2025</v>
          </cell>
        </row>
        <row r="192">
          <cell r="E192" t="str">
            <v>JME1E1692182</v>
          </cell>
          <cell r="F192" t="str">
            <v>'28082025</v>
          </cell>
          <cell r="G192" t="str">
            <v>'27082025</v>
          </cell>
          <cell r="H192" t="str">
            <v>27/08/2025</v>
          </cell>
        </row>
        <row r="193">
          <cell r="E193" t="str">
            <v>JMF1E1079487</v>
          </cell>
          <cell r="F193" t="str">
            <v>'02102024</v>
          </cell>
          <cell r="G193" t="str">
            <v>'02102024</v>
          </cell>
          <cell r="H193" t="str">
            <v>02/10/2024</v>
          </cell>
        </row>
        <row r="194">
          <cell r="E194" t="str">
            <v>JMF1E1182894</v>
          </cell>
          <cell r="F194" t="str">
            <v>'20022025</v>
          </cell>
          <cell r="G194" t="str">
            <v>'15022025</v>
          </cell>
          <cell r="H194" t="str">
            <v>15/02/2025</v>
          </cell>
        </row>
        <row r="195">
          <cell r="E195" t="str">
            <v>JMF1E1182978</v>
          </cell>
          <cell r="F195" t="str">
            <v>'20022025</v>
          </cell>
          <cell r="G195" t="str">
            <v>'17022025</v>
          </cell>
          <cell r="H195" t="str">
            <v>17/02/2025</v>
          </cell>
        </row>
        <row r="196">
          <cell r="E196" t="str">
            <v>JMF1E1195381</v>
          </cell>
          <cell r="F196" t="str">
            <v>'28022025</v>
          </cell>
          <cell r="G196" t="str">
            <v>'23022025</v>
          </cell>
          <cell r="H196" t="str">
            <v>23/02/2025</v>
          </cell>
        </row>
        <row r="197">
          <cell r="E197" t="str">
            <v>JMF1E1224567</v>
          </cell>
          <cell r="F197" t="str">
            <v>'28082025</v>
          </cell>
          <cell r="G197" t="str">
            <v>'27082025</v>
          </cell>
          <cell r="H197" t="str">
            <v>27/08/2025</v>
          </cell>
        </row>
        <row r="198">
          <cell r="E198" t="str">
            <v>JMF1E1227457</v>
          </cell>
          <cell r="F198" t="str">
            <v>'02072025</v>
          </cell>
          <cell r="G198" t="str">
            <v>'23062025</v>
          </cell>
          <cell r="H198" t="str">
            <v>23/06/2025</v>
          </cell>
        </row>
        <row r="199">
          <cell r="E199" t="str">
            <v>JMF1E1233778</v>
          </cell>
          <cell r="F199" t="str">
            <v>'30062025</v>
          </cell>
          <cell r="G199" t="str">
            <v>'22062025</v>
          </cell>
          <cell r="H199" t="str">
            <v>22/06/2025</v>
          </cell>
        </row>
        <row r="200">
          <cell r="E200" t="str">
            <v>JMF1E1241986</v>
          </cell>
          <cell r="F200" t="str">
            <v>'20082025</v>
          </cell>
          <cell r="G200" t="str">
            <v>'19082025</v>
          </cell>
          <cell r="H200" t="str">
            <v>19/08/2025</v>
          </cell>
        </row>
        <row r="201">
          <cell r="E201" t="str">
            <v>JMF1E1271941</v>
          </cell>
          <cell r="F201" t="str">
            <v>'08082025</v>
          </cell>
          <cell r="G201" t="str">
            <v>'07082025</v>
          </cell>
          <cell r="H201" t="str">
            <v>07/08/2025</v>
          </cell>
        </row>
        <row r="202">
          <cell r="E202" t="str">
            <v>JMF1E1273075</v>
          </cell>
          <cell r="F202" t="str">
            <v>'08072025</v>
          </cell>
          <cell r="G202" t="str">
            <v>'28062025</v>
          </cell>
          <cell r="H202" t="str">
            <v>28/06/2025</v>
          </cell>
        </row>
        <row r="203">
          <cell r="E203" t="str">
            <v>JMF1E1273964</v>
          </cell>
          <cell r="F203" t="str">
            <v>'09072025</v>
          </cell>
          <cell r="G203" t="str">
            <v>'30062025</v>
          </cell>
          <cell r="H203" t="str">
            <v>30/06/2025</v>
          </cell>
        </row>
        <row r="204">
          <cell r="E204" t="str">
            <v>JMF1E1296363</v>
          </cell>
          <cell r="F204" t="str">
            <v>'18082025</v>
          </cell>
          <cell r="G204" t="str">
            <v>'15082025</v>
          </cell>
          <cell r="H204" t="str">
            <v>15/08/2025</v>
          </cell>
        </row>
        <row r="205">
          <cell r="E205" t="str">
            <v>JMF1E1298358</v>
          </cell>
          <cell r="F205" t="str">
            <v>'18082025</v>
          </cell>
          <cell r="G205" t="str">
            <v>'15082025</v>
          </cell>
          <cell r="H205" t="str">
            <v>15/08/2025</v>
          </cell>
        </row>
        <row r="206">
          <cell r="E206" t="str">
            <v>JMF2E1262650</v>
          </cell>
          <cell r="F206" t="str">
            <v>'08082025</v>
          </cell>
          <cell r="G206" t="str">
            <v>'08082025</v>
          </cell>
          <cell r="H206" t="str">
            <v>08/08/2025</v>
          </cell>
        </row>
        <row r="207">
          <cell r="E207" t="str">
            <v>JMF2E1363241</v>
          </cell>
          <cell r="F207" t="str">
            <v>'20082025</v>
          </cell>
          <cell r="G207" t="str">
            <v>'19082025</v>
          </cell>
          <cell r="H207" t="str">
            <v>19/08/2025</v>
          </cell>
        </row>
        <row r="208">
          <cell r="E208" t="str">
            <v>JMF2E1381265</v>
          </cell>
          <cell r="F208" t="str">
            <v>'16062025</v>
          </cell>
          <cell r="G208" t="str">
            <v>'10062025</v>
          </cell>
          <cell r="H208" t="str">
            <v>10/06/2025</v>
          </cell>
        </row>
        <row r="209">
          <cell r="E209" t="str">
            <v>JMF2E1384912</v>
          </cell>
          <cell r="F209" t="str">
            <v>'12062025</v>
          </cell>
          <cell r="G209" t="str">
            <v>'07062025</v>
          </cell>
          <cell r="H209" t="str">
            <v>07/06/2025</v>
          </cell>
        </row>
        <row r="210">
          <cell r="E210" t="str">
            <v>JMF2E1437315</v>
          </cell>
          <cell r="F210" t="str">
            <v>'16062025</v>
          </cell>
          <cell r="G210" t="str">
            <v>'10062025</v>
          </cell>
          <cell r="H210" t="str">
            <v>10/06/2025</v>
          </cell>
        </row>
        <row r="211">
          <cell r="E211" t="str">
            <v>JMF2E1464246</v>
          </cell>
          <cell r="F211" t="str">
            <v>'23062025</v>
          </cell>
          <cell r="G211" t="str">
            <v>'17062025</v>
          </cell>
          <cell r="H211" t="str">
            <v>17/06/2025</v>
          </cell>
        </row>
        <row r="212">
          <cell r="E212" t="str">
            <v>JMF2E1512392</v>
          </cell>
          <cell r="F212" t="str">
            <v>'08082025</v>
          </cell>
          <cell r="G212" t="str">
            <v>'07082025</v>
          </cell>
          <cell r="H212" t="str">
            <v>07/08/2025</v>
          </cell>
        </row>
        <row r="213">
          <cell r="E213" t="str">
            <v>JMG1E1097618</v>
          </cell>
          <cell r="F213" t="str">
            <v>'09102024</v>
          </cell>
          <cell r="G213" t="str">
            <v>'08102024</v>
          </cell>
          <cell r="H213" t="str">
            <v>08/10/2024</v>
          </cell>
        </row>
        <row r="214">
          <cell r="E214" t="str">
            <v>JMG1E1415948</v>
          </cell>
          <cell r="F214" t="str">
            <v>'11062025</v>
          </cell>
          <cell r="G214" t="str">
            <v>'06062025</v>
          </cell>
          <cell r="H214" t="str">
            <v>06/06/2025</v>
          </cell>
        </row>
        <row r="215">
          <cell r="E215" t="str">
            <v>JMG1E1433428</v>
          </cell>
          <cell r="F215" t="str">
            <v>'03072025</v>
          </cell>
          <cell r="G215" t="str">
            <v>'25062025</v>
          </cell>
          <cell r="H215" t="str">
            <v>25/06/2025</v>
          </cell>
        </row>
        <row r="216">
          <cell r="E216" t="str">
            <v>JMG1E1479348</v>
          </cell>
          <cell r="F216" t="str">
            <v>'07082025</v>
          </cell>
          <cell r="G216" t="str">
            <v>'06082025</v>
          </cell>
          <cell r="H216" t="str">
            <v>06/08/2025</v>
          </cell>
        </row>
        <row r="217">
          <cell r="E217" t="str">
            <v>JMG1E1487907</v>
          </cell>
          <cell r="F217" t="str">
            <v>'09082025</v>
          </cell>
          <cell r="G217" t="str">
            <v>'08082025</v>
          </cell>
          <cell r="H217" t="str">
            <v>08/08/2025</v>
          </cell>
        </row>
        <row r="218">
          <cell r="E218" t="str">
            <v>JMG1E1536262</v>
          </cell>
          <cell r="F218" t="str">
            <v>'03092025</v>
          </cell>
          <cell r="G218" t="str">
            <v>'30082025</v>
          </cell>
          <cell r="H218" t="str">
            <v>30/08/2025</v>
          </cell>
        </row>
        <row r="219">
          <cell r="E219" t="str">
            <v>JMH1E1062159</v>
          </cell>
          <cell r="F219" t="str">
            <v>'17022025</v>
          </cell>
          <cell r="G219" t="str">
            <v>'12022025</v>
          </cell>
          <cell r="H219" t="str">
            <v>12/02/2025</v>
          </cell>
        </row>
        <row r="220">
          <cell r="E220" t="str">
            <v>JMH1E1063997</v>
          </cell>
          <cell r="F220" t="str">
            <v>'12022025</v>
          </cell>
          <cell r="G220" t="str">
            <v>'10022025</v>
          </cell>
          <cell r="H220" t="str">
            <v>10/02/2025</v>
          </cell>
        </row>
        <row r="221">
          <cell r="E221" t="str">
            <v>JMH1E1092436</v>
          </cell>
          <cell r="F221" t="str">
            <v>'17022025</v>
          </cell>
          <cell r="G221" t="str">
            <v>'12022025</v>
          </cell>
          <cell r="H221" t="str">
            <v>12/02/2025</v>
          </cell>
        </row>
        <row r="222">
          <cell r="E222" t="str">
            <v>JMH1E1093849</v>
          </cell>
          <cell r="F222" t="str">
            <v>'27022025</v>
          </cell>
          <cell r="G222" t="str">
            <v>'21022025</v>
          </cell>
          <cell r="H222" t="str">
            <v>21/02/2025</v>
          </cell>
        </row>
        <row r="223">
          <cell r="E223" t="str">
            <v>JMH1E1095588</v>
          </cell>
          <cell r="F223" t="str">
            <v>'27082025</v>
          </cell>
          <cell r="G223" t="str">
            <v>'26082025</v>
          </cell>
          <cell r="H223" t="str">
            <v>26/08/2025</v>
          </cell>
        </row>
        <row r="224">
          <cell r="E224" t="str">
            <v>JMH1E1168666</v>
          </cell>
          <cell r="F224" t="str">
            <v>'07082025</v>
          </cell>
          <cell r="G224" t="str">
            <v>'07082025</v>
          </cell>
          <cell r="H224" t="str">
            <v>07/08/2025</v>
          </cell>
        </row>
        <row r="225">
          <cell r="E225" t="str">
            <v>JMH1E1168914</v>
          </cell>
          <cell r="F225" t="str">
            <v>'04072025</v>
          </cell>
          <cell r="G225" t="str">
            <v>'28062025</v>
          </cell>
          <cell r="H225" t="str">
            <v>28/06/2025</v>
          </cell>
        </row>
        <row r="226">
          <cell r="E226" t="str">
            <v>JMH1E1170461</v>
          </cell>
          <cell r="F226" t="str">
            <v>'13062025</v>
          </cell>
          <cell r="G226" t="str">
            <v>'09062025</v>
          </cell>
          <cell r="H226" t="str">
            <v>09/06/2025</v>
          </cell>
        </row>
        <row r="227">
          <cell r="E227" t="str">
            <v>JMH1E1170664</v>
          </cell>
          <cell r="F227" t="str">
            <v>'16062025</v>
          </cell>
          <cell r="G227" t="str">
            <v>'10062025</v>
          </cell>
          <cell r="H227" t="str">
            <v>10/06/2025</v>
          </cell>
        </row>
        <row r="228">
          <cell r="E228" t="str">
            <v>JMH1E1174540</v>
          </cell>
          <cell r="F228" t="str">
            <v>'13062025</v>
          </cell>
          <cell r="G228" t="str">
            <v>'09062025</v>
          </cell>
          <cell r="H228" t="str">
            <v>09/06/2025</v>
          </cell>
        </row>
        <row r="229">
          <cell r="E229" t="str">
            <v>JMH1E1181596</v>
          </cell>
          <cell r="F229" t="str">
            <v>'04072025</v>
          </cell>
          <cell r="G229" t="str">
            <v>'26062025</v>
          </cell>
          <cell r="H229" t="str">
            <v>26/06/2025</v>
          </cell>
        </row>
        <row r="230">
          <cell r="E230" t="str">
            <v>JMH1E1182682</v>
          </cell>
          <cell r="F230" t="str">
            <v>'02072025</v>
          </cell>
          <cell r="G230" t="str">
            <v>'23062025</v>
          </cell>
          <cell r="H230" t="str">
            <v>23/06/2025</v>
          </cell>
        </row>
        <row r="231">
          <cell r="E231" t="str">
            <v>JMH1E1183678</v>
          </cell>
          <cell r="F231" t="str">
            <v>'18062025</v>
          </cell>
          <cell r="G231" t="str">
            <v>'14062025</v>
          </cell>
          <cell r="H231" t="str">
            <v>14/06/2025</v>
          </cell>
        </row>
        <row r="232">
          <cell r="E232" t="str">
            <v>JMH1E1197599</v>
          </cell>
          <cell r="F232" t="str">
            <v>'07082025</v>
          </cell>
          <cell r="G232" t="str">
            <v>'07082025</v>
          </cell>
          <cell r="H232" t="str">
            <v>07/08/2025</v>
          </cell>
        </row>
        <row r="233">
          <cell r="E233" t="str">
            <v>JMH1E1200211</v>
          </cell>
          <cell r="F233" t="str">
            <v>'08082025</v>
          </cell>
          <cell r="G233" t="str">
            <v>'08082025</v>
          </cell>
          <cell r="H233" t="str">
            <v>08/08/2025</v>
          </cell>
        </row>
        <row r="234">
          <cell r="E234" t="str">
            <v>JMH1E1201350</v>
          </cell>
          <cell r="F234" t="str">
            <v>'09082025</v>
          </cell>
          <cell r="G234" t="str">
            <v>'08082025</v>
          </cell>
          <cell r="H234" t="str">
            <v>08/08/2025</v>
          </cell>
        </row>
        <row r="235">
          <cell r="E235" t="str">
            <v>JMH1E1202916</v>
          </cell>
          <cell r="F235" t="str">
            <v>'09082025</v>
          </cell>
          <cell r="G235" t="str">
            <v>'08082025</v>
          </cell>
          <cell r="H235" t="str">
            <v>08/08/2025</v>
          </cell>
        </row>
        <row r="236">
          <cell r="E236" t="str">
            <v>JMH1E1210269</v>
          </cell>
          <cell r="F236" t="str">
            <v>'07082025</v>
          </cell>
          <cell r="G236" t="str">
            <v>'06082025</v>
          </cell>
          <cell r="H236" t="str">
            <v>06/08/2025</v>
          </cell>
        </row>
        <row r="237">
          <cell r="E237" t="str">
            <v>JMH1E1210783</v>
          </cell>
          <cell r="F237" t="str">
            <v>'09082025</v>
          </cell>
          <cell r="G237" t="str">
            <v>'08082025</v>
          </cell>
          <cell r="H237" t="str">
            <v>08/08/2025</v>
          </cell>
        </row>
        <row r="238">
          <cell r="E238" t="str">
            <v>JMH1E1225580</v>
          </cell>
          <cell r="F238" t="str">
            <v>'07082025</v>
          </cell>
          <cell r="G238" t="str">
            <v>'06082025</v>
          </cell>
          <cell r="H238" t="str">
            <v>06/08/2025</v>
          </cell>
        </row>
        <row r="239">
          <cell r="E239" t="str">
            <v>JMH1E1228547</v>
          </cell>
          <cell r="F239" t="str">
            <v>'15082025</v>
          </cell>
          <cell r="G239" t="str">
            <v>'14082025</v>
          </cell>
          <cell r="H239" t="str">
            <v>14/08/2025</v>
          </cell>
        </row>
        <row r="240">
          <cell r="E240" t="str">
            <v>JMH1E1229144</v>
          </cell>
          <cell r="F240" t="str">
            <v>'09082025</v>
          </cell>
          <cell r="G240" t="str">
            <v>'08082025</v>
          </cell>
          <cell r="H240" t="str">
            <v>08/08/2025</v>
          </cell>
        </row>
        <row r="241">
          <cell r="E241" t="str">
            <v>JMH1E1229155</v>
          </cell>
          <cell r="F241" t="str">
            <v>'18082025</v>
          </cell>
          <cell r="G241" t="str">
            <v>'15082025</v>
          </cell>
          <cell r="H241" t="str">
            <v>15/08/2025</v>
          </cell>
        </row>
        <row r="242">
          <cell r="E242" t="str">
            <v>JMH1E1233030</v>
          </cell>
          <cell r="F242" t="str">
            <v>'18082025</v>
          </cell>
          <cell r="G242" t="str">
            <v>'18082025</v>
          </cell>
          <cell r="H242" t="str">
            <v>18/08/2025</v>
          </cell>
        </row>
        <row r="243">
          <cell r="E243" t="str">
            <v>JMH1E1237223</v>
          </cell>
          <cell r="F243" t="str">
            <v>'03092025</v>
          </cell>
          <cell r="G243" t="str">
            <v>'31082025</v>
          </cell>
          <cell r="H243" t="str">
            <v>31/08/2025</v>
          </cell>
        </row>
        <row r="244">
          <cell r="E244" t="str">
            <v>JMH1E1240245</v>
          </cell>
          <cell r="F244" t="str">
            <v>'03092025</v>
          </cell>
          <cell r="G244" t="str">
            <v>'30082025</v>
          </cell>
          <cell r="H244" t="str">
            <v>30/08/2025</v>
          </cell>
        </row>
        <row r="245">
          <cell r="E245" t="str">
            <v>JMH2E1114180</v>
          </cell>
          <cell r="F245" t="str">
            <v>'07022025</v>
          </cell>
          <cell r="G245" t="str">
            <v>'05022025</v>
          </cell>
          <cell r="H245" t="str">
            <v>05/02/2025</v>
          </cell>
        </row>
        <row r="246">
          <cell r="E246" t="str">
            <v>JMH2E1114594</v>
          </cell>
          <cell r="F246" t="str">
            <v>'08022025</v>
          </cell>
          <cell r="G246" t="str">
            <v>'06022025</v>
          </cell>
          <cell r="H246" t="str">
            <v>06/02/2025</v>
          </cell>
        </row>
        <row r="247">
          <cell r="E247" t="str">
            <v>JMH2E1117594</v>
          </cell>
          <cell r="F247" t="str">
            <v>'17022025</v>
          </cell>
          <cell r="G247" t="str">
            <v>'13022025</v>
          </cell>
          <cell r="H247" t="str">
            <v>13/02/2025</v>
          </cell>
        </row>
        <row r="248">
          <cell r="E248" t="str">
            <v>JMH2E1124125</v>
          </cell>
          <cell r="F248" t="str">
            <v>'22022025</v>
          </cell>
          <cell r="G248" t="str">
            <v>'18022025</v>
          </cell>
          <cell r="H248" t="str">
            <v>18/02/2025</v>
          </cell>
        </row>
        <row r="249">
          <cell r="E249" t="str">
            <v>JMH2E1124612</v>
          </cell>
          <cell r="F249" t="str">
            <v>'11022025</v>
          </cell>
          <cell r="G249" t="str">
            <v>'09022025</v>
          </cell>
          <cell r="H249" t="str">
            <v>09/02/2025</v>
          </cell>
        </row>
        <row r="250">
          <cell r="E250" t="str">
            <v>JMH2E1124912</v>
          </cell>
          <cell r="F250" t="str">
            <v>'13082025</v>
          </cell>
          <cell r="G250" t="str">
            <v>'12082025</v>
          </cell>
          <cell r="H250" t="str">
            <v>12/08/2025</v>
          </cell>
        </row>
        <row r="251">
          <cell r="E251" t="str">
            <v>JMH2E1133724</v>
          </cell>
          <cell r="F251" t="str">
            <v>'28022025</v>
          </cell>
          <cell r="G251" t="str">
            <v>'22022025</v>
          </cell>
          <cell r="H251" t="str">
            <v>22/02/2025</v>
          </cell>
        </row>
        <row r="252">
          <cell r="E252" t="str">
            <v>JMH2E1150538</v>
          </cell>
          <cell r="F252" t="str">
            <v>'11062025</v>
          </cell>
          <cell r="G252" t="str">
            <v>'05062025</v>
          </cell>
          <cell r="H252" t="str">
            <v>05/06/2025</v>
          </cell>
        </row>
        <row r="253">
          <cell r="E253" t="str">
            <v>JMH2E1216012</v>
          </cell>
          <cell r="F253" t="str">
            <v>'08082025</v>
          </cell>
          <cell r="G253" t="str">
            <v>'07082025</v>
          </cell>
          <cell r="H253" t="str">
            <v>07/08/2025</v>
          </cell>
        </row>
        <row r="254">
          <cell r="E254" t="str">
            <v>JMH2E1261042</v>
          </cell>
          <cell r="F254" t="str">
            <v>'12082025</v>
          </cell>
          <cell r="G254" t="str">
            <v>'11082025</v>
          </cell>
          <cell r="H254" t="str">
            <v>11/08/2025</v>
          </cell>
        </row>
        <row r="255">
          <cell r="E255" t="str">
            <v>JMH2E1261053</v>
          </cell>
          <cell r="F255" t="str">
            <v>'24062025</v>
          </cell>
          <cell r="G255" t="str">
            <v>'18062025</v>
          </cell>
          <cell r="H255" t="str">
            <v>18/06/2025</v>
          </cell>
        </row>
        <row r="256">
          <cell r="E256" t="str">
            <v>JMH2E1287273</v>
          </cell>
          <cell r="F256" t="str">
            <v>'11062025</v>
          </cell>
          <cell r="G256" t="str">
            <v>'05062025</v>
          </cell>
          <cell r="H256" t="str">
            <v>05/06/2025</v>
          </cell>
        </row>
        <row r="257">
          <cell r="E257" t="str">
            <v>JMH2E1290809</v>
          </cell>
          <cell r="F257" t="str">
            <v>'17062025</v>
          </cell>
          <cell r="G257" t="str">
            <v>'11062025</v>
          </cell>
          <cell r="H257" t="str">
            <v>11/06/2025</v>
          </cell>
        </row>
        <row r="258">
          <cell r="E258" t="str">
            <v>JMH2E1341745</v>
          </cell>
          <cell r="F258" t="str">
            <v>'19062025</v>
          </cell>
          <cell r="G258" t="str">
            <v>'16062025</v>
          </cell>
          <cell r="H258" t="str">
            <v>16/06/2025</v>
          </cell>
        </row>
        <row r="259">
          <cell r="E259" t="str">
            <v>JMH2E1352715</v>
          </cell>
          <cell r="F259" t="str">
            <v>'24062025</v>
          </cell>
          <cell r="G259" t="str">
            <v>'18062025</v>
          </cell>
          <cell r="H259" t="str">
            <v>18/06/2025</v>
          </cell>
        </row>
        <row r="260">
          <cell r="E260" t="str">
            <v>JMH2E1372407</v>
          </cell>
          <cell r="F260" t="str">
            <v>'12082025</v>
          </cell>
          <cell r="G260" t="str">
            <v>'11082025</v>
          </cell>
          <cell r="H260" t="str">
            <v>11/08/2025</v>
          </cell>
        </row>
        <row r="261">
          <cell r="E261" t="str">
            <v>JMH2E1457052</v>
          </cell>
          <cell r="F261" t="str">
            <v>'07082025</v>
          </cell>
          <cell r="G261" t="str">
            <v>'06082025</v>
          </cell>
          <cell r="H261" t="str">
            <v>06/08/2025</v>
          </cell>
        </row>
        <row r="262">
          <cell r="E262" t="str">
            <v>JMH2E1459333</v>
          </cell>
          <cell r="F262" t="str">
            <v>'27082025</v>
          </cell>
          <cell r="G262" t="str">
            <v>'25082025</v>
          </cell>
          <cell r="H262" t="str">
            <v>25/08/2025</v>
          </cell>
        </row>
        <row r="263">
          <cell r="E263" t="str">
            <v>JMH2E1471780</v>
          </cell>
          <cell r="F263" t="str">
            <v>'08082025</v>
          </cell>
          <cell r="G263" t="str">
            <v>'08082025</v>
          </cell>
          <cell r="H263" t="str">
            <v>08/08/2025</v>
          </cell>
        </row>
        <row r="264">
          <cell r="E264" t="str">
            <v>JMH2E1473957</v>
          </cell>
          <cell r="F264" t="str">
            <v>'11082025</v>
          </cell>
          <cell r="G264" t="str">
            <v>'10082025</v>
          </cell>
          <cell r="H264" t="str">
            <v>10/08/2025</v>
          </cell>
        </row>
        <row r="265">
          <cell r="E265" t="str">
            <v>JMH2E1474189</v>
          </cell>
          <cell r="F265" t="str">
            <v>'08082025</v>
          </cell>
          <cell r="G265" t="str">
            <v>'07082025</v>
          </cell>
          <cell r="H265" t="str">
            <v>07/08/2025</v>
          </cell>
        </row>
        <row r="266">
          <cell r="E266" t="str">
            <v>JMH2E1499725</v>
          </cell>
          <cell r="F266" t="str">
            <v>'25082025</v>
          </cell>
          <cell r="G266" t="str">
            <v>'23082025</v>
          </cell>
          <cell r="H266" t="str">
            <v>23/08/2025</v>
          </cell>
        </row>
        <row r="267">
          <cell r="E267" t="str">
            <v>KB22E1057429</v>
          </cell>
          <cell r="F267" t="str">
            <v>'30062025</v>
          </cell>
          <cell r="G267" t="str">
            <v>'20062025</v>
          </cell>
          <cell r="H267" t="str">
            <v>20/06/2025</v>
          </cell>
        </row>
        <row r="268">
          <cell r="E268" t="str">
            <v>KC02E1268184</v>
          </cell>
          <cell r="F268" t="str">
            <v>'11102024</v>
          </cell>
          <cell r="G268" t="str">
            <v>'10102024</v>
          </cell>
          <cell r="H268" t="str">
            <v>10/10/2024</v>
          </cell>
        </row>
        <row r="269">
          <cell r="E269" t="str">
            <v>KC02E1272560</v>
          </cell>
          <cell r="F269" t="str">
            <v>'02102024</v>
          </cell>
          <cell r="G269" t="str">
            <v>'01102024</v>
          </cell>
          <cell r="H269" t="str">
            <v>01/10/2024</v>
          </cell>
        </row>
        <row r="270">
          <cell r="E270" t="str">
            <v>KC02E1274579</v>
          </cell>
          <cell r="F270" t="str">
            <v>'28102024</v>
          </cell>
          <cell r="G270" t="str">
            <v>'27102024</v>
          </cell>
          <cell r="H270" t="str">
            <v>27/10/2024</v>
          </cell>
        </row>
        <row r="271">
          <cell r="E271" t="str">
            <v>KC02E1274641</v>
          </cell>
          <cell r="F271" t="str">
            <v>'29102024</v>
          </cell>
          <cell r="G271" t="str">
            <v>'28102024</v>
          </cell>
          <cell r="H271" t="str">
            <v>28/10/2024</v>
          </cell>
        </row>
        <row r="272">
          <cell r="E272" t="str">
            <v>KC02E1275094</v>
          </cell>
          <cell r="F272" t="str">
            <v>'26102024</v>
          </cell>
          <cell r="G272" t="str">
            <v>'25102024</v>
          </cell>
          <cell r="H272" t="str">
            <v>25/10/2024</v>
          </cell>
        </row>
        <row r="273">
          <cell r="E273" t="str">
            <v>KC02E1290415</v>
          </cell>
          <cell r="F273" t="str">
            <v>'22022025</v>
          </cell>
          <cell r="G273" t="str">
            <v>'18022025</v>
          </cell>
          <cell r="H273" t="str">
            <v>18/02/2025</v>
          </cell>
        </row>
        <row r="274">
          <cell r="E274" t="str">
            <v>KC02E1291045</v>
          </cell>
          <cell r="F274" t="str">
            <v>'25022025</v>
          </cell>
          <cell r="G274" t="str">
            <v>'20022025</v>
          </cell>
          <cell r="H274" t="str">
            <v>20/02/2025</v>
          </cell>
        </row>
        <row r="275">
          <cell r="E275" t="str">
            <v>KC04E1003811</v>
          </cell>
          <cell r="F275" t="str">
            <v>'11062025</v>
          </cell>
          <cell r="G275" t="str">
            <v>'05062025</v>
          </cell>
          <cell r="H275" t="str">
            <v>05/06/2025</v>
          </cell>
        </row>
        <row r="276">
          <cell r="E276" t="str">
            <v>KC04E1005367</v>
          </cell>
          <cell r="F276" t="str">
            <v>'10062025</v>
          </cell>
          <cell r="G276" t="str">
            <v>'04062025</v>
          </cell>
          <cell r="H276" t="str">
            <v>04/06/2025</v>
          </cell>
        </row>
        <row r="277">
          <cell r="E277" t="str">
            <v>KC04E1005977</v>
          </cell>
          <cell r="F277" t="str">
            <v>'13062025</v>
          </cell>
          <cell r="G277" t="str">
            <v>'09062025</v>
          </cell>
          <cell r="H277" t="str">
            <v>09/06/2025</v>
          </cell>
        </row>
        <row r="278">
          <cell r="E278" t="str">
            <v>KC04E1006380</v>
          </cell>
          <cell r="F278" t="str">
            <v>'11062025</v>
          </cell>
          <cell r="G278" t="str">
            <v>'05062025</v>
          </cell>
          <cell r="H278" t="str">
            <v>05/06/2025</v>
          </cell>
        </row>
        <row r="279">
          <cell r="E279" t="str">
            <v>KC04E1007456</v>
          </cell>
          <cell r="F279" t="str">
            <v>'24062025</v>
          </cell>
          <cell r="G279" t="str">
            <v>'18062025</v>
          </cell>
          <cell r="H279" t="str">
            <v>18/06/2025</v>
          </cell>
        </row>
        <row r="280">
          <cell r="E280" t="str">
            <v>KC04E1007496</v>
          </cell>
          <cell r="F280" t="str">
            <v>'23062025</v>
          </cell>
          <cell r="G280" t="str">
            <v>'17062025</v>
          </cell>
          <cell r="H280" t="str">
            <v>17/06/2025</v>
          </cell>
        </row>
        <row r="281">
          <cell r="E281" t="str">
            <v>KC04E1007518</v>
          </cell>
          <cell r="F281" t="str">
            <v>'23062025</v>
          </cell>
          <cell r="G281" t="str">
            <v>'17062025</v>
          </cell>
          <cell r="H281" t="str">
            <v>17/06/2025</v>
          </cell>
        </row>
        <row r="282">
          <cell r="E282" t="str">
            <v>KC04E1012272</v>
          </cell>
          <cell r="F282" t="str">
            <v>'01082025</v>
          </cell>
          <cell r="G282" t="str">
            <v>'31072025</v>
          </cell>
          <cell r="H282" t="str">
            <v>31/07/2025</v>
          </cell>
        </row>
        <row r="283">
          <cell r="E283" t="str">
            <v>KC04E1012274</v>
          </cell>
          <cell r="F283" t="str">
            <v>'09082025</v>
          </cell>
          <cell r="G283" t="str">
            <v>'08082025</v>
          </cell>
          <cell r="H283" t="str">
            <v>08/08/2025</v>
          </cell>
        </row>
        <row r="284">
          <cell r="E284" t="str">
            <v>KC04E1012465</v>
          </cell>
          <cell r="F284" t="str">
            <v>'13082025</v>
          </cell>
          <cell r="G284" t="str">
            <v>'12082025</v>
          </cell>
          <cell r="H284" t="str">
            <v>12/08/2025</v>
          </cell>
        </row>
        <row r="285">
          <cell r="E285" t="str">
            <v>KC04E1012723</v>
          </cell>
          <cell r="F285" t="str">
            <v>'14082025</v>
          </cell>
          <cell r="G285" t="str">
            <v>'13082025</v>
          </cell>
          <cell r="H285" t="str">
            <v>13/08/2025</v>
          </cell>
        </row>
        <row r="286">
          <cell r="E286" t="str">
            <v>KC04E1013079</v>
          </cell>
          <cell r="F286" t="str">
            <v>'13082025</v>
          </cell>
          <cell r="G286" t="str">
            <v>'12082025</v>
          </cell>
          <cell r="H286" t="str">
            <v>12/08/2025</v>
          </cell>
        </row>
        <row r="287">
          <cell r="E287" t="str">
            <v>KC04E1013087</v>
          </cell>
          <cell r="F287" t="str">
            <v>'18082025</v>
          </cell>
          <cell r="G287" t="str">
            <v>'15082025</v>
          </cell>
          <cell r="H287" t="str">
            <v>15/08/2025</v>
          </cell>
        </row>
        <row r="288">
          <cell r="E288" t="str">
            <v>KC04E1013105</v>
          </cell>
          <cell r="F288" t="str">
            <v>'13082025</v>
          </cell>
          <cell r="G288" t="str">
            <v>'12082025</v>
          </cell>
          <cell r="H288" t="str">
            <v>12/08/2025</v>
          </cell>
        </row>
        <row r="289">
          <cell r="E289" t="str">
            <v>KC04E1013107</v>
          </cell>
          <cell r="F289" t="str">
            <v>'18082025</v>
          </cell>
          <cell r="G289" t="str">
            <v>'15082025</v>
          </cell>
          <cell r="H289" t="str">
            <v>15/08/2025</v>
          </cell>
        </row>
        <row r="290">
          <cell r="E290" t="str">
            <v>KC04E1013120</v>
          </cell>
          <cell r="F290" t="str">
            <v>'13082025</v>
          </cell>
          <cell r="G290" t="str">
            <v>'12082025</v>
          </cell>
          <cell r="H290" t="str">
            <v>12/08/2025</v>
          </cell>
        </row>
        <row r="291">
          <cell r="E291" t="str">
            <v>KC04E1013553</v>
          </cell>
          <cell r="F291" t="str">
            <v>'19082025</v>
          </cell>
          <cell r="G291" t="str">
            <v>'18082025</v>
          </cell>
          <cell r="H291" t="str">
            <v>18/08/2025</v>
          </cell>
        </row>
        <row r="292">
          <cell r="E292" t="str">
            <v>KC04E1014077</v>
          </cell>
          <cell r="F292" t="str">
            <v>'19082025</v>
          </cell>
          <cell r="G292" t="str">
            <v>'19082025</v>
          </cell>
          <cell r="H292" t="str">
            <v>19/08/2025</v>
          </cell>
        </row>
        <row r="293">
          <cell r="E293" t="str">
            <v>KC04E1014079</v>
          </cell>
          <cell r="F293" t="str">
            <v>'21082025</v>
          </cell>
          <cell r="G293" t="str">
            <v>'20082025</v>
          </cell>
          <cell r="H293" t="str">
            <v>20/08/2025</v>
          </cell>
        </row>
        <row r="294">
          <cell r="E294" t="str">
            <v>KC04E1014213</v>
          </cell>
          <cell r="F294" t="str">
            <v>'25082025</v>
          </cell>
          <cell r="G294" t="str">
            <v>'23082025</v>
          </cell>
          <cell r="H294" t="str">
            <v>23/08/2025</v>
          </cell>
        </row>
        <row r="295">
          <cell r="E295" t="str">
            <v>KC04E1014565</v>
          </cell>
          <cell r="F295" t="str">
            <v>'25082025</v>
          </cell>
          <cell r="G295" t="str">
            <v>'22082025</v>
          </cell>
          <cell r="H295" t="str">
            <v>22/08/2025</v>
          </cell>
        </row>
        <row r="296">
          <cell r="E296" t="str">
            <v>KC04E1014576</v>
          </cell>
          <cell r="F296" t="str">
            <v>'25082025</v>
          </cell>
          <cell r="G296" t="str">
            <v>'25082025</v>
          </cell>
          <cell r="H296" t="str">
            <v>25/08/2025</v>
          </cell>
        </row>
        <row r="297">
          <cell r="E297" t="str">
            <v>KC04E1015886</v>
          </cell>
          <cell r="F297" t="str">
            <v>'29082025</v>
          </cell>
          <cell r="G297" t="str">
            <v>'28082025</v>
          </cell>
          <cell r="H297" t="str">
            <v>28/08/2025</v>
          </cell>
        </row>
        <row r="298">
          <cell r="E298" t="str">
            <v>KD11E1547106</v>
          </cell>
          <cell r="F298" t="str">
            <v>'25102024</v>
          </cell>
          <cell r="G298" t="str">
            <v>'24102024</v>
          </cell>
          <cell r="H298" t="str">
            <v>24/10/2024</v>
          </cell>
        </row>
        <row r="299">
          <cell r="E299" t="str">
            <v>KD11E1603553</v>
          </cell>
          <cell r="F299" t="str">
            <v>'11062025</v>
          </cell>
          <cell r="G299" t="str">
            <v>'10062025</v>
          </cell>
          <cell r="H299" t="str">
            <v>10/06/2025</v>
          </cell>
        </row>
        <row r="300">
          <cell r="E300" t="str">
            <v>KD11E1607900</v>
          </cell>
          <cell r="F300" t="str">
            <v>'20062025</v>
          </cell>
          <cell r="G300" t="str">
            <v>'17062025</v>
          </cell>
          <cell r="H300" t="str">
            <v>17/06/2025</v>
          </cell>
        </row>
        <row r="301">
          <cell r="E301" t="str">
            <v>KD11E1622718</v>
          </cell>
          <cell r="F301" t="str">
            <v>'12082025</v>
          </cell>
          <cell r="G301" t="str">
            <v>'11082025</v>
          </cell>
          <cell r="H301" t="str">
            <v>11/08/2025</v>
          </cell>
        </row>
        <row r="302">
          <cell r="E302" t="str">
            <v>KD11E1624163</v>
          </cell>
          <cell r="F302" t="str">
            <v>'03092025</v>
          </cell>
          <cell r="G302" t="str">
            <v>'31082025</v>
          </cell>
          <cell r="H302" t="str">
            <v>31/08/2025</v>
          </cell>
        </row>
        <row r="303">
          <cell r="E303" t="str">
            <v>KF01E1794316</v>
          </cell>
          <cell r="F303" t="str">
            <v>'15012025</v>
          </cell>
          <cell r="G303" t="str">
            <v>'14012025</v>
          </cell>
          <cell r="H303" t="str">
            <v>14/01/2025</v>
          </cell>
        </row>
        <row r="304">
          <cell r="E304" t="str">
            <v>KF01E1802398</v>
          </cell>
          <cell r="F304" t="str">
            <v>'18022025</v>
          </cell>
          <cell r="G304" t="str">
            <v>'14022025</v>
          </cell>
          <cell r="H304" t="str">
            <v>14/02/2025</v>
          </cell>
        </row>
        <row r="305">
          <cell r="E305" t="str">
            <v>KF01E1823278</v>
          </cell>
          <cell r="F305" t="str">
            <v>'12022025</v>
          </cell>
          <cell r="G305" t="str">
            <v>'10022025</v>
          </cell>
          <cell r="H305" t="str">
            <v>10/02/2025</v>
          </cell>
        </row>
        <row r="306">
          <cell r="E306" t="str">
            <v>KF01E1851277</v>
          </cell>
          <cell r="F306" t="str">
            <v>'12032025</v>
          </cell>
          <cell r="G306" t="str">
            <v>'11032025</v>
          </cell>
          <cell r="H306" t="str">
            <v>11/03/2025</v>
          </cell>
        </row>
        <row r="307">
          <cell r="E307" t="str">
            <v>KF01E1893269</v>
          </cell>
          <cell r="F307" t="str">
            <v>'16062025</v>
          </cell>
          <cell r="G307" t="str">
            <v>'10062025</v>
          </cell>
          <cell r="H307" t="str">
            <v>10/06/2025</v>
          </cell>
        </row>
        <row r="308">
          <cell r="E308" t="str">
            <v>KF01E1894242</v>
          </cell>
          <cell r="F308" t="str">
            <v>'01072025</v>
          </cell>
          <cell r="G308" t="str">
            <v>'30062025</v>
          </cell>
          <cell r="H308" t="str">
            <v>30/06/2025</v>
          </cell>
        </row>
        <row r="309">
          <cell r="E309" t="str">
            <v>KF01E1897577</v>
          </cell>
          <cell r="F309" t="str">
            <v>'11062025</v>
          </cell>
          <cell r="G309" t="str">
            <v>'06062025</v>
          </cell>
          <cell r="H309" t="str">
            <v>06/06/2025</v>
          </cell>
        </row>
        <row r="310">
          <cell r="E310" t="str">
            <v>KF01E1904127</v>
          </cell>
          <cell r="F310" t="str">
            <v>'02072025</v>
          </cell>
          <cell r="G310" t="str">
            <v>'24062025</v>
          </cell>
          <cell r="H310" t="str">
            <v>24/06/2025</v>
          </cell>
        </row>
        <row r="311">
          <cell r="E311" t="str">
            <v>KF01E1907123</v>
          </cell>
          <cell r="F311" t="str">
            <v>'18062025</v>
          </cell>
          <cell r="G311" t="str">
            <v>'13062025</v>
          </cell>
          <cell r="H311" t="str">
            <v>13/06/2025</v>
          </cell>
        </row>
        <row r="312">
          <cell r="E312" t="str">
            <v>KF01E1908568</v>
          </cell>
          <cell r="F312" t="str">
            <v>'02072025</v>
          </cell>
          <cell r="G312" t="str">
            <v>'23062025</v>
          </cell>
          <cell r="H312" t="str">
            <v>23/06/2025</v>
          </cell>
        </row>
        <row r="313">
          <cell r="E313" t="str">
            <v>KF01E1910249</v>
          </cell>
          <cell r="F313" t="str">
            <v>'07072025</v>
          </cell>
          <cell r="G313" t="str">
            <v>'27062025</v>
          </cell>
          <cell r="H313" t="str">
            <v>27/06/2025</v>
          </cell>
        </row>
        <row r="314">
          <cell r="E314" t="str">
            <v>KF01E1932392</v>
          </cell>
          <cell r="F314" t="str">
            <v>'07082025</v>
          </cell>
          <cell r="G314" t="str">
            <v>'06082025</v>
          </cell>
          <cell r="H314" t="str">
            <v>06/08/2025</v>
          </cell>
        </row>
        <row r="315">
          <cell r="E315" t="str">
            <v>KF01E1936092</v>
          </cell>
          <cell r="F315" t="str">
            <v>'07082025</v>
          </cell>
          <cell r="G315" t="str">
            <v>'06082025</v>
          </cell>
          <cell r="H315" t="str">
            <v>06/08/2025</v>
          </cell>
        </row>
        <row r="316">
          <cell r="E316" t="str">
            <v>KF01E1942408</v>
          </cell>
          <cell r="F316" t="str">
            <v>'18082025</v>
          </cell>
          <cell r="G316" t="str">
            <v>'16082025</v>
          </cell>
          <cell r="H316" t="str">
            <v>16/08/2025</v>
          </cell>
        </row>
        <row r="317">
          <cell r="E317" t="str">
            <v>KF01E1945882</v>
          </cell>
          <cell r="F317" t="str">
            <v>'09082025</v>
          </cell>
          <cell r="G317" t="str">
            <v>'08082025</v>
          </cell>
          <cell r="H317" t="str">
            <v>08/08/2025</v>
          </cell>
        </row>
        <row r="318">
          <cell r="E318" t="str">
            <v>KF01E1946882</v>
          </cell>
          <cell r="F318" t="str">
            <v>'13082025</v>
          </cell>
          <cell r="G318" t="str">
            <v>'12082025</v>
          </cell>
          <cell r="H318" t="str">
            <v>12/08/2025</v>
          </cell>
        </row>
        <row r="319">
          <cell r="E319" t="str">
            <v>KF01E1947744</v>
          </cell>
          <cell r="F319" t="str">
            <v>'18082025</v>
          </cell>
          <cell r="G319" t="str">
            <v>'15082025</v>
          </cell>
          <cell r="H319" t="str">
            <v>15/08/2025</v>
          </cell>
        </row>
        <row r="320">
          <cell r="E320" t="str">
            <v>KF01E1949054</v>
          </cell>
          <cell r="F320" t="str">
            <v>'27082025</v>
          </cell>
          <cell r="G320" t="str">
            <v>'26082025</v>
          </cell>
          <cell r="H320" t="str">
            <v>26/08/2025</v>
          </cell>
        </row>
        <row r="321">
          <cell r="E321" t="str">
            <v>KF01E1949345</v>
          </cell>
          <cell r="F321" t="str">
            <v>'27082025</v>
          </cell>
          <cell r="G321" t="str">
            <v>'25082025</v>
          </cell>
          <cell r="H321" t="str">
            <v>25/08/2025</v>
          </cell>
        </row>
        <row r="322">
          <cell r="E322" t="str">
            <v>KF01E1950767</v>
          </cell>
          <cell r="F322" t="str">
            <v>'25082025</v>
          </cell>
          <cell r="G322" t="str">
            <v>'23082025</v>
          </cell>
          <cell r="H322" t="str">
            <v>23/08/2025</v>
          </cell>
        </row>
        <row r="323">
          <cell r="E323" t="str">
            <v>KF81E1367023</v>
          </cell>
          <cell r="F323" t="str">
            <v>'11102024</v>
          </cell>
          <cell r="G323" t="str">
            <v>'10102024</v>
          </cell>
          <cell r="H323" t="str">
            <v>10/10/2024</v>
          </cell>
        </row>
        <row r="324">
          <cell r="E324" t="str">
            <v>KF81E1408253</v>
          </cell>
          <cell r="F324" t="str">
            <v>'01112024</v>
          </cell>
          <cell r="G324" t="str">
            <v>'31102024</v>
          </cell>
          <cell r="H324" t="str">
            <v>31/10/2024</v>
          </cell>
        </row>
        <row r="325">
          <cell r="E325" t="str">
            <v>KFA1E1280857</v>
          </cell>
          <cell r="F325" t="str">
            <v>'12022025</v>
          </cell>
          <cell r="G325" t="str">
            <v>'10022025</v>
          </cell>
          <cell r="H325" t="str">
            <v>10/02/2025</v>
          </cell>
        </row>
        <row r="326">
          <cell r="E326" t="str">
            <v>KFA1E1284265</v>
          </cell>
          <cell r="F326" t="str">
            <v>'07022025</v>
          </cell>
          <cell r="G326" t="str">
            <v>'04022025</v>
          </cell>
          <cell r="H326" t="str">
            <v>04/02/2025</v>
          </cell>
        </row>
        <row r="327">
          <cell r="E327" t="str">
            <v>KFA1E1285890</v>
          </cell>
          <cell r="F327" t="str">
            <v>'15022025</v>
          </cell>
          <cell r="G327" t="str">
            <v>'11022025</v>
          </cell>
          <cell r="H327" t="str">
            <v>11/02/2025</v>
          </cell>
        </row>
        <row r="328">
          <cell r="E328" t="str">
            <v>KFA1E1309110</v>
          </cell>
          <cell r="F328" t="str">
            <v>'12082025</v>
          </cell>
          <cell r="G328" t="str">
            <v>'11082025</v>
          </cell>
          <cell r="H328" t="str">
            <v>11/08/2025</v>
          </cell>
        </row>
        <row r="329">
          <cell r="E329" t="str">
            <v>KFA1E1312197</v>
          </cell>
          <cell r="F329" t="str">
            <v>'07082025</v>
          </cell>
          <cell r="G329" t="str">
            <v>'07082025</v>
          </cell>
          <cell r="H329" t="str">
            <v>07/08/2025</v>
          </cell>
        </row>
        <row r="330">
          <cell r="E330" t="str">
            <v>KFA1E1312306</v>
          </cell>
          <cell r="F330" t="str">
            <v>'23062025</v>
          </cell>
          <cell r="G330" t="str">
            <v>'17062025</v>
          </cell>
          <cell r="H330" t="str">
            <v>17/06/2025</v>
          </cell>
        </row>
        <row r="331">
          <cell r="E331" t="str">
            <v>KFA1E1325252</v>
          </cell>
          <cell r="F331" t="str">
            <v>'12082025</v>
          </cell>
          <cell r="G331" t="str">
            <v>'11082025</v>
          </cell>
          <cell r="H331" t="str">
            <v>11/08/2025</v>
          </cell>
        </row>
        <row r="332">
          <cell r="E332" t="str">
            <v>KFA1E1325429</v>
          </cell>
          <cell r="F332" t="str">
            <v>'09082025</v>
          </cell>
          <cell r="G332" t="str">
            <v>'08082025</v>
          </cell>
          <cell r="H332" t="str">
            <v>08/08/2025</v>
          </cell>
        </row>
        <row r="333">
          <cell r="E333" t="str">
            <v>KFA1E1325973</v>
          </cell>
          <cell r="F333" t="str">
            <v>'18082025</v>
          </cell>
          <cell r="G333" t="str">
            <v>'15082025</v>
          </cell>
          <cell r="H333" t="str">
            <v>15/08/2025</v>
          </cell>
        </row>
        <row r="334">
          <cell r="E334" t="str">
            <v>KFA1E1328376</v>
          </cell>
          <cell r="F334" t="str">
            <v>'25082025</v>
          </cell>
          <cell r="G334" t="str">
            <v>'21082025</v>
          </cell>
          <cell r="H334" t="str">
            <v>21/08/2025</v>
          </cell>
        </row>
        <row r="335">
          <cell r="E335" t="str">
            <v>KFC1E1100332</v>
          </cell>
          <cell r="F335" t="str">
            <v>'04022025</v>
          </cell>
          <cell r="G335" t="str">
            <v>'31012025</v>
          </cell>
          <cell r="H335" t="str">
            <v>31/01/2025</v>
          </cell>
        </row>
        <row r="336">
          <cell r="E336" t="str">
            <v>KFC1E1102072</v>
          </cell>
          <cell r="F336" t="str">
            <v>'20022025</v>
          </cell>
          <cell r="G336" t="str">
            <v>'16022025</v>
          </cell>
          <cell r="H336" t="str">
            <v>16/02/2025</v>
          </cell>
        </row>
        <row r="337">
          <cell r="E337" t="str">
            <v>KFC1E1104687</v>
          </cell>
          <cell r="F337" t="str">
            <v>'20022025</v>
          </cell>
          <cell r="G337" t="str">
            <v>'15022025</v>
          </cell>
          <cell r="H337" t="str">
            <v>15/02/2025</v>
          </cell>
        </row>
        <row r="338">
          <cell r="E338" t="str">
            <v>KFC1E1110276</v>
          </cell>
          <cell r="F338" t="str">
            <v>'05032025</v>
          </cell>
          <cell r="G338" t="str">
            <v>'27022025</v>
          </cell>
          <cell r="H338" t="str">
            <v>27/02/2025</v>
          </cell>
        </row>
        <row r="339">
          <cell r="E339" t="str">
            <v>KFC1E1127702</v>
          </cell>
          <cell r="F339" t="str">
            <v>'28042025</v>
          </cell>
          <cell r="G339" t="str">
            <v>'26042025</v>
          </cell>
          <cell r="H339" t="str">
            <v>26/04/2025</v>
          </cell>
        </row>
        <row r="340">
          <cell r="E340" t="str">
            <v>KFC1E1143722</v>
          </cell>
          <cell r="F340" t="str">
            <v>'16062025</v>
          </cell>
          <cell r="G340" t="str">
            <v>'10062025</v>
          </cell>
          <cell r="H340" t="str">
            <v>10/06/2025</v>
          </cell>
        </row>
        <row r="341">
          <cell r="E341" t="str">
            <v>KFC1E1146163</v>
          </cell>
          <cell r="F341" t="str">
            <v>'07072025</v>
          </cell>
          <cell r="G341" t="str">
            <v>'26062025</v>
          </cell>
          <cell r="H341" t="str">
            <v>26/06/2025</v>
          </cell>
        </row>
        <row r="342">
          <cell r="E342" t="str">
            <v>KFC1E1169184</v>
          </cell>
          <cell r="F342" t="str">
            <v>'14082025</v>
          </cell>
          <cell r="G342" t="str">
            <v>'13082025</v>
          </cell>
          <cell r="H342" t="str">
            <v>13/08/2025</v>
          </cell>
        </row>
        <row r="343">
          <cell r="E343" t="str">
            <v>KFC1E1169200</v>
          </cell>
          <cell r="F343" t="str">
            <v>'08082025</v>
          </cell>
          <cell r="G343" t="str">
            <v>'08082025</v>
          </cell>
          <cell r="H343" t="str">
            <v>08/08/2025</v>
          </cell>
        </row>
        <row r="344">
          <cell r="E344" t="str">
            <v>KFC1E1169676</v>
          </cell>
          <cell r="F344" t="str">
            <v>'11082025</v>
          </cell>
          <cell r="G344" t="str">
            <v>'10082025</v>
          </cell>
          <cell r="H344" t="str">
            <v>10/08/2025</v>
          </cell>
        </row>
        <row r="345">
          <cell r="E345" t="str">
            <v>KFC1E1170823</v>
          </cell>
          <cell r="F345" t="str">
            <v>'20082025</v>
          </cell>
          <cell r="G345" t="str">
            <v>'20082025</v>
          </cell>
          <cell r="H345" t="str">
            <v>20/08/2025</v>
          </cell>
        </row>
        <row r="346">
          <cell r="E346" t="str">
            <v>KFC1E1180562</v>
          </cell>
          <cell r="F346" t="str">
            <v>'28082025</v>
          </cell>
          <cell r="G346" t="str">
            <v>'28082025</v>
          </cell>
          <cell r="H346" t="str">
            <v>28/08/2025</v>
          </cell>
        </row>
        <row r="347">
          <cell r="E347" t="str">
            <v>KFD1E1072118</v>
          </cell>
          <cell r="F347" t="str">
            <v>'30012025</v>
          </cell>
          <cell r="G347" t="str">
            <v>'27012025</v>
          </cell>
          <cell r="H347" t="str">
            <v>27/01/2025</v>
          </cell>
        </row>
        <row r="348">
          <cell r="E348" t="str">
            <v>KFD1E1084768</v>
          </cell>
          <cell r="F348" t="str">
            <v>'10022025</v>
          </cell>
          <cell r="G348" t="str">
            <v>'07022025</v>
          </cell>
          <cell r="H348" t="str">
            <v>07/02/2025</v>
          </cell>
        </row>
        <row r="349">
          <cell r="E349" t="str">
            <v>KFD1E1086884</v>
          </cell>
          <cell r="F349" t="str">
            <v>'24022025</v>
          </cell>
          <cell r="G349" t="str">
            <v>'19022025</v>
          </cell>
          <cell r="H349" t="str">
            <v>19/02/2025</v>
          </cell>
        </row>
        <row r="350">
          <cell r="E350" t="str">
            <v>KFD1E1087791</v>
          </cell>
          <cell r="F350" t="str">
            <v>'04032025</v>
          </cell>
          <cell r="G350" t="str">
            <v>'26022025</v>
          </cell>
          <cell r="H350" t="str">
            <v>26/02/2025</v>
          </cell>
        </row>
        <row r="351">
          <cell r="E351" t="str">
            <v>KFD1E1120139</v>
          </cell>
          <cell r="F351" t="str">
            <v>'18062025</v>
          </cell>
          <cell r="G351" t="str">
            <v>'14062025</v>
          </cell>
          <cell r="H351" t="str">
            <v>14/06/2025</v>
          </cell>
        </row>
        <row r="352">
          <cell r="E352" t="str">
            <v>KFD1E1120967</v>
          </cell>
          <cell r="F352" t="str">
            <v>'11062025</v>
          </cell>
          <cell r="G352" t="str">
            <v>'05062025</v>
          </cell>
          <cell r="H352" t="str">
            <v>05/06/2025</v>
          </cell>
        </row>
        <row r="353">
          <cell r="E353" t="str">
            <v>KFD1E1121463</v>
          </cell>
          <cell r="F353" t="str">
            <v>'10062025</v>
          </cell>
          <cell r="G353" t="str">
            <v>'03062025</v>
          </cell>
          <cell r="H353" t="str">
            <v>03/06/2025</v>
          </cell>
        </row>
        <row r="354">
          <cell r="E354" t="str">
            <v>KFD1E1125742</v>
          </cell>
          <cell r="F354" t="str">
            <v>'02072025</v>
          </cell>
          <cell r="G354" t="str">
            <v>'23062025</v>
          </cell>
          <cell r="H354" t="str">
            <v>23/06/2025</v>
          </cell>
        </row>
        <row r="355">
          <cell r="E355" t="str">
            <v>KFD1E1131462</v>
          </cell>
          <cell r="F355" t="str">
            <v>'30062025</v>
          </cell>
          <cell r="G355" t="str">
            <v>'22062025</v>
          </cell>
          <cell r="H355" t="str">
            <v>22/06/2025</v>
          </cell>
        </row>
        <row r="356">
          <cell r="E356" t="str">
            <v>KFD1E1142320</v>
          </cell>
          <cell r="F356" t="str">
            <v>'28082025</v>
          </cell>
          <cell r="G356" t="str">
            <v>'28082025</v>
          </cell>
          <cell r="H356" t="str">
            <v>28/08/2025</v>
          </cell>
        </row>
        <row r="357">
          <cell r="E357" t="str">
            <v>KFD1E1143818</v>
          </cell>
          <cell r="F357" t="str">
            <v>'25082025</v>
          </cell>
          <cell r="G357" t="str">
            <v>'22082025</v>
          </cell>
          <cell r="H357" t="str">
            <v>22/08/2025</v>
          </cell>
        </row>
        <row r="358">
          <cell r="E358" t="str">
            <v>KFD1E1144477</v>
          </cell>
          <cell r="F358" t="str">
            <v>'04082025</v>
          </cell>
          <cell r="G358" t="str">
            <v>'02082025</v>
          </cell>
          <cell r="H358" t="str">
            <v>02/08/2025</v>
          </cell>
        </row>
        <row r="359">
          <cell r="E359" t="str">
            <v>KFD1E1146337</v>
          </cell>
          <cell r="F359" t="str">
            <v>'28082025</v>
          </cell>
          <cell r="G359" t="str">
            <v>'28082025</v>
          </cell>
          <cell r="H359" t="str">
            <v>28/08/2025</v>
          </cell>
        </row>
        <row r="360">
          <cell r="E360" t="str">
            <v>KFD1E1151326</v>
          </cell>
          <cell r="F360" t="str">
            <v>'15082025</v>
          </cell>
          <cell r="G360" t="str">
            <v>'14082025</v>
          </cell>
          <cell r="H360" t="str">
            <v>14/08/2025</v>
          </cell>
        </row>
        <row r="361">
          <cell r="E361" t="str">
            <v>KFE1E1101438</v>
          </cell>
          <cell r="F361" t="str">
            <v>'28042025</v>
          </cell>
          <cell r="G361" t="str">
            <v>'17042025</v>
          </cell>
          <cell r="H361" t="str">
            <v>17/04/2025</v>
          </cell>
        </row>
        <row r="362">
          <cell r="E362" t="str">
            <v>KFE1E1146136</v>
          </cell>
          <cell r="F362" t="str">
            <v>'16062025</v>
          </cell>
          <cell r="G362" t="str">
            <v>'10062025</v>
          </cell>
          <cell r="H362" t="str">
            <v>10/06/2025</v>
          </cell>
        </row>
        <row r="363">
          <cell r="E363" t="str">
            <v>KFE1E1171037</v>
          </cell>
          <cell r="F363" t="str">
            <v>'09072025</v>
          </cell>
          <cell r="G363" t="str">
            <v>'30062025</v>
          </cell>
          <cell r="H363" t="str">
            <v>30/06/2025</v>
          </cell>
        </row>
        <row r="364">
          <cell r="E364" t="str">
            <v>KFE1E1219621</v>
          </cell>
          <cell r="F364" t="str">
            <v>'09082025</v>
          </cell>
          <cell r="G364" t="str">
            <v>'08082025</v>
          </cell>
          <cell r="H364" t="str">
            <v>08/08/2025</v>
          </cell>
        </row>
        <row r="365">
          <cell r="E365" t="str">
            <v>KFE1E1221810</v>
          </cell>
          <cell r="F365" t="str">
            <v>'09082025</v>
          </cell>
          <cell r="G365" t="str">
            <v>'08082025</v>
          </cell>
          <cell r="H365" t="str">
            <v>08/08/2025</v>
          </cell>
        </row>
        <row r="366">
          <cell r="E366" t="str">
            <v>KFE1E1225071</v>
          </cell>
          <cell r="F366" t="str">
            <v>'06082025</v>
          </cell>
          <cell r="G366" t="str">
            <v>'06082025</v>
          </cell>
          <cell r="H366" t="str">
            <v>06/08/2025</v>
          </cell>
        </row>
        <row r="367">
          <cell r="E367" t="str">
            <v>KFE1E1226915</v>
          </cell>
          <cell r="F367" t="str">
            <v>'09082025</v>
          </cell>
          <cell r="G367" t="str">
            <v>'08082025</v>
          </cell>
          <cell r="H367" t="str">
            <v>08/08/2025</v>
          </cell>
        </row>
        <row r="368">
          <cell r="E368" t="str">
            <v>KFE1E1226918</v>
          </cell>
          <cell r="F368" t="str">
            <v>'09082025</v>
          </cell>
          <cell r="G368" t="str">
            <v>'08082025</v>
          </cell>
          <cell r="H368" t="str">
            <v>08/08/2025</v>
          </cell>
        </row>
        <row r="369">
          <cell r="E369" t="str">
            <v>KFE1E1253529</v>
          </cell>
          <cell r="F369" t="str">
            <v>'25082025</v>
          </cell>
          <cell r="G369" t="str">
            <v>'22082025</v>
          </cell>
          <cell r="H369" t="str">
            <v>22/08/2025</v>
          </cell>
        </row>
        <row r="370">
          <cell r="E370" t="str">
            <v>KFE1E1254108</v>
          </cell>
          <cell r="F370" t="str">
            <v>'25082025</v>
          </cell>
          <cell r="G370" t="str">
            <v>'23082025</v>
          </cell>
          <cell r="H370" t="str">
            <v>23/08/2025</v>
          </cell>
        </row>
        <row r="371">
          <cell r="E371" t="str">
            <v>KFE1E1255752</v>
          </cell>
          <cell r="F371" t="str">
            <v>'27082025</v>
          </cell>
          <cell r="G371" t="str">
            <v>'25082025</v>
          </cell>
          <cell r="H371" t="str">
            <v>25/08/2025</v>
          </cell>
        </row>
        <row r="372">
          <cell r="E372" t="str">
            <v>KFE1E1262354</v>
          </cell>
          <cell r="F372" t="str">
            <v>'03092025</v>
          </cell>
          <cell r="G372" t="str">
            <v>'31082025</v>
          </cell>
          <cell r="H372" t="str">
            <v>31/08/2025</v>
          </cell>
        </row>
        <row r="373">
          <cell r="E373" t="str">
            <v>KFE2E1051690</v>
          </cell>
          <cell r="F373" t="str">
            <v>'15082025</v>
          </cell>
          <cell r="G373" t="str">
            <v>'14082025</v>
          </cell>
          <cell r="H373" t="str">
            <v>14/08/2025</v>
          </cell>
        </row>
        <row r="374">
          <cell r="E374" t="str">
            <v>KFE2E1058931</v>
          </cell>
          <cell r="F374" t="str">
            <v>'08082025</v>
          </cell>
          <cell r="G374" t="str">
            <v>'08082025</v>
          </cell>
          <cell r="H374" t="str">
            <v>08/08/2025</v>
          </cell>
        </row>
        <row r="375">
          <cell r="E375" t="str">
            <v>KFE3E1039185</v>
          </cell>
          <cell r="F375" t="str">
            <v>'23062025</v>
          </cell>
          <cell r="G375" t="str">
            <v>'17062025</v>
          </cell>
          <cell r="H375" t="str">
            <v>17/06/2025</v>
          </cell>
        </row>
        <row r="376">
          <cell r="E376" t="str">
            <v>KFE3E1061060</v>
          </cell>
          <cell r="F376" t="str">
            <v>'25082025</v>
          </cell>
          <cell r="G376" t="str">
            <v>'22082025</v>
          </cell>
          <cell r="H376" t="str">
            <v>22/08/2025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workbookViewId="0">
      <selection sqref="A1:L1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</row>
    <row r="2" spans="1:12" ht="40.700000000000003" customHeight="1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16.7" customHeight="1" x14ac:dyDescent="0.2">
      <c r="A3" s="33" t="s">
        <v>2</v>
      </c>
      <c r="B3" s="33" t="s">
        <v>3</v>
      </c>
      <c r="C3" s="33" t="s">
        <v>4</v>
      </c>
      <c r="D3" s="33" t="s">
        <v>5</v>
      </c>
      <c r="E3" s="35"/>
      <c r="F3" s="35"/>
      <c r="G3" s="36"/>
      <c r="H3" s="33" t="s">
        <v>6</v>
      </c>
      <c r="I3" s="33" t="s">
        <v>7</v>
      </c>
      <c r="J3" s="33" t="s">
        <v>8</v>
      </c>
      <c r="K3" s="33" t="s">
        <v>9</v>
      </c>
      <c r="L3" s="33" t="s">
        <v>10</v>
      </c>
    </row>
    <row r="4" spans="1:12" ht="17.45" customHeight="1" x14ac:dyDescent="0.2">
      <c r="A4" s="34"/>
      <c r="B4" s="34"/>
      <c r="C4" s="34"/>
      <c r="D4" s="1" t="s">
        <v>11</v>
      </c>
      <c r="E4" s="1" t="s">
        <v>12</v>
      </c>
      <c r="F4" s="1" t="s">
        <v>13</v>
      </c>
      <c r="G4" s="1" t="s">
        <v>14</v>
      </c>
      <c r="H4" s="34"/>
      <c r="I4" s="34"/>
      <c r="J4" s="34"/>
      <c r="K4" s="34"/>
      <c r="L4" s="34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4" t="s">
        <v>23</v>
      </c>
      <c r="J5" s="4" t="s">
        <v>24</v>
      </c>
      <c r="K5" s="4" t="s">
        <v>25</v>
      </c>
      <c r="L5" s="4" t="s">
        <v>26</v>
      </c>
    </row>
    <row r="6" spans="1:12" ht="17.45" customHeight="1" x14ac:dyDescent="0.2">
      <c r="A6" s="2" t="s">
        <v>27</v>
      </c>
      <c r="B6" s="3" t="s">
        <v>28</v>
      </c>
      <c r="C6" s="2" t="s">
        <v>17</v>
      </c>
      <c r="D6" s="2" t="s">
        <v>27</v>
      </c>
      <c r="E6" s="2" t="s">
        <v>27</v>
      </c>
      <c r="F6" s="2" t="s">
        <v>29</v>
      </c>
      <c r="G6" s="2" t="s">
        <v>15</v>
      </c>
      <c r="H6" s="2" t="s">
        <v>20</v>
      </c>
      <c r="I6" s="4" t="s">
        <v>30</v>
      </c>
      <c r="J6" s="4" t="s">
        <v>31</v>
      </c>
      <c r="K6" s="4" t="s">
        <v>32</v>
      </c>
      <c r="L6" s="4" t="s">
        <v>26</v>
      </c>
    </row>
    <row r="7" spans="1:12" ht="17.45" customHeight="1" x14ac:dyDescent="0.2">
      <c r="A7" s="2" t="s">
        <v>33</v>
      </c>
      <c r="B7" s="3" t="s">
        <v>34</v>
      </c>
      <c r="C7" s="2" t="s">
        <v>17</v>
      </c>
      <c r="D7" s="2" t="s">
        <v>20</v>
      </c>
      <c r="E7" s="2" t="s">
        <v>29</v>
      </c>
      <c r="F7" s="2" t="s">
        <v>29</v>
      </c>
      <c r="G7" s="2" t="s">
        <v>29</v>
      </c>
      <c r="H7" s="2" t="s">
        <v>20</v>
      </c>
      <c r="I7" s="4" t="s">
        <v>35</v>
      </c>
      <c r="J7" s="4" t="s">
        <v>36</v>
      </c>
      <c r="K7" s="4" t="s">
        <v>37</v>
      </c>
      <c r="L7" s="4" t="s">
        <v>26</v>
      </c>
    </row>
    <row r="8" spans="1:12" ht="16.7" customHeight="1" x14ac:dyDescent="0.2">
      <c r="A8" s="2" t="s">
        <v>38</v>
      </c>
      <c r="B8" s="3" t="s">
        <v>39</v>
      </c>
      <c r="C8" s="2" t="s">
        <v>17</v>
      </c>
      <c r="D8" s="2" t="s">
        <v>40</v>
      </c>
      <c r="E8" s="2" t="s">
        <v>38</v>
      </c>
      <c r="F8" s="2" t="s">
        <v>27</v>
      </c>
      <c r="G8" s="2" t="s">
        <v>29</v>
      </c>
      <c r="H8" s="2" t="s">
        <v>41</v>
      </c>
      <c r="I8" s="4" t="s">
        <v>42</v>
      </c>
      <c r="J8" s="4" t="s">
        <v>43</v>
      </c>
      <c r="K8" s="4" t="s">
        <v>44</v>
      </c>
      <c r="L8" s="4" t="s">
        <v>26</v>
      </c>
    </row>
    <row r="9" spans="1:12" ht="17.45" customHeight="1" x14ac:dyDescent="0.2">
      <c r="A9" s="2" t="s">
        <v>20</v>
      </c>
      <c r="B9" s="3" t="s">
        <v>45</v>
      </c>
      <c r="C9" s="2" t="s">
        <v>17</v>
      </c>
      <c r="D9" s="2" t="s">
        <v>46</v>
      </c>
      <c r="E9" s="2" t="s">
        <v>21</v>
      </c>
      <c r="F9" s="2" t="s">
        <v>38</v>
      </c>
      <c r="G9" s="2" t="s">
        <v>27</v>
      </c>
      <c r="H9" s="2" t="s">
        <v>47</v>
      </c>
      <c r="I9" s="4" t="s">
        <v>48</v>
      </c>
      <c r="J9" s="4" t="s">
        <v>49</v>
      </c>
      <c r="K9" s="4" t="s">
        <v>50</v>
      </c>
      <c r="L9" s="4" t="s">
        <v>26</v>
      </c>
    </row>
    <row r="10" spans="1:12" ht="17.45" customHeight="1" x14ac:dyDescent="0.2">
      <c r="A10" s="2" t="s">
        <v>21</v>
      </c>
      <c r="B10" s="3" t="s">
        <v>51</v>
      </c>
      <c r="C10" s="2" t="s">
        <v>17</v>
      </c>
      <c r="D10" s="2" t="s">
        <v>52</v>
      </c>
      <c r="E10" s="2" t="s">
        <v>53</v>
      </c>
      <c r="F10" s="2" t="s">
        <v>46</v>
      </c>
      <c r="G10" s="2" t="s">
        <v>20</v>
      </c>
      <c r="H10" s="2" t="s">
        <v>54</v>
      </c>
      <c r="I10" s="4" t="s">
        <v>55</v>
      </c>
      <c r="J10" s="4" t="s">
        <v>56</v>
      </c>
      <c r="K10" s="4" t="s">
        <v>57</v>
      </c>
      <c r="L10" s="4" t="s">
        <v>26</v>
      </c>
    </row>
    <row r="11" spans="1:12" ht="16.7" customHeight="1" x14ac:dyDescent="0.2">
      <c r="A11" s="2" t="s">
        <v>58</v>
      </c>
      <c r="B11" s="3" t="s">
        <v>59</v>
      </c>
      <c r="C11" s="2" t="s">
        <v>17</v>
      </c>
      <c r="D11" s="2" t="s">
        <v>46</v>
      </c>
      <c r="E11" s="2" t="s">
        <v>60</v>
      </c>
      <c r="F11" s="2" t="s">
        <v>60</v>
      </c>
      <c r="G11" s="2" t="s">
        <v>29</v>
      </c>
      <c r="H11" s="2" t="s">
        <v>61</v>
      </c>
      <c r="I11" s="4" t="s">
        <v>62</v>
      </c>
      <c r="J11" s="4" t="s">
        <v>63</v>
      </c>
      <c r="K11" s="4" t="s">
        <v>64</v>
      </c>
      <c r="L11" s="4" t="s">
        <v>26</v>
      </c>
    </row>
    <row r="12" spans="1:12" ht="17.45" customHeight="1" x14ac:dyDescent="0.2">
      <c r="A12" s="2" t="s">
        <v>60</v>
      </c>
      <c r="B12" s="3" t="s">
        <v>65</v>
      </c>
      <c r="C12" s="2" t="s">
        <v>17</v>
      </c>
      <c r="D12" s="2" t="s">
        <v>20</v>
      </c>
      <c r="E12" s="2" t="s">
        <v>60</v>
      </c>
      <c r="F12" s="2" t="s">
        <v>15</v>
      </c>
      <c r="G12" s="2" t="s">
        <v>15</v>
      </c>
      <c r="H12" s="2" t="s">
        <v>66</v>
      </c>
      <c r="I12" s="4" t="s">
        <v>67</v>
      </c>
      <c r="J12" s="4" t="s">
        <v>68</v>
      </c>
      <c r="K12" s="4" t="s">
        <v>69</v>
      </c>
      <c r="L12" s="4" t="s">
        <v>26</v>
      </c>
    </row>
    <row r="13" spans="1:12" ht="16.7" customHeight="1" x14ac:dyDescent="0.2">
      <c r="A13" s="2" t="s">
        <v>70</v>
      </c>
      <c r="B13" s="3" t="s">
        <v>71</v>
      </c>
      <c r="C13" s="2" t="s">
        <v>17</v>
      </c>
      <c r="D13" s="2" t="s">
        <v>29</v>
      </c>
      <c r="E13" s="2" t="s">
        <v>15</v>
      </c>
      <c r="F13" s="2" t="s">
        <v>29</v>
      </c>
      <c r="G13" s="2" t="s">
        <v>29</v>
      </c>
      <c r="H13" s="2" t="s">
        <v>15</v>
      </c>
      <c r="I13" s="4" t="s">
        <v>72</v>
      </c>
      <c r="J13" s="4" t="s">
        <v>29</v>
      </c>
      <c r="K13" s="4" t="s">
        <v>72</v>
      </c>
      <c r="L13" s="4" t="s">
        <v>26</v>
      </c>
    </row>
    <row r="14" spans="1:12" ht="17.45" customHeight="1" x14ac:dyDescent="0.2">
      <c r="A14" s="2" t="s">
        <v>46</v>
      </c>
      <c r="B14" s="3" t="s">
        <v>73</v>
      </c>
      <c r="C14" s="2" t="s">
        <v>17</v>
      </c>
      <c r="D14" s="2" t="s">
        <v>74</v>
      </c>
      <c r="E14" s="2" t="s">
        <v>61</v>
      </c>
      <c r="F14" s="2" t="s">
        <v>75</v>
      </c>
      <c r="G14" s="2" t="s">
        <v>20</v>
      </c>
      <c r="H14" s="2" t="s">
        <v>76</v>
      </c>
      <c r="I14" s="4" t="s">
        <v>77</v>
      </c>
      <c r="J14" s="4" t="s">
        <v>78</v>
      </c>
      <c r="K14" s="4" t="s">
        <v>79</v>
      </c>
      <c r="L14" s="4" t="s">
        <v>26</v>
      </c>
    </row>
    <row r="15" spans="1:12" ht="17.45" customHeight="1" x14ac:dyDescent="0.2">
      <c r="A15" s="2" t="s">
        <v>80</v>
      </c>
      <c r="B15" s="3" t="s">
        <v>81</v>
      </c>
      <c r="C15" s="2" t="s">
        <v>17</v>
      </c>
      <c r="D15" s="2" t="s">
        <v>66</v>
      </c>
      <c r="E15" s="2" t="s">
        <v>60</v>
      </c>
      <c r="F15" s="2" t="s">
        <v>58</v>
      </c>
      <c r="G15" s="2" t="s">
        <v>29</v>
      </c>
      <c r="H15" s="2" t="s">
        <v>82</v>
      </c>
      <c r="I15" s="4" t="s">
        <v>83</v>
      </c>
      <c r="J15" s="4" t="s">
        <v>84</v>
      </c>
      <c r="K15" s="4" t="s">
        <v>85</v>
      </c>
      <c r="L15" s="4" t="s">
        <v>26</v>
      </c>
    </row>
    <row r="16" spans="1:12" ht="16.7" customHeight="1" x14ac:dyDescent="0.2">
      <c r="A16" s="2" t="s">
        <v>40</v>
      </c>
      <c r="B16" s="3" t="s">
        <v>86</v>
      </c>
      <c r="C16" s="2" t="s">
        <v>17</v>
      </c>
      <c r="D16" s="2" t="s">
        <v>87</v>
      </c>
      <c r="E16" s="2" t="s">
        <v>58</v>
      </c>
      <c r="F16" s="2" t="s">
        <v>27</v>
      </c>
      <c r="G16" s="2" t="s">
        <v>20</v>
      </c>
      <c r="H16" s="2" t="s">
        <v>82</v>
      </c>
      <c r="I16" s="4" t="s">
        <v>88</v>
      </c>
      <c r="J16" s="4" t="s">
        <v>89</v>
      </c>
      <c r="K16" s="4" t="s">
        <v>90</v>
      </c>
      <c r="L16" s="4" t="s">
        <v>26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76"/>
  <sheetViews>
    <sheetView zoomScale="120" zoomScaleNormal="120" workbookViewId="0">
      <selection activeCell="H8" sqref="H8"/>
    </sheetView>
  </sheetViews>
  <sheetFormatPr defaultRowHeight="12.75" x14ac:dyDescent="0.2"/>
  <cols>
    <col min="1" max="1" width="15" customWidth="1"/>
    <col min="2" max="2" width="8.140625" customWidth="1"/>
    <col min="3" max="4" width="11.28515625" customWidth="1"/>
    <col min="5" max="5" width="7.140625" customWidth="1"/>
  </cols>
  <sheetData>
    <row r="1" spans="1:13" ht="16.7" customHeight="1" x14ac:dyDescent="0.2">
      <c r="A1" s="1" t="s">
        <v>91</v>
      </c>
      <c r="B1" s="5" t="s">
        <v>92</v>
      </c>
      <c r="C1" s="5" t="s">
        <v>93</v>
      </c>
      <c r="D1" s="5" t="s">
        <v>94</v>
      </c>
      <c r="E1" s="1" t="s">
        <v>95</v>
      </c>
      <c r="F1" s="11" t="s">
        <v>962</v>
      </c>
      <c r="G1" s="11" t="s">
        <v>96</v>
      </c>
      <c r="H1" s="11" t="s">
        <v>963</v>
      </c>
      <c r="I1" s="12" t="s">
        <v>964</v>
      </c>
      <c r="J1" s="12" t="s">
        <v>93</v>
      </c>
      <c r="K1" s="12" t="s">
        <v>965</v>
      </c>
      <c r="L1" s="12" t="s">
        <v>966</v>
      </c>
      <c r="M1" s="11" t="s">
        <v>967</v>
      </c>
    </row>
    <row r="2" spans="1:13" x14ac:dyDescent="0.2">
      <c r="A2" s="20" t="s">
        <v>349</v>
      </c>
      <c r="B2" s="2" t="s">
        <v>15</v>
      </c>
      <c r="C2" s="2" t="s">
        <v>160</v>
      </c>
      <c r="D2" s="2" t="s">
        <v>350</v>
      </c>
      <c r="E2" s="17" t="s">
        <v>351</v>
      </c>
      <c r="G2" s="18" t="str">
        <f t="shared" ref="G2:G65" si="0">LEFT(A2,5)</f>
        <v>JBK3E</v>
      </c>
      <c r="H2" s="11" t="str">
        <f>VLOOKUP($A2,[1]Sheet2!$I$2:$O$544,7,FALSE)</f>
        <v>https://hana.modakita.com/azd942/avatar/23773820251028092207VKIPWA.jpg</v>
      </c>
      <c r="I2" s="12">
        <f t="shared" ref="I2:I65" si="1">D2-C2</f>
        <v>60</v>
      </c>
      <c r="J2" s="12" t="str">
        <f t="shared" ref="J2:J65" si="2">LEFT(C2,2)</f>
        <v>29</v>
      </c>
      <c r="K2" s="12" t="str">
        <f t="shared" ref="K2:K65" si="3">MID(C2,4,2)</f>
        <v>08</v>
      </c>
      <c r="L2" s="12" t="str">
        <f t="shared" ref="L2:L65" si="4">RIGHT(C2,4)</f>
        <v>2025</v>
      </c>
      <c r="M2" s="12">
        <f t="shared" ref="M2:M65" si="5">LEN(A2)</f>
        <v>12</v>
      </c>
    </row>
    <row r="3" spans="1:13" x14ac:dyDescent="0.2">
      <c r="A3" s="23" t="s">
        <v>501</v>
      </c>
      <c r="B3" s="2" t="s">
        <v>38</v>
      </c>
      <c r="C3" s="2" t="s">
        <v>502</v>
      </c>
      <c r="D3" s="2" t="s">
        <v>164</v>
      </c>
      <c r="E3" s="2" t="s">
        <v>503</v>
      </c>
      <c r="F3" t="s">
        <v>972</v>
      </c>
      <c r="G3" t="str">
        <f t="shared" si="0"/>
        <v>JM03E</v>
      </c>
      <c r="H3" s="11" t="str">
        <f>VLOOKUP($A3,[1]Sheet2!$I$2:$O$544,7,FALSE)</f>
        <v>https://hana.modakita.com/azd942/avatar/23773820251021142813CNC4PU.jpg</v>
      </c>
      <c r="I3" s="12">
        <f t="shared" si="1"/>
        <v>360</v>
      </c>
      <c r="J3" s="12" t="str">
        <f t="shared" si="2"/>
        <v>26</v>
      </c>
      <c r="K3" s="12" t="str">
        <f t="shared" si="3"/>
        <v>10</v>
      </c>
      <c r="L3" s="12" t="str">
        <f t="shared" si="4"/>
        <v>2024</v>
      </c>
      <c r="M3" s="12">
        <f t="shared" si="5"/>
        <v>12</v>
      </c>
    </row>
    <row r="4" spans="1:13" x14ac:dyDescent="0.2">
      <c r="A4" s="20" t="s">
        <v>388</v>
      </c>
      <c r="B4" s="2" t="s">
        <v>15</v>
      </c>
      <c r="C4" s="2" t="s">
        <v>124</v>
      </c>
      <c r="D4" s="2" t="s">
        <v>179</v>
      </c>
      <c r="E4" s="17" t="s">
        <v>389</v>
      </c>
      <c r="G4" s="18" t="str">
        <f t="shared" si="0"/>
        <v>JMH2E</v>
      </c>
      <c r="H4" s="11" t="str">
        <f>VLOOKUP($A4,[1]Sheet2!$I$2:$O$544,7,FALSE)</f>
        <v>https://fruitbasket.blob.core.windows.net/gk2o5k/avatar/21394210620251004093806LQR4SC.jpg</v>
      </c>
      <c r="I4" s="12">
        <f t="shared" si="1"/>
        <v>63</v>
      </c>
      <c r="J4" s="12" t="str">
        <f t="shared" si="2"/>
        <v>02</v>
      </c>
      <c r="K4" s="12" t="str">
        <f t="shared" si="3"/>
        <v>08</v>
      </c>
      <c r="L4" s="12" t="str">
        <f t="shared" si="4"/>
        <v>2025</v>
      </c>
      <c r="M4" s="12">
        <f t="shared" si="5"/>
        <v>12</v>
      </c>
    </row>
    <row r="5" spans="1:13" x14ac:dyDescent="0.2">
      <c r="A5" s="23" t="s">
        <v>433</v>
      </c>
      <c r="B5" s="2" t="s">
        <v>15</v>
      </c>
      <c r="C5" s="2" t="s">
        <v>163</v>
      </c>
      <c r="D5" s="2" t="s">
        <v>164</v>
      </c>
      <c r="E5" s="2" t="s">
        <v>434</v>
      </c>
      <c r="F5" s="19" t="s">
        <v>974</v>
      </c>
      <c r="G5" t="str">
        <f t="shared" si="0"/>
        <v>JMH1E</v>
      </c>
      <c r="H5" s="11" t="str">
        <f>VLOOKUP($A5,[1]Sheet2!$I$2:$O$544,7,FALSE)</f>
        <v>https://hana.modakita.com/azd942/avatar/23773820251021092747DOFXIH.jpg</v>
      </c>
      <c r="I5" s="12">
        <f t="shared" si="1"/>
        <v>57</v>
      </c>
      <c r="J5" s="12" t="str">
        <f t="shared" si="2"/>
        <v>25</v>
      </c>
      <c r="K5" s="12" t="str">
        <f t="shared" si="3"/>
        <v>08</v>
      </c>
      <c r="L5" s="12" t="str">
        <f t="shared" si="4"/>
        <v>2025</v>
      </c>
      <c r="M5" s="12">
        <f t="shared" si="5"/>
        <v>12</v>
      </c>
    </row>
    <row r="6" spans="1:13" x14ac:dyDescent="0.2">
      <c r="A6" s="23" t="s">
        <v>435</v>
      </c>
      <c r="B6" s="2" t="s">
        <v>15</v>
      </c>
      <c r="C6" s="2" t="s">
        <v>167</v>
      </c>
      <c r="D6" s="2" t="s">
        <v>168</v>
      </c>
      <c r="E6" s="2" t="s">
        <v>434</v>
      </c>
      <c r="F6" s="19" t="s">
        <v>974</v>
      </c>
      <c r="G6" t="str">
        <f t="shared" si="0"/>
        <v>JMH1E</v>
      </c>
      <c r="H6" s="11" t="str">
        <f>VLOOKUP($A6,[1]Sheet2!$I$2:$O$544,7,FALSE)</f>
        <v>https://hana.modakita.com/azd942/avatar/23773820251022141040EN5GXE.jpg</v>
      </c>
      <c r="I6" s="12">
        <f t="shared" si="1"/>
        <v>53</v>
      </c>
      <c r="J6" s="12" t="str">
        <f t="shared" si="2"/>
        <v>30</v>
      </c>
      <c r="K6" s="12" t="str">
        <f t="shared" si="3"/>
        <v>08</v>
      </c>
      <c r="L6" s="12" t="str">
        <f t="shared" si="4"/>
        <v>2025</v>
      </c>
      <c r="M6" s="12">
        <f t="shared" si="5"/>
        <v>12</v>
      </c>
    </row>
    <row r="7" spans="1:13" x14ac:dyDescent="0.2">
      <c r="A7" s="20" t="s">
        <v>687</v>
      </c>
      <c r="B7" s="2" t="s">
        <v>15</v>
      </c>
      <c r="C7" s="2" t="s">
        <v>160</v>
      </c>
      <c r="D7" s="2" t="s">
        <v>168</v>
      </c>
      <c r="E7" s="17" t="s">
        <v>688</v>
      </c>
      <c r="G7" s="18" t="str">
        <f t="shared" si="0"/>
        <v>JMC1E</v>
      </c>
      <c r="H7" s="11" t="str">
        <f>VLOOKUP($A7,[1]Sheet2!$I$2:$O$544,7,FALSE)</f>
        <v>https://hana.modakita.com/azd942/avatar/23773820251022114633DO1SJO.jpg</v>
      </c>
      <c r="I7" s="12">
        <f t="shared" si="1"/>
        <v>54</v>
      </c>
      <c r="J7" s="12" t="str">
        <f t="shared" si="2"/>
        <v>29</v>
      </c>
      <c r="K7" s="12" t="str">
        <f t="shared" si="3"/>
        <v>08</v>
      </c>
      <c r="L7" s="12" t="str">
        <f t="shared" si="4"/>
        <v>2025</v>
      </c>
      <c r="M7" s="12">
        <f t="shared" si="5"/>
        <v>12</v>
      </c>
    </row>
    <row r="8" spans="1:13" x14ac:dyDescent="0.2">
      <c r="A8" s="20" t="s">
        <v>655</v>
      </c>
      <c r="B8" s="2" t="s">
        <v>15</v>
      </c>
      <c r="C8" s="2" t="s">
        <v>146</v>
      </c>
      <c r="D8" s="2" t="s">
        <v>458</v>
      </c>
      <c r="E8" s="17" t="s">
        <v>656</v>
      </c>
      <c r="G8" s="18" t="str">
        <f t="shared" si="0"/>
        <v>JMC1E</v>
      </c>
      <c r="H8" s="11" t="str">
        <f>VLOOKUP($A8,[1]Sheet2!$I$2:$O$544,7,FALSE)</f>
        <v>https://hana.modakita.com/azd942/avatar/21063208420251016152654VLY4XG.jpg</v>
      </c>
      <c r="I8" s="12">
        <f t="shared" si="1"/>
        <v>57</v>
      </c>
      <c r="J8" s="12" t="str">
        <f t="shared" si="2"/>
        <v>20</v>
      </c>
      <c r="K8" s="12" t="str">
        <f t="shared" si="3"/>
        <v>08</v>
      </c>
      <c r="L8" s="12" t="str">
        <f t="shared" si="4"/>
        <v>2025</v>
      </c>
      <c r="M8" s="12">
        <f t="shared" si="5"/>
        <v>12</v>
      </c>
    </row>
    <row r="9" spans="1:13" x14ac:dyDescent="0.2">
      <c r="A9" s="20" t="s">
        <v>106</v>
      </c>
      <c r="B9" s="2" t="s">
        <v>15</v>
      </c>
      <c r="C9" s="2" t="s">
        <v>107</v>
      </c>
      <c r="D9" s="2" t="s">
        <v>104</v>
      </c>
      <c r="E9" s="17" t="s">
        <v>108</v>
      </c>
      <c r="G9" s="18" t="str">
        <f t="shared" si="0"/>
        <v>JMG1E</v>
      </c>
      <c r="H9" s="11" t="str">
        <f>VLOOKUP($A9,[1]Sheet2!$I$2:$O$544,7,FALSE)</f>
        <v>https://fruitbasket.blob.core.windows.net/gk2o5k/avatar/21063208420251006115116BYOVXX.jpg</v>
      </c>
      <c r="I9" s="12">
        <f t="shared" si="1"/>
        <v>61</v>
      </c>
      <c r="J9" s="12" t="str">
        <f t="shared" si="2"/>
        <v>06</v>
      </c>
      <c r="K9" s="12" t="str">
        <f t="shared" si="3"/>
        <v>08</v>
      </c>
      <c r="L9" s="12" t="str">
        <f t="shared" si="4"/>
        <v>2025</v>
      </c>
      <c r="M9" s="12">
        <f t="shared" si="5"/>
        <v>12</v>
      </c>
    </row>
    <row r="10" spans="1:13" x14ac:dyDescent="0.2">
      <c r="A10" s="20" t="s">
        <v>562</v>
      </c>
      <c r="B10" s="2" t="s">
        <v>15</v>
      </c>
      <c r="C10" s="2" t="s">
        <v>99</v>
      </c>
      <c r="D10" s="2" t="s">
        <v>179</v>
      </c>
      <c r="E10" s="17" t="s">
        <v>108</v>
      </c>
      <c r="G10" s="18" t="str">
        <f t="shared" si="0"/>
        <v>JBP1E</v>
      </c>
      <c r="H10" s="11" t="str">
        <f>VLOOKUP($A10,[1]Sheet2!$I$2:$O$544,7,FALSE)</f>
        <v>https://fruitbasket.blob.core.windows.net/gk2o5k/avatar/21063208420251004152645PB5LWQ.jpg</v>
      </c>
      <c r="I10" s="12">
        <f t="shared" si="1"/>
        <v>64</v>
      </c>
      <c r="J10" s="12" t="str">
        <f t="shared" si="2"/>
        <v>01</v>
      </c>
      <c r="K10" s="12" t="str">
        <f t="shared" si="3"/>
        <v>08</v>
      </c>
      <c r="L10" s="12" t="str">
        <f t="shared" si="4"/>
        <v>2025</v>
      </c>
      <c r="M10" s="12">
        <f t="shared" si="5"/>
        <v>12</v>
      </c>
    </row>
    <row r="11" spans="1:13" x14ac:dyDescent="0.2">
      <c r="A11" s="20" t="s">
        <v>565</v>
      </c>
      <c r="B11" s="2" t="s">
        <v>15</v>
      </c>
      <c r="C11" s="2" t="s">
        <v>290</v>
      </c>
      <c r="D11" s="2" t="s">
        <v>104</v>
      </c>
      <c r="E11" s="17" t="s">
        <v>108</v>
      </c>
      <c r="G11" s="18" t="str">
        <f t="shared" si="0"/>
        <v>JBP1E</v>
      </c>
      <c r="H11" s="11" t="str">
        <f>VLOOKUP($A11,[1]Sheet2!$I$2:$O$544,7,FALSE)</f>
        <v>https://fruitbasket.blob.core.windows.net/gk2o5k/avatar/237738202510060902271RAUVR.jpg</v>
      </c>
      <c r="I11" s="12">
        <f t="shared" si="1"/>
        <v>64</v>
      </c>
      <c r="J11" s="12" t="str">
        <f t="shared" si="2"/>
        <v>03</v>
      </c>
      <c r="K11" s="12" t="str">
        <f t="shared" si="3"/>
        <v>08</v>
      </c>
      <c r="L11" s="12" t="str">
        <f t="shared" si="4"/>
        <v>2025</v>
      </c>
      <c r="M11" s="12">
        <f t="shared" si="5"/>
        <v>12</v>
      </c>
    </row>
    <row r="12" spans="1:13" x14ac:dyDescent="0.2">
      <c r="A12" s="20" t="s">
        <v>598</v>
      </c>
      <c r="B12" s="2" t="s">
        <v>15</v>
      </c>
      <c r="C12" s="2" t="s">
        <v>416</v>
      </c>
      <c r="D12" s="2" t="s">
        <v>113</v>
      </c>
      <c r="E12" s="17" t="s">
        <v>599</v>
      </c>
      <c r="G12" s="18" t="str">
        <f t="shared" si="0"/>
        <v>JMC1E</v>
      </c>
      <c r="H12" s="11" t="str">
        <f>VLOOKUP($A12,[1]Sheet2!$I$2:$O$544,7,FALSE)</f>
        <v>https://fruitbasket.blob.core.windows.net/gk2o5k/avatar/23773820251007085245Z2P2RV.jpg</v>
      </c>
      <c r="I12" s="12">
        <f t="shared" si="1"/>
        <v>63</v>
      </c>
      <c r="J12" s="12" t="str">
        <f t="shared" si="2"/>
        <v>05</v>
      </c>
      <c r="K12" s="12" t="str">
        <f t="shared" si="3"/>
        <v>08</v>
      </c>
      <c r="L12" s="12" t="str">
        <f t="shared" si="4"/>
        <v>2025</v>
      </c>
      <c r="M12" s="12">
        <f t="shared" si="5"/>
        <v>12</v>
      </c>
    </row>
    <row r="13" spans="1:13" x14ac:dyDescent="0.2">
      <c r="A13" s="20" t="s">
        <v>912</v>
      </c>
      <c r="B13" s="2" t="s">
        <v>15</v>
      </c>
      <c r="C13" s="2" t="s">
        <v>134</v>
      </c>
      <c r="D13" s="2" t="s">
        <v>141</v>
      </c>
      <c r="E13" s="17" t="s">
        <v>913</v>
      </c>
      <c r="G13" s="18" t="str">
        <f t="shared" si="0"/>
        <v>KC04E</v>
      </c>
      <c r="H13" s="11" t="str">
        <f>VLOOKUP($A13,[1]Sheet2!$I$2:$O$544,7,FALSE)</f>
        <v>https://hana.modakita.com/azd942/avatar/2106320842025101510535558GNL0.jpg</v>
      </c>
      <c r="I13" s="12">
        <f t="shared" si="1"/>
        <v>61</v>
      </c>
      <c r="J13" s="12" t="str">
        <f t="shared" si="2"/>
        <v>15</v>
      </c>
      <c r="K13" s="12" t="str">
        <f t="shared" si="3"/>
        <v>08</v>
      </c>
      <c r="L13" s="12" t="str">
        <f t="shared" si="4"/>
        <v>2025</v>
      </c>
      <c r="M13" s="12">
        <f t="shared" si="5"/>
        <v>12</v>
      </c>
    </row>
    <row r="14" spans="1:13" x14ac:dyDescent="0.2">
      <c r="A14" s="23" t="s">
        <v>924</v>
      </c>
      <c r="B14" s="2" t="s">
        <v>15</v>
      </c>
      <c r="C14" s="2" t="s">
        <v>150</v>
      </c>
      <c r="D14" s="2" t="s">
        <v>175</v>
      </c>
      <c r="E14" s="2" t="s">
        <v>913</v>
      </c>
      <c r="F14" s="19" t="s">
        <v>971</v>
      </c>
      <c r="G14" t="str">
        <f t="shared" si="0"/>
        <v>KC04E</v>
      </c>
      <c r="H14" s="11" t="str">
        <f>VLOOKUP($A14,[1]Sheet2!$I$2:$O$544,7,FALSE)</f>
        <v>https://hana.modakita.com/azd942/avatar/23773820251024103105SYBAE1.jpg</v>
      </c>
      <c r="I14" s="12">
        <f t="shared" si="1"/>
        <v>67</v>
      </c>
      <c r="J14" s="12" t="str">
        <f t="shared" si="2"/>
        <v>18</v>
      </c>
      <c r="K14" s="12" t="str">
        <f t="shared" si="3"/>
        <v>08</v>
      </c>
      <c r="L14" s="12" t="str">
        <f t="shared" si="4"/>
        <v>2025</v>
      </c>
      <c r="M14" s="12">
        <f t="shared" si="5"/>
        <v>12</v>
      </c>
    </row>
    <row r="15" spans="1:13" x14ac:dyDescent="0.2">
      <c r="A15" s="23" t="s">
        <v>594</v>
      </c>
      <c r="B15" s="2" t="s">
        <v>15</v>
      </c>
      <c r="C15" s="2" t="s">
        <v>290</v>
      </c>
      <c r="D15" s="2" t="s">
        <v>179</v>
      </c>
      <c r="E15" s="17" t="s">
        <v>595</v>
      </c>
      <c r="F15" s="26" t="s">
        <v>978</v>
      </c>
      <c r="G15" s="18" t="str">
        <f t="shared" si="0"/>
        <v>JMC1E</v>
      </c>
      <c r="H15" s="11" t="str">
        <f>VLOOKUP($A15,[1]Sheet2!$I$2:$O$544,7,FALSE)</f>
        <v>https://fruitbasket.blob.core.windows.net/gk2o5k/avatar/23773820251004153224RJXHPZ.jpg</v>
      </c>
      <c r="I15" s="12">
        <f t="shared" si="1"/>
        <v>62</v>
      </c>
      <c r="J15" s="12" t="str">
        <f t="shared" si="2"/>
        <v>03</v>
      </c>
      <c r="K15" s="12" t="str">
        <f t="shared" si="3"/>
        <v>08</v>
      </c>
      <c r="L15" s="12" t="str">
        <f t="shared" si="4"/>
        <v>2025</v>
      </c>
      <c r="M15" s="12">
        <f t="shared" si="5"/>
        <v>12</v>
      </c>
    </row>
    <row r="16" spans="1:13" x14ac:dyDescent="0.2">
      <c r="A16" s="20" t="s">
        <v>671</v>
      </c>
      <c r="B16" s="2" t="s">
        <v>15</v>
      </c>
      <c r="C16" s="2" t="s">
        <v>309</v>
      </c>
      <c r="D16" s="2" t="s">
        <v>216</v>
      </c>
      <c r="E16" s="17" t="s">
        <v>672</v>
      </c>
      <c r="G16" s="18" t="str">
        <f t="shared" si="0"/>
        <v>JMD1E</v>
      </c>
      <c r="H16" s="11" t="str">
        <f>VLOOKUP($A16,[1]Sheet2!$I$2:$O$544,7,FALSE)</f>
        <v>https://hana.modakita.com/azd942/avatar/23773820251020112508E6W8AJ.jpg</v>
      </c>
      <c r="I16" s="12">
        <f t="shared" si="1"/>
        <v>58</v>
      </c>
      <c r="J16" s="12" t="str">
        <f t="shared" si="2"/>
        <v>23</v>
      </c>
      <c r="K16" s="12" t="str">
        <f t="shared" si="3"/>
        <v>08</v>
      </c>
      <c r="L16" s="12" t="str">
        <f t="shared" si="4"/>
        <v>2025</v>
      </c>
      <c r="M16" s="12">
        <f t="shared" si="5"/>
        <v>12</v>
      </c>
    </row>
    <row r="17" spans="1:13" x14ac:dyDescent="0.2">
      <c r="A17" s="23" t="s">
        <v>498</v>
      </c>
      <c r="B17" s="2" t="s">
        <v>38</v>
      </c>
      <c r="C17" s="2" t="s">
        <v>499</v>
      </c>
      <c r="D17" s="2" t="s">
        <v>164</v>
      </c>
      <c r="E17" s="2" t="s">
        <v>500</v>
      </c>
      <c r="F17" t="s">
        <v>972</v>
      </c>
      <c r="G17" t="str">
        <f t="shared" si="0"/>
        <v>JM03E</v>
      </c>
      <c r="H17" s="11" t="str">
        <f>VLOOKUP($A17,[1]Sheet2!$I$2:$O$544,7,FALSE)</f>
        <v>https://hana.modakita.com/azd942/avatar/23773820251021105916X8JRWY.jpg</v>
      </c>
      <c r="I17" s="12">
        <f t="shared" si="1"/>
        <v>365</v>
      </c>
      <c r="J17" s="12" t="str">
        <f t="shared" si="2"/>
        <v>21</v>
      </c>
      <c r="K17" s="12" t="str">
        <f t="shared" si="3"/>
        <v>10</v>
      </c>
      <c r="L17" s="12" t="str">
        <f t="shared" si="4"/>
        <v>2024</v>
      </c>
      <c r="M17" s="12">
        <f t="shared" si="5"/>
        <v>12</v>
      </c>
    </row>
    <row r="18" spans="1:13" x14ac:dyDescent="0.2">
      <c r="A18" s="20" t="s">
        <v>415</v>
      </c>
      <c r="B18" s="2" t="s">
        <v>15</v>
      </c>
      <c r="C18" s="2" t="s">
        <v>416</v>
      </c>
      <c r="D18" s="2" t="s">
        <v>138</v>
      </c>
      <c r="E18" s="17" t="s">
        <v>417</v>
      </c>
      <c r="G18" s="18" t="str">
        <f t="shared" si="0"/>
        <v>JMH2E</v>
      </c>
      <c r="H18" s="11" t="str">
        <f>VLOOKUP($A18,[1]Sheet2!$I$2:$O$544,7,FALSE)</f>
        <v>https://hana.modakita.com/azd942/avatar/23773820251014153050FEKCOQ.jpg</v>
      </c>
      <c r="I18" s="12">
        <f t="shared" si="1"/>
        <v>70</v>
      </c>
      <c r="J18" s="12" t="str">
        <f t="shared" si="2"/>
        <v>05</v>
      </c>
      <c r="K18" s="12" t="str">
        <f t="shared" si="3"/>
        <v>08</v>
      </c>
      <c r="L18" s="12" t="str">
        <f t="shared" si="4"/>
        <v>2025</v>
      </c>
      <c r="M18" s="12">
        <f t="shared" si="5"/>
        <v>12</v>
      </c>
    </row>
    <row r="19" spans="1:13" x14ac:dyDescent="0.2">
      <c r="A19" s="20" t="s">
        <v>607</v>
      </c>
      <c r="B19" s="2" t="s">
        <v>15</v>
      </c>
      <c r="C19" s="2" t="s">
        <v>112</v>
      </c>
      <c r="D19" s="2" t="s">
        <v>113</v>
      </c>
      <c r="E19" s="17" t="s">
        <v>608</v>
      </c>
      <c r="G19" s="18" t="str">
        <f t="shared" si="0"/>
        <v>JMC1E</v>
      </c>
      <c r="H19" s="11" t="str">
        <f>VLOOKUP($A19,[1]Sheet2!$I$2:$O$544,7,FALSE)</f>
        <v>https://fruitbasket.blob.core.windows.net/gk2o5k/avatar/23773820251007132314PH8XXX.jpg</v>
      </c>
      <c r="I19" s="12">
        <f t="shared" si="1"/>
        <v>61</v>
      </c>
      <c r="J19" s="12" t="str">
        <f t="shared" si="2"/>
        <v>07</v>
      </c>
      <c r="K19" s="12" t="str">
        <f t="shared" si="3"/>
        <v>08</v>
      </c>
      <c r="L19" s="12" t="str">
        <f t="shared" si="4"/>
        <v>2025</v>
      </c>
      <c r="M19" s="12">
        <f t="shared" si="5"/>
        <v>12</v>
      </c>
    </row>
    <row r="20" spans="1:13" x14ac:dyDescent="0.2">
      <c r="A20" s="20" t="s">
        <v>829</v>
      </c>
      <c r="B20" s="2" t="s">
        <v>38</v>
      </c>
      <c r="C20" s="2" t="s">
        <v>253</v>
      </c>
      <c r="D20" s="2" t="s">
        <v>128</v>
      </c>
      <c r="E20" s="17" t="s">
        <v>830</v>
      </c>
      <c r="G20" s="18" t="str">
        <f t="shared" si="0"/>
        <v>JMC1E</v>
      </c>
      <c r="H20" s="11" t="str">
        <f>VLOOKUP($A20,[1]Sheet2!$I$2:$O$544,7,FALSE)</f>
        <v>https://hana.modakita.com/azd942/avatar/210632084202510110920359T84XU.jpg</v>
      </c>
      <c r="I20" s="12">
        <f t="shared" si="1"/>
        <v>364</v>
      </c>
      <c r="J20" s="12" t="str">
        <f t="shared" si="2"/>
        <v>12</v>
      </c>
      <c r="K20" s="12" t="str">
        <f t="shared" si="3"/>
        <v>10</v>
      </c>
      <c r="L20" s="12" t="str">
        <f t="shared" si="4"/>
        <v>2024</v>
      </c>
      <c r="M20" s="12">
        <f t="shared" si="5"/>
        <v>12</v>
      </c>
    </row>
    <row r="21" spans="1:13" x14ac:dyDescent="0.2">
      <c r="A21" s="20" t="s">
        <v>887</v>
      </c>
      <c r="B21" s="2" t="s">
        <v>33</v>
      </c>
      <c r="C21" s="2" t="s">
        <v>888</v>
      </c>
      <c r="D21" s="2" t="s">
        <v>117</v>
      </c>
      <c r="E21" s="17" t="s">
        <v>889</v>
      </c>
      <c r="G21" s="18" t="str">
        <f t="shared" si="0"/>
        <v>KF01E</v>
      </c>
      <c r="H21" s="11" t="str">
        <f>VLOOKUP($A21,[1]Sheet2!$I$2:$O$544,7,FALSE)</f>
        <v>https://fruitbasket.blob.core.windows.net/gk2o5k/avatar/23773820251009140146AOY40X.jpg</v>
      </c>
      <c r="I21" s="12">
        <f t="shared" si="1"/>
        <v>272</v>
      </c>
      <c r="J21" s="12" t="str">
        <f t="shared" si="2"/>
        <v>10</v>
      </c>
      <c r="K21" s="12" t="str">
        <f t="shared" si="3"/>
        <v>01</v>
      </c>
      <c r="L21" s="12" t="str">
        <f t="shared" si="4"/>
        <v>2025</v>
      </c>
      <c r="M21" s="12">
        <f t="shared" si="5"/>
        <v>12</v>
      </c>
    </row>
    <row r="22" spans="1:13" x14ac:dyDescent="0.2">
      <c r="A22" s="20" t="s">
        <v>596</v>
      </c>
      <c r="B22" s="2" t="s">
        <v>15</v>
      </c>
      <c r="C22" s="2" t="s">
        <v>112</v>
      </c>
      <c r="D22" s="2" t="s">
        <v>104</v>
      </c>
      <c r="E22" s="17" t="s">
        <v>597</v>
      </c>
      <c r="G22" s="18" t="str">
        <f t="shared" si="0"/>
        <v>JMC1E</v>
      </c>
      <c r="H22" s="11" t="str">
        <f>VLOOKUP($A22,[1]Sheet2!$I$2:$O$544,7,FALSE)</f>
        <v>https://fruitbasket.blob.core.windows.net/gk2o5k/avatar/21063208420251006094329X2WLTG.jpg</v>
      </c>
      <c r="I22" s="12">
        <f t="shared" si="1"/>
        <v>60</v>
      </c>
      <c r="J22" s="12" t="str">
        <f t="shared" si="2"/>
        <v>07</v>
      </c>
      <c r="K22" s="12" t="str">
        <f t="shared" si="3"/>
        <v>08</v>
      </c>
      <c r="L22" s="12" t="str">
        <f t="shared" si="4"/>
        <v>2025</v>
      </c>
      <c r="M22" s="12">
        <f t="shared" si="5"/>
        <v>12</v>
      </c>
    </row>
    <row r="23" spans="1:13" x14ac:dyDescent="0.2">
      <c r="A23" s="20" t="s">
        <v>420</v>
      </c>
      <c r="B23" s="2" t="s">
        <v>15</v>
      </c>
      <c r="C23" s="2" t="s">
        <v>280</v>
      </c>
      <c r="D23" s="2" t="s">
        <v>141</v>
      </c>
      <c r="E23" s="17" t="s">
        <v>421</v>
      </c>
      <c r="G23" s="18" t="str">
        <f t="shared" si="0"/>
        <v>JMH1E</v>
      </c>
      <c r="H23" s="11" t="str">
        <f>VLOOKUP($A23,[1]Sheet2!$I$2:$O$544,7,FALSE)</f>
        <v>https://hana.modakita.com/azd942/avatar/21063208420251015094002LS0PEC.jpg</v>
      </c>
      <c r="I23" s="12">
        <f t="shared" si="1"/>
        <v>63</v>
      </c>
      <c r="J23" s="12" t="str">
        <f t="shared" si="2"/>
        <v>13</v>
      </c>
      <c r="K23" s="12" t="str">
        <f t="shared" si="3"/>
        <v>08</v>
      </c>
      <c r="L23" s="12" t="str">
        <f t="shared" si="4"/>
        <v>2025</v>
      </c>
      <c r="M23" s="12">
        <f t="shared" si="5"/>
        <v>12</v>
      </c>
    </row>
    <row r="24" spans="1:13" x14ac:dyDescent="0.2">
      <c r="A24" s="20" t="s">
        <v>340</v>
      </c>
      <c r="B24" s="2" t="s">
        <v>15</v>
      </c>
      <c r="C24" s="2" t="s">
        <v>146</v>
      </c>
      <c r="D24" s="2" t="s">
        <v>147</v>
      </c>
      <c r="E24" s="17" t="s">
        <v>341</v>
      </c>
      <c r="G24" s="18" t="str">
        <f t="shared" si="0"/>
        <v>JBK1E</v>
      </c>
      <c r="H24" s="11" t="str">
        <f>VLOOKUP($A24,[1]Sheet2!$I$2:$O$544,7,FALSE)</f>
        <v>https://hana.modakita.com/azd942/avatar/21063208420251017140545KGTBC1.jpg</v>
      </c>
      <c r="I24" s="12">
        <f t="shared" si="1"/>
        <v>58</v>
      </c>
      <c r="J24" s="12" t="str">
        <f t="shared" si="2"/>
        <v>20</v>
      </c>
      <c r="K24" s="12" t="str">
        <f t="shared" si="3"/>
        <v>08</v>
      </c>
      <c r="L24" s="12" t="str">
        <f t="shared" si="4"/>
        <v>2025</v>
      </c>
      <c r="M24" s="12">
        <f t="shared" si="5"/>
        <v>12</v>
      </c>
    </row>
    <row r="25" spans="1:13" x14ac:dyDescent="0.2">
      <c r="A25" s="23" t="s">
        <v>593</v>
      </c>
      <c r="B25" s="2" t="s">
        <v>15</v>
      </c>
      <c r="C25" s="2" t="s">
        <v>290</v>
      </c>
      <c r="D25" s="2" t="s">
        <v>179</v>
      </c>
      <c r="E25" s="17" t="s">
        <v>341</v>
      </c>
      <c r="F25" s="26" t="s">
        <v>979</v>
      </c>
      <c r="G25" s="18" t="str">
        <f t="shared" si="0"/>
        <v>JMD1E</v>
      </c>
      <c r="H25" s="11" t="str">
        <f>VLOOKUP($A25,[1]Sheet2!$I$2:$O$544,7,FALSE)</f>
        <v>https://fruitbasket.blob.core.windows.net/gk2o5k/avatar/21063208420251004113432IKFKUU.jpg</v>
      </c>
      <c r="I25" s="12">
        <f t="shared" si="1"/>
        <v>62</v>
      </c>
      <c r="J25" s="12" t="str">
        <f t="shared" si="2"/>
        <v>03</v>
      </c>
      <c r="K25" s="12" t="str">
        <f t="shared" si="3"/>
        <v>08</v>
      </c>
      <c r="L25" s="12" t="str">
        <f t="shared" si="4"/>
        <v>2025</v>
      </c>
      <c r="M25" s="12">
        <f t="shared" si="5"/>
        <v>12</v>
      </c>
    </row>
    <row r="26" spans="1:13" x14ac:dyDescent="0.2">
      <c r="A26" s="20" t="s">
        <v>252</v>
      </c>
      <c r="B26" s="2" t="s">
        <v>38</v>
      </c>
      <c r="C26" s="2" t="s">
        <v>253</v>
      </c>
      <c r="D26" s="2" t="s">
        <v>121</v>
      </c>
      <c r="E26" s="17" t="s">
        <v>254</v>
      </c>
      <c r="G26" s="18" t="str">
        <f t="shared" si="0"/>
        <v>JME1E</v>
      </c>
      <c r="H26" s="11" t="str">
        <f>VLOOKUP($A26,[1]Sheet2!$I$2:$O$544,7,FALSE)</f>
        <v>https://hana.modakita.com/azd942/avatar/2106320842025101015053147OMLB.jpg</v>
      </c>
      <c r="I26" s="12">
        <f t="shared" si="1"/>
        <v>363</v>
      </c>
      <c r="J26" s="12" t="str">
        <f t="shared" si="2"/>
        <v>12</v>
      </c>
      <c r="K26" s="12" t="str">
        <f t="shared" si="3"/>
        <v>10</v>
      </c>
      <c r="L26" s="12" t="str">
        <f t="shared" si="4"/>
        <v>2024</v>
      </c>
      <c r="M26" s="12">
        <f t="shared" si="5"/>
        <v>12</v>
      </c>
    </row>
    <row r="27" spans="1:13" x14ac:dyDescent="0.2">
      <c r="A27" s="20" t="s">
        <v>948</v>
      </c>
      <c r="B27" s="2" t="s">
        <v>38</v>
      </c>
      <c r="C27" s="2" t="s">
        <v>382</v>
      </c>
      <c r="D27" s="2" t="s">
        <v>117</v>
      </c>
      <c r="E27" s="17" t="s">
        <v>949</v>
      </c>
      <c r="G27" s="18" t="str">
        <f t="shared" si="0"/>
        <v>KC02E</v>
      </c>
      <c r="H27" s="11" t="str">
        <f>VLOOKUP($A27,[1]Sheet2!$I$2:$O$544,7,FALSE)</f>
        <v>https://fruitbasket.blob.core.windows.net/gk2o5k/avatar/21063208420251009152752BYHXMM.jpg</v>
      </c>
      <c r="I27" s="12">
        <f t="shared" si="1"/>
        <v>364</v>
      </c>
      <c r="J27" s="12" t="str">
        <f t="shared" si="2"/>
        <v>10</v>
      </c>
      <c r="K27" s="12" t="str">
        <f t="shared" si="3"/>
        <v>10</v>
      </c>
      <c r="L27" s="12" t="str">
        <f t="shared" si="4"/>
        <v>2024</v>
      </c>
      <c r="M27" s="12">
        <f t="shared" si="5"/>
        <v>12</v>
      </c>
    </row>
    <row r="28" spans="1:13" x14ac:dyDescent="0.2">
      <c r="A28" s="20" t="s">
        <v>287</v>
      </c>
      <c r="B28" s="2" t="s">
        <v>15</v>
      </c>
      <c r="C28" s="2" t="s">
        <v>124</v>
      </c>
      <c r="D28" s="2" t="s">
        <v>179</v>
      </c>
      <c r="E28" s="17" t="s">
        <v>288</v>
      </c>
      <c r="G28" s="18" t="str">
        <f t="shared" si="0"/>
        <v>KFE1E</v>
      </c>
      <c r="H28" s="11" t="str">
        <f>VLOOKUP($A28,[1]Sheet2!$I$2:$O$544,7,FALSE)</f>
        <v>https://fruitbasket.blob.core.windows.net/gk2o5k/avatar/21063208420251004102849SZVVVK.jpg</v>
      </c>
      <c r="I28" s="12">
        <f t="shared" si="1"/>
        <v>63</v>
      </c>
      <c r="J28" s="12" t="str">
        <f t="shared" si="2"/>
        <v>02</v>
      </c>
      <c r="K28" s="12" t="str">
        <f t="shared" si="3"/>
        <v>08</v>
      </c>
      <c r="L28" s="12" t="str">
        <f t="shared" si="4"/>
        <v>2025</v>
      </c>
      <c r="M28" s="12">
        <f t="shared" si="5"/>
        <v>12</v>
      </c>
    </row>
    <row r="29" spans="1:13" x14ac:dyDescent="0.2">
      <c r="A29" s="20" t="s">
        <v>422</v>
      </c>
      <c r="B29" s="2" t="s">
        <v>15</v>
      </c>
      <c r="C29" s="2" t="s">
        <v>134</v>
      </c>
      <c r="D29" s="2" t="s">
        <v>141</v>
      </c>
      <c r="E29" s="17" t="s">
        <v>423</v>
      </c>
      <c r="G29" s="18" t="str">
        <f t="shared" si="0"/>
        <v>JMH1E</v>
      </c>
      <c r="H29" s="11" t="str">
        <f>VLOOKUP($A29,[1]Sheet2!$I$2:$O$544,7,FALSE)</f>
        <v>https://hana.modakita.com/azd942/avatar/21301231220251015100800NE2GVM.jpg</v>
      </c>
      <c r="I29" s="12">
        <f t="shared" si="1"/>
        <v>61</v>
      </c>
      <c r="J29" s="12" t="str">
        <f t="shared" si="2"/>
        <v>15</v>
      </c>
      <c r="K29" s="12" t="str">
        <f t="shared" si="3"/>
        <v>08</v>
      </c>
      <c r="L29" s="12" t="str">
        <f t="shared" si="4"/>
        <v>2025</v>
      </c>
      <c r="M29" s="12">
        <f t="shared" si="5"/>
        <v>12</v>
      </c>
    </row>
    <row r="30" spans="1:13" x14ac:dyDescent="0.2">
      <c r="A30" s="20" t="s">
        <v>264</v>
      </c>
      <c r="B30" s="2" t="s">
        <v>15</v>
      </c>
      <c r="C30" s="2" t="s">
        <v>171</v>
      </c>
      <c r="D30" s="2" t="s">
        <v>265</v>
      </c>
      <c r="E30" s="17" t="s">
        <v>266</v>
      </c>
      <c r="G30" s="18" t="str">
        <f t="shared" si="0"/>
        <v>KD11E</v>
      </c>
      <c r="H30" s="11" t="str">
        <f>VLOOKUP($A30,[1]Sheet2!$I$2:$O$544,7,FALSE)</f>
        <v>https://hana.modakita.com/azd942/avatar/23773820251023084410YNNJQL.jpg</v>
      </c>
      <c r="I30" s="12">
        <f t="shared" si="1"/>
        <v>53</v>
      </c>
      <c r="J30" s="12" t="str">
        <f t="shared" si="2"/>
        <v>31</v>
      </c>
      <c r="K30" s="12" t="str">
        <f t="shared" si="3"/>
        <v>08</v>
      </c>
      <c r="L30" s="12" t="str">
        <f t="shared" si="4"/>
        <v>2025</v>
      </c>
      <c r="M30" s="12">
        <f t="shared" si="5"/>
        <v>12</v>
      </c>
    </row>
    <row r="31" spans="1:13" x14ac:dyDescent="0.2">
      <c r="A31" s="20" t="s">
        <v>557</v>
      </c>
      <c r="B31" s="2" t="s">
        <v>33</v>
      </c>
      <c r="C31" s="2" t="s">
        <v>558</v>
      </c>
      <c r="D31" s="2" t="s">
        <v>164</v>
      </c>
      <c r="E31" s="17" t="s">
        <v>559</v>
      </c>
      <c r="G31" s="18" t="str">
        <f t="shared" si="0"/>
        <v>KFC1E</v>
      </c>
      <c r="H31" s="11" t="str">
        <f>VLOOKUP($A31,[1]Sheet2!$I$2:$O$544,7,FALSE)</f>
        <v>https://hana.modakita.com/azd942/avatar/21063208420251021140429HJ7WGY.jpg</v>
      </c>
      <c r="I31" s="12">
        <f t="shared" si="1"/>
        <v>237</v>
      </c>
      <c r="J31" s="12" t="str">
        <f t="shared" si="2"/>
        <v>26</v>
      </c>
      <c r="K31" s="12" t="str">
        <f t="shared" si="3"/>
        <v>02</v>
      </c>
      <c r="L31" s="12" t="str">
        <f t="shared" si="4"/>
        <v>2025</v>
      </c>
      <c r="M31" s="12">
        <f t="shared" si="5"/>
        <v>12</v>
      </c>
    </row>
    <row r="32" spans="1:13" x14ac:dyDescent="0.2">
      <c r="A32" s="20" t="s">
        <v>856</v>
      </c>
      <c r="B32" s="2" t="s">
        <v>15</v>
      </c>
      <c r="C32" s="2" t="s">
        <v>337</v>
      </c>
      <c r="D32" s="2" t="s">
        <v>141</v>
      </c>
      <c r="E32" s="17" t="s">
        <v>857</v>
      </c>
      <c r="G32" s="18" t="str">
        <f t="shared" si="0"/>
        <v>KF01E</v>
      </c>
      <c r="H32" s="11" t="str">
        <f>VLOOKUP($A32,[1]Sheet2!$I$2:$O$544,7,FALSE)</f>
        <v>https://hana.modakita.com/azd942/avatar/23773820251015113914449YRT.jpg</v>
      </c>
      <c r="I32" s="12">
        <f t="shared" si="1"/>
        <v>60</v>
      </c>
      <c r="J32" s="12" t="str">
        <f t="shared" si="2"/>
        <v>16</v>
      </c>
      <c r="K32" s="12" t="str">
        <f t="shared" si="3"/>
        <v>08</v>
      </c>
      <c r="L32" s="12" t="str">
        <f t="shared" si="4"/>
        <v>2025</v>
      </c>
      <c r="M32" s="12">
        <f t="shared" si="5"/>
        <v>12</v>
      </c>
    </row>
    <row r="33" spans="1:13" x14ac:dyDescent="0.2">
      <c r="A33" s="20" t="s">
        <v>242</v>
      </c>
      <c r="B33" s="2" t="s">
        <v>38</v>
      </c>
      <c r="C33" s="2" t="s">
        <v>243</v>
      </c>
      <c r="D33" s="2" t="s">
        <v>179</v>
      </c>
      <c r="E33" s="17" t="s">
        <v>244</v>
      </c>
      <c r="G33" s="18" t="str">
        <f t="shared" si="0"/>
        <v>JMF1E</v>
      </c>
      <c r="H33" s="11" t="str">
        <f>VLOOKUP($A33,[1]Sheet2!$I$2:$O$544,7,FALSE)</f>
        <v>https://fruitbasket.blob.core.windows.net/gk2o5k/avatar/21063208420251004082258OSDGHO.jpg</v>
      </c>
      <c r="I33" s="12">
        <f t="shared" si="1"/>
        <v>368</v>
      </c>
      <c r="J33" s="12" t="str">
        <f t="shared" si="2"/>
        <v>01</v>
      </c>
      <c r="K33" s="12" t="str">
        <f t="shared" si="3"/>
        <v>10</v>
      </c>
      <c r="L33" s="12" t="str">
        <f t="shared" si="4"/>
        <v>2024</v>
      </c>
      <c r="M33" s="12">
        <f t="shared" si="5"/>
        <v>12</v>
      </c>
    </row>
    <row r="34" spans="1:13" x14ac:dyDescent="0.2">
      <c r="A34" s="20" t="s">
        <v>668</v>
      </c>
      <c r="B34" s="2" t="s">
        <v>15</v>
      </c>
      <c r="C34" s="2" t="s">
        <v>304</v>
      </c>
      <c r="D34" s="2" t="s">
        <v>154</v>
      </c>
      <c r="E34" s="17" t="s">
        <v>400</v>
      </c>
      <c r="G34" s="18" t="str">
        <f t="shared" si="0"/>
        <v>JMD1E</v>
      </c>
      <c r="H34" s="11" t="str">
        <f>VLOOKUP($A34,[1]Sheet2!$I$2:$O$544,7,FALSE)</f>
        <v>https://hana.modakita.com/azd942/avatar/23773820251018114712K3TSU1.jpg</v>
      </c>
      <c r="I34" s="12">
        <f t="shared" si="1"/>
        <v>58</v>
      </c>
      <c r="J34" s="12" t="str">
        <f t="shared" si="2"/>
        <v>21</v>
      </c>
      <c r="K34" s="12" t="str">
        <f t="shared" si="3"/>
        <v>08</v>
      </c>
      <c r="L34" s="12" t="str">
        <f t="shared" si="4"/>
        <v>2025</v>
      </c>
      <c r="M34" s="12">
        <f t="shared" si="5"/>
        <v>12</v>
      </c>
    </row>
    <row r="35" spans="1:13" x14ac:dyDescent="0.2">
      <c r="A35" s="20" t="s">
        <v>258</v>
      </c>
      <c r="B35" s="2" t="s">
        <v>38</v>
      </c>
      <c r="C35" s="2" t="s">
        <v>259</v>
      </c>
      <c r="D35" s="2" t="s">
        <v>141</v>
      </c>
      <c r="E35" s="17" t="s">
        <v>260</v>
      </c>
      <c r="G35" s="18" t="str">
        <f t="shared" si="0"/>
        <v>JME1E</v>
      </c>
      <c r="H35" s="11" t="str">
        <f>VLOOKUP($A35,[1]Sheet2!$I$2:$O$544,7,FALSE)</f>
        <v>https://hana.modakita.com/azd942/avatar/21063208420251015154134AJEG0H.jpg</v>
      </c>
      <c r="I35" s="12">
        <f t="shared" si="1"/>
        <v>363</v>
      </c>
      <c r="J35" s="12" t="str">
        <f t="shared" si="2"/>
        <v>17</v>
      </c>
      <c r="K35" s="12" t="str">
        <f t="shared" si="3"/>
        <v>10</v>
      </c>
      <c r="L35" s="12" t="str">
        <f t="shared" si="4"/>
        <v>2024</v>
      </c>
      <c r="M35" s="12">
        <f t="shared" si="5"/>
        <v>12</v>
      </c>
    </row>
    <row r="36" spans="1:13" x14ac:dyDescent="0.2">
      <c r="A36" s="20" t="s">
        <v>460</v>
      </c>
      <c r="B36" s="2" t="s">
        <v>27</v>
      </c>
      <c r="C36" s="2" t="s">
        <v>457</v>
      </c>
      <c r="D36" s="2" t="s">
        <v>458</v>
      </c>
      <c r="E36" s="17" t="s">
        <v>461</v>
      </c>
      <c r="G36" s="18" t="str">
        <f t="shared" si="0"/>
        <v>JMH2E</v>
      </c>
      <c r="H36" s="11" t="str">
        <f>VLOOKUP($A36,[1]Sheet2!$I$2:$O$544,7,FALSE)</f>
        <v>https://hana.modakita.com/azd942/avatar/21394210620251016152313MRI0TA.jpg</v>
      </c>
      <c r="I36" s="12">
        <f t="shared" si="1"/>
        <v>120</v>
      </c>
      <c r="J36" s="12" t="str">
        <f t="shared" si="2"/>
        <v>18</v>
      </c>
      <c r="K36" s="12" t="str">
        <f t="shared" si="3"/>
        <v>06</v>
      </c>
      <c r="L36" s="12" t="str">
        <f t="shared" si="4"/>
        <v>2025</v>
      </c>
      <c r="M36" s="12">
        <f t="shared" si="5"/>
        <v>12</v>
      </c>
    </row>
    <row r="37" spans="1:13" x14ac:dyDescent="0.2">
      <c r="A37" s="20" t="s">
        <v>616</v>
      </c>
      <c r="B37" s="2" t="s">
        <v>15</v>
      </c>
      <c r="C37" s="2" t="s">
        <v>262</v>
      </c>
      <c r="D37" s="2" t="s">
        <v>117</v>
      </c>
      <c r="E37" s="17" t="s">
        <v>405</v>
      </c>
      <c r="G37" s="18" t="str">
        <f t="shared" si="0"/>
        <v>JMC1E</v>
      </c>
      <c r="H37" s="11" t="str">
        <f>VLOOKUP($A37,[1]Sheet2!$I$2:$O$544,7,FALSE)</f>
        <v>https://fruitbasket.blob.core.windows.net/gk2o5k/avatar/21063208420251009154609L3D6TG.jpg</v>
      </c>
      <c r="I37" s="12">
        <f t="shared" si="1"/>
        <v>60</v>
      </c>
      <c r="J37" s="12" t="str">
        <f t="shared" si="2"/>
        <v>10</v>
      </c>
      <c r="K37" s="12" t="str">
        <f t="shared" si="3"/>
        <v>08</v>
      </c>
      <c r="L37" s="12" t="str">
        <f t="shared" si="4"/>
        <v>2025</v>
      </c>
      <c r="M37" s="12">
        <f t="shared" si="5"/>
        <v>12</v>
      </c>
    </row>
    <row r="38" spans="1:13" x14ac:dyDescent="0.2">
      <c r="A38" s="23" t="s">
        <v>255</v>
      </c>
      <c r="B38" s="2" t="s">
        <v>38</v>
      </c>
      <c r="C38" s="2" t="s">
        <v>256</v>
      </c>
      <c r="D38" s="2" t="s">
        <v>128</v>
      </c>
      <c r="E38" s="17" t="s">
        <v>257</v>
      </c>
      <c r="F38" s="19" t="s">
        <v>980</v>
      </c>
      <c r="G38" s="18" t="str">
        <f t="shared" si="0"/>
        <v>JME1E</v>
      </c>
      <c r="H38" s="11" t="str">
        <f>VLOOKUP($A38,[1]Sheet2!$I$2:$O$544,7,FALSE)</f>
        <v>https://hana.modakita.com/azd942/avatar/23773820251011111349KGSXRE.jpg</v>
      </c>
      <c r="I38" s="12">
        <f t="shared" si="1"/>
        <v>362</v>
      </c>
      <c r="J38" s="12" t="str">
        <f t="shared" si="2"/>
        <v>14</v>
      </c>
      <c r="K38" s="12" t="str">
        <f t="shared" si="3"/>
        <v>10</v>
      </c>
      <c r="L38" s="12" t="str">
        <f t="shared" si="4"/>
        <v>2024</v>
      </c>
      <c r="M38" s="12">
        <f t="shared" si="5"/>
        <v>12</v>
      </c>
    </row>
    <row r="39" spans="1:13" x14ac:dyDescent="0.2">
      <c r="A39" s="20" t="s">
        <v>272</v>
      </c>
      <c r="B39" s="2" t="s">
        <v>38</v>
      </c>
      <c r="C39" s="2" t="s">
        <v>273</v>
      </c>
      <c r="D39" s="2" t="s">
        <v>216</v>
      </c>
      <c r="E39" s="17" t="s">
        <v>274</v>
      </c>
      <c r="G39" s="18" t="str">
        <f t="shared" si="0"/>
        <v>KD11E</v>
      </c>
      <c r="H39" s="11" t="str">
        <f>VLOOKUP($A39,[1]Sheet2!$I$2:$O$544,7,FALSE)</f>
        <v>https://hana.modakita.com/azd942/avatar/210632084202510201401063BKQKP.jpg</v>
      </c>
      <c r="I39" s="12">
        <f t="shared" si="1"/>
        <v>361</v>
      </c>
      <c r="J39" s="12" t="str">
        <f t="shared" si="2"/>
        <v>24</v>
      </c>
      <c r="K39" s="12" t="str">
        <f t="shared" si="3"/>
        <v>10</v>
      </c>
      <c r="L39" s="12" t="str">
        <f t="shared" si="4"/>
        <v>2024</v>
      </c>
      <c r="M39" s="12">
        <f t="shared" si="5"/>
        <v>12</v>
      </c>
    </row>
    <row r="40" spans="1:13" x14ac:dyDescent="0.2">
      <c r="A40" s="20" t="s">
        <v>192</v>
      </c>
      <c r="B40" s="2" t="s">
        <v>27</v>
      </c>
      <c r="C40" s="2" t="s">
        <v>193</v>
      </c>
      <c r="D40" s="2" t="s">
        <v>117</v>
      </c>
      <c r="E40" s="17" t="s">
        <v>194</v>
      </c>
      <c r="G40" s="18" t="str">
        <f t="shared" si="0"/>
        <v>JMF2E</v>
      </c>
      <c r="H40" s="11" t="str">
        <f>VLOOKUP($A40,[1]Sheet2!$I$2:$O$544,7,FALSE)</f>
        <v>https://fruitbasket.blob.core.windows.net/gk2o5k/avatar/23773820251009141754QHYJK5.jpg</v>
      </c>
      <c r="I40" s="12">
        <f t="shared" si="1"/>
        <v>121</v>
      </c>
      <c r="J40" s="12" t="str">
        <f t="shared" si="2"/>
        <v>10</v>
      </c>
      <c r="K40" s="12" t="str">
        <f t="shared" si="3"/>
        <v>06</v>
      </c>
      <c r="L40" s="12" t="str">
        <f t="shared" si="4"/>
        <v>2025</v>
      </c>
      <c r="M40" s="12">
        <f t="shared" si="5"/>
        <v>12</v>
      </c>
    </row>
    <row r="41" spans="1:13" x14ac:dyDescent="0.2">
      <c r="A41" s="20" t="s">
        <v>884</v>
      </c>
      <c r="B41" s="2" t="s">
        <v>33</v>
      </c>
      <c r="C41" s="2" t="s">
        <v>885</v>
      </c>
      <c r="D41" s="2" t="s">
        <v>179</v>
      </c>
      <c r="E41" s="17" t="s">
        <v>886</v>
      </c>
      <c r="G41" s="18" t="str">
        <f t="shared" si="0"/>
        <v>KFA1E</v>
      </c>
      <c r="H41" s="11" t="str">
        <f>VLOOKUP($A41,[1]Sheet2!$I$2:$O$544,7,FALSE)</f>
        <v>https://fruitbasket.blob.core.windows.net/gk2o5k/avatar/21063208420251004095103YC8IDZ.jpg</v>
      </c>
      <c r="I41" s="12">
        <f t="shared" si="1"/>
        <v>244</v>
      </c>
      <c r="J41" s="12" t="str">
        <f t="shared" si="2"/>
        <v>02</v>
      </c>
      <c r="K41" s="12" t="str">
        <f t="shared" si="3"/>
        <v>02</v>
      </c>
      <c r="L41" s="12" t="str">
        <f t="shared" si="4"/>
        <v>2025</v>
      </c>
      <c r="M41" s="12">
        <f t="shared" si="5"/>
        <v>12</v>
      </c>
    </row>
    <row r="42" spans="1:13" x14ac:dyDescent="0.2">
      <c r="A42" s="20" t="s">
        <v>871</v>
      </c>
      <c r="B42" s="2" t="s">
        <v>27</v>
      </c>
      <c r="C42" s="2" t="s">
        <v>198</v>
      </c>
      <c r="D42" s="2" t="s">
        <v>128</v>
      </c>
      <c r="E42" s="17" t="s">
        <v>872</v>
      </c>
      <c r="G42" s="18" t="str">
        <f t="shared" si="0"/>
        <v>KF01E</v>
      </c>
      <c r="H42" s="11" t="str">
        <f>VLOOKUP($A42,[1]Sheet2!$I$2:$O$544,7,FALSE)</f>
        <v>https://hana.modakita.com/azd942/avatar/2130123122025101114081823SKR3.jpg</v>
      </c>
      <c r="I42" s="12">
        <f t="shared" si="1"/>
        <v>120</v>
      </c>
      <c r="J42" s="12" t="str">
        <f t="shared" si="2"/>
        <v>13</v>
      </c>
      <c r="K42" s="12" t="str">
        <f t="shared" si="3"/>
        <v>06</v>
      </c>
      <c r="L42" s="12" t="str">
        <f t="shared" si="4"/>
        <v>2025</v>
      </c>
      <c r="M42" s="12">
        <f t="shared" si="5"/>
        <v>12</v>
      </c>
    </row>
    <row r="43" spans="1:13" x14ac:dyDescent="0.2">
      <c r="A43" s="20" t="s">
        <v>493</v>
      </c>
      <c r="B43" s="2" t="s">
        <v>38</v>
      </c>
      <c r="C43" s="2" t="s">
        <v>243</v>
      </c>
      <c r="D43" s="2" t="s">
        <v>179</v>
      </c>
      <c r="E43" s="17" t="s">
        <v>494</v>
      </c>
      <c r="G43" s="18" t="str">
        <f t="shared" si="0"/>
        <v>JM03E</v>
      </c>
      <c r="H43" s="11" t="str">
        <f>VLOOKUP($A43,[1]Sheet2!$I$2:$O$544,7,FALSE)</f>
        <v>https://fruitbasket.blob.core.windows.net/gk2o5k/avatar/237738202510040829382STOJA.jpg</v>
      </c>
      <c r="I43" s="12">
        <f t="shared" si="1"/>
        <v>368</v>
      </c>
      <c r="J43" s="12" t="str">
        <f t="shared" si="2"/>
        <v>01</v>
      </c>
      <c r="K43" s="12" t="str">
        <f t="shared" si="3"/>
        <v>10</v>
      </c>
      <c r="L43" s="12" t="str">
        <f t="shared" si="4"/>
        <v>2024</v>
      </c>
      <c r="M43" s="12">
        <f t="shared" si="5"/>
        <v>12</v>
      </c>
    </row>
    <row r="44" spans="1:13" x14ac:dyDescent="0.2">
      <c r="A44" s="20" t="s">
        <v>833</v>
      </c>
      <c r="B44" s="2" t="s">
        <v>38</v>
      </c>
      <c r="C44" s="2" t="s">
        <v>834</v>
      </c>
      <c r="D44" s="2" t="s">
        <v>147</v>
      </c>
      <c r="E44" s="17" t="s">
        <v>835</v>
      </c>
      <c r="G44" s="18" t="str">
        <f t="shared" si="0"/>
        <v>JMD1E</v>
      </c>
      <c r="H44" s="11" t="str">
        <f>VLOOKUP($A44,[1]Sheet2!$I$2:$O$544,7,FALSE)</f>
        <v>https://hana.modakita.com/azd942/avatar/21063208420251017142257T1SD3V.jpg</v>
      </c>
      <c r="I44" s="12">
        <f t="shared" si="1"/>
        <v>360</v>
      </c>
      <c r="J44" s="12" t="str">
        <f t="shared" si="2"/>
        <v>22</v>
      </c>
      <c r="K44" s="12" t="str">
        <f t="shared" si="3"/>
        <v>10</v>
      </c>
      <c r="L44" s="12" t="str">
        <f t="shared" si="4"/>
        <v>2024</v>
      </c>
      <c r="M44" s="12">
        <f t="shared" si="5"/>
        <v>12</v>
      </c>
    </row>
    <row r="45" spans="1:13" x14ac:dyDescent="0.2">
      <c r="A45" s="20" t="s">
        <v>313</v>
      </c>
      <c r="B45" s="2" t="s">
        <v>15</v>
      </c>
      <c r="C45" s="2" t="s">
        <v>171</v>
      </c>
      <c r="D45" s="2" t="s">
        <v>265</v>
      </c>
      <c r="E45" s="17" t="s">
        <v>76</v>
      </c>
      <c r="G45" s="18" t="str">
        <f t="shared" si="0"/>
        <v>KFE1E</v>
      </c>
      <c r="H45" s="11" t="str">
        <f>VLOOKUP($A45,[1]Sheet2!$I$2:$O$544,7,FALSE)</f>
        <v>https://hana.modakita.com/azd942/avatar/23773820251023093521SSI3EV.jpg</v>
      </c>
      <c r="I45" s="12">
        <f t="shared" si="1"/>
        <v>53</v>
      </c>
      <c r="J45" s="12" t="str">
        <f t="shared" si="2"/>
        <v>31</v>
      </c>
      <c r="K45" s="12" t="str">
        <f t="shared" si="3"/>
        <v>08</v>
      </c>
      <c r="L45" s="12" t="str">
        <f t="shared" si="4"/>
        <v>2025</v>
      </c>
      <c r="M45" s="12">
        <f t="shared" si="5"/>
        <v>12</v>
      </c>
    </row>
    <row r="46" spans="1:13" x14ac:dyDescent="0.2">
      <c r="A46" s="20" t="s">
        <v>321</v>
      </c>
      <c r="B46" s="2" t="s">
        <v>27</v>
      </c>
      <c r="C46" s="2" t="s">
        <v>322</v>
      </c>
      <c r="D46" s="2" t="s">
        <v>168</v>
      </c>
      <c r="E46" s="17" t="s">
        <v>323</v>
      </c>
      <c r="G46" s="18" t="str">
        <f t="shared" si="0"/>
        <v>KFE1E</v>
      </c>
      <c r="H46" s="11" t="str">
        <f>VLOOKUP($A46,[1]Sheet2!$I$2:$O$544,7,FALSE)</f>
        <v>https://hana.modakita.com/azd942/avatar/23773820251022152153A1RXAJ.jpg</v>
      </c>
      <c r="I46" s="12">
        <f t="shared" si="1"/>
        <v>114</v>
      </c>
      <c r="J46" s="12" t="str">
        <f t="shared" si="2"/>
        <v>30</v>
      </c>
      <c r="K46" s="12" t="str">
        <f t="shared" si="3"/>
        <v>06</v>
      </c>
      <c r="L46" s="12" t="str">
        <f t="shared" si="4"/>
        <v>2025</v>
      </c>
      <c r="M46" s="12">
        <f t="shared" si="5"/>
        <v>12</v>
      </c>
    </row>
    <row r="47" spans="1:13" x14ac:dyDescent="0.2">
      <c r="A47" s="20" t="s">
        <v>934</v>
      </c>
      <c r="B47" s="2" t="s">
        <v>27</v>
      </c>
      <c r="C47" s="2" t="s">
        <v>188</v>
      </c>
      <c r="D47" s="2" t="s">
        <v>117</v>
      </c>
      <c r="E47" s="17" t="s">
        <v>935</v>
      </c>
      <c r="G47" s="18" t="str">
        <f t="shared" si="0"/>
        <v>KC04E</v>
      </c>
      <c r="H47" s="11" t="str">
        <f>VLOOKUP($A47,[1]Sheet2!$I$2:$O$544,7,FALSE)</f>
        <v>https://fruitbasket.blob.core.windows.net/gk2o5k/avatar/21063208420251009104906W66USB.jpg</v>
      </c>
      <c r="I47" s="12">
        <f t="shared" si="1"/>
        <v>122</v>
      </c>
      <c r="J47" s="12" t="str">
        <f t="shared" si="2"/>
        <v>09</v>
      </c>
      <c r="K47" s="12" t="str">
        <f t="shared" si="3"/>
        <v>06</v>
      </c>
      <c r="L47" s="12" t="str">
        <f t="shared" si="4"/>
        <v>2025</v>
      </c>
      <c r="M47" s="12">
        <f t="shared" si="5"/>
        <v>12</v>
      </c>
    </row>
    <row r="48" spans="1:13" x14ac:dyDescent="0.2">
      <c r="A48" s="20" t="s">
        <v>665</v>
      </c>
      <c r="B48" s="2" t="s">
        <v>15</v>
      </c>
      <c r="C48" s="2" t="s">
        <v>146</v>
      </c>
      <c r="D48" s="2" t="s">
        <v>154</v>
      </c>
      <c r="E48" s="17" t="s">
        <v>428</v>
      </c>
      <c r="G48" s="18" t="str">
        <f t="shared" si="0"/>
        <v>JMD1E</v>
      </c>
      <c r="H48" s="11" t="str">
        <f>VLOOKUP($A48,[1]Sheet2!$I$2:$O$544,7,FALSE)</f>
        <v>https://hana.modakita.com/azd942/avatar/23773820251018085536ASQKA7.jpg</v>
      </c>
      <c r="I48" s="12">
        <f t="shared" si="1"/>
        <v>59</v>
      </c>
      <c r="J48" s="12" t="str">
        <f t="shared" si="2"/>
        <v>20</v>
      </c>
      <c r="K48" s="12" t="str">
        <f t="shared" si="3"/>
        <v>08</v>
      </c>
      <c r="L48" s="12" t="str">
        <f t="shared" si="4"/>
        <v>2025</v>
      </c>
      <c r="M48" s="12">
        <f t="shared" si="5"/>
        <v>12</v>
      </c>
    </row>
    <row r="49" spans="1:13" x14ac:dyDescent="0.2">
      <c r="A49" s="20" t="s">
        <v>450</v>
      </c>
      <c r="B49" s="2" t="s">
        <v>27</v>
      </c>
      <c r="C49" s="2" t="s">
        <v>451</v>
      </c>
      <c r="D49" s="2" t="s">
        <v>128</v>
      </c>
      <c r="E49" s="17" t="s">
        <v>452</v>
      </c>
      <c r="G49" s="18" t="str">
        <f t="shared" si="0"/>
        <v>JMH1E</v>
      </c>
      <c r="H49" s="11" t="str">
        <f>VLOOKUP($A49,[1]Sheet2!$I$2:$O$544,7,FALSE)</f>
        <v>https://hana.modakita.com/azd942/avatar/21394210620251011135855MZTWJB.jpg</v>
      </c>
      <c r="I49" s="12">
        <f t="shared" si="1"/>
        <v>90</v>
      </c>
      <c r="J49" s="12" t="str">
        <f t="shared" si="2"/>
        <v>13</v>
      </c>
      <c r="K49" s="12" t="str">
        <f t="shared" si="3"/>
        <v>07</v>
      </c>
      <c r="L49" s="12" t="str">
        <f t="shared" si="4"/>
        <v>2025</v>
      </c>
      <c r="M49" s="12">
        <f t="shared" si="5"/>
        <v>12</v>
      </c>
    </row>
    <row r="50" spans="1:13" x14ac:dyDescent="0.2">
      <c r="A50" s="20" t="s">
        <v>462</v>
      </c>
      <c r="B50" s="2" t="s">
        <v>27</v>
      </c>
      <c r="C50" s="2" t="s">
        <v>463</v>
      </c>
      <c r="D50" s="2" t="s">
        <v>216</v>
      </c>
      <c r="E50" s="17" t="s">
        <v>464</v>
      </c>
      <c r="G50" s="18" t="str">
        <f t="shared" si="0"/>
        <v>JMH1E</v>
      </c>
      <c r="H50" s="11" t="str">
        <f>VLOOKUP($A50,[1]Sheet2!$I$2:$O$544,7,FALSE)</f>
        <v>https://hana.modakita.com/azd942/avatar/210632084202510201209432FUDYW.jpg</v>
      </c>
      <c r="I50" s="12">
        <f t="shared" si="1"/>
        <v>119</v>
      </c>
      <c r="J50" s="12" t="str">
        <f t="shared" si="2"/>
        <v>23</v>
      </c>
      <c r="K50" s="12" t="str">
        <f t="shared" si="3"/>
        <v>06</v>
      </c>
      <c r="L50" s="12" t="str">
        <f t="shared" si="4"/>
        <v>2025</v>
      </c>
      <c r="M50" s="12">
        <f t="shared" si="5"/>
        <v>12</v>
      </c>
    </row>
    <row r="51" spans="1:13" x14ac:dyDescent="0.2">
      <c r="A51" s="20" t="s">
        <v>736</v>
      </c>
      <c r="B51" s="2" t="s">
        <v>27</v>
      </c>
      <c r="C51" s="2" t="s">
        <v>206</v>
      </c>
      <c r="D51" s="2" t="s">
        <v>154</v>
      </c>
      <c r="E51" s="17" t="s">
        <v>737</v>
      </c>
      <c r="G51" s="18" t="str">
        <f t="shared" si="0"/>
        <v>JMD1E</v>
      </c>
      <c r="H51" s="11" t="str">
        <f>VLOOKUP($A51,[1]Sheet2!$I$2:$O$544,7,FALSE)</f>
        <v>https://hana.modakita.com/azd942/avatar/21394210620251018101713IHAWCY.jpg</v>
      </c>
      <c r="I51" s="12">
        <f t="shared" si="1"/>
        <v>120</v>
      </c>
      <c r="J51" s="12" t="str">
        <f t="shared" si="2"/>
        <v>20</v>
      </c>
      <c r="K51" s="12" t="str">
        <f t="shared" si="3"/>
        <v>06</v>
      </c>
      <c r="L51" s="12" t="str">
        <f t="shared" si="4"/>
        <v>2025</v>
      </c>
      <c r="M51" s="12">
        <f t="shared" si="5"/>
        <v>12</v>
      </c>
    </row>
    <row r="52" spans="1:13" x14ac:dyDescent="0.2">
      <c r="A52" s="20" t="s">
        <v>98</v>
      </c>
      <c r="B52" s="2" t="s">
        <v>15</v>
      </c>
      <c r="C52" s="2" t="s">
        <v>99</v>
      </c>
      <c r="D52" s="2" t="s">
        <v>100</v>
      </c>
      <c r="E52" s="17" t="s">
        <v>101</v>
      </c>
      <c r="G52" s="18" t="str">
        <f t="shared" si="0"/>
        <v>JMF2E</v>
      </c>
      <c r="H52" s="11" t="str">
        <f>VLOOKUP($A52,[1]Sheet2!$I$2:$O$544,7,FALSE)</f>
        <v>https://fruitbasket.blob.core.windows.net/gk2o5k/avatar/23773820251003115030ZKWRCI.jpg</v>
      </c>
      <c r="I52" s="12">
        <f t="shared" si="1"/>
        <v>63</v>
      </c>
      <c r="J52" s="12" t="str">
        <f t="shared" si="2"/>
        <v>01</v>
      </c>
      <c r="K52" s="12" t="str">
        <f t="shared" si="3"/>
        <v>08</v>
      </c>
      <c r="L52" s="12" t="str">
        <f t="shared" si="4"/>
        <v>2025</v>
      </c>
      <c r="M52" s="12">
        <f t="shared" si="5"/>
        <v>12</v>
      </c>
    </row>
    <row r="53" spans="1:13" x14ac:dyDescent="0.2">
      <c r="A53" s="20" t="s">
        <v>102</v>
      </c>
      <c r="B53" s="2" t="s">
        <v>15</v>
      </c>
      <c r="C53" s="2" t="s">
        <v>103</v>
      </c>
      <c r="D53" s="2" t="s">
        <v>104</v>
      </c>
      <c r="E53" s="17" t="s">
        <v>105</v>
      </c>
      <c r="G53" s="18" t="str">
        <f t="shared" si="0"/>
        <v>JMF1E</v>
      </c>
      <c r="H53" s="11" t="str">
        <f>VLOOKUP($A53,[1]Sheet2!$I$2:$O$544,7,FALSE)</f>
        <v>https://fruitbasket.blob.core.windows.net/gk2o5k/avatar/21063208420251006101622MZBVUM.jpg</v>
      </c>
      <c r="I53" s="12">
        <f t="shared" si="1"/>
        <v>63</v>
      </c>
      <c r="J53" s="12" t="str">
        <f t="shared" si="2"/>
        <v>04</v>
      </c>
      <c r="K53" s="12" t="str">
        <f t="shared" si="3"/>
        <v>08</v>
      </c>
      <c r="L53" s="12" t="str">
        <f t="shared" si="4"/>
        <v>2025</v>
      </c>
      <c r="M53" s="12">
        <f t="shared" si="5"/>
        <v>12</v>
      </c>
    </row>
    <row r="54" spans="1:13" x14ac:dyDescent="0.2">
      <c r="A54" s="20" t="s">
        <v>214</v>
      </c>
      <c r="B54" s="2" t="s">
        <v>27</v>
      </c>
      <c r="C54" s="2" t="s">
        <v>215</v>
      </c>
      <c r="D54" s="2" t="s">
        <v>216</v>
      </c>
      <c r="E54" s="17" t="s">
        <v>217</v>
      </c>
      <c r="G54" s="18" t="str">
        <f t="shared" si="0"/>
        <v>JMF1E</v>
      </c>
      <c r="H54" s="11" t="str">
        <f>VLOOKUP($A54,[1]Sheet2!$I$2:$O$544,7,FALSE)</f>
        <v>https://hana.modakita.com/azd942/avatar/23773820251020094051SO8ZNG.jpg</v>
      </c>
      <c r="I54" s="12">
        <f t="shared" si="1"/>
        <v>120</v>
      </c>
      <c r="J54" s="12" t="str">
        <f t="shared" si="2"/>
        <v>22</v>
      </c>
      <c r="K54" s="12" t="str">
        <f t="shared" si="3"/>
        <v>06</v>
      </c>
      <c r="L54" s="12" t="str">
        <f t="shared" si="4"/>
        <v>2025</v>
      </c>
      <c r="M54" s="12">
        <f t="shared" si="5"/>
        <v>12</v>
      </c>
    </row>
    <row r="55" spans="1:13" x14ac:dyDescent="0.2">
      <c r="A55" s="20" t="s">
        <v>713</v>
      </c>
      <c r="B55" s="2" t="s">
        <v>27</v>
      </c>
      <c r="C55" s="2" t="s">
        <v>188</v>
      </c>
      <c r="D55" s="2" t="s">
        <v>117</v>
      </c>
      <c r="E55" s="17" t="s">
        <v>714</v>
      </c>
      <c r="G55" s="18" t="str">
        <f t="shared" si="0"/>
        <v>JMD1E</v>
      </c>
      <c r="H55" s="11" t="str">
        <f>VLOOKUP($A55,[1]Sheet2!$I$2:$O$544,7,FALSE)</f>
        <v>https://fruitbasket.blob.core.windows.net/gk2o5k/avatar/21063208420251009110311RLU3ZH.jpg</v>
      </c>
      <c r="I55" s="12">
        <f t="shared" si="1"/>
        <v>122</v>
      </c>
      <c r="J55" s="12" t="str">
        <f t="shared" si="2"/>
        <v>09</v>
      </c>
      <c r="K55" s="12" t="str">
        <f t="shared" si="3"/>
        <v>06</v>
      </c>
      <c r="L55" s="12" t="str">
        <f t="shared" si="4"/>
        <v>2025</v>
      </c>
      <c r="M55" s="12">
        <f t="shared" si="5"/>
        <v>12</v>
      </c>
    </row>
    <row r="56" spans="1:13" x14ac:dyDescent="0.2">
      <c r="A56" s="20" t="s">
        <v>364</v>
      </c>
      <c r="B56" s="2" t="s">
        <v>27</v>
      </c>
      <c r="C56" s="2" t="s">
        <v>365</v>
      </c>
      <c r="D56" s="2" t="s">
        <v>265</v>
      </c>
      <c r="E56" s="17" t="s">
        <v>366</v>
      </c>
      <c r="G56" s="18" t="str">
        <f t="shared" si="0"/>
        <v>JBK3E</v>
      </c>
      <c r="H56" s="11" t="str">
        <f>VLOOKUP($A56,[1]Sheet2!$I$2:$O$544,7,FALSE)</f>
        <v>https://hana.modakita.com/azd942/avatar/23773820251023083637DTGHVW.jpg</v>
      </c>
      <c r="I56" s="12">
        <f t="shared" si="1"/>
        <v>130</v>
      </c>
      <c r="J56" s="12" t="str">
        <f t="shared" si="2"/>
        <v>15</v>
      </c>
      <c r="K56" s="12" t="str">
        <f t="shared" si="3"/>
        <v>06</v>
      </c>
      <c r="L56" s="12" t="str">
        <f t="shared" si="4"/>
        <v>2025</v>
      </c>
      <c r="M56" s="12">
        <f t="shared" si="5"/>
        <v>12</v>
      </c>
    </row>
    <row r="57" spans="1:13" x14ac:dyDescent="0.2">
      <c r="A57" s="20" t="s">
        <v>733</v>
      </c>
      <c r="B57" s="2" t="s">
        <v>27</v>
      </c>
      <c r="C57" s="2" t="s">
        <v>734</v>
      </c>
      <c r="D57" s="2" t="s">
        <v>147</v>
      </c>
      <c r="E57" s="17" t="s">
        <v>735</v>
      </c>
      <c r="G57" s="18" t="str">
        <f t="shared" si="0"/>
        <v>JMC1E</v>
      </c>
      <c r="H57" s="11" t="str">
        <f>VLOOKUP($A57,[1]Sheet2!$I$2:$O$544,7,FALSE)</f>
        <v>https://hana.modakita.com/azd942/avatar/21394210620251017114601ZRCQN1.jpg</v>
      </c>
      <c r="I57" s="12">
        <f t="shared" si="1"/>
        <v>120</v>
      </c>
      <c r="J57" s="12" t="str">
        <f t="shared" si="2"/>
        <v>19</v>
      </c>
      <c r="K57" s="12" t="str">
        <f t="shared" si="3"/>
        <v>06</v>
      </c>
      <c r="L57" s="12" t="str">
        <f t="shared" si="4"/>
        <v>2025</v>
      </c>
      <c r="M57" s="12">
        <f t="shared" si="5"/>
        <v>12</v>
      </c>
    </row>
    <row r="58" spans="1:13" x14ac:dyDescent="0.2">
      <c r="A58" s="20" t="s">
        <v>729</v>
      </c>
      <c r="B58" s="2" t="s">
        <v>27</v>
      </c>
      <c r="C58" s="2" t="s">
        <v>457</v>
      </c>
      <c r="D58" s="2" t="s">
        <v>458</v>
      </c>
      <c r="E58" s="17" t="s">
        <v>730</v>
      </c>
      <c r="G58" s="18" t="str">
        <f t="shared" si="0"/>
        <v>JMC1E</v>
      </c>
      <c r="H58" s="11" t="str">
        <f>VLOOKUP($A58,[1]Sheet2!$I$2:$O$544,7,FALSE)</f>
        <v>https://hana.modakita.com/azd942/avatar/21394210620251016151006B8YKZT.jpg</v>
      </c>
      <c r="I58" s="12">
        <f t="shared" si="1"/>
        <v>120</v>
      </c>
      <c r="J58" s="12" t="str">
        <f t="shared" si="2"/>
        <v>18</v>
      </c>
      <c r="K58" s="12" t="str">
        <f t="shared" si="3"/>
        <v>06</v>
      </c>
      <c r="L58" s="12" t="str">
        <f t="shared" si="4"/>
        <v>2025</v>
      </c>
      <c r="M58" s="12">
        <f t="shared" si="5"/>
        <v>12</v>
      </c>
    </row>
    <row r="59" spans="1:13" x14ac:dyDescent="0.2">
      <c r="A59" s="20" t="s">
        <v>526</v>
      </c>
      <c r="B59" s="2" t="s">
        <v>27</v>
      </c>
      <c r="C59" s="2" t="s">
        <v>188</v>
      </c>
      <c r="D59" s="2" t="s">
        <v>117</v>
      </c>
      <c r="E59" s="17" t="s">
        <v>527</v>
      </c>
      <c r="G59" s="18" t="str">
        <f t="shared" si="0"/>
        <v>KFC1E</v>
      </c>
      <c r="H59" s="11" t="str">
        <f>VLOOKUP($A59,[1]Sheet2!$I$2:$O$544,7,FALSE)</f>
        <v>https://fruitbasket.blob.core.windows.net/gk2o5k/avatar/21063208420251009113109WYGD5M.jpg</v>
      </c>
      <c r="I59" s="12">
        <f t="shared" si="1"/>
        <v>122</v>
      </c>
      <c r="J59" s="12" t="str">
        <f t="shared" si="2"/>
        <v>09</v>
      </c>
      <c r="K59" s="12" t="str">
        <f t="shared" si="3"/>
        <v>06</v>
      </c>
      <c r="L59" s="12" t="str">
        <f t="shared" si="4"/>
        <v>2025</v>
      </c>
      <c r="M59" s="12">
        <f t="shared" si="5"/>
        <v>12</v>
      </c>
    </row>
    <row r="60" spans="1:13" x14ac:dyDescent="0.2">
      <c r="A60" s="20" t="s">
        <v>523</v>
      </c>
      <c r="B60" s="2" t="s">
        <v>27</v>
      </c>
      <c r="C60" s="2" t="s">
        <v>524</v>
      </c>
      <c r="D60" s="2" t="s">
        <v>113</v>
      </c>
      <c r="E60" s="17" t="s">
        <v>525</v>
      </c>
      <c r="G60" s="18" t="str">
        <f t="shared" si="0"/>
        <v>KFD1E</v>
      </c>
      <c r="H60" s="11" t="str">
        <f>VLOOKUP($A60,[1]Sheet2!$I$2:$O$544,7,FALSE)</f>
        <v>https://fruitbasket.blob.core.windows.net/gk2o5k/avatar/23773820251007093032ZE46VK.jpg</v>
      </c>
      <c r="I60" s="12">
        <f t="shared" si="1"/>
        <v>124</v>
      </c>
      <c r="J60" s="12" t="str">
        <f t="shared" si="2"/>
        <v>05</v>
      </c>
      <c r="K60" s="12" t="str">
        <f t="shared" si="3"/>
        <v>06</v>
      </c>
      <c r="L60" s="12" t="str">
        <f t="shared" si="4"/>
        <v>2025</v>
      </c>
      <c r="M60" s="12">
        <f t="shared" si="5"/>
        <v>12</v>
      </c>
    </row>
    <row r="61" spans="1:13" x14ac:dyDescent="0.2">
      <c r="A61" s="20" t="s">
        <v>578</v>
      </c>
      <c r="B61" s="2" t="s">
        <v>27</v>
      </c>
      <c r="C61" s="2" t="s">
        <v>212</v>
      </c>
      <c r="D61" s="2" t="s">
        <v>154</v>
      </c>
      <c r="E61" s="17" t="s">
        <v>525</v>
      </c>
      <c r="G61" s="18" t="str">
        <f t="shared" si="0"/>
        <v>JBP1E</v>
      </c>
      <c r="H61" s="11" t="str">
        <f>VLOOKUP($A61,[1]Sheet2!$I$2:$O$544,7,FALSE)</f>
        <v>https://hana.modakita.com/azd942/avatar/21063208420251018135649WTIQD4.jpg</v>
      </c>
      <c r="I61" s="12">
        <f t="shared" si="1"/>
        <v>119</v>
      </c>
      <c r="J61" s="12" t="str">
        <f t="shared" si="2"/>
        <v>21</v>
      </c>
      <c r="K61" s="12" t="str">
        <f t="shared" si="3"/>
        <v>06</v>
      </c>
      <c r="L61" s="12" t="str">
        <f t="shared" si="4"/>
        <v>2025</v>
      </c>
      <c r="M61" s="12">
        <f t="shared" si="5"/>
        <v>12</v>
      </c>
    </row>
    <row r="62" spans="1:13" x14ac:dyDescent="0.2">
      <c r="A62" s="20" t="s">
        <v>696</v>
      </c>
      <c r="B62" s="2" t="s">
        <v>27</v>
      </c>
      <c r="C62" s="2" t="s">
        <v>439</v>
      </c>
      <c r="D62" s="2" t="s">
        <v>179</v>
      </c>
      <c r="E62" s="17" t="s">
        <v>697</v>
      </c>
      <c r="G62" s="18" t="str">
        <f t="shared" si="0"/>
        <v>JMD1E</v>
      </c>
      <c r="H62" s="11" t="str">
        <f>VLOOKUP($A62,[1]Sheet2!$I$2:$O$544,7,FALSE)</f>
        <v>https://fruitbasket.blob.core.windows.net/gk2o5k/avatar/21063208420251004081136QUJLYP.jpg</v>
      </c>
      <c r="I62" s="12">
        <f t="shared" si="1"/>
        <v>122</v>
      </c>
      <c r="J62" s="12" t="str">
        <f t="shared" si="2"/>
        <v>04</v>
      </c>
      <c r="K62" s="12" t="str">
        <f t="shared" si="3"/>
        <v>06</v>
      </c>
      <c r="L62" s="12" t="str">
        <f t="shared" si="4"/>
        <v>2025</v>
      </c>
      <c r="M62" s="12">
        <f t="shared" si="5"/>
        <v>12</v>
      </c>
    </row>
    <row r="63" spans="1:13" x14ac:dyDescent="0.2">
      <c r="A63" s="20" t="s">
        <v>731</v>
      </c>
      <c r="B63" s="2" t="s">
        <v>27</v>
      </c>
      <c r="C63" s="2" t="s">
        <v>457</v>
      </c>
      <c r="D63" s="2" t="s">
        <v>458</v>
      </c>
      <c r="E63" s="17" t="s">
        <v>732</v>
      </c>
      <c r="G63" s="18" t="str">
        <f t="shared" si="0"/>
        <v>JMD1E</v>
      </c>
      <c r="H63" s="11" t="str">
        <f>VLOOKUP($A63,[1]Sheet2!$I$2:$O$544,7,FALSE)</f>
        <v>https://hana.modakita.com/azd942/avatar/2106320842025101615163561XSMV.jpg</v>
      </c>
      <c r="I63" s="12">
        <f t="shared" si="1"/>
        <v>120</v>
      </c>
      <c r="J63" s="12" t="str">
        <f t="shared" si="2"/>
        <v>18</v>
      </c>
      <c r="K63" s="12" t="str">
        <f t="shared" si="3"/>
        <v>06</v>
      </c>
      <c r="L63" s="12" t="str">
        <f t="shared" si="4"/>
        <v>2025</v>
      </c>
      <c r="M63" s="12">
        <f t="shared" si="5"/>
        <v>12</v>
      </c>
    </row>
    <row r="64" spans="1:13" x14ac:dyDescent="0.2">
      <c r="A64" s="20" t="s">
        <v>401</v>
      </c>
      <c r="B64" s="2" t="s">
        <v>15</v>
      </c>
      <c r="C64" s="2" t="s">
        <v>107</v>
      </c>
      <c r="D64" s="2" t="s">
        <v>104</v>
      </c>
      <c r="E64" s="17" t="s">
        <v>402</v>
      </c>
      <c r="G64" s="18" t="str">
        <f t="shared" si="0"/>
        <v>JMH1E</v>
      </c>
      <c r="H64" s="11" t="str">
        <f>VLOOKUP($A64,[1]Sheet2!$I$2:$O$544,7,FALSE)</f>
        <v>https://fruitbasket.blob.core.windows.net/gk2o5k/avatar/21063208420251006155925GIIAHU.jpg</v>
      </c>
      <c r="I64" s="12">
        <f t="shared" si="1"/>
        <v>61</v>
      </c>
      <c r="J64" s="12" t="str">
        <f t="shared" si="2"/>
        <v>06</v>
      </c>
      <c r="K64" s="12" t="str">
        <f t="shared" si="3"/>
        <v>08</v>
      </c>
      <c r="L64" s="12" t="str">
        <f t="shared" si="4"/>
        <v>2025</v>
      </c>
      <c r="M64" s="12">
        <f t="shared" si="5"/>
        <v>12</v>
      </c>
    </row>
    <row r="65" spans="1:13" x14ac:dyDescent="0.2">
      <c r="A65" s="20" t="s">
        <v>930</v>
      </c>
      <c r="B65" s="2" t="s">
        <v>27</v>
      </c>
      <c r="C65" s="2" t="s">
        <v>439</v>
      </c>
      <c r="D65" s="2" t="s">
        <v>104</v>
      </c>
      <c r="E65" s="17" t="s">
        <v>931</v>
      </c>
      <c r="G65" s="18" t="str">
        <f t="shared" si="0"/>
        <v>KC04E</v>
      </c>
      <c r="H65" s="11" t="str">
        <f>VLOOKUP($A65,[1]Sheet2!$I$2:$O$544,7,FALSE)</f>
        <v>https://fruitbasket.blob.core.windows.net/gk2o5k/avatar/210632084202510061006538WXE9M.jpg</v>
      </c>
      <c r="I65" s="12">
        <f t="shared" si="1"/>
        <v>124</v>
      </c>
      <c r="J65" s="12" t="str">
        <f t="shared" si="2"/>
        <v>04</v>
      </c>
      <c r="K65" s="12" t="str">
        <f t="shared" si="3"/>
        <v>06</v>
      </c>
      <c r="L65" s="12" t="str">
        <f t="shared" si="4"/>
        <v>2025</v>
      </c>
      <c r="M65" s="12">
        <f t="shared" si="5"/>
        <v>12</v>
      </c>
    </row>
    <row r="66" spans="1:13" x14ac:dyDescent="0.2">
      <c r="A66" s="23" t="s">
        <v>744</v>
      </c>
      <c r="B66" s="2" t="s">
        <v>27</v>
      </c>
      <c r="C66" s="2" t="s">
        <v>219</v>
      </c>
      <c r="D66" s="2" t="s">
        <v>216</v>
      </c>
      <c r="E66" s="17" t="s">
        <v>745</v>
      </c>
      <c r="F66" s="19" t="s">
        <v>981</v>
      </c>
      <c r="G66" s="18" t="str">
        <f t="shared" ref="G66:G129" si="6">LEFT(A66,5)</f>
        <v>JMD1E</v>
      </c>
      <c r="H66" s="11" t="str">
        <f>VLOOKUP($A66,[1]Sheet2!$I$2:$O$544,7,FALSE)</f>
        <v>https://hana.modakita.com/azd942/avatar/23773820251020144021OKFPA6.jpg</v>
      </c>
      <c r="I66" s="12">
        <f t="shared" ref="I66:I129" si="7">D66-C66</f>
        <v>118</v>
      </c>
      <c r="J66" s="12" t="str">
        <f t="shared" ref="J66:J129" si="8">LEFT(C66,2)</f>
        <v>24</v>
      </c>
      <c r="K66" s="12" t="str">
        <f t="shared" ref="K66:K129" si="9">MID(C66,4,2)</f>
        <v>06</v>
      </c>
      <c r="L66" s="12" t="str">
        <f t="shared" ref="L66:L129" si="10">RIGHT(C66,4)</f>
        <v>2025</v>
      </c>
      <c r="M66" s="12">
        <f t="shared" ref="M66:M129" si="11">LEN(A66)</f>
        <v>12</v>
      </c>
    </row>
    <row r="67" spans="1:13" x14ac:dyDescent="0.2">
      <c r="A67" s="20" t="s">
        <v>447</v>
      </c>
      <c r="B67" s="2" t="s">
        <v>27</v>
      </c>
      <c r="C67" s="2" t="s">
        <v>448</v>
      </c>
      <c r="D67" s="2" t="s">
        <v>117</v>
      </c>
      <c r="E67" s="17" t="s">
        <v>449</v>
      </c>
      <c r="G67" s="18" t="str">
        <f t="shared" si="6"/>
        <v>JMH2E</v>
      </c>
      <c r="H67" s="11" t="str">
        <f>VLOOKUP($A67,[1]Sheet2!$I$2:$O$544,7,FALSE)</f>
        <v>https://fruitbasket.blob.core.windows.net/gk2o5k/avatar/23773820251009153912WJVFX7.jpg</v>
      </c>
      <c r="I67" s="12">
        <f t="shared" si="7"/>
        <v>120</v>
      </c>
      <c r="J67" s="12" t="str">
        <f t="shared" si="8"/>
        <v>11</v>
      </c>
      <c r="K67" s="12" t="str">
        <f t="shared" si="9"/>
        <v>06</v>
      </c>
      <c r="L67" s="12" t="str">
        <f t="shared" si="10"/>
        <v>2025</v>
      </c>
      <c r="M67" s="12">
        <f t="shared" si="11"/>
        <v>12</v>
      </c>
    </row>
    <row r="68" spans="1:13" x14ac:dyDescent="0.2">
      <c r="A68" s="20" t="s">
        <v>718</v>
      </c>
      <c r="B68" s="2" t="s">
        <v>27</v>
      </c>
      <c r="C68" s="2" t="s">
        <v>198</v>
      </c>
      <c r="D68" s="2" t="s">
        <v>128</v>
      </c>
      <c r="E68" s="17" t="s">
        <v>449</v>
      </c>
      <c r="G68" s="18" t="str">
        <f t="shared" si="6"/>
        <v>JMC1E</v>
      </c>
      <c r="H68" s="11" t="str">
        <f>VLOOKUP($A68,[1]Sheet2!$I$2:$O$544,7,FALSE)</f>
        <v>https://hana.modakita.com/azd942/avatar/21063208420251011091133XOPW6H.jpg</v>
      </c>
      <c r="I68" s="12">
        <f t="shared" si="7"/>
        <v>120</v>
      </c>
      <c r="J68" s="12" t="str">
        <f t="shared" si="8"/>
        <v>13</v>
      </c>
      <c r="K68" s="12" t="str">
        <f t="shared" si="9"/>
        <v>06</v>
      </c>
      <c r="L68" s="12" t="str">
        <f t="shared" si="10"/>
        <v>2025</v>
      </c>
      <c r="M68" s="12">
        <f t="shared" si="11"/>
        <v>12</v>
      </c>
    </row>
    <row r="69" spans="1:13" x14ac:dyDescent="0.2">
      <c r="A69" s="20" t="s">
        <v>319</v>
      </c>
      <c r="B69" s="2" t="s">
        <v>27</v>
      </c>
      <c r="C69" s="2" t="s">
        <v>201</v>
      </c>
      <c r="D69" s="2" t="s">
        <v>141</v>
      </c>
      <c r="E69" s="17" t="s">
        <v>320</v>
      </c>
      <c r="G69" s="18" t="str">
        <f t="shared" si="6"/>
        <v>KFE3E</v>
      </c>
      <c r="H69" s="11" t="str">
        <f>VLOOKUP($A69,[1]Sheet2!$I$2:$O$544,7,FALSE)</f>
        <v>https://hana.modakita.com/azd942/avatar/21063208420251015130210CDBS24.jpg</v>
      </c>
      <c r="I69" s="12">
        <f t="shared" si="7"/>
        <v>120</v>
      </c>
      <c r="J69" s="12" t="str">
        <f t="shared" si="8"/>
        <v>17</v>
      </c>
      <c r="K69" s="12" t="str">
        <f t="shared" si="9"/>
        <v>06</v>
      </c>
      <c r="L69" s="12" t="str">
        <f t="shared" si="10"/>
        <v>2025</v>
      </c>
      <c r="M69" s="12">
        <f t="shared" si="11"/>
        <v>12</v>
      </c>
    </row>
    <row r="70" spans="1:13" x14ac:dyDescent="0.2">
      <c r="A70" s="20" t="s">
        <v>299</v>
      </c>
      <c r="B70" s="2" t="s">
        <v>15</v>
      </c>
      <c r="C70" s="2" t="s">
        <v>295</v>
      </c>
      <c r="D70" s="2" t="s">
        <v>117</v>
      </c>
      <c r="E70" s="17" t="s">
        <v>300</v>
      </c>
      <c r="G70" s="18" t="str">
        <f t="shared" si="6"/>
        <v>KFE1E</v>
      </c>
      <c r="H70" s="11" t="str">
        <f>VLOOKUP($A70,[1]Sheet2!$I$2:$O$544,7,FALSE)</f>
        <v>https://fruitbasket.blob.core.windows.net/gk2o5k/avatar/2106320842025100909203537ADSO.jpg</v>
      </c>
      <c r="I70" s="12">
        <f t="shared" si="7"/>
        <v>62</v>
      </c>
      <c r="J70" s="12" t="str">
        <f t="shared" si="8"/>
        <v>08</v>
      </c>
      <c r="K70" s="12" t="str">
        <f t="shared" si="9"/>
        <v>08</v>
      </c>
      <c r="L70" s="12" t="str">
        <f t="shared" si="10"/>
        <v>2025</v>
      </c>
      <c r="M70" s="12">
        <f t="shared" si="11"/>
        <v>12</v>
      </c>
    </row>
    <row r="71" spans="1:13" x14ac:dyDescent="0.2">
      <c r="A71" s="20" t="s">
        <v>572</v>
      </c>
      <c r="B71" s="2" t="s">
        <v>27</v>
      </c>
      <c r="C71" s="2" t="s">
        <v>270</v>
      </c>
      <c r="D71" s="2" t="s">
        <v>131</v>
      </c>
      <c r="E71" s="17" t="s">
        <v>573</v>
      </c>
      <c r="G71" s="18" t="str">
        <f t="shared" si="6"/>
        <v>JBP1E</v>
      </c>
      <c r="H71" s="11" t="str">
        <f>VLOOKUP($A71,[1]Sheet2!$I$2:$O$544,7,FALSE)</f>
        <v>https://hana.modakita.com/azd942/avatar/21394210620251013100547O9FVZM.jpg</v>
      </c>
      <c r="I71" s="12">
        <f t="shared" si="7"/>
        <v>121</v>
      </c>
      <c r="J71" s="12" t="str">
        <f t="shared" si="8"/>
        <v>14</v>
      </c>
      <c r="K71" s="12" t="str">
        <f t="shared" si="9"/>
        <v>06</v>
      </c>
      <c r="L71" s="12" t="str">
        <f t="shared" si="10"/>
        <v>2025</v>
      </c>
      <c r="M71" s="12">
        <f t="shared" si="11"/>
        <v>12</v>
      </c>
    </row>
    <row r="72" spans="1:13" x14ac:dyDescent="0.2">
      <c r="A72" s="20" t="s">
        <v>877</v>
      </c>
      <c r="B72" s="2" t="s">
        <v>27</v>
      </c>
      <c r="C72" s="2" t="s">
        <v>219</v>
      </c>
      <c r="D72" s="2" t="s">
        <v>164</v>
      </c>
      <c r="E72" s="17" t="s">
        <v>878</v>
      </c>
      <c r="G72" s="18" t="str">
        <f t="shared" si="6"/>
        <v>KF01E</v>
      </c>
      <c r="H72" s="11" t="str">
        <f>VLOOKUP($A72,[1]Sheet2!$I$2:$O$544,7,FALSE)</f>
        <v>https://hana.modakita.com/azd942/avatar/210632084202510210907153WHUVE.jpg</v>
      </c>
      <c r="I72" s="12">
        <f t="shared" si="7"/>
        <v>119</v>
      </c>
      <c r="J72" s="12" t="str">
        <f t="shared" si="8"/>
        <v>24</v>
      </c>
      <c r="K72" s="12" t="str">
        <f t="shared" si="9"/>
        <v>06</v>
      </c>
      <c r="L72" s="12" t="str">
        <f t="shared" si="10"/>
        <v>2025</v>
      </c>
      <c r="M72" s="12">
        <f t="shared" si="11"/>
        <v>12</v>
      </c>
    </row>
    <row r="73" spans="1:13" x14ac:dyDescent="0.2">
      <c r="A73" s="20" t="s">
        <v>746</v>
      </c>
      <c r="B73" s="2" t="s">
        <v>27</v>
      </c>
      <c r="C73" s="2" t="s">
        <v>584</v>
      </c>
      <c r="D73" s="2" t="s">
        <v>164</v>
      </c>
      <c r="E73" s="17" t="s">
        <v>747</v>
      </c>
      <c r="G73" s="18" t="str">
        <f t="shared" si="6"/>
        <v>JMD1E</v>
      </c>
      <c r="H73" s="11" t="str">
        <f>VLOOKUP($A73,[1]Sheet2!$I$2:$O$544,7,FALSE)</f>
        <v>https://hana.modakita.com/azd942/avatar/21301231220251021102748CKV5YJ.jpg</v>
      </c>
      <c r="I73" s="12">
        <f t="shared" si="7"/>
        <v>118</v>
      </c>
      <c r="J73" s="12" t="str">
        <f t="shared" si="8"/>
        <v>25</v>
      </c>
      <c r="K73" s="12" t="str">
        <f t="shared" si="9"/>
        <v>06</v>
      </c>
      <c r="L73" s="12" t="str">
        <f t="shared" si="10"/>
        <v>2025</v>
      </c>
      <c r="M73" s="12">
        <f t="shared" si="11"/>
        <v>12</v>
      </c>
    </row>
    <row r="74" spans="1:13" x14ac:dyDescent="0.2">
      <c r="A74" s="20" t="s">
        <v>362</v>
      </c>
      <c r="B74" s="2" t="s">
        <v>27</v>
      </c>
      <c r="C74" s="2" t="s">
        <v>198</v>
      </c>
      <c r="D74" s="2" t="s">
        <v>265</v>
      </c>
      <c r="E74" s="17" t="s">
        <v>363</v>
      </c>
      <c r="G74" s="18" t="str">
        <f t="shared" si="6"/>
        <v>JBK1E</v>
      </c>
      <c r="H74" s="11" t="str">
        <f>VLOOKUP($A74,[1]Sheet2!$I$2:$O$544,7,FALSE)</f>
        <v>https://hana.modakita.com/azd942/avatar/23773820251023082558Q8B1CN.jpg</v>
      </c>
      <c r="I74" s="12">
        <f t="shared" si="7"/>
        <v>132</v>
      </c>
      <c r="J74" s="12" t="str">
        <f t="shared" si="8"/>
        <v>13</v>
      </c>
      <c r="K74" s="12" t="str">
        <f t="shared" si="9"/>
        <v>06</v>
      </c>
      <c r="L74" s="12" t="str">
        <f t="shared" si="10"/>
        <v>2025</v>
      </c>
      <c r="M74" s="12">
        <f t="shared" si="11"/>
        <v>12</v>
      </c>
    </row>
    <row r="75" spans="1:13" x14ac:dyDescent="0.2">
      <c r="A75" s="23" t="s">
        <v>224</v>
      </c>
      <c r="B75" s="2" t="s">
        <v>27</v>
      </c>
      <c r="C75" s="2" t="s">
        <v>222</v>
      </c>
      <c r="D75" s="2" t="s">
        <v>225</v>
      </c>
      <c r="E75" s="2" t="s">
        <v>226</v>
      </c>
      <c r="F75" s="19" t="s">
        <v>971</v>
      </c>
      <c r="G75" t="str">
        <f t="shared" si="6"/>
        <v>JMF1E</v>
      </c>
      <c r="H75" s="11" t="str">
        <f>VLOOKUP($A75,[1]Sheet2!$I$2:$O$544,7,FALSE)</f>
        <v>https://hana.modakita.com/azd942/avatar/23773820251027112514QODDWA.jpg</v>
      </c>
      <c r="I75" s="12">
        <f t="shared" si="7"/>
        <v>121</v>
      </c>
      <c r="J75" s="12" t="str">
        <f t="shared" si="8"/>
        <v>28</v>
      </c>
      <c r="K75" s="12" t="str">
        <f t="shared" si="9"/>
        <v>06</v>
      </c>
      <c r="L75" s="12" t="str">
        <f t="shared" si="10"/>
        <v>2025</v>
      </c>
      <c r="M75" s="12">
        <f t="shared" si="11"/>
        <v>12</v>
      </c>
    </row>
    <row r="76" spans="1:13" x14ac:dyDescent="0.2">
      <c r="A76" s="20" t="s">
        <v>355</v>
      </c>
      <c r="B76" s="2" t="s">
        <v>27</v>
      </c>
      <c r="C76" s="2" t="s">
        <v>188</v>
      </c>
      <c r="D76" s="2" t="s">
        <v>117</v>
      </c>
      <c r="E76" s="17" t="s">
        <v>356</v>
      </c>
      <c r="G76" s="18" t="str">
        <f t="shared" si="6"/>
        <v>JBK3E</v>
      </c>
      <c r="H76" s="11" t="str">
        <f>VLOOKUP($A76,[1]Sheet2!$I$2:$O$544,7,FALSE)</f>
        <v>https://fruitbasket.blob.core.windows.net/gk2o5k/avatar/23773820251009111707GRYAAN.jpg</v>
      </c>
      <c r="I76" s="12">
        <f t="shared" si="7"/>
        <v>122</v>
      </c>
      <c r="J76" s="12" t="str">
        <f t="shared" si="8"/>
        <v>09</v>
      </c>
      <c r="K76" s="12" t="str">
        <f t="shared" si="9"/>
        <v>06</v>
      </c>
      <c r="L76" s="12" t="str">
        <f t="shared" si="10"/>
        <v>2025</v>
      </c>
      <c r="M76" s="12">
        <f t="shared" si="11"/>
        <v>12</v>
      </c>
    </row>
    <row r="77" spans="1:13" x14ac:dyDescent="0.2">
      <c r="A77" s="20" t="s">
        <v>130</v>
      </c>
      <c r="B77" s="2" t="s">
        <v>15</v>
      </c>
      <c r="C77" s="2" t="s">
        <v>127</v>
      </c>
      <c r="D77" s="2" t="s">
        <v>131</v>
      </c>
      <c r="E77" s="17" t="s">
        <v>132</v>
      </c>
      <c r="G77" s="18" t="str">
        <f t="shared" si="6"/>
        <v>JME1E</v>
      </c>
      <c r="H77" s="11" t="str">
        <f>VLOOKUP($A77,[1]Sheet2!$I$2:$O$544,7,FALSE)</f>
        <v>https://hana.modakita.com/azd942/avatar/23773820251013133550ZBLE3X.jpg</v>
      </c>
      <c r="I77" s="12">
        <f t="shared" si="7"/>
        <v>60</v>
      </c>
      <c r="J77" s="12" t="str">
        <f t="shared" si="8"/>
        <v>14</v>
      </c>
      <c r="K77" s="12" t="str">
        <f t="shared" si="9"/>
        <v>08</v>
      </c>
      <c r="L77" s="12" t="str">
        <f t="shared" si="10"/>
        <v>2025</v>
      </c>
      <c r="M77" s="12">
        <f t="shared" si="11"/>
        <v>12</v>
      </c>
    </row>
    <row r="78" spans="1:13" x14ac:dyDescent="0.2">
      <c r="A78" s="20" t="s">
        <v>187</v>
      </c>
      <c r="B78" s="2" t="s">
        <v>27</v>
      </c>
      <c r="C78" s="2" t="s">
        <v>188</v>
      </c>
      <c r="D78" s="2" t="s">
        <v>117</v>
      </c>
      <c r="E78" s="17" t="s">
        <v>189</v>
      </c>
      <c r="G78" s="18" t="str">
        <f t="shared" si="6"/>
        <v>JME1E</v>
      </c>
      <c r="H78" s="11" t="str">
        <f>VLOOKUP($A78,[1]Sheet2!$I$2:$O$544,7,FALSE)</f>
        <v>https://fruitbasket.blob.core.windows.net/gk2o5k/avatar/21063208420251009111557A3W4DY.jpg</v>
      </c>
      <c r="I78" s="12">
        <f t="shared" si="7"/>
        <v>122</v>
      </c>
      <c r="J78" s="12" t="str">
        <f t="shared" si="8"/>
        <v>09</v>
      </c>
      <c r="K78" s="12" t="str">
        <f t="shared" si="9"/>
        <v>06</v>
      </c>
      <c r="L78" s="12" t="str">
        <f t="shared" si="10"/>
        <v>2025</v>
      </c>
      <c r="M78" s="12">
        <f t="shared" si="11"/>
        <v>12</v>
      </c>
    </row>
    <row r="79" spans="1:13" x14ac:dyDescent="0.2">
      <c r="A79" s="20" t="s">
        <v>566</v>
      </c>
      <c r="B79" s="2" t="s">
        <v>15</v>
      </c>
      <c r="C79" s="2" t="s">
        <v>112</v>
      </c>
      <c r="D79" s="2" t="s">
        <v>141</v>
      </c>
      <c r="E79" s="17" t="s">
        <v>556</v>
      </c>
      <c r="G79" s="18" t="str">
        <f t="shared" si="6"/>
        <v>JBP1E</v>
      </c>
      <c r="H79" s="11" t="str">
        <f>VLOOKUP($A79,[1]Sheet2!$I$2:$O$544,7,FALSE)</f>
        <v>https://hana.modakita.com/azd942/avatar/21301231220251015095003CVUVUE.jpg</v>
      </c>
      <c r="I79" s="12">
        <f t="shared" si="7"/>
        <v>69</v>
      </c>
      <c r="J79" s="12" t="str">
        <f t="shared" si="8"/>
        <v>07</v>
      </c>
      <c r="K79" s="12" t="str">
        <f t="shared" si="9"/>
        <v>08</v>
      </c>
      <c r="L79" s="12" t="str">
        <f t="shared" si="10"/>
        <v>2025</v>
      </c>
      <c r="M79" s="12">
        <f t="shared" si="11"/>
        <v>12</v>
      </c>
    </row>
    <row r="80" spans="1:13" x14ac:dyDescent="0.2">
      <c r="A80" s="20" t="s">
        <v>152</v>
      </c>
      <c r="B80" s="2" t="s">
        <v>15</v>
      </c>
      <c r="C80" s="2" t="s">
        <v>153</v>
      </c>
      <c r="D80" s="2" t="s">
        <v>154</v>
      </c>
      <c r="E80" s="17" t="s">
        <v>155</v>
      </c>
      <c r="G80" s="18" t="str">
        <f t="shared" si="6"/>
        <v>JME1E</v>
      </c>
      <c r="H80" s="11" t="str">
        <f>VLOOKUP($A80,[1]Sheet2!$I$2:$O$544,7,FALSE)</f>
        <v>https://hana.modakita.com/azd942/avatar/210632084202510180848348ANSHL.jpg</v>
      </c>
      <c r="I80" s="12">
        <f t="shared" si="7"/>
        <v>53</v>
      </c>
      <c r="J80" s="12" t="str">
        <f t="shared" si="8"/>
        <v>26</v>
      </c>
      <c r="K80" s="12" t="str">
        <f t="shared" si="9"/>
        <v>08</v>
      </c>
      <c r="L80" s="12" t="str">
        <f t="shared" si="10"/>
        <v>2025</v>
      </c>
      <c r="M80" s="12">
        <f t="shared" si="11"/>
        <v>12</v>
      </c>
    </row>
    <row r="81" spans="1:13" x14ac:dyDescent="0.2">
      <c r="A81" s="20" t="s">
        <v>221</v>
      </c>
      <c r="B81" s="2" t="s">
        <v>27</v>
      </c>
      <c r="C81" s="2" t="s">
        <v>222</v>
      </c>
      <c r="D81" s="2" t="s">
        <v>168</v>
      </c>
      <c r="E81" s="17" t="s">
        <v>223</v>
      </c>
      <c r="G81" s="18" t="str">
        <f t="shared" si="6"/>
        <v>JME1E</v>
      </c>
      <c r="H81" s="11" t="str">
        <f>VLOOKUP($A81,[1]Sheet2!$I$2:$O$544,7,FALSE)</f>
        <v>https://hana.modakita.com/azd942/avatar/21063208420251022093047X7C8OL.jpg</v>
      </c>
      <c r="I81" s="12">
        <f t="shared" si="7"/>
        <v>116</v>
      </c>
      <c r="J81" s="12" t="str">
        <f t="shared" si="8"/>
        <v>28</v>
      </c>
      <c r="K81" s="12" t="str">
        <f t="shared" si="9"/>
        <v>06</v>
      </c>
      <c r="L81" s="12" t="str">
        <f t="shared" si="10"/>
        <v>2025</v>
      </c>
      <c r="M81" s="12">
        <f t="shared" si="11"/>
        <v>12</v>
      </c>
    </row>
    <row r="82" spans="1:13" x14ac:dyDescent="0.2">
      <c r="A82" s="20" t="s">
        <v>918</v>
      </c>
      <c r="B82" s="2" t="s">
        <v>15</v>
      </c>
      <c r="C82" s="2" t="s">
        <v>146</v>
      </c>
      <c r="D82" s="2" t="s">
        <v>458</v>
      </c>
      <c r="E82" s="17" t="s">
        <v>569</v>
      </c>
      <c r="G82" s="18" t="str">
        <f t="shared" si="6"/>
        <v>KC04E</v>
      </c>
      <c r="H82" s="11" t="str">
        <f>VLOOKUP($A82,[1]Sheet2!$I$2:$O$544,7,FALSE)</f>
        <v>https://hana.modakita.com/azd942/avatar/21063208420251016161757MXUYYI.jpg</v>
      </c>
      <c r="I82" s="12">
        <f t="shared" si="7"/>
        <v>57</v>
      </c>
      <c r="J82" s="12" t="str">
        <f t="shared" si="8"/>
        <v>20</v>
      </c>
      <c r="K82" s="12" t="str">
        <f t="shared" si="9"/>
        <v>08</v>
      </c>
      <c r="L82" s="12" t="str">
        <f t="shared" si="10"/>
        <v>2025</v>
      </c>
      <c r="M82" s="12">
        <f t="shared" si="11"/>
        <v>12</v>
      </c>
    </row>
    <row r="83" spans="1:13" x14ac:dyDescent="0.2">
      <c r="A83" s="20" t="s">
        <v>715</v>
      </c>
      <c r="B83" s="2" t="s">
        <v>27</v>
      </c>
      <c r="C83" s="2" t="s">
        <v>716</v>
      </c>
      <c r="D83" s="2" t="s">
        <v>121</v>
      </c>
      <c r="E83" s="17" t="s">
        <v>717</v>
      </c>
      <c r="G83" s="18" t="str">
        <f t="shared" si="6"/>
        <v>JMC1E</v>
      </c>
      <c r="H83" s="11" t="str">
        <f>VLOOKUP($A83,[1]Sheet2!$I$2:$O$544,7,FALSE)</f>
        <v>https://hana.modakita.com/azd942/avatar/23773820251010151820TDSLJZ.jpg</v>
      </c>
      <c r="I83" s="12">
        <f t="shared" si="7"/>
        <v>120</v>
      </c>
      <c r="J83" s="12" t="str">
        <f t="shared" si="8"/>
        <v>12</v>
      </c>
      <c r="K83" s="12" t="str">
        <f t="shared" si="9"/>
        <v>06</v>
      </c>
      <c r="L83" s="12" t="str">
        <f t="shared" si="10"/>
        <v>2025</v>
      </c>
      <c r="M83" s="12">
        <f t="shared" si="11"/>
        <v>12</v>
      </c>
    </row>
    <row r="84" spans="1:13" x14ac:dyDescent="0.2">
      <c r="A84" s="20" t="s">
        <v>468</v>
      </c>
      <c r="B84" s="2" t="s">
        <v>27</v>
      </c>
      <c r="C84" s="2" t="s">
        <v>222</v>
      </c>
      <c r="D84" s="2" t="s">
        <v>164</v>
      </c>
      <c r="E84" s="17" t="s">
        <v>469</v>
      </c>
      <c r="G84" s="18" t="str">
        <f t="shared" si="6"/>
        <v>JMH1E</v>
      </c>
      <c r="H84" s="11" t="str">
        <f>VLOOKUP($A84,[1]Sheet2!$I$2:$O$544,7,FALSE)</f>
        <v>https://hana.modakita.com/azd942/avatar/21063208420251021160015BMHEH2.jpg</v>
      </c>
      <c r="I84" s="12">
        <f t="shared" si="7"/>
        <v>115</v>
      </c>
      <c r="J84" s="12" t="str">
        <f t="shared" si="8"/>
        <v>28</v>
      </c>
      <c r="K84" s="12" t="str">
        <f t="shared" si="9"/>
        <v>06</v>
      </c>
      <c r="L84" s="12" t="str">
        <f t="shared" si="10"/>
        <v>2025</v>
      </c>
      <c r="M84" s="12">
        <f t="shared" si="11"/>
        <v>12</v>
      </c>
    </row>
    <row r="85" spans="1:13" x14ac:dyDescent="0.2">
      <c r="A85" s="20" t="s">
        <v>725</v>
      </c>
      <c r="B85" s="2" t="s">
        <v>27</v>
      </c>
      <c r="C85" s="2" t="s">
        <v>201</v>
      </c>
      <c r="D85" s="2" t="s">
        <v>141</v>
      </c>
      <c r="E85" s="17" t="s">
        <v>726</v>
      </c>
      <c r="G85" s="18" t="str">
        <f t="shared" si="6"/>
        <v>JMD1E</v>
      </c>
      <c r="H85" s="11" t="str">
        <f>VLOOKUP($A85,[1]Sheet2!$I$2:$O$544,7,FALSE)</f>
        <v>https://hana.modakita.com/azd942/avatar/21063208420251015145337U8WZY5.jpg</v>
      </c>
      <c r="I85" s="12">
        <f t="shared" si="7"/>
        <v>120</v>
      </c>
      <c r="J85" s="12" t="str">
        <f t="shared" si="8"/>
        <v>17</v>
      </c>
      <c r="K85" s="12" t="str">
        <f t="shared" si="9"/>
        <v>06</v>
      </c>
      <c r="L85" s="12" t="str">
        <f t="shared" si="10"/>
        <v>2025</v>
      </c>
      <c r="M85" s="12">
        <f t="shared" si="11"/>
        <v>12</v>
      </c>
    </row>
    <row r="86" spans="1:13" x14ac:dyDescent="0.2">
      <c r="A86" s="20" t="s">
        <v>360</v>
      </c>
      <c r="B86" s="2" t="s">
        <v>27</v>
      </c>
      <c r="C86" s="2" t="s">
        <v>193</v>
      </c>
      <c r="D86" s="2" t="s">
        <v>154</v>
      </c>
      <c r="E86" s="17" t="s">
        <v>361</v>
      </c>
      <c r="G86" s="18" t="str">
        <f t="shared" si="6"/>
        <v>JBK1E</v>
      </c>
      <c r="H86" s="11" t="str">
        <f>VLOOKUP($A86,[1]Sheet2!$I$2:$O$544,7,FALSE)</f>
        <v>https://hana.modakita.com/azd942/avatar/21273061520251018094858O1XON4.jpg</v>
      </c>
      <c r="I86" s="12">
        <f t="shared" si="7"/>
        <v>130</v>
      </c>
      <c r="J86" s="12" t="str">
        <f t="shared" si="8"/>
        <v>10</v>
      </c>
      <c r="K86" s="12" t="str">
        <f t="shared" si="9"/>
        <v>06</v>
      </c>
      <c r="L86" s="12" t="str">
        <f t="shared" si="10"/>
        <v>2025</v>
      </c>
      <c r="M86" s="12">
        <f t="shared" si="11"/>
        <v>12</v>
      </c>
    </row>
    <row r="87" spans="1:13" x14ac:dyDescent="0.2">
      <c r="A87" s="20" t="s">
        <v>742</v>
      </c>
      <c r="B87" s="2" t="s">
        <v>27</v>
      </c>
      <c r="C87" s="2" t="s">
        <v>206</v>
      </c>
      <c r="D87" s="2" t="s">
        <v>216</v>
      </c>
      <c r="E87" s="17" t="s">
        <v>743</v>
      </c>
      <c r="G87" s="18" t="str">
        <f t="shared" si="6"/>
        <v>JMD1E</v>
      </c>
      <c r="H87" s="11" t="str">
        <f>VLOOKUP($A87,[1]Sheet2!$I$2:$O$544,7,FALSE)</f>
        <v>https://hana.modakita.com/azd942/avatar/23773820251020133054BXM8R0.jpg</v>
      </c>
      <c r="I87" s="12">
        <f t="shared" si="7"/>
        <v>122</v>
      </c>
      <c r="J87" s="12" t="str">
        <f t="shared" si="8"/>
        <v>20</v>
      </c>
      <c r="K87" s="12" t="str">
        <f t="shared" si="9"/>
        <v>06</v>
      </c>
      <c r="L87" s="12" t="str">
        <f t="shared" si="10"/>
        <v>2025</v>
      </c>
      <c r="M87" s="12">
        <f t="shared" si="11"/>
        <v>12</v>
      </c>
    </row>
    <row r="88" spans="1:13" x14ac:dyDescent="0.2">
      <c r="A88" s="20" t="s">
        <v>740</v>
      </c>
      <c r="B88" s="2" t="s">
        <v>27</v>
      </c>
      <c r="C88" s="2" t="s">
        <v>219</v>
      </c>
      <c r="D88" s="2" t="s">
        <v>216</v>
      </c>
      <c r="E88" s="17" t="s">
        <v>741</v>
      </c>
      <c r="G88" s="18" t="str">
        <f t="shared" si="6"/>
        <v>JMD1E</v>
      </c>
      <c r="H88" s="11" t="str">
        <f>VLOOKUP($A88,[1]Sheet2!$I$2:$O$544,7,FALSE)</f>
        <v>https://hana.modakita.com/azd942/avatar/21394210620251020123855ADN8DU.jpg</v>
      </c>
      <c r="I88" s="12">
        <f t="shared" si="7"/>
        <v>118</v>
      </c>
      <c r="J88" s="12" t="str">
        <f t="shared" si="8"/>
        <v>24</v>
      </c>
      <c r="K88" s="12" t="str">
        <f t="shared" si="9"/>
        <v>06</v>
      </c>
      <c r="L88" s="12" t="str">
        <f t="shared" si="10"/>
        <v>2025</v>
      </c>
      <c r="M88" s="12">
        <f t="shared" si="11"/>
        <v>12</v>
      </c>
    </row>
    <row r="89" spans="1:13" x14ac:dyDescent="0.2">
      <c r="A89" s="20" t="s">
        <v>536</v>
      </c>
      <c r="B89" s="2" t="s">
        <v>27</v>
      </c>
      <c r="C89" s="2" t="s">
        <v>537</v>
      </c>
      <c r="D89" s="2" t="s">
        <v>164</v>
      </c>
      <c r="E89" s="17" t="s">
        <v>538</v>
      </c>
      <c r="G89" s="18" t="str">
        <f t="shared" si="6"/>
        <v>KFC1E</v>
      </c>
      <c r="H89" s="11" t="str">
        <f>VLOOKUP($A89,[1]Sheet2!$I$2:$O$544,7,FALSE)</f>
        <v>https://hana.modakita.com/azd942/avatar/21063208420251021111857TZVVPO.jpg</v>
      </c>
      <c r="I89" s="12">
        <f t="shared" si="7"/>
        <v>178</v>
      </c>
      <c r="J89" s="12" t="str">
        <f t="shared" si="8"/>
        <v>26</v>
      </c>
      <c r="K89" s="12" t="str">
        <f t="shared" si="9"/>
        <v>04</v>
      </c>
      <c r="L89" s="12" t="str">
        <f t="shared" si="10"/>
        <v>2025</v>
      </c>
      <c r="M89" s="12">
        <f t="shared" si="11"/>
        <v>12</v>
      </c>
    </row>
    <row r="90" spans="1:13" x14ac:dyDescent="0.2">
      <c r="A90" s="20" t="s">
        <v>704</v>
      </c>
      <c r="B90" s="2" t="s">
        <v>27</v>
      </c>
      <c r="C90" s="2" t="s">
        <v>182</v>
      </c>
      <c r="D90" s="2" t="s">
        <v>113</v>
      </c>
      <c r="E90" s="17" t="s">
        <v>705</v>
      </c>
      <c r="G90" s="18" t="str">
        <f t="shared" si="6"/>
        <v>JMC1E</v>
      </c>
      <c r="H90" s="11" t="str">
        <f>VLOOKUP($A90,[1]Sheet2!$I$2:$O$544,7,FALSE)</f>
        <v>https://fruitbasket.blob.core.windows.net/gk2o5k/avatar/21063208420251007095500LNWM3U.jpg</v>
      </c>
      <c r="I90" s="12">
        <f t="shared" si="7"/>
        <v>123</v>
      </c>
      <c r="J90" s="12" t="str">
        <f t="shared" si="8"/>
        <v>06</v>
      </c>
      <c r="K90" s="12" t="str">
        <f t="shared" si="9"/>
        <v>06</v>
      </c>
      <c r="L90" s="12" t="str">
        <f t="shared" si="10"/>
        <v>2025</v>
      </c>
      <c r="M90" s="12">
        <f t="shared" si="11"/>
        <v>12</v>
      </c>
    </row>
    <row r="91" spans="1:13" x14ac:dyDescent="0.2">
      <c r="A91" s="20" t="s">
        <v>700</v>
      </c>
      <c r="B91" s="2" t="s">
        <v>27</v>
      </c>
      <c r="C91" s="2" t="s">
        <v>439</v>
      </c>
      <c r="D91" s="2" t="s">
        <v>104</v>
      </c>
      <c r="E91" s="17" t="s">
        <v>701</v>
      </c>
      <c r="G91" s="18" t="str">
        <f t="shared" si="6"/>
        <v>JMC1E</v>
      </c>
      <c r="H91" s="11" t="str">
        <f>VLOOKUP($A91,[1]Sheet2!$I$2:$O$544,7,FALSE)</f>
        <v>https://fruitbasket.blob.core.windows.net/gk2o5k/avatar/21063208420251006091940JXL4F3.jpg</v>
      </c>
      <c r="I91" s="12">
        <f t="shared" si="7"/>
        <v>124</v>
      </c>
      <c r="J91" s="12" t="str">
        <f t="shared" si="8"/>
        <v>04</v>
      </c>
      <c r="K91" s="12" t="str">
        <f t="shared" si="9"/>
        <v>06</v>
      </c>
      <c r="L91" s="12" t="str">
        <f t="shared" si="10"/>
        <v>2025</v>
      </c>
      <c r="M91" s="12">
        <f t="shared" si="11"/>
        <v>12</v>
      </c>
    </row>
    <row r="92" spans="1:13" x14ac:dyDescent="0.2">
      <c r="A92" s="20" t="s">
        <v>622</v>
      </c>
      <c r="B92" s="2" t="s">
        <v>15</v>
      </c>
      <c r="C92" s="2" t="s">
        <v>280</v>
      </c>
      <c r="D92" s="2" t="s">
        <v>121</v>
      </c>
      <c r="E92" s="17" t="s">
        <v>602</v>
      </c>
      <c r="G92" s="18" t="str">
        <f t="shared" si="6"/>
        <v>JMC1E</v>
      </c>
      <c r="H92" s="11" t="str">
        <f>VLOOKUP($A92,[1]Sheet2!$I$2:$O$544,7,FALSE)</f>
        <v>https://hana.modakita.com/azd942/avatar/21063208420251010153716GM2OJX.jpg</v>
      </c>
      <c r="I92" s="12">
        <f t="shared" si="7"/>
        <v>58</v>
      </c>
      <c r="J92" s="12" t="str">
        <f t="shared" si="8"/>
        <v>13</v>
      </c>
      <c r="K92" s="12" t="str">
        <f t="shared" si="9"/>
        <v>08</v>
      </c>
      <c r="L92" s="12" t="str">
        <f t="shared" si="10"/>
        <v>2025</v>
      </c>
      <c r="M92" s="12">
        <f t="shared" si="11"/>
        <v>12</v>
      </c>
    </row>
    <row r="93" spans="1:13" x14ac:dyDescent="0.2">
      <c r="A93" s="23" t="s">
        <v>570</v>
      </c>
      <c r="B93" s="2" t="s">
        <v>27</v>
      </c>
      <c r="C93" s="2" t="s">
        <v>439</v>
      </c>
      <c r="D93" s="2" t="s">
        <v>104</v>
      </c>
      <c r="E93" s="17" t="s">
        <v>571</v>
      </c>
      <c r="F93" s="19" t="s">
        <v>982</v>
      </c>
      <c r="G93" s="18" t="str">
        <f t="shared" si="6"/>
        <v>JBP1E</v>
      </c>
      <c r="H93" s="11" t="str">
        <f>VLOOKUP($A93,[1]Sheet2!$I$2:$O$544,7,FALSE)</f>
        <v>https://fruitbasket.blob.core.windows.net/gk2o5k/avatar/23773820251006093032ENRQU0.jpg</v>
      </c>
      <c r="I93" s="12">
        <f t="shared" si="7"/>
        <v>124</v>
      </c>
      <c r="J93" s="12" t="str">
        <f t="shared" si="8"/>
        <v>04</v>
      </c>
      <c r="K93" s="12" t="str">
        <f t="shared" si="9"/>
        <v>06</v>
      </c>
      <c r="L93" s="12" t="str">
        <f t="shared" si="10"/>
        <v>2025</v>
      </c>
      <c r="M93" s="12">
        <f t="shared" si="11"/>
        <v>12</v>
      </c>
    </row>
    <row r="94" spans="1:13" x14ac:dyDescent="0.2">
      <c r="A94" s="20" t="s">
        <v>719</v>
      </c>
      <c r="B94" s="2" t="s">
        <v>27</v>
      </c>
      <c r="C94" s="2" t="s">
        <v>198</v>
      </c>
      <c r="D94" s="2" t="s">
        <v>128</v>
      </c>
      <c r="E94" s="17" t="s">
        <v>720</v>
      </c>
      <c r="G94" s="18" t="str">
        <f t="shared" si="6"/>
        <v>JMC1E</v>
      </c>
      <c r="H94" s="11" t="str">
        <f>VLOOKUP($A94,[1]Sheet2!$I$2:$O$544,7,FALSE)</f>
        <v>https://hana.modakita.com/azd942/avatar/23773820251011110737PENRQ6.jpg</v>
      </c>
      <c r="I94" s="12">
        <f t="shared" si="7"/>
        <v>120</v>
      </c>
      <c r="J94" s="12" t="str">
        <f t="shared" si="8"/>
        <v>13</v>
      </c>
      <c r="K94" s="12" t="str">
        <f t="shared" si="9"/>
        <v>06</v>
      </c>
      <c r="L94" s="12" t="str">
        <f t="shared" si="10"/>
        <v>2025</v>
      </c>
      <c r="M94" s="12">
        <f t="shared" si="11"/>
        <v>12</v>
      </c>
    </row>
    <row r="95" spans="1:13" x14ac:dyDescent="0.2">
      <c r="A95" s="20" t="s">
        <v>205</v>
      </c>
      <c r="B95" s="2" t="s">
        <v>27</v>
      </c>
      <c r="C95" s="2" t="s">
        <v>206</v>
      </c>
      <c r="D95" s="2" t="s">
        <v>154</v>
      </c>
      <c r="E95" s="17" t="s">
        <v>207</v>
      </c>
      <c r="G95" s="18" t="str">
        <f t="shared" si="6"/>
        <v>JME1E</v>
      </c>
      <c r="H95" s="11" t="str">
        <f>VLOOKUP($A95,[1]Sheet2!$I$2:$O$544,7,FALSE)</f>
        <v>https://hana.modakita.com/azd942/avatar/23773820251018100113NQYD0Y.jpg</v>
      </c>
      <c r="I95" s="12">
        <f t="shared" si="7"/>
        <v>120</v>
      </c>
      <c r="J95" s="12" t="str">
        <f t="shared" si="8"/>
        <v>20</v>
      </c>
      <c r="K95" s="12" t="str">
        <f t="shared" si="9"/>
        <v>06</v>
      </c>
      <c r="L95" s="12" t="str">
        <f t="shared" si="10"/>
        <v>2025</v>
      </c>
      <c r="M95" s="12">
        <f t="shared" si="11"/>
        <v>12</v>
      </c>
    </row>
    <row r="96" spans="1:13" x14ac:dyDescent="0.2">
      <c r="A96" s="20" t="s">
        <v>436</v>
      </c>
      <c r="B96" s="2" t="s">
        <v>27</v>
      </c>
      <c r="C96" s="2" t="s">
        <v>358</v>
      </c>
      <c r="D96" s="2" t="s">
        <v>100</v>
      </c>
      <c r="E96" s="17" t="s">
        <v>437</v>
      </c>
      <c r="G96" s="18" t="str">
        <f t="shared" si="6"/>
        <v>JMH2E</v>
      </c>
      <c r="H96" s="11" t="str">
        <f>VLOOKUP($A96,[1]Sheet2!$I$2:$O$544,7,FALSE)</f>
        <v>https://fruitbasket.blob.core.windows.net/gk2o5k/avatar/237738202510031609163H9C5N.jpg</v>
      </c>
      <c r="I96" s="12">
        <f t="shared" si="7"/>
        <v>124</v>
      </c>
      <c r="J96" s="12" t="str">
        <f t="shared" si="8"/>
        <v>01</v>
      </c>
      <c r="K96" s="12" t="str">
        <f t="shared" si="9"/>
        <v>06</v>
      </c>
      <c r="L96" s="12" t="str">
        <f t="shared" si="10"/>
        <v>2025</v>
      </c>
      <c r="M96" s="12">
        <f t="shared" si="11"/>
        <v>12</v>
      </c>
    </row>
    <row r="97" spans="1:13" x14ac:dyDescent="0.2">
      <c r="A97" s="20" t="s">
        <v>928</v>
      </c>
      <c r="B97" s="2" t="s">
        <v>27</v>
      </c>
      <c r="C97" s="2" t="s">
        <v>439</v>
      </c>
      <c r="D97" s="2" t="s">
        <v>104</v>
      </c>
      <c r="E97" s="17" t="s">
        <v>929</v>
      </c>
      <c r="G97" s="18" t="str">
        <f t="shared" si="6"/>
        <v>KC04E</v>
      </c>
      <c r="H97" s="11" t="str">
        <f>VLOOKUP($A97,[1]Sheet2!$I$2:$O$544,7,FALSE)</f>
        <v>https://fruitbasket.blob.core.windows.net/gk2o5k/avatar/21063208420251006095655QCJD9E.jpg</v>
      </c>
      <c r="I97" s="12">
        <f t="shared" si="7"/>
        <v>124</v>
      </c>
      <c r="J97" s="12" t="str">
        <f t="shared" si="8"/>
        <v>04</v>
      </c>
      <c r="K97" s="12" t="str">
        <f t="shared" si="9"/>
        <v>06</v>
      </c>
      <c r="L97" s="12" t="str">
        <f t="shared" si="10"/>
        <v>2025</v>
      </c>
      <c r="M97" s="12">
        <f t="shared" si="11"/>
        <v>12</v>
      </c>
    </row>
    <row r="98" spans="1:13" x14ac:dyDescent="0.2">
      <c r="A98" s="20" t="s">
        <v>648</v>
      </c>
      <c r="B98" s="2" t="s">
        <v>15</v>
      </c>
      <c r="C98" s="2" t="s">
        <v>337</v>
      </c>
      <c r="D98" s="2" t="s">
        <v>141</v>
      </c>
      <c r="E98" s="17" t="s">
        <v>625</v>
      </c>
      <c r="G98" s="18" t="str">
        <f t="shared" si="6"/>
        <v>JMD1E</v>
      </c>
      <c r="H98" s="11" t="str">
        <f>VLOOKUP($A98,[1]Sheet2!$I$2:$O$544,7,FALSE)</f>
        <v>https://hana.modakita.com/azd942/avatar/23773820251015120254GZECZO.jpg</v>
      </c>
      <c r="I98" s="12">
        <f t="shared" si="7"/>
        <v>60</v>
      </c>
      <c r="J98" s="12" t="str">
        <f t="shared" si="8"/>
        <v>16</v>
      </c>
      <c r="K98" s="12" t="str">
        <f t="shared" si="9"/>
        <v>08</v>
      </c>
      <c r="L98" s="12" t="str">
        <f t="shared" si="10"/>
        <v>2025</v>
      </c>
      <c r="M98" s="12">
        <f t="shared" si="11"/>
        <v>12</v>
      </c>
    </row>
    <row r="99" spans="1:13" x14ac:dyDescent="0.2">
      <c r="A99" s="20" t="s">
        <v>938</v>
      </c>
      <c r="B99" s="2" t="s">
        <v>27</v>
      </c>
      <c r="C99" s="2" t="s">
        <v>201</v>
      </c>
      <c r="D99" s="2" t="s">
        <v>141</v>
      </c>
      <c r="E99" s="17" t="s">
        <v>939</v>
      </c>
      <c r="G99" s="18" t="str">
        <f t="shared" si="6"/>
        <v>KC04E</v>
      </c>
      <c r="H99" s="11" t="str">
        <f>VLOOKUP($A99,[1]Sheet2!$I$2:$O$544,7,FALSE)</f>
        <v>https://hana.modakita.com/azd942/avatar/21063208420251015155004CMJLPE.jpg</v>
      </c>
      <c r="I99" s="12">
        <f t="shared" si="7"/>
        <v>120</v>
      </c>
      <c r="J99" s="12" t="str">
        <f t="shared" si="8"/>
        <v>17</v>
      </c>
      <c r="K99" s="12" t="str">
        <f t="shared" si="9"/>
        <v>06</v>
      </c>
      <c r="L99" s="12" t="str">
        <f t="shared" si="10"/>
        <v>2025</v>
      </c>
      <c r="M99" s="12">
        <f t="shared" si="11"/>
        <v>12</v>
      </c>
    </row>
    <row r="100" spans="1:13" x14ac:dyDescent="0.2">
      <c r="A100" s="20" t="s">
        <v>284</v>
      </c>
      <c r="B100" s="2" t="s">
        <v>15</v>
      </c>
      <c r="C100" s="2" t="s">
        <v>285</v>
      </c>
      <c r="D100" s="2" t="s">
        <v>168</v>
      </c>
      <c r="E100" s="17" t="s">
        <v>286</v>
      </c>
      <c r="G100" s="18" t="str">
        <f t="shared" si="6"/>
        <v>JMA1E</v>
      </c>
      <c r="H100" s="11" t="str">
        <f>VLOOKUP($A100,[1]Sheet2!$I$2:$O$544,7,FALSE)</f>
        <v>https://hana.modakita.com/azd942/avatar/21063208420251022084705SAW9QT.jpg</v>
      </c>
      <c r="I100" s="12">
        <f t="shared" si="7"/>
        <v>55</v>
      </c>
      <c r="J100" s="12" t="str">
        <f t="shared" si="8"/>
        <v>28</v>
      </c>
      <c r="K100" s="12" t="str">
        <f t="shared" si="9"/>
        <v>08</v>
      </c>
      <c r="L100" s="12" t="str">
        <f t="shared" si="10"/>
        <v>2025</v>
      </c>
      <c r="M100" s="12">
        <f t="shared" si="11"/>
        <v>12</v>
      </c>
    </row>
    <row r="101" spans="1:13" x14ac:dyDescent="0.2">
      <c r="A101" s="20" t="s">
        <v>357</v>
      </c>
      <c r="B101" s="2" t="s">
        <v>27</v>
      </c>
      <c r="C101" s="2" t="s">
        <v>358</v>
      </c>
      <c r="D101" s="2" t="s">
        <v>121</v>
      </c>
      <c r="E101" s="17" t="s">
        <v>359</v>
      </c>
      <c r="G101" s="18" t="str">
        <f t="shared" si="6"/>
        <v>JBK3E</v>
      </c>
      <c r="H101" s="11" t="str">
        <f>VLOOKUP($A101,[1]Sheet2!$I$2:$O$544,7,FALSE)</f>
        <v>https://hana.modakita.com/azd942/avatar/21063208420251010115217X6FYIL.jpg</v>
      </c>
      <c r="I101" s="12">
        <f t="shared" si="7"/>
        <v>131</v>
      </c>
      <c r="J101" s="12" t="str">
        <f t="shared" si="8"/>
        <v>01</v>
      </c>
      <c r="K101" s="12" t="str">
        <f t="shared" si="9"/>
        <v>06</v>
      </c>
      <c r="L101" s="12" t="str">
        <f t="shared" si="10"/>
        <v>2025</v>
      </c>
      <c r="M101" s="12">
        <f t="shared" si="11"/>
        <v>12</v>
      </c>
    </row>
    <row r="102" spans="1:13" x14ac:dyDescent="0.2">
      <c r="A102" s="20" t="s">
        <v>410</v>
      </c>
      <c r="B102" s="2" t="s">
        <v>15</v>
      </c>
      <c r="C102" s="2" t="s">
        <v>116</v>
      </c>
      <c r="D102" s="2" t="s">
        <v>117</v>
      </c>
      <c r="E102" s="17" t="s">
        <v>411</v>
      </c>
      <c r="G102" s="18" t="str">
        <f t="shared" si="6"/>
        <v>JMH2E</v>
      </c>
      <c r="H102" s="11" t="str">
        <f>VLOOKUP($A102,[1]Sheet2!$I$2:$O$544,7,FALSE)</f>
        <v>https://fruitbasket.blob.core.windows.net/gk2o5k/avatar/23773820251009115223NP8G5R.jpg</v>
      </c>
      <c r="I102" s="12">
        <f t="shared" si="7"/>
        <v>61</v>
      </c>
      <c r="J102" s="12" t="str">
        <f t="shared" si="8"/>
        <v>09</v>
      </c>
      <c r="K102" s="12" t="str">
        <f t="shared" si="9"/>
        <v>08</v>
      </c>
      <c r="L102" s="12" t="str">
        <f t="shared" si="10"/>
        <v>2025</v>
      </c>
      <c r="M102" s="12">
        <f t="shared" si="11"/>
        <v>12</v>
      </c>
    </row>
    <row r="103" spans="1:13" x14ac:dyDescent="0.2">
      <c r="A103" s="20" t="s">
        <v>528</v>
      </c>
      <c r="B103" s="2" t="s">
        <v>27</v>
      </c>
      <c r="C103" s="2" t="s">
        <v>270</v>
      </c>
      <c r="D103" s="2" t="s">
        <v>131</v>
      </c>
      <c r="E103" s="17" t="s">
        <v>529</v>
      </c>
      <c r="G103" s="18" t="str">
        <f t="shared" si="6"/>
        <v>KFD1E</v>
      </c>
      <c r="H103" s="11" t="str">
        <f>VLOOKUP($A103,[1]Sheet2!$I$2:$O$544,7,FALSE)</f>
        <v>https://hana.modakita.com/azd942/avatar/2106320842025101313280391XLQJ.jpg</v>
      </c>
      <c r="I103" s="12">
        <f t="shared" si="7"/>
        <v>121</v>
      </c>
      <c r="J103" s="12" t="str">
        <f t="shared" si="8"/>
        <v>14</v>
      </c>
      <c r="K103" s="12" t="str">
        <f t="shared" si="9"/>
        <v>06</v>
      </c>
      <c r="L103" s="12" t="str">
        <f t="shared" si="10"/>
        <v>2025</v>
      </c>
      <c r="M103" s="12">
        <f t="shared" si="11"/>
        <v>12</v>
      </c>
    </row>
    <row r="104" spans="1:13" x14ac:dyDescent="0.2">
      <c r="A104" s="20" t="s">
        <v>177</v>
      </c>
      <c r="B104" s="2" t="s">
        <v>27</v>
      </c>
      <c r="C104" s="2" t="s">
        <v>178</v>
      </c>
      <c r="D104" s="2" t="s">
        <v>179</v>
      </c>
      <c r="E104" s="17" t="s">
        <v>180</v>
      </c>
      <c r="G104" s="18" t="str">
        <f t="shared" si="6"/>
        <v>JME1E</v>
      </c>
      <c r="H104" s="11" t="str">
        <f>VLOOKUP($A104,[1]Sheet2!$I$2:$O$544,7,FALSE)</f>
        <v>https://fruitbasket.blob.core.windows.net/gk2o5k/avatar/23773820251004102709AQDRE0.jpg</v>
      </c>
      <c r="I104" s="12">
        <f t="shared" si="7"/>
        <v>124</v>
      </c>
      <c r="J104" s="12" t="str">
        <f t="shared" si="8"/>
        <v>02</v>
      </c>
      <c r="K104" s="12" t="str">
        <f t="shared" si="9"/>
        <v>06</v>
      </c>
      <c r="L104" s="12" t="str">
        <f t="shared" si="10"/>
        <v>2025</v>
      </c>
      <c r="M104" s="12">
        <f t="shared" si="11"/>
        <v>12</v>
      </c>
    </row>
    <row r="105" spans="1:13" x14ac:dyDescent="0.2">
      <c r="A105" s="20" t="s">
        <v>126</v>
      </c>
      <c r="B105" s="2" t="s">
        <v>15</v>
      </c>
      <c r="C105" s="2" t="s">
        <v>127</v>
      </c>
      <c r="D105" s="2" t="s">
        <v>128</v>
      </c>
      <c r="E105" s="17" t="s">
        <v>129</v>
      </c>
      <c r="G105" s="18" t="str">
        <f t="shared" si="6"/>
        <v>JMF1E</v>
      </c>
      <c r="H105" s="11" t="str">
        <f>VLOOKUP($A105,[1]Sheet2!$I$2:$O$544,7,FALSE)</f>
        <v>https://hana.modakita.com/azd942/avatar/23773820251011140939OEJTGF.jpg</v>
      </c>
      <c r="I105" s="12">
        <f t="shared" si="7"/>
        <v>58</v>
      </c>
      <c r="J105" s="12" t="str">
        <f t="shared" si="8"/>
        <v>14</v>
      </c>
      <c r="K105" s="12" t="str">
        <f t="shared" si="9"/>
        <v>08</v>
      </c>
      <c r="L105" s="12" t="str">
        <f t="shared" si="10"/>
        <v>2025</v>
      </c>
      <c r="M105" s="12">
        <f t="shared" si="11"/>
        <v>12</v>
      </c>
    </row>
    <row r="106" spans="1:13" x14ac:dyDescent="0.2">
      <c r="A106" s="23" t="s">
        <v>534</v>
      </c>
      <c r="B106" s="2" t="s">
        <v>27</v>
      </c>
      <c r="C106" s="2" t="s">
        <v>215</v>
      </c>
      <c r="D106" s="2" t="s">
        <v>216</v>
      </c>
      <c r="E106" s="2" t="s">
        <v>535</v>
      </c>
      <c r="F106" s="19" t="s">
        <v>977</v>
      </c>
      <c r="G106" t="str">
        <f t="shared" si="6"/>
        <v>KFD1E</v>
      </c>
      <c r="H106" s="11" t="str">
        <f>VLOOKUP($A106,[1]Sheet2!$I$2:$O$544,7,FALSE)</f>
        <v>https://hana.modakita.com/azd942/avatar/21063208420251020092721ACEUPI.jpg</v>
      </c>
      <c r="I106" s="12">
        <f t="shared" si="7"/>
        <v>120</v>
      </c>
      <c r="J106" s="12" t="str">
        <f t="shared" si="8"/>
        <v>22</v>
      </c>
      <c r="K106" s="12" t="str">
        <f t="shared" si="9"/>
        <v>06</v>
      </c>
      <c r="L106" s="12" t="str">
        <f t="shared" si="10"/>
        <v>2025</v>
      </c>
      <c r="M106" s="12">
        <f t="shared" si="11"/>
        <v>12</v>
      </c>
    </row>
    <row r="107" spans="1:13" x14ac:dyDescent="0.2">
      <c r="A107" s="20" t="s">
        <v>200</v>
      </c>
      <c r="B107" s="2" t="s">
        <v>27</v>
      </c>
      <c r="C107" s="2" t="s">
        <v>201</v>
      </c>
      <c r="D107" s="2" t="s">
        <v>141</v>
      </c>
      <c r="E107" s="17" t="s">
        <v>202</v>
      </c>
      <c r="G107" s="18" t="str">
        <f t="shared" si="6"/>
        <v>JME1E</v>
      </c>
      <c r="H107" s="11" t="str">
        <f>VLOOKUP($A107,[1]Sheet2!$I$2:$O$544,7,FALSE)</f>
        <v>https://hana.modakita.com/azd942/avatar/23773820251015142152JFMLYL.jpg</v>
      </c>
      <c r="I107" s="12">
        <f t="shared" si="7"/>
        <v>120</v>
      </c>
      <c r="J107" s="12" t="str">
        <f t="shared" si="8"/>
        <v>17</v>
      </c>
      <c r="K107" s="12" t="str">
        <f t="shared" si="9"/>
        <v>06</v>
      </c>
      <c r="L107" s="12" t="str">
        <f t="shared" si="10"/>
        <v>2025</v>
      </c>
      <c r="M107" s="12">
        <f t="shared" si="11"/>
        <v>12</v>
      </c>
    </row>
    <row r="108" spans="1:13" x14ac:dyDescent="0.2">
      <c r="A108" s="20" t="s">
        <v>711</v>
      </c>
      <c r="B108" s="2" t="s">
        <v>27</v>
      </c>
      <c r="C108" s="2" t="s">
        <v>457</v>
      </c>
      <c r="D108" s="2" t="s">
        <v>113</v>
      </c>
      <c r="E108" s="17" t="s">
        <v>712</v>
      </c>
      <c r="G108" s="18" t="str">
        <f t="shared" si="6"/>
        <v>JMC1E</v>
      </c>
      <c r="H108" s="11" t="str">
        <f>VLOOKUP($A108,[1]Sheet2!$I$2:$O$544,7,FALSE)</f>
        <v>https://fruitbasket.blob.core.windows.net/gk2o5k/avatar/21063208420251007155523XGYYS9.jpg</v>
      </c>
      <c r="I108" s="12">
        <f t="shared" si="7"/>
        <v>111</v>
      </c>
      <c r="J108" s="12" t="str">
        <f t="shared" si="8"/>
        <v>18</v>
      </c>
      <c r="K108" s="12" t="str">
        <f t="shared" si="9"/>
        <v>06</v>
      </c>
      <c r="L108" s="12" t="str">
        <f t="shared" si="10"/>
        <v>2025</v>
      </c>
      <c r="M108" s="12">
        <f t="shared" si="11"/>
        <v>12</v>
      </c>
    </row>
    <row r="109" spans="1:13" x14ac:dyDescent="0.2">
      <c r="A109" s="20" t="s">
        <v>698</v>
      </c>
      <c r="B109" s="2" t="s">
        <v>27</v>
      </c>
      <c r="C109" s="2" t="s">
        <v>524</v>
      </c>
      <c r="D109" s="2" t="s">
        <v>104</v>
      </c>
      <c r="E109" s="17" t="s">
        <v>699</v>
      </c>
      <c r="G109" s="18" t="str">
        <f t="shared" si="6"/>
        <v>JMD1E</v>
      </c>
      <c r="H109" s="11" t="str">
        <f>VLOOKUP($A109,[1]Sheet2!$I$2:$O$544,7,FALSE)</f>
        <v>https://fruitbasket.blob.core.windows.net/gk2o5k/avatar/237738202510060908116XP6CE.jpg</v>
      </c>
      <c r="I109" s="12">
        <f t="shared" si="7"/>
        <v>123</v>
      </c>
      <c r="J109" s="12" t="str">
        <f t="shared" si="8"/>
        <v>05</v>
      </c>
      <c r="K109" s="12" t="str">
        <f t="shared" si="9"/>
        <v>06</v>
      </c>
      <c r="L109" s="12" t="str">
        <f t="shared" si="10"/>
        <v>2025</v>
      </c>
      <c r="M109" s="12">
        <f t="shared" si="11"/>
        <v>12</v>
      </c>
    </row>
    <row r="110" spans="1:13" x14ac:dyDescent="0.2">
      <c r="A110" s="20" t="s">
        <v>693</v>
      </c>
      <c r="B110" s="2" t="s">
        <v>15</v>
      </c>
      <c r="C110" s="2" t="s">
        <v>167</v>
      </c>
      <c r="D110" s="2" t="s">
        <v>168</v>
      </c>
      <c r="E110" s="17" t="s">
        <v>675</v>
      </c>
      <c r="G110" s="18" t="str">
        <f t="shared" si="6"/>
        <v>JMC1E</v>
      </c>
      <c r="H110" s="11" t="str">
        <f>VLOOKUP($A110,[1]Sheet2!$I$2:$O$544,7,FALSE)</f>
        <v>https://hana.modakita.com/azd942/avatar/23773820251022150233JZ4ZBJ.jpg</v>
      </c>
      <c r="I110" s="12">
        <f t="shared" si="7"/>
        <v>53</v>
      </c>
      <c r="J110" s="12" t="str">
        <f t="shared" si="8"/>
        <v>30</v>
      </c>
      <c r="K110" s="12" t="str">
        <f t="shared" si="9"/>
        <v>08</v>
      </c>
      <c r="L110" s="12" t="str">
        <f t="shared" si="10"/>
        <v>2025</v>
      </c>
      <c r="M110" s="12">
        <f t="shared" si="11"/>
        <v>12</v>
      </c>
    </row>
    <row r="111" spans="1:13" x14ac:dyDescent="0.2">
      <c r="A111" s="20" t="s">
        <v>539</v>
      </c>
      <c r="B111" s="2" t="s">
        <v>27</v>
      </c>
      <c r="C111" s="2" t="s">
        <v>466</v>
      </c>
      <c r="D111" s="2" t="s">
        <v>164</v>
      </c>
      <c r="E111" s="17" t="s">
        <v>540</v>
      </c>
      <c r="G111" s="18" t="str">
        <f t="shared" si="6"/>
        <v>KFC1E</v>
      </c>
      <c r="H111" s="11" t="str">
        <f>VLOOKUP($A111,[1]Sheet2!$I$2:$O$544,7,FALSE)</f>
        <v>https://hana.modakita.com/azd942/avatar/21301231220251021123707USRD0E.jpg</v>
      </c>
      <c r="I111" s="12">
        <f t="shared" si="7"/>
        <v>117</v>
      </c>
      <c r="J111" s="12" t="str">
        <f t="shared" si="8"/>
        <v>26</v>
      </c>
      <c r="K111" s="12" t="str">
        <f t="shared" si="9"/>
        <v>06</v>
      </c>
      <c r="L111" s="12" t="str">
        <f t="shared" si="10"/>
        <v>2025</v>
      </c>
      <c r="M111" s="12">
        <f t="shared" si="11"/>
        <v>12</v>
      </c>
    </row>
    <row r="112" spans="1:13" x14ac:dyDescent="0.2">
      <c r="A112" s="20" t="s">
        <v>721</v>
      </c>
      <c r="B112" s="2" t="s">
        <v>27</v>
      </c>
      <c r="C112" s="2" t="s">
        <v>198</v>
      </c>
      <c r="D112" s="2" t="s">
        <v>128</v>
      </c>
      <c r="E112" s="17" t="s">
        <v>722</v>
      </c>
      <c r="G112" s="18" t="str">
        <f t="shared" si="6"/>
        <v>JMD1E</v>
      </c>
      <c r="H112" s="11" t="str">
        <f>VLOOKUP($A112,[1]Sheet2!$I$2:$O$544,7,FALSE)</f>
        <v>https://hana.modakita.com/azd942/avatar/21063208420251011140044YPNAXL.jpg</v>
      </c>
      <c r="I112" s="12">
        <f t="shared" si="7"/>
        <v>120</v>
      </c>
      <c r="J112" s="12" t="str">
        <f t="shared" si="8"/>
        <v>13</v>
      </c>
      <c r="K112" s="12" t="str">
        <f t="shared" si="9"/>
        <v>06</v>
      </c>
      <c r="L112" s="12" t="str">
        <f t="shared" si="10"/>
        <v>2025</v>
      </c>
      <c r="M112" s="12">
        <f t="shared" si="11"/>
        <v>12</v>
      </c>
    </row>
    <row r="113" spans="1:13" x14ac:dyDescent="0.2">
      <c r="A113" s="20" t="s">
        <v>727</v>
      </c>
      <c r="B113" s="2" t="s">
        <v>27</v>
      </c>
      <c r="C113" s="2" t="s">
        <v>201</v>
      </c>
      <c r="D113" s="2" t="s">
        <v>141</v>
      </c>
      <c r="E113" s="17" t="s">
        <v>728</v>
      </c>
      <c r="G113" s="18" t="str">
        <f t="shared" si="6"/>
        <v>JMC1E</v>
      </c>
      <c r="H113" s="11" t="str">
        <f>VLOOKUP($A113,[1]Sheet2!$I$2:$O$544,7,FALSE)</f>
        <v>https://hana.modakita.com/azd942/avatar/21063208420251015150225IBEA09.jpg</v>
      </c>
      <c r="I113" s="12">
        <f t="shared" si="7"/>
        <v>120</v>
      </c>
      <c r="J113" s="12" t="str">
        <f t="shared" si="8"/>
        <v>17</v>
      </c>
      <c r="K113" s="12" t="str">
        <f t="shared" si="9"/>
        <v>06</v>
      </c>
      <c r="L113" s="12" t="str">
        <f t="shared" si="10"/>
        <v>2025</v>
      </c>
      <c r="M113" s="12">
        <f t="shared" si="11"/>
        <v>12</v>
      </c>
    </row>
    <row r="114" spans="1:13" x14ac:dyDescent="0.2">
      <c r="A114" s="20" t="s">
        <v>581</v>
      </c>
      <c r="B114" s="2" t="s">
        <v>27</v>
      </c>
      <c r="C114" s="2" t="s">
        <v>219</v>
      </c>
      <c r="D114" s="2" t="s">
        <v>216</v>
      </c>
      <c r="E114" s="17" t="s">
        <v>582</v>
      </c>
      <c r="G114" s="18" t="str">
        <f t="shared" si="6"/>
        <v>JBP1E</v>
      </c>
      <c r="H114" s="11" t="str">
        <f>VLOOKUP($A114,[1]Sheet2!$I$2:$O$544,7,FALSE)</f>
        <v>https://hana.modakita.com/azd942/avatar/23773820251020135134FXTNKP.jpg</v>
      </c>
      <c r="I114" s="12">
        <f t="shared" si="7"/>
        <v>118</v>
      </c>
      <c r="J114" s="12" t="str">
        <f t="shared" si="8"/>
        <v>24</v>
      </c>
      <c r="K114" s="12" t="str">
        <f t="shared" si="9"/>
        <v>06</v>
      </c>
      <c r="L114" s="12" t="str">
        <f t="shared" si="10"/>
        <v>2025</v>
      </c>
      <c r="M114" s="12">
        <f t="shared" si="11"/>
        <v>12</v>
      </c>
    </row>
    <row r="115" spans="1:13" x14ac:dyDescent="0.2">
      <c r="A115" s="20" t="s">
        <v>511</v>
      </c>
      <c r="B115" s="2" t="s">
        <v>15</v>
      </c>
      <c r="C115" s="2" t="s">
        <v>416</v>
      </c>
      <c r="D115" s="2" t="s">
        <v>138</v>
      </c>
      <c r="E115" s="17" t="s">
        <v>512</v>
      </c>
      <c r="G115" s="18" t="str">
        <f t="shared" si="6"/>
        <v>KFC1E</v>
      </c>
      <c r="H115" s="11" t="str">
        <f>VLOOKUP($A115,[1]Sheet2!$I$2:$O$544,7,FALSE)</f>
        <v>https://hana.modakita.com/azd942/avatar/237738202510141521575FPNFA.jpg</v>
      </c>
      <c r="I115" s="12">
        <f t="shared" si="7"/>
        <v>70</v>
      </c>
      <c r="J115" s="12" t="str">
        <f t="shared" si="8"/>
        <v>05</v>
      </c>
      <c r="K115" s="12" t="str">
        <f t="shared" si="9"/>
        <v>08</v>
      </c>
      <c r="L115" s="12" t="str">
        <f t="shared" si="10"/>
        <v>2025</v>
      </c>
      <c r="M115" s="12">
        <f t="shared" si="11"/>
        <v>12</v>
      </c>
    </row>
    <row r="116" spans="1:13" x14ac:dyDescent="0.2">
      <c r="A116" s="20" t="s">
        <v>412</v>
      </c>
      <c r="B116" s="2" t="s">
        <v>15</v>
      </c>
      <c r="C116" s="2" t="s">
        <v>116</v>
      </c>
      <c r="D116" s="2" t="s">
        <v>117</v>
      </c>
      <c r="E116" s="17" t="s">
        <v>413</v>
      </c>
      <c r="G116" s="18" t="str">
        <f t="shared" si="6"/>
        <v>JMH2E</v>
      </c>
      <c r="H116" s="11" t="str">
        <f>VLOOKUP($A116,[1]Sheet2!$I$2:$O$544,7,FALSE)</f>
        <v>https://fruitbasket.blob.core.windows.net/gk2o5k/avatar/210632084202510091159257VEIOH.jpg</v>
      </c>
      <c r="I116" s="12">
        <f t="shared" si="7"/>
        <v>61</v>
      </c>
      <c r="J116" s="12" t="str">
        <f t="shared" si="8"/>
        <v>09</v>
      </c>
      <c r="K116" s="12" t="str">
        <f t="shared" si="9"/>
        <v>08</v>
      </c>
      <c r="L116" s="12" t="str">
        <f t="shared" si="10"/>
        <v>2025</v>
      </c>
      <c r="M116" s="12">
        <f t="shared" si="11"/>
        <v>12</v>
      </c>
    </row>
    <row r="117" spans="1:13" x14ac:dyDescent="0.2">
      <c r="A117" s="20" t="s">
        <v>903</v>
      </c>
      <c r="B117" s="2" t="s">
        <v>15</v>
      </c>
      <c r="C117" s="2" t="s">
        <v>112</v>
      </c>
      <c r="D117" s="2" t="s">
        <v>113</v>
      </c>
      <c r="E117" s="17" t="s">
        <v>708</v>
      </c>
      <c r="G117" s="18" t="str">
        <f t="shared" si="6"/>
        <v>KC04E</v>
      </c>
      <c r="H117" s="11" t="str">
        <f>VLOOKUP($A117,[1]Sheet2!$I$2:$O$544,7,FALSE)</f>
        <v>https://fruitbasket.blob.core.windows.net/gk2o5k/avatar/237738202510071433348BKNN9.jpg</v>
      </c>
      <c r="I117" s="12">
        <f t="shared" si="7"/>
        <v>61</v>
      </c>
      <c r="J117" s="12" t="str">
        <f t="shared" si="8"/>
        <v>07</v>
      </c>
      <c r="K117" s="12" t="str">
        <f t="shared" si="9"/>
        <v>08</v>
      </c>
      <c r="L117" s="12" t="str">
        <f t="shared" si="10"/>
        <v>2025</v>
      </c>
      <c r="M117" s="12">
        <f t="shared" si="11"/>
        <v>12</v>
      </c>
    </row>
    <row r="118" spans="1:13" x14ac:dyDescent="0.2">
      <c r="A118" s="20" t="s">
        <v>936</v>
      </c>
      <c r="B118" s="2" t="s">
        <v>27</v>
      </c>
      <c r="C118" s="2" t="s">
        <v>201</v>
      </c>
      <c r="D118" s="2" t="s">
        <v>141</v>
      </c>
      <c r="E118" s="17" t="s">
        <v>937</v>
      </c>
      <c r="G118" s="18" t="str">
        <f t="shared" si="6"/>
        <v>KC04E</v>
      </c>
      <c r="H118" s="11" t="str">
        <f>VLOOKUP($A118,[1]Sheet2!$I$2:$O$544,7,FALSE)</f>
        <v>https://hana.modakita.com/azd942/avatar/21063208420251015140625COKPP8.jpg</v>
      </c>
      <c r="I118" s="12">
        <f t="shared" si="7"/>
        <v>120</v>
      </c>
      <c r="J118" s="12" t="str">
        <f t="shared" si="8"/>
        <v>17</v>
      </c>
      <c r="K118" s="12" t="str">
        <f t="shared" si="9"/>
        <v>06</v>
      </c>
      <c r="L118" s="12" t="str">
        <f t="shared" si="10"/>
        <v>2025</v>
      </c>
      <c r="M118" s="12">
        <f t="shared" si="11"/>
        <v>12</v>
      </c>
    </row>
    <row r="119" spans="1:13" x14ac:dyDescent="0.2">
      <c r="A119" s="20" t="s">
        <v>603</v>
      </c>
      <c r="B119" s="2" t="s">
        <v>15</v>
      </c>
      <c r="C119" s="2" t="s">
        <v>112</v>
      </c>
      <c r="D119" s="2" t="s">
        <v>113</v>
      </c>
      <c r="E119" s="17" t="s">
        <v>604</v>
      </c>
      <c r="G119" s="18" t="str">
        <f t="shared" si="6"/>
        <v>JMC1E</v>
      </c>
      <c r="H119" s="11" t="str">
        <f>VLOOKUP($A119,[1]Sheet2!$I$2:$O$544,7,FALSE)</f>
        <v>https://fruitbasket.blob.core.windows.net/gk2o5k/avatar/23773820251007111040CUXODG.jpg</v>
      </c>
      <c r="I119" s="12">
        <f t="shared" si="7"/>
        <v>61</v>
      </c>
      <c r="J119" s="12" t="str">
        <f t="shared" si="8"/>
        <v>07</v>
      </c>
      <c r="K119" s="12" t="str">
        <f t="shared" si="9"/>
        <v>08</v>
      </c>
      <c r="L119" s="12" t="str">
        <f t="shared" si="10"/>
        <v>2025</v>
      </c>
      <c r="M119" s="12">
        <f t="shared" si="11"/>
        <v>12</v>
      </c>
    </row>
    <row r="120" spans="1:13" x14ac:dyDescent="0.2">
      <c r="A120" s="20" t="s">
        <v>184</v>
      </c>
      <c r="B120" s="2" t="s">
        <v>27</v>
      </c>
      <c r="C120" s="2" t="s">
        <v>185</v>
      </c>
      <c r="D120" s="2" t="s">
        <v>113</v>
      </c>
      <c r="E120" s="17" t="s">
        <v>186</v>
      </c>
      <c r="G120" s="18" t="str">
        <f t="shared" si="6"/>
        <v>JMF2E</v>
      </c>
      <c r="H120" s="11" t="str">
        <f>VLOOKUP($A120,[1]Sheet2!$I$2:$O$544,7,FALSE)</f>
        <v>https://fruitbasket.blob.core.windows.net/gk2o5k/avatar/237738202510071119498HUSZX.jpg</v>
      </c>
      <c r="I120" s="12">
        <f t="shared" si="7"/>
        <v>122</v>
      </c>
      <c r="J120" s="12" t="str">
        <f t="shared" si="8"/>
        <v>07</v>
      </c>
      <c r="K120" s="12" t="str">
        <f t="shared" si="9"/>
        <v>06</v>
      </c>
      <c r="L120" s="12" t="str">
        <f t="shared" si="10"/>
        <v>2025</v>
      </c>
      <c r="M120" s="12">
        <f t="shared" si="11"/>
        <v>12</v>
      </c>
    </row>
    <row r="121" spans="1:13" x14ac:dyDescent="0.2">
      <c r="A121" s="20" t="s">
        <v>583</v>
      </c>
      <c r="B121" s="2" t="s">
        <v>27</v>
      </c>
      <c r="C121" s="2" t="s">
        <v>584</v>
      </c>
      <c r="D121" s="2" t="s">
        <v>225</v>
      </c>
      <c r="E121" s="17" t="s">
        <v>585</v>
      </c>
      <c r="G121" s="18" t="str">
        <f t="shared" si="6"/>
        <v>JBP1E</v>
      </c>
      <c r="H121" s="11" t="str">
        <f>VLOOKUP($A121,[1]Sheet2!$I$2:$O$544,7,FALSE)</f>
        <v>https://hana.modakita.com/azd942/avatar/23773820251027124532U7DYKR.jpg</v>
      </c>
      <c r="I121" s="12">
        <f t="shared" si="7"/>
        <v>124</v>
      </c>
      <c r="J121" s="12" t="str">
        <f t="shared" si="8"/>
        <v>25</v>
      </c>
      <c r="K121" s="12" t="str">
        <f t="shared" si="9"/>
        <v>06</v>
      </c>
      <c r="L121" s="12" t="str">
        <f t="shared" si="10"/>
        <v>2025</v>
      </c>
      <c r="M121" s="12">
        <f t="shared" si="11"/>
        <v>12</v>
      </c>
    </row>
    <row r="122" spans="1:13" x14ac:dyDescent="0.2">
      <c r="A122" s="20" t="s">
        <v>406</v>
      </c>
      <c r="B122" s="2" t="s">
        <v>15</v>
      </c>
      <c r="C122" s="2" t="s">
        <v>112</v>
      </c>
      <c r="D122" s="2" t="s">
        <v>113</v>
      </c>
      <c r="E122" s="17" t="s">
        <v>407</v>
      </c>
      <c r="G122" s="18" t="str">
        <f t="shared" si="6"/>
        <v>JMH2E</v>
      </c>
      <c r="H122" s="11" t="str">
        <f>VLOOKUP($A122,[1]Sheet2!$I$2:$O$544,7,FALSE)</f>
        <v>https://fruitbasket.blob.core.windows.net/gk2o5k/avatar/23773820251007134117KI1EHC.jpg</v>
      </c>
      <c r="I122" s="12">
        <f t="shared" si="7"/>
        <v>61</v>
      </c>
      <c r="J122" s="12" t="str">
        <f t="shared" si="8"/>
        <v>07</v>
      </c>
      <c r="K122" s="12" t="str">
        <f t="shared" si="9"/>
        <v>08</v>
      </c>
      <c r="L122" s="12" t="str">
        <f t="shared" si="10"/>
        <v>2025</v>
      </c>
      <c r="M122" s="12">
        <f t="shared" si="11"/>
        <v>12</v>
      </c>
    </row>
    <row r="123" spans="1:13" x14ac:dyDescent="0.2">
      <c r="A123" s="20" t="s">
        <v>308</v>
      </c>
      <c r="B123" s="2" t="s">
        <v>15</v>
      </c>
      <c r="C123" s="2" t="s">
        <v>309</v>
      </c>
      <c r="D123" s="2" t="s">
        <v>216</v>
      </c>
      <c r="E123" s="17" t="s">
        <v>310</v>
      </c>
      <c r="G123" s="18" t="str">
        <f t="shared" si="6"/>
        <v>KFE1E</v>
      </c>
      <c r="H123" s="11" t="str">
        <f>VLOOKUP($A123,[1]Sheet2!$I$2:$O$544,7,FALSE)</f>
        <v>https://hana.modakita.com/azd942/avatar/23773820251020115140E4AZFU.jpg</v>
      </c>
      <c r="I123" s="12">
        <f t="shared" si="7"/>
        <v>58</v>
      </c>
      <c r="J123" s="12" t="str">
        <f t="shared" si="8"/>
        <v>23</v>
      </c>
      <c r="K123" s="12" t="str">
        <f t="shared" si="9"/>
        <v>08</v>
      </c>
      <c r="L123" s="12" t="str">
        <f t="shared" si="10"/>
        <v>2025</v>
      </c>
      <c r="M123" s="12">
        <f t="shared" si="11"/>
        <v>12</v>
      </c>
    </row>
    <row r="124" spans="1:13" x14ac:dyDescent="0.2">
      <c r="A124" s="20" t="s">
        <v>506</v>
      </c>
      <c r="B124" s="2" t="s">
        <v>15</v>
      </c>
      <c r="C124" s="2" t="s">
        <v>124</v>
      </c>
      <c r="D124" s="2" t="s">
        <v>100</v>
      </c>
      <c r="E124" s="17" t="s">
        <v>507</v>
      </c>
      <c r="G124" s="18" t="str">
        <f t="shared" si="6"/>
        <v>KFD1E</v>
      </c>
      <c r="H124" s="11" t="str">
        <f>VLOOKUP($A124,[1]Sheet2!$I$2:$O$544,7,FALSE)</f>
        <v>https://fruitbasket.blob.core.windows.net/gk2o5k/avatar/21063208420251003161421SQ4UES.jpg</v>
      </c>
      <c r="I124" s="12">
        <f t="shared" si="7"/>
        <v>62</v>
      </c>
      <c r="J124" s="12" t="str">
        <f t="shared" si="8"/>
        <v>02</v>
      </c>
      <c r="K124" s="12" t="str">
        <f t="shared" si="9"/>
        <v>08</v>
      </c>
      <c r="L124" s="12" t="str">
        <f t="shared" si="10"/>
        <v>2025</v>
      </c>
      <c r="M124" s="12">
        <f t="shared" si="11"/>
        <v>12</v>
      </c>
    </row>
    <row r="125" spans="1:13" x14ac:dyDescent="0.2">
      <c r="A125" s="20" t="s">
        <v>267</v>
      </c>
      <c r="B125" s="2" t="s">
        <v>27</v>
      </c>
      <c r="C125" s="2" t="s">
        <v>193</v>
      </c>
      <c r="D125" s="2" t="s">
        <v>117</v>
      </c>
      <c r="E125" s="17" t="s">
        <v>268</v>
      </c>
      <c r="G125" s="18" t="str">
        <f t="shared" si="6"/>
        <v>KD11E</v>
      </c>
      <c r="H125" s="11" t="str">
        <f>VLOOKUP($A125,[1]Sheet2!$I$2:$O$544,7,FALSE)</f>
        <v>https://fruitbasket.blob.core.windows.net/gk2o5k/avatar/21063208420251009145110DST8KT.jpg</v>
      </c>
      <c r="I125" s="12">
        <f t="shared" si="7"/>
        <v>121</v>
      </c>
      <c r="J125" s="12" t="str">
        <f t="shared" si="8"/>
        <v>10</v>
      </c>
      <c r="K125" s="12" t="str">
        <f t="shared" si="9"/>
        <v>06</v>
      </c>
      <c r="L125" s="12" t="str">
        <f t="shared" si="10"/>
        <v>2025</v>
      </c>
      <c r="M125" s="12">
        <f t="shared" si="11"/>
        <v>12</v>
      </c>
    </row>
    <row r="126" spans="1:13" x14ac:dyDescent="0.2">
      <c r="A126" s="20" t="s">
        <v>576</v>
      </c>
      <c r="B126" s="2" t="s">
        <v>27</v>
      </c>
      <c r="C126" s="2" t="s">
        <v>206</v>
      </c>
      <c r="D126" s="2" t="s">
        <v>154</v>
      </c>
      <c r="E126" s="17" t="s">
        <v>577</v>
      </c>
      <c r="G126" s="18" t="str">
        <f t="shared" si="6"/>
        <v>JBP1E</v>
      </c>
      <c r="H126" s="11" t="str">
        <f>VLOOKUP($A126,[1]Sheet2!$I$2:$O$544,7,FALSE)</f>
        <v>https://hana.modakita.com/azd942/avatar/23773820251018093704WDI6CR.jpg</v>
      </c>
      <c r="I126" s="12">
        <f t="shared" si="7"/>
        <v>120</v>
      </c>
      <c r="J126" s="12" t="str">
        <f t="shared" si="8"/>
        <v>20</v>
      </c>
      <c r="K126" s="12" t="str">
        <f t="shared" si="9"/>
        <v>06</v>
      </c>
      <c r="L126" s="12" t="str">
        <f t="shared" si="10"/>
        <v>2025</v>
      </c>
      <c r="M126" s="12">
        <f t="shared" si="11"/>
        <v>12</v>
      </c>
    </row>
    <row r="127" spans="1:13" x14ac:dyDescent="0.2">
      <c r="A127" s="20" t="s">
        <v>579</v>
      </c>
      <c r="B127" s="2" t="s">
        <v>27</v>
      </c>
      <c r="C127" s="2" t="s">
        <v>219</v>
      </c>
      <c r="D127" s="2" t="s">
        <v>216</v>
      </c>
      <c r="E127" s="17" t="s">
        <v>580</v>
      </c>
      <c r="G127" s="18" t="str">
        <f t="shared" si="6"/>
        <v>JBP1E</v>
      </c>
      <c r="H127" s="11" t="str">
        <f>VLOOKUP($A127,[1]Sheet2!$I$2:$O$544,7,FALSE)</f>
        <v>https://hana.modakita.com/azd942/avatar/21063208420251020134449BEGLRD.jpg</v>
      </c>
      <c r="I127" s="12">
        <f t="shared" si="7"/>
        <v>118</v>
      </c>
      <c r="J127" s="12" t="str">
        <f t="shared" si="8"/>
        <v>24</v>
      </c>
      <c r="K127" s="12" t="str">
        <f t="shared" si="9"/>
        <v>06</v>
      </c>
      <c r="L127" s="12" t="str">
        <f t="shared" si="10"/>
        <v>2025</v>
      </c>
      <c r="M127" s="12">
        <f t="shared" si="11"/>
        <v>12</v>
      </c>
    </row>
    <row r="128" spans="1:13" x14ac:dyDescent="0.2">
      <c r="A128" s="20" t="s">
        <v>190</v>
      </c>
      <c r="B128" s="2" t="s">
        <v>27</v>
      </c>
      <c r="C128" s="2" t="s">
        <v>188</v>
      </c>
      <c r="D128" s="2" t="s">
        <v>117</v>
      </c>
      <c r="E128" s="17" t="s">
        <v>191</v>
      </c>
      <c r="G128" s="18" t="str">
        <f t="shared" si="6"/>
        <v>JME1E</v>
      </c>
      <c r="H128" s="11" t="str">
        <f>VLOOKUP($A128,[1]Sheet2!$I$2:$O$544,7,FALSE)</f>
        <v>https://fruitbasket.blob.core.windows.net/gk2o5k/avatar/21063208420251009114637UNORRC.jpg</v>
      </c>
      <c r="I128" s="12">
        <f t="shared" si="7"/>
        <v>122</v>
      </c>
      <c r="J128" s="12" t="str">
        <f t="shared" si="8"/>
        <v>09</v>
      </c>
      <c r="K128" s="12" t="str">
        <f t="shared" si="9"/>
        <v>06</v>
      </c>
      <c r="L128" s="12" t="str">
        <f t="shared" si="10"/>
        <v>2025</v>
      </c>
      <c r="M128" s="12">
        <f t="shared" si="11"/>
        <v>12</v>
      </c>
    </row>
    <row r="129" spans="1:13" x14ac:dyDescent="0.2">
      <c r="A129" s="20" t="s">
        <v>269</v>
      </c>
      <c r="B129" s="2" t="s">
        <v>27</v>
      </c>
      <c r="C129" s="2" t="s">
        <v>270</v>
      </c>
      <c r="D129" s="2" t="s">
        <v>128</v>
      </c>
      <c r="E129" s="17" t="s">
        <v>271</v>
      </c>
      <c r="G129" s="18" t="str">
        <f t="shared" si="6"/>
        <v>KD11E</v>
      </c>
      <c r="H129" s="11" t="str">
        <f>VLOOKUP($A129,[1]Sheet2!$I$2:$O$544,7,FALSE)</f>
        <v>https://hana.modakita.com/azd942/avatar/21063208420251011111218OXYJ5Z.jpg</v>
      </c>
      <c r="I129" s="12">
        <f t="shared" si="7"/>
        <v>119</v>
      </c>
      <c r="J129" s="12" t="str">
        <f t="shared" si="8"/>
        <v>14</v>
      </c>
      <c r="K129" s="12" t="str">
        <f t="shared" si="9"/>
        <v>06</v>
      </c>
      <c r="L129" s="12" t="str">
        <f t="shared" si="10"/>
        <v>2025</v>
      </c>
      <c r="M129" s="12">
        <f t="shared" si="11"/>
        <v>12</v>
      </c>
    </row>
    <row r="130" spans="1:13" x14ac:dyDescent="0.2">
      <c r="A130" s="20" t="s">
        <v>453</v>
      </c>
      <c r="B130" s="2" t="s">
        <v>27</v>
      </c>
      <c r="C130" s="2" t="s">
        <v>454</v>
      </c>
      <c r="D130" s="2" t="s">
        <v>141</v>
      </c>
      <c r="E130" s="17" t="s">
        <v>455</v>
      </c>
      <c r="G130" s="18" t="str">
        <f t="shared" ref="G130:G193" si="12">LEFT(A130,5)</f>
        <v>JMH2E</v>
      </c>
      <c r="H130" s="11" t="str">
        <f>VLOOKUP($A130,[1]Sheet2!$I$2:$O$544,7,FALSE)</f>
        <v>https://hana.modakita.com/azd942/avatar/21063208420251015112127G0PA7T.jpg</v>
      </c>
      <c r="I130" s="12">
        <f t="shared" ref="I130:I193" si="13">D130-C130</f>
        <v>121</v>
      </c>
      <c r="J130" s="12" t="str">
        <f t="shared" ref="J130:J193" si="14">LEFT(C130,2)</f>
        <v>16</v>
      </c>
      <c r="K130" s="12" t="str">
        <f t="shared" ref="K130:K193" si="15">MID(C130,4,2)</f>
        <v>06</v>
      </c>
      <c r="L130" s="12" t="str">
        <f t="shared" ref="L130:L193" si="16">RIGHT(C130,4)</f>
        <v>2025</v>
      </c>
      <c r="M130" s="12">
        <f t="shared" ref="M130:M193" si="17">LEN(A130)</f>
        <v>12</v>
      </c>
    </row>
    <row r="131" spans="1:13" x14ac:dyDescent="0.2">
      <c r="A131" s="20" t="s">
        <v>282</v>
      </c>
      <c r="B131" s="2" t="s">
        <v>15</v>
      </c>
      <c r="C131" s="2" t="s">
        <v>146</v>
      </c>
      <c r="D131" s="2" t="s">
        <v>154</v>
      </c>
      <c r="E131" s="17" t="s">
        <v>283</v>
      </c>
      <c r="G131" s="18" t="str">
        <f t="shared" si="12"/>
        <v>JMA1E</v>
      </c>
      <c r="H131" s="11" t="str">
        <f>VLOOKUP($A131,[1]Sheet2!$I$2:$O$544,7,FALSE)</f>
        <v>https://hana.modakita.com/azd942/avatar/23773820251018091651MCOUQ1.jpg</v>
      </c>
      <c r="I131" s="12">
        <f t="shared" si="13"/>
        <v>59</v>
      </c>
      <c r="J131" s="12" t="str">
        <f t="shared" si="14"/>
        <v>20</v>
      </c>
      <c r="K131" s="12" t="str">
        <f t="shared" si="15"/>
        <v>08</v>
      </c>
      <c r="L131" s="12" t="str">
        <f t="shared" si="16"/>
        <v>2025</v>
      </c>
      <c r="M131" s="12">
        <f t="shared" si="17"/>
        <v>12</v>
      </c>
    </row>
    <row r="132" spans="1:13" x14ac:dyDescent="0.2">
      <c r="A132" s="20" t="s">
        <v>403</v>
      </c>
      <c r="B132" s="2" t="s">
        <v>15</v>
      </c>
      <c r="C132" s="2" t="s">
        <v>107</v>
      </c>
      <c r="D132" s="2" t="s">
        <v>113</v>
      </c>
      <c r="E132" s="17" t="s">
        <v>404</v>
      </c>
      <c r="G132" s="18" t="str">
        <f t="shared" si="12"/>
        <v>JMH2E</v>
      </c>
      <c r="H132" s="11" t="str">
        <f>VLOOKUP($A132,[1]Sheet2!$I$2:$O$544,7,FALSE)</f>
        <v>https://fruitbasket.blob.core.windows.net/gk2o5k/avatar/21063208420251007094541GBCKDB.jpg</v>
      </c>
      <c r="I132" s="12">
        <f t="shared" si="13"/>
        <v>62</v>
      </c>
      <c r="J132" s="12" t="str">
        <f t="shared" si="14"/>
        <v>06</v>
      </c>
      <c r="K132" s="12" t="str">
        <f t="shared" si="15"/>
        <v>08</v>
      </c>
      <c r="L132" s="12" t="str">
        <f t="shared" si="16"/>
        <v>2025</v>
      </c>
      <c r="M132" s="12">
        <f t="shared" si="17"/>
        <v>12</v>
      </c>
    </row>
    <row r="133" spans="1:13" x14ac:dyDescent="0.2">
      <c r="A133" s="20" t="s">
        <v>932</v>
      </c>
      <c r="B133" s="2" t="s">
        <v>27</v>
      </c>
      <c r="C133" s="2" t="s">
        <v>524</v>
      </c>
      <c r="D133" s="2" t="s">
        <v>113</v>
      </c>
      <c r="E133" s="17" t="s">
        <v>933</v>
      </c>
      <c r="G133" s="18" t="str">
        <f t="shared" si="12"/>
        <v>KC04E</v>
      </c>
      <c r="H133" s="11" t="str">
        <f>VLOOKUP($A133,[1]Sheet2!$I$2:$O$544,7,FALSE)</f>
        <v>https://fruitbasket.blob.core.windows.net/gk2o5k/avatar/23773820251007090500OGLDNE.jpg</v>
      </c>
      <c r="I133" s="12">
        <f t="shared" si="13"/>
        <v>124</v>
      </c>
      <c r="J133" s="12" t="str">
        <f t="shared" si="14"/>
        <v>05</v>
      </c>
      <c r="K133" s="12" t="str">
        <f t="shared" si="15"/>
        <v>06</v>
      </c>
      <c r="L133" s="12" t="str">
        <f t="shared" si="16"/>
        <v>2025</v>
      </c>
      <c r="M133" s="12">
        <f t="shared" si="17"/>
        <v>12</v>
      </c>
    </row>
    <row r="134" spans="1:13" x14ac:dyDescent="0.2">
      <c r="A134" s="20" t="s">
        <v>940</v>
      </c>
      <c r="B134" s="2" t="s">
        <v>27</v>
      </c>
      <c r="C134" s="2" t="s">
        <v>457</v>
      </c>
      <c r="D134" s="2" t="s">
        <v>458</v>
      </c>
      <c r="E134" s="17" t="s">
        <v>941</v>
      </c>
      <c r="G134" s="18" t="str">
        <f t="shared" si="12"/>
        <v>KC04E</v>
      </c>
      <c r="H134" s="11" t="str">
        <f>VLOOKUP($A134,[1]Sheet2!$I$2:$O$544,7,FALSE)</f>
        <v>https://hana.modakita.com/azd942/avatar/21301231220251016093450AOTJ7V.jpg</v>
      </c>
      <c r="I134" s="12">
        <f t="shared" si="13"/>
        <v>120</v>
      </c>
      <c r="J134" s="12" t="str">
        <f t="shared" si="14"/>
        <v>18</v>
      </c>
      <c r="K134" s="12" t="str">
        <f t="shared" si="15"/>
        <v>06</v>
      </c>
      <c r="L134" s="12" t="str">
        <f t="shared" si="16"/>
        <v>2025</v>
      </c>
      <c r="M134" s="12">
        <f t="shared" si="17"/>
        <v>12</v>
      </c>
    </row>
    <row r="135" spans="1:13" x14ac:dyDescent="0.2">
      <c r="A135" s="20" t="s">
        <v>203</v>
      </c>
      <c r="B135" s="2" t="s">
        <v>27</v>
      </c>
      <c r="C135" s="2" t="s">
        <v>201</v>
      </c>
      <c r="D135" s="2" t="s">
        <v>141</v>
      </c>
      <c r="E135" s="17" t="s">
        <v>204</v>
      </c>
      <c r="G135" s="18" t="str">
        <f t="shared" si="12"/>
        <v>JMF2E</v>
      </c>
      <c r="H135" s="11" t="str">
        <f>VLOOKUP($A135,[1]Sheet2!$I$2:$O$544,7,FALSE)</f>
        <v>https://hana.modakita.com/azd942/avatar/23773820251015144259TEIGUW.jpg</v>
      </c>
      <c r="I135" s="12">
        <f t="shared" si="13"/>
        <v>120</v>
      </c>
      <c r="J135" s="12" t="str">
        <f t="shared" si="14"/>
        <v>17</v>
      </c>
      <c r="K135" s="12" t="str">
        <f t="shared" si="15"/>
        <v>06</v>
      </c>
      <c r="L135" s="12" t="str">
        <f t="shared" si="16"/>
        <v>2025</v>
      </c>
      <c r="M135" s="12">
        <f t="shared" si="17"/>
        <v>12</v>
      </c>
    </row>
    <row r="136" spans="1:13" x14ac:dyDescent="0.2">
      <c r="A136" s="23" t="s">
        <v>211</v>
      </c>
      <c r="B136" s="2" t="s">
        <v>27</v>
      </c>
      <c r="C136" s="2" t="s">
        <v>212</v>
      </c>
      <c r="D136" s="2" t="s">
        <v>154</v>
      </c>
      <c r="E136" s="17" t="s">
        <v>213</v>
      </c>
      <c r="F136" s="19" t="s">
        <v>983</v>
      </c>
      <c r="G136" s="18" t="str">
        <f t="shared" si="12"/>
        <v>JMF1E</v>
      </c>
      <c r="H136" s="11" t="str">
        <f>VLOOKUP($A136,[1]Sheet2!$I$2:$O$544,7,FALSE)</f>
        <v>https://hana.modakita.com/azd942/avatar/23773820251018115916TS5TIA.jpg</v>
      </c>
      <c r="I136" s="12">
        <f t="shared" si="13"/>
        <v>119</v>
      </c>
      <c r="J136" s="12" t="str">
        <f t="shared" si="14"/>
        <v>21</v>
      </c>
      <c r="K136" s="12" t="str">
        <f t="shared" si="15"/>
        <v>06</v>
      </c>
      <c r="L136" s="12" t="str">
        <f t="shared" si="16"/>
        <v>2025</v>
      </c>
      <c r="M136" s="12">
        <f t="shared" si="17"/>
        <v>12</v>
      </c>
    </row>
    <row r="137" spans="1:13" x14ac:dyDescent="0.2">
      <c r="A137" s="20" t="s">
        <v>709</v>
      </c>
      <c r="B137" s="2" t="s">
        <v>27</v>
      </c>
      <c r="C137" s="2" t="s">
        <v>185</v>
      </c>
      <c r="D137" s="2" t="s">
        <v>113</v>
      </c>
      <c r="E137" s="17" t="s">
        <v>710</v>
      </c>
      <c r="G137" s="18" t="str">
        <f t="shared" si="12"/>
        <v>JMC1E</v>
      </c>
      <c r="H137" s="11" t="str">
        <f>VLOOKUP($A137,[1]Sheet2!$I$2:$O$544,7,FALSE)</f>
        <v>https://fruitbasket.blob.core.windows.net/gk2o5k/avatar/23773820251007112928ZGCJWH.jpg</v>
      </c>
      <c r="I137" s="12">
        <f t="shared" si="13"/>
        <v>122</v>
      </c>
      <c r="J137" s="12" t="str">
        <f t="shared" si="14"/>
        <v>07</v>
      </c>
      <c r="K137" s="12" t="str">
        <f t="shared" si="15"/>
        <v>06</v>
      </c>
      <c r="L137" s="12" t="str">
        <f t="shared" si="16"/>
        <v>2025</v>
      </c>
      <c r="M137" s="12">
        <f t="shared" si="17"/>
        <v>12</v>
      </c>
    </row>
    <row r="138" spans="1:13" x14ac:dyDescent="0.2">
      <c r="A138" s="20" t="s">
        <v>702</v>
      </c>
      <c r="B138" s="2" t="s">
        <v>27</v>
      </c>
      <c r="C138" s="2" t="s">
        <v>524</v>
      </c>
      <c r="D138" s="2" t="s">
        <v>104</v>
      </c>
      <c r="E138" s="17" t="s">
        <v>703</v>
      </c>
      <c r="G138" s="18" t="str">
        <f t="shared" si="12"/>
        <v>JMC1E</v>
      </c>
      <c r="H138" s="11" t="str">
        <f>VLOOKUP($A138,[1]Sheet2!$I$2:$O$544,7,FALSE)</f>
        <v>https://fruitbasket.blob.core.windows.net/gk2o5k/avatar/21063208420251006093204FP3WXZ.jpg</v>
      </c>
      <c r="I138" s="12">
        <f t="shared" si="13"/>
        <v>123</v>
      </c>
      <c r="J138" s="12" t="str">
        <f t="shared" si="14"/>
        <v>05</v>
      </c>
      <c r="K138" s="12" t="str">
        <f t="shared" si="15"/>
        <v>06</v>
      </c>
      <c r="L138" s="12" t="str">
        <f t="shared" si="16"/>
        <v>2025</v>
      </c>
      <c r="M138" s="12">
        <f t="shared" si="17"/>
        <v>12</v>
      </c>
    </row>
    <row r="139" spans="1:13" x14ac:dyDescent="0.2">
      <c r="A139" s="20" t="s">
        <v>879</v>
      </c>
      <c r="B139" s="2" t="s">
        <v>27</v>
      </c>
      <c r="C139" s="2" t="s">
        <v>880</v>
      </c>
      <c r="D139" s="2" t="s">
        <v>164</v>
      </c>
      <c r="E139" s="17" t="s">
        <v>881</v>
      </c>
      <c r="G139" s="18" t="str">
        <f t="shared" si="12"/>
        <v>KF01E</v>
      </c>
      <c r="H139" s="11" t="str">
        <f>VLOOKUP($A139,[1]Sheet2!$I$2:$O$544,7,FALSE)</f>
        <v>https://hana.modakita.com/azd942/avatar/21063208420251021150242JUUP3G.jpg</v>
      </c>
      <c r="I139" s="12">
        <f t="shared" si="13"/>
        <v>116</v>
      </c>
      <c r="J139" s="12" t="str">
        <f t="shared" si="14"/>
        <v>27</v>
      </c>
      <c r="K139" s="12" t="str">
        <f t="shared" si="15"/>
        <v>06</v>
      </c>
      <c r="L139" s="12" t="str">
        <f t="shared" si="16"/>
        <v>2025</v>
      </c>
      <c r="M139" s="12">
        <f t="shared" si="17"/>
        <v>12</v>
      </c>
    </row>
    <row r="140" spans="1:13" x14ac:dyDescent="0.2">
      <c r="A140" s="20" t="s">
        <v>456</v>
      </c>
      <c r="B140" s="2" t="s">
        <v>27</v>
      </c>
      <c r="C140" s="2" t="s">
        <v>457</v>
      </c>
      <c r="D140" s="2" t="s">
        <v>458</v>
      </c>
      <c r="E140" s="17" t="s">
        <v>459</v>
      </c>
      <c r="G140" s="18" t="str">
        <f t="shared" si="12"/>
        <v>JMH2E</v>
      </c>
      <c r="H140" s="11" t="str">
        <f>VLOOKUP($A140,[1]Sheet2!$I$2:$O$544,7,FALSE)</f>
        <v>https://hana.modakita.com/azd942/avatar/213012312202510160937468ZSM30.jpg</v>
      </c>
      <c r="I140" s="12">
        <f t="shared" si="13"/>
        <v>120</v>
      </c>
      <c r="J140" s="12" t="str">
        <f t="shared" si="14"/>
        <v>18</v>
      </c>
      <c r="K140" s="12" t="str">
        <f t="shared" si="15"/>
        <v>06</v>
      </c>
      <c r="L140" s="12" t="str">
        <f t="shared" si="16"/>
        <v>2025</v>
      </c>
      <c r="M140" s="12">
        <f t="shared" si="17"/>
        <v>12</v>
      </c>
    </row>
    <row r="141" spans="1:13" x14ac:dyDescent="0.2">
      <c r="A141" s="20" t="s">
        <v>846</v>
      </c>
      <c r="B141" s="2" t="s">
        <v>15</v>
      </c>
      <c r="C141" s="2" t="s">
        <v>116</v>
      </c>
      <c r="D141" s="2" t="s">
        <v>250</v>
      </c>
      <c r="E141" s="17" t="s">
        <v>847</v>
      </c>
      <c r="G141" s="18" t="str">
        <f t="shared" si="12"/>
        <v>KFA1E</v>
      </c>
      <c r="H141" s="11" t="str">
        <f>VLOOKUP($A141,[1]Sheet2!$I$2:$O$544,7,FALSE)</f>
        <v>https://fruitbasket.blob.core.windows.net/gk2o5k/avatar/21063208420251008155138XQDAWE.jpg</v>
      </c>
      <c r="I141" s="12">
        <f t="shared" si="13"/>
        <v>60</v>
      </c>
      <c r="J141" s="12" t="str">
        <f t="shared" si="14"/>
        <v>09</v>
      </c>
      <c r="K141" s="12" t="str">
        <f t="shared" si="15"/>
        <v>08</v>
      </c>
      <c r="L141" s="12" t="str">
        <f t="shared" si="16"/>
        <v>2025</v>
      </c>
      <c r="M141" s="12">
        <f t="shared" si="17"/>
        <v>12</v>
      </c>
    </row>
    <row r="142" spans="1:13" x14ac:dyDescent="0.2">
      <c r="A142" s="20" t="s">
        <v>867</v>
      </c>
      <c r="B142" s="2" t="s">
        <v>27</v>
      </c>
      <c r="C142" s="2" t="s">
        <v>524</v>
      </c>
      <c r="D142" s="2" t="s">
        <v>113</v>
      </c>
      <c r="E142" s="17" t="s">
        <v>868</v>
      </c>
      <c r="G142" s="18" t="str">
        <f t="shared" si="12"/>
        <v>KF01E</v>
      </c>
      <c r="H142" s="11" t="str">
        <f>VLOOKUP($A142,[1]Sheet2!$I$2:$O$544,7,FALSE)</f>
        <v>https://fruitbasket.blob.core.windows.net/gk2o5k/avatar/23773820251007091319Y4IF98.jpg</v>
      </c>
      <c r="I142" s="12">
        <f t="shared" si="13"/>
        <v>124</v>
      </c>
      <c r="J142" s="12" t="str">
        <f t="shared" si="14"/>
        <v>05</v>
      </c>
      <c r="K142" s="12" t="str">
        <f t="shared" si="15"/>
        <v>06</v>
      </c>
      <c r="L142" s="12" t="str">
        <f t="shared" si="16"/>
        <v>2025</v>
      </c>
      <c r="M142" s="12">
        <f t="shared" si="17"/>
        <v>12</v>
      </c>
    </row>
    <row r="143" spans="1:13" x14ac:dyDescent="0.2">
      <c r="A143" s="20" t="s">
        <v>911</v>
      </c>
      <c r="B143" s="2" t="s">
        <v>15</v>
      </c>
      <c r="C143" s="2" t="s">
        <v>134</v>
      </c>
      <c r="D143" s="2" t="s">
        <v>141</v>
      </c>
      <c r="E143" s="17" t="s">
        <v>862</v>
      </c>
      <c r="G143" s="18" t="str">
        <f t="shared" si="12"/>
        <v>KC04E</v>
      </c>
      <c r="H143" s="11" t="str">
        <f>VLOOKUP($A143,[1]Sheet2!$I$2:$O$544,7,FALSE)</f>
        <v>https://hana.modakita.com/azd942/avatar/237738202510151047058YN123.jpg</v>
      </c>
      <c r="I143" s="12">
        <f t="shared" si="13"/>
        <v>61</v>
      </c>
      <c r="J143" s="12" t="str">
        <f t="shared" si="14"/>
        <v>15</v>
      </c>
      <c r="K143" s="12" t="str">
        <f t="shared" si="15"/>
        <v>08</v>
      </c>
      <c r="L143" s="12" t="str">
        <f t="shared" si="16"/>
        <v>2025</v>
      </c>
      <c r="M143" s="12">
        <f t="shared" si="17"/>
        <v>12</v>
      </c>
    </row>
    <row r="144" spans="1:13" x14ac:dyDescent="0.2">
      <c r="A144" s="20" t="s">
        <v>530</v>
      </c>
      <c r="B144" s="2" t="s">
        <v>27</v>
      </c>
      <c r="C144" s="2" t="s">
        <v>439</v>
      </c>
      <c r="D144" s="2" t="s">
        <v>138</v>
      </c>
      <c r="E144" s="17" t="s">
        <v>531</v>
      </c>
      <c r="G144" s="18" t="str">
        <f t="shared" si="12"/>
        <v>KFD1E</v>
      </c>
      <c r="H144" s="11" t="str">
        <f>VLOOKUP($A144,[1]Sheet2!$I$2:$O$544,7,FALSE)</f>
        <v>https://hana.modakita.com/azd942/avatar/237738202510141432493PVLIZ.jpg</v>
      </c>
      <c r="I144" s="12">
        <f t="shared" si="13"/>
        <v>132</v>
      </c>
      <c r="J144" s="12" t="str">
        <f t="shared" si="14"/>
        <v>04</v>
      </c>
      <c r="K144" s="12" t="str">
        <f t="shared" si="15"/>
        <v>06</v>
      </c>
      <c r="L144" s="12" t="str">
        <f t="shared" si="16"/>
        <v>2025</v>
      </c>
      <c r="M144" s="12">
        <f t="shared" si="17"/>
        <v>12</v>
      </c>
    </row>
    <row r="145" spans="1:13" x14ac:dyDescent="0.2">
      <c r="A145" s="20" t="s">
        <v>893</v>
      </c>
      <c r="B145" s="2" t="s">
        <v>33</v>
      </c>
      <c r="C145" s="2" t="s">
        <v>474</v>
      </c>
      <c r="D145" s="2" t="s">
        <v>121</v>
      </c>
      <c r="E145" s="17" t="s">
        <v>894</v>
      </c>
      <c r="G145" s="18" t="str">
        <f t="shared" si="12"/>
        <v>KFA1E</v>
      </c>
      <c r="H145" s="11" t="str">
        <f>VLOOKUP($A145,[1]Sheet2!$I$2:$O$544,7,FALSE)</f>
        <v>https://hana.modakita.com/azd942/avatar/21394210620251010133719F4MTHT.jpg</v>
      </c>
      <c r="I145" s="12">
        <f t="shared" si="13"/>
        <v>241</v>
      </c>
      <c r="J145" s="12" t="str">
        <f t="shared" si="14"/>
        <v>11</v>
      </c>
      <c r="K145" s="12" t="str">
        <f t="shared" si="15"/>
        <v>02</v>
      </c>
      <c r="L145" s="12" t="str">
        <f t="shared" si="16"/>
        <v>2025</v>
      </c>
      <c r="M145" s="12">
        <f t="shared" si="17"/>
        <v>12</v>
      </c>
    </row>
    <row r="146" spans="1:13" x14ac:dyDescent="0.2">
      <c r="A146" s="20" t="s">
        <v>441</v>
      </c>
      <c r="B146" s="2" t="s">
        <v>27</v>
      </c>
      <c r="C146" s="2" t="s">
        <v>353</v>
      </c>
      <c r="D146" s="2" t="s">
        <v>113</v>
      </c>
      <c r="E146" s="17" t="s">
        <v>442</v>
      </c>
      <c r="G146" s="18" t="str">
        <f t="shared" si="12"/>
        <v>JMH1E</v>
      </c>
      <c r="H146" s="11" t="str">
        <f>VLOOKUP($A146,[1]Sheet2!$I$2:$O$544,7,FALSE)</f>
        <v>https://fruitbasket.blob.core.windows.net/gk2o5k/avatar/23773820251007154402MX5K2D.jpg</v>
      </c>
      <c r="I146" s="12">
        <f t="shared" si="13"/>
        <v>121</v>
      </c>
      <c r="J146" s="12" t="str">
        <f t="shared" si="14"/>
        <v>08</v>
      </c>
      <c r="K146" s="12" t="str">
        <f t="shared" si="15"/>
        <v>06</v>
      </c>
      <c r="L146" s="12" t="str">
        <f t="shared" si="16"/>
        <v>2025</v>
      </c>
      <c r="M146" s="12">
        <f t="shared" si="17"/>
        <v>12</v>
      </c>
    </row>
    <row r="147" spans="1:13" x14ac:dyDescent="0.2">
      <c r="A147" s="20" t="s">
        <v>314</v>
      </c>
      <c r="B147" s="2" t="s">
        <v>27</v>
      </c>
      <c r="C147" s="2" t="s">
        <v>193</v>
      </c>
      <c r="D147" s="2" t="s">
        <v>117</v>
      </c>
      <c r="E147" s="17" t="s">
        <v>315</v>
      </c>
      <c r="G147" s="18" t="str">
        <f t="shared" si="12"/>
        <v>KFE1E</v>
      </c>
      <c r="H147" s="11" t="str">
        <f>VLOOKUP($A147,[1]Sheet2!$I$2:$O$544,7,FALSE)</f>
        <v>https://fruitbasket.blob.core.windows.net/gk2o5k/avatar/23773820251009143157JEMEV8.jpg</v>
      </c>
      <c r="I147" s="12">
        <f t="shared" si="13"/>
        <v>121</v>
      </c>
      <c r="J147" s="12" t="str">
        <f t="shared" si="14"/>
        <v>10</v>
      </c>
      <c r="K147" s="12" t="str">
        <f t="shared" si="15"/>
        <v>06</v>
      </c>
      <c r="L147" s="12" t="str">
        <f t="shared" si="16"/>
        <v>2025</v>
      </c>
      <c r="M147" s="12">
        <f t="shared" si="17"/>
        <v>12</v>
      </c>
    </row>
    <row r="148" spans="1:13" x14ac:dyDescent="0.2">
      <c r="A148" s="20" t="s">
        <v>277</v>
      </c>
      <c r="B148" s="2" t="s">
        <v>15</v>
      </c>
      <c r="C148" s="2" t="s">
        <v>262</v>
      </c>
      <c r="D148" s="2" t="s">
        <v>117</v>
      </c>
      <c r="E148" s="17" t="s">
        <v>278</v>
      </c>
      <c r="G148" s="18" t="str">
        <f t="shared" si="12"/>
        <v>JMB1E</v>
      </c>
      <c r="H148" s="11" t="str">
        <f>VLOOKUP($A148,[1]Sheet2!$I$2:$O$544,7,FALSE)</f>
        <v>https://fruitbasket.blob.core.windows.net/gk2o5k/avatar/23773820251009155809S7WX1W.jpg</v>
      </c>
      <c r="I148" s="12">
        <f t="shared" si="13"/>
        <v>60</v>
      </c>
      <c r="J148" s="12" t="str">
        <f t="shared" si="14"/>
        <v>10</v>
      </c>
      <c r="K148" s="12" t="str">
        <f t="shared" si="15"/>
        <v>08</v>
      </c>
      <c r="L148" s="12" t="str">
        <f t="shared" si="16"/>
        <v>2025</v>
      </c>
      <c r="M148" s="12">
        <f t="shared" si="17"/>
        <v>12</v>
      </c>
    </row>
    <row r="149" spans="1:13" x14ac:dyDescent="0.2">
      <c r="A149" s="20" t="s">
        <v>197</v>
      </c>
      <c r="B149" s="2" t="s">
        <v>27</v>
      </c>
      <c r="C149" s="2" t="s">
        <v>198</v>
      </c>
      <c r="D149" s="2" t="s">
        <v>128</v>
      </c>
      <c r="E149" s="17" t="s">
        <v>199</v>
      </c>
      <c r="G149" s="18" t="str">
        <f t="shared" si="12"/>
        <v>JME1E</v>
      </c>
      <c r="H149" s="11" t="str">
        <f>VLOOKUP($A149,[1]Sheet2!$I$2:$O$544,7,FALSE)</f>
        <v>https://hana.modakita.com/azd942/avatar/23773820251011134622ZFUGCK.jpg</v>
      </c>
      <c r="I149" s="12">
        <f t="shared" si="13"/>
        <v>120</v>
      </c>
      <c r="J149" s="12" t="str">
        <f t="shared" si="14"/>
        <v>13</v>
      </c>
      <c r="K149" s="12" t="str">
        <f t="shared" si="15"/>
        <v>06</v>
      </c>
      <c r="L149" s="12" t="str">
        <f t="shared" si="16"/>
        <v>2025</v>
      </c>
      <c r="M149" s="12">
        <f t="shared" si="17"/>
        <v>12</v>
      </c>
    </row>
    <row r="150" spans="1:13" x14ac:dyDescent="0.2">
      <c r="A150" s="20" t="s">
        <v>873</v>
      </c>
      <c r="B150" s="2" t="s">
        <v>27</v>
      </c>
      <c r="C150" s="2" t="s">
        <v>365</v>
      </c>
      <c r="D150" s="2" t="s">
        <v>141</v>
      </c>
      <c r="E150" s="17" t="s">
        <v>874</v>
      </c>
      <c r="G150" s="18" t="str">
        <f t="shared" si="12"/>
        <v>KFA1E</v>
      </c>
      <c r="H150" s="11" t="str">
        <f>VLOOKUP($A150,[1]Sheet2!$I$2:$O$544,7,FALSE)</f>
        <v>https://hana.modakita.com/azd942/avatar/23773820251015110116HHZHJB.jpg</v>
      </c>
      <c r="I150" s="12">
        <f t="shared" si="13"/>
        <v>122</v>
      </c>
      <c r="J150" s="12" t="str">
        <f t="shared" si="14"/>
        <v>15</v>
      </c>
      <c r="K150" s="12" t="str">
        <f t="shared" si="15"/>
        <v>06</v>
      </c>
      <c r="L150" s="12" t="str">
        <f t="shared" si="16"/>
        <v>2025</v>
      </c>
      <c r="M150" s="12">
        <f t="shared" si="17"/>
        <v>12</v>
      </c>
    </row>
    <row r="151" spans="1:13" x14ac:dyDescent="0.2">
      <c r="A151" s="20" t="s">
        <v>123</v>
      </c>
      <c r="B151" s="2" t="s">
        <v>15</v>
      </c>
      <c r="C151" s="2" t="s">
        <v>124</v>
      </c>
      <c r="D151" s="2" t="s">
        <v>121</v>
      </c>
      <c r="E151" s="17" t="s">
        <v>125</v>
      </c>
      <c r="G151" s="18" t="str">
        <f t="shared" si="12"/>
        <v>JME1E</v>
      </c>
      <c r="H151" s="11" t="str">
        <f>VLOOKUP($A151,[1]Sheet2!$I$2:$O$544,7,FALSE)</f>
        <v>https://hana.modakita.com/azd942/avatar/210632084202510101336360Y4DNG.jpg</v>
      </c>
      <c r="I151" s="12">
        <f t="shared" si="13"/>
        <v>69</v>
      </c>
      <c r="J151" s="12" t="str">
        <f t="shared" si="14"/>
        <v>02</v>
      </c>
      <c r="K151" s="12" t="str">
        <f t="shared" si="15"/>
        <v>08</v>
      </c>
      <c r="L151" s="12" t="str">
        <f t="shared" si="16"/>
        <v>2025</v>
      </c>
      <c r="M151" s="12">
        <f t="shared" si="17"/>
        <v>12</v>
      </c>
    </row>
    <row r="152" spans="1:13" x14ac:dyDescent="0.2">
      <c r="A152" s="20" t="s">
        <v>723</v>
      </c>
      <c r="B152" s="2" t="s">
        <v>27</v>
      </c>
      <c r="C152" s="2" t="s">
        <v>198</v>
      </c>
      <c r="D152" s="2" t="s">
        <v>141</v>
      </c>
      <c r="E152" s="17" t="s">
        <v>724</v>
      </c>
      <c r="G152" s="18" t="str">
        <f t="shared" si="12"/>
        <v>JMD1E</v>
      </c>
      <c r="H152" s="11" t="str">
        <f>VLOOKUP($A152,[1]Sheet2!$I$2:$O$544,7,FALSE)</f>
        <v>https://hana.modakita.com/azd942/avatar/23773820251015103842GVDF6X.jpg</v>
      </c>
      <c r="I152" s="12">
        <f t="shared" si="13"/>
        <v>124</v>
      </c>
      <c r="J152" s="12" t="str">
        <f t="shared" si="14"/>
        <v>13</v>
      </c>
      <c r="K152" s="12" t="str">
        <f t="shared" si="15"/>
        <v>06</v>
      </c>
      <c r="L152" s="12" t="str">
        <f t="shared" si="16"/>
        <v>2025</v>
      </c>
      <c r="M152" s="12">
        <f t="shared" si="17"/>
        <v>12</v>
      </c>
    </row>
    <row r="153" spans="1:13" x14ac:dyDescent="0.2">
      <c r="A153" s="20" t="s">
        <v>748</v>
      </c>
      <c r="B153" s="2" t="s">
        <v>27</v>
      </c>
      <c r="C153" s="2" t="s">
        <v>584</v>
      </c>
      <c r="D153" s="2" t="s">
        <v>164</v>
      </c>
      <c r="E153" s="17" t="s">
        <v>749</v>
      </c>
      <c r="G153" s="18" t="str">
        <f t="shared" si="12"/>
        <v>JMC1E</v>
      </c>
      <c r="H153" s="11" t="str">
        <f>VLOOKUP($A153,[1]Sheet2!$I$2:$O$544,7,FALSE)</f>
        <v>https://hana.modakita.com/azd942/avatar/21063208420251021105604MHXKNZ.jpg</v>
      </c>
      <c r="I153" s="12">
        <f t="shared" si="13"/>
        <v>118</v>
      </c>
      <c r="J153" s="12" t="str">
        <f t="shared" si="14"/>
        <v>25</v>
      </c>
      <c r="K153" s="12" t="str">
        <f t="shared" si="15"/>
        <v>06</v>
      </c>
      <c r="L153" s="12" t="str">
        <f t="shared" si="16"/>
        <v>2025</v>
      </c>
      <c r="M153" s="12">
        <f t="shared" si="17"/>
        <v>12</v>
      </c>
    </row>
    <row r="154" spans="1:13" x14ac:dyDescent="0.2">
      <c r="A154" s="20" t="s">
        <v>838</v>
      </c>
      <c r="B154" s="2" t="s">
        <v>15</v>
      </c>
      <c r="C154" s="2" t="s">
        <v>99</v>
      </c>
      <c r="D154" s="2" t="s">
        <v>179</v>
      </c>
      <c r="E154" s="17" t="s">
        <v>839</v>
      </c>
      <c r="G154" s="18" t="str">
        <f t="shared" si="12"/>
        <v>KF01E</v>
      </c>
      <c r="H154" s="11" t="str">
        <f>VLOOKUP($A154,[1]Sheet2!$I$2:$O$544,7,FALSE)</f>
        <v>https://fruitbasket.blob.core.windows.net/gk2o5k/avatar/21063208420251004091316VI3043.jpg</v>
      </c>
      <c r="I154" s="12">
        <f t="shared" si="13"/>
        <v>64</v>
      </c>
      <c r="J154" s="12" t="str">
        <f t="shared" si="14"/>
        <v>01</v>
      </c>
      <c r="K154" s="12" t="str">
        <f t="shared" si="15"/>
        <v>08</v>
      </c>
      <c r="L154" s="12" t="str">
        <f t="shared" si="16"/>
        <v>2025</v>
      </c>
      <c r="M154" s="12">
        <f t="shared" si="17"/>
        <v>12</v>
      </c>
    </row>
    <row r="155" spans="1:13" x14ac:dyDescent="0.2">
      <c r="A155" s="20" t="s">
        <v>438</v>
      </c>
      <c r="B155" s="2" t="s">
        <v>27</v>
      </c>
      <c r="C155" s="2" t="s">
        <v>439</v>
      </c>
      <c r="D155" s="2" t="s">
        <v>104</v>
      </c>
      <c r="E155" s="17" t="s">
        <v>440</v>
      </c>
      <c r="G155" s="18" t="str">
        <f t="shared" si="12"/>
        <v>JMH2E</v>
      </c>
      <c r="H155" s="11" t="str">
        <f>VLOOKUP($A155,[1]Sheet2!$I$2:$O$544,7,FALSE)</f>
        <v>https://fruitbasket.blob.core.windows.net/gk2o5k/avatar/2377382025100609533411IDXQ.jpg</v>
      </c>
      <c r="I155" s="12">
        <f t="shared" si="13"/>
        <v>124</v>
      </c>
      <c r="J155" s="12" t="str">
        <f t="shared" si="14"/>
        <v>04</v>
      </c>
      <c r="K155" s="12" t="str">
        <f t="shared" si="15"/>
        <v>06</v>
      </c>
      <c r="L155" s="12" t="str">
        <f t="shared" si="16"/>
        <v>2025</v>
      </c>
      <c r="M155" s="12">
        <f t="shared" si="17"/>
        <v>12</v>
      </c>
    </row>
    <row r="156" spans="1:13" x14ac:dyDescent="0.2">
      <c r="A156" s="20" t="s">
        <v>738</v>
      </c>
      <c r="B156" s="2" t="s">
        <v>27</v>
      </c>
      <c r="C156" s="2" t="s">
        <v>212</v>
      </c>
      <c r="D156" s="2" t="s">
        <v>154</v>
      </c>
      <c r="E156" s="17" t="s">
        <v>739</v>
      </c>
      <c r="G156" s="18" t="str">
        <f t="shared" si="12"/>
        <v>JMD1E</v>
      </c>
      <c r="H156" s="11" t="str">
        <f>VLOOKUP($A156,[1]Sheet2!$I$2:$O$544,7,FALSE)</f>
        <v>https://hana.modakita.com/azd942/avatar/21063208420251018120506KM8FIW.jpg</v>
      </c>
      <c r="I156" s="12">
        <f t="shared" si="13"/>
        <v>119</v>
      </c>
      <c r="J156" s="12" t="str">
        <f t="shared" si="14"/>
        <v>21</v>
      </c>
      <c r="K156" s="12" t="str">
        <f t="shared" si="15"/>
        <v>06</v>
      </c>
      <c r="L156" s="12" t="str">
        <f t="shared" si="16"/>
        <v>2025</v>
      </c>
      <c r="M156" s="12">
        <f t="shared" si="17"/>
        <v>12</v>
      </c>
    </row>
    <row r="157" spans="1:13" x14ac:dyDescent="0.2">
      <c r="A157" s="20" t="s">
        <v>352</v>
      </c>
      <c r="B157" s="2" t="s">
        <v>27</v>
      </c>
      <c r="C157" s="2" t="s">
        <v>353</v>
      </c>
      <c r="D157" s="2" t="s">
        <v>113</v>
      </c>
      <c r="E157" s="17" t="s">
        <v>354</v>
      </c>
      <c r="G157" s="18" t="str">
        <f t="shared" si="12"/>
        <v>JBK1E</v>
      </c>
      <c r="H157" s="11" t="str">
        <f>VLOOKUP($A157,[1]Sheet2!$I$2:$O$544,7,FALSE)</f>
        <v>https://fruitbasket.blob.core.windows.net/gk2o5k/avatar/21063208420251007154701I6UFRO.jpg</v>
      </c>
      <c r="I157" s="12">
        <f t="shared" si="13"/>
        <v>121</v>
      </c>
      <c r="J157" s="12" t="str">
        <f t="shared" si="14"/>
        <v>08</v>
      </c>
      <c r="K157" s="12" t="str">
        <f t="shared" si="15"/>
        <v>06</v>
      </c>
      <c r="L157" s="12" t="str">
        <f t="shared" si="16"/>
        <v>2025</v>
      </c>
      <c r="M157" s="12">
        <f t="shared" si="17"/>
        <v>12</v>
      </c>
    </row>
    <row r="158" spans="1:13" x14ac:dyDescent="0.2">
      <c r="A158" s="20" t="s">
        <v>195</v>
      </c>
      <c r="B158" s="2" t="s">
        <v>27</v>
      </c>
      <c r="C158" s="2" t="s">
        <v>193</v>
      </c>
      <c r="D158" s="2" t="s">
        <v>117</v>
      </c>
      <c r="E158" s="17" t="s">
        <v>196</v>
      </c>
      <c r="G158" s="18" t="str">
        <f t="shared" si="12"/>
        <v>JMF2E</v>
      </c>
      <c r="H158" s="11" t="str">
        <f>VLOOKUP($A158,[1]Sheet2!$I$2:$O$544,7,FALSE)</f>
        <v>https://fruitbasket.blob.core.windows.net/gk2o5k/avatar/23773820251009152812LWXY85.jpg</v>
      </c>
      <c r="I158" s="12">
        <f t="shared" si="13"/>
        <v>121</v>
      </c>
      <c r="J158" s="12" t="str">
        <f t="shared" si="14"/>
        <v>10</v>
      </c>
      <c r="K158" s="12" t="str">
        <f t="shared" si="15"/>
        <v>06</v>
      </c>
      <c r="L158" s="12" t="str">
        <f t="shared" si="16"/>
        <v>2025</v>
      </c>
      <c r="M158" s="12">
        <f t="shared" si="17"/>
        <v>12</v>
      </c>
    </row>
    <row r="159" spans="1:13" x14ac:dyDescent="0.2">
      <c r="A159" s="20" t="s">
        <v>208</v>
      </c>
      <c r="B159" s="2" t="s">
        <v>27</v>
      </c>
      <c r="C159" s="2" t="s">
        <v>209</v>
      </c>
      <c r="D159" s="2" t="s">
        <v>154</v>
      </c>
      <c r="E159" s="17" t="s">
        <v>210</v>
      </c>
      <c r="G159" s="18" t="str">
        <f t="shared" si="12"/>
        <v>JMF1E</v>
      </c>
      <c r="H159" s="11" t="str">
        <f>VLOOKUP($A159,[1]Sheet2!$I$2:$O$544,7,FALSE)</f>
        <v>https://hana.modakita.com/azd942/avatar/21063208420251018104046NBWEQ4.jpg</v>
      </c>
      <c r="I159" s="12">
        <f t="shared" si="13"/>
        <v>111</v>
      </c>
      <c r="J159" s="12" t="str">
        <f t="shared" si="14"/>
        <v>29</v>
      </c>
      <c r="K159" s="12" t="str">
        <f t="shared" si="15"/>
        <v>06</v>
      </c>
      <c r="L159" s="12" t="str">
        <f t="shared" si="16"/>
        <v>2025</v>
      </c>
      <c r="M159" s="12">
        <f t="shared" si="17"/>
        <v>12</v>
      </c>
    </row>
    <row r="160" spans="1:13" x14ac:dyDescent="0.2">
      <c r="A160" s="20" t="s">
        <v>316</v>
      </c>
      <c r="B160" s="2" t="s">
        <v>27</v>
      </c>
      <c r="C160" s="2" t="s">
        <v>317</v>
      </c>
      <c r="D160" s="2" t="s">
        <v>128</v>
      </c>
      <c r="E160" s="17" t="s">
        <v>210</v>
      </c>
      <c r="G160" s="18" t="str">
        <f t="shared" si="12"/>
        <v>KFE1E</v>
      </c>
      <c r="H160" s="11" t="str">
        <f>VLOOKUP($A160,[1]Sheet2!$I$2:$O$544,7,FALSE)</f>
        <v>https://hana.modakita.com/azd942/avatar/237738202510111339419HDCHU.jpg</v>
      </c>
      <c r="I160" s="12">
        <f t="shared" si="13"/>
        <v>177</v>
      </c>
      <c r="J160" s="12" t="str">
        <f t="shared" si="14"/>
        <v>17</v>
      </c>
      <c r="K160" s="12" t="str">
        <f t="shared" si="15"/>
        <v>04</v>
      </c>
      <c r="L160" s="12" t="str">
        <f t="shared" si="16"/>
        <v>2025</v>
      </c>
      <c r="M160" s="12">
        <f t="shared" si="17"/>
        <v>12</v>
      </c>
    </row>
    <row r="161" spans="1:13" x14ac:dyDescent="0.2">
      <c r="A161" s="20" t="s">
        <v>706</v>
      </c>
      <c r="B161" s="2" t="s">
        <v>27</v>
      </c>
      <c r="C161" s="2" t="s">
        <v>182</v>
      </c>
      <c r="D161" s="2" t="s">
        <v>113</v>
      </c>
      <c r="E161" s="17" t="s">
        <v>707</v>
      </c>
      <c r="G161" s="18" t="str">
        <f t="shared" si="12"/>
        <v>JMD1E</v>
      </c>
      <c r="H161" s="11" t="str">
        <f>VLOOKUP($A161,[1]Sheet2!$I$2:$O$544,7,FALSE)</f>
        <v>https://fruitbasket.blob.core.windows.net/gk2o5k/avatar/21301231220251007100008CJ2UAF.jpg</v>
      </c>
      <c r="I161" s="12">
        <f t="shared" si="13"/>
        <v>123</v>
      </c>
      <c r="J161" s="12" t="str">
        <f t="shared" si="14"/>
        <v>06</v>
      </c>
      <c r="K161" s="12" t="str">
        <f t="shared" si="15"/>
        <v>06</v>
      </c>
      <c r="L161" s="12" t="str">
        <f t="shared" si="16"/>
        <v>2025</v>
      </c>
      <c r="M161" s="12">
        <f t="shared" si="17"/>
        <v>12</v>
      </c>
    </row>
    <row r="162" spans="1:13" x14ac:dyDescent="0.2">
      <c r="A162" s="20" t="s">
        <v>136</v>
      </c>
      <c r="B162" s="2" t="s">
        <v>15</v>
      </c>
      <c r="C162" s="2" t="s">
        <v>137</v>
      </c>
      <c r="D162" s="2" t="s">
        <v>138</v>
      </c>
      <c r="E162" s="17" t="s">
        <v>139</v>
      </c>
      <c r="G162" s="18" t="str">
        <f t="shared" si="12"/>
        <v>JMF2E</v>
      </c>
      <c r="H162" s="11" t="str">
        <f>VLOOKUP($A162,[1]Sheet2!$I$2:$O$544,7,FALSE)</f>
        <v>https://hana.modakita.com/azd942/avatar/21063208420251014145249MQCH9I.jpg</v>
      </c>
      <c r="I162" s="12">
        <f t="shared" si="13"/>
        <v>56</v>
      </c>
      <c r="J162" s="12" t="str">
        <f t="shared" si="14"/>
        <v>19</v>
      </c>
      <c r="K162" s="12" t="str">
        <f t="shared" si="15"/>
        <v>08</v>
      </c>
      <c r="L162" s="12" t="str">
        <f t="shared" si="16"/>
        <v>2025</v>
      </c>
      <c r="M162" s="12">
        <f t="shared" si="17"/>
        <v>12</v>
      </c>
    </row>
    <row r="163" spans="1:13" x14ac:dyDescent="0.2">
      <c r="A163" s="20" t="s">
        <v>532</v>
      </c>
      <c r="B163" s="2" t="s">
        <v>27</v>
      </c>
      <c r="C163" s="2" t="s">
        <v>212</v>
      </c>
      <c r="D163" s="2" t="s">
        <v>154</v>
      </c>
      <c r="E163" s="17" t="s">
        <v>533</v>
      </c>
      <c r="G163" s="18" t="str">
        <f t="shared" si="12"/>
        <v>KFD1E</v>
      </c>
      <c r="H163" s="11" t="str">
        <f>VLOOKUP($A163,[1]Sheet2!$I$2:$O$544,7,FALSE)</f>
        <v>https://hana.modakita.com/azd942/avatar/23773820251018140722S9GVZR.jpg</v>
      </c>
      <c r="I163" s="12">
        <f t="shared" si="13"/>
        <v>119</v>
      </c>
      <c r="J163" s="12" t="str">
        <f t="shared" si="14"/>
        <v>21</v>
      </c>
      <c r="K163" s="12" t="str">
        <f t="shared" si="15"/>
        <v>06</v>
      </c>
      <c r="L163" s="12" t="str">
        <f t="shared" si="16"/>
        <v>2025</v>
      </c>
      <c r="M163" s="12">
        <f t="shared" si="17"/>
        <v>12</v>
      </c>
    </row>
    <row r="164" spans="1:13" x14ac:dyDescent="0.2">
      <c r="A164" s="20" t="s">
        <v>162</v>
      </c>
      <c r="B164" s="2" t="s">
        <v>15</v>
      </c>
      <c r="C164" s="2" t="s">
        <v>163</v>
      </c>
      <c r="D164" s="2" t="s">
        <v>164</v>
      </c>
      <c r="E164" s="17" t="s">
        <v>165</v>
      </c>
      <c r="G164" s="18" t="str">
        <f t="shared" si="12"/>
        <v>JME1E</v>
      </c>
      <c r="H164" s="11" t="str">
        <f>VLOOKUP($A164,[1]Sheet2!$I$2:$O$544,7,FALSE)</f>
        <v>https://hana.modakita.com/azd942/avatar/210632084202510211113399YY4FX.jpg</v>
      </c>
      <c r="I164" s="12">
        <f t="shared" si="13"/>
        <v>57</v>
      </c>
      <c r="J164" s="12" t="str">
        <f t="shared" si="14"/>
        <v>25</v>
      </c>
      <c r="K164" s="12" t="str">
        <f t="shared" si="15"/>
        <v>08</v>
      </c>
      <c r="L164" s="12" t="str">
        <f t="shared" si="16"/>
        <v>2025</v>
      </c>
      <c r="M164" s="12">
        <f t="shared" si="17"/>
        <v>12</v>
      </c>
    </row>
    <row r="165" spans="1:13" x14ac:dyDescent="0.2">
      <c r="A165" s="20" t="s">
        <v>908</v>
      </c>
      <c r="B165" s="2" t="s">
        <v>15</v>
      </c>
      <c r="C165" s="2" t="s">
        <v>280</v>
      </c>
      <c r="D165" s="2" t="s">
        <v>128</v>
      </c>
      <c r="E165" s="17" t="s">
        <v>165</v>
      </c>
      <c r="G165" s="18" t="str">
        <f t="shared" si="12"/>
        <v>KC04E</v>
      </c>
      <c r="H165" s="11" t="str">
        <f>VLOOKUP($A165,[1]Sheet2!$I$2:$O$544,7,FALSE)</f>
        <v>https://hana.modakita.com/azd942/avatar/2106320842025101109382167UQB6.jpg</v>
      </c>
      <c r="I165" s="12">
        <f t="shared" si="13"/>
        <v>59</v>
      </c>
      <c r="J165" s="12" t="str">
        <f t="shared" si="14"/>
        <v>13</v>
      </c>
      <c r="K165" s="12" t="str">
        <f t="shared" si="15"/>
        <v>08</v>
      </c>
      <c r="L165" s="12" t="str">
        <f t="shared" si="16"/>
        <v>2025</v>
      </c>
      <c r="M165" s="12">
        <f t="shared" si="17"/>
        <v>12</v>
      </c>
    </row>
    <row r="166" spans="1:13" x14ac:dyDescent="0.2">
      <c r="A166" s="20" t="s">
        <v>640</v>
      </c>
      <c r="B166" s="2" t="s">
        <v>15</v>
      </c>
      <c r="C166" s="2" t="s">
        <v>134</v>
      </c>
      <c r="D166" s="2" t="s">
        <v>138</v>
      </c>
      <c r="E166" s="17" t="s">
        <v>641</v>
      </c>
      <c r="G166" s="18" t="str">
        <f t="shared" si="12"/>
        <v>JMD1E</v>
      </c>
      <c r="H166" s="11" t="str">
        <f>VLOOKUP($A166,[1]Sheet2!$I$2:$O$544,7,FALSE)</f>
        <v>https://hana.modakita.com/azd942/avatar/21301231220251014085721IRCEN7.jpg</v>
      </c>
      <c r="I166" s="12">
        <f t="shared" si="13"/>
        <v>60</v>
      </c>
      <c r="J166" s="12" t="str">
        <f t="shared" si="14"/>
        <v>15</v>
      </c>
      <c r="K166" s="12" t="str">
        <f t="shared" si="15"/>
        <v>08</v>
      </c>
      <c r="L166" s="12" t="str">
        <f t="shared" si="16"/>
        <v>2025</v>
      </c>
      <c r="M166" s="12">
        <f t="shared" si="17"/>
        <v>12</v>
      </c>
    </row>
    <row r="167" spans="1:13" x14ac:dyDescent="0.2">
      <c r="A167" s="20" t="s">
        <v>443</v>
      </c>
      <c r="B167" s="2" t="s">
        <v>27</v>
      </c>
      <c r="C167" s="2" t="s">
        <v>188</v>
      </c>
      <c r="D167" s="2" t="s">
        <v>117</v>
      </c>
      <c r="E167" s="17" t="s">
        <v>444</v>
      </c>
      <c r="G167" s="18" t="str">
        <f t="shared" si="12"/>
        <v>JMH1E</v>
      </c>
      <c r="H167" s="11" t="str">
        <f>VLOOKUP($A167,[1]Sheet2!$I$2:$O$544,7,FALSE)</f>
        <v>https://fruitbasket.blob.core.windows.net/gk2o5k/avatar/23773820251009110540PDXL8D.jpg</v>
      </c>
      <c r="I167" s="12">
        <f t="shared" si="13"/>
        <v>122</v>
      </c>
      <c r="J167" s="12" t="str">
        <f t="shared" si="14"/>
        <v>09</v>
      </c>
      <c r="K167" s="12" t="str">
        <f t="shared" si="15"/>
        <v>06</v>
      </c>
      <c r="L167" s="12" t="str">
        <f t="shared" si="16"/>
        <v>2025</v>
      </c>
      <c r="M167" s="12">
        <f t="shared" si="17"/>
        <v>12</v>
      </c>
    </row>
    <row r="168" spans="1:13" x14ac:dyDescent="0.2">
      <c r="A168" s="20" t="s">
        <v>311</v>
      </c>
      <c r="B168" s="2" t="s">
        <v>15</v>
      </c>
      <c r="C168" s="2" t="s">
        <v>163</v>
      </c>
      <c r="D168" s="2" t="s">
        <v>164</v>
      </c>
      <c r="E168" s="17" t="s">
        <v>312</v>
      </c>
      <c r="G168" s="18" t="str">
        <f t="shared" si="12"/>
        <v>KFE1E</v>
      </c>
      <c r="H168" s="11" t="str">
        <f>VLOOKUP($A168,[1]Sheet2!$I$2:$O$544,7,FALSE)</f>
        <v>https://hana.modakita.com/azd942/avatar/21301231220251021101038JAC2PL.jpg</v>
      </c>
      <c r="I168" s="12">
        <f t="shared" si="13"/>
        <v>57</v>
      </c>
      <c r="J168" s="12" t="str">
        <f t="shared" si="14"/>
        <v>25</v>
      </c>
      <c r="K168" s="12" t="str">
        <f t="shared" si="15"/>
        <v>08</v>
      </c>
      <c r="L168" s="12" t="str">
        <f t="shared" si="16"/>
        <v>2025</v>
      </c>
      <c r="M168" s="12">
        <f t="shared" si="17"/>
        <v>12</v>
      </c>
    </row>
    <row r="169" spans="1:13" x14ac:dyDescent="0.2">
      <c r="A169" s="20" t="s">
        <v>218</v>
      </c>
      <c r="B169" s="2" t="s">
        <v>27</v>
      </c>
      <c r="C169" s="2" t="s">
        <v>219</v>
      </c>
      <c r="D169" s="2" t="s">
        <v>216</v>
      </c>
      <c r="E169" s="17" t="s">
        <v>220</v>
      </c>
      <c r="G169" s="18" t="str">
        <f t="shared" si="12"/>
        <v>JMG1E</v>
      </c>
      <c r="H169" s="11" t="str">
        <f>VLOOKUP($A169,[1]Sheet2!$I$2:$O$544,7,FALSE)</f>
        <v>https://hana.modakita.com/azd942/avatar/237738202510201344514M3A0V.jpg</v>
      </c>
      <c r="I169" s="12">
        <f t="shared" si="13"/>
        <v>118</v>
      </c>
      <c r="J169" s="12" t="str">
        <f t="shared" si="14"/>
        <v>24</v>
      </c>
      <c r="K169" s="12" t="str">
        <f t="shared" si="15"/>
        <v>06</v>
      </c>
      <c r="L169" s="12" t="str">
        <f t="shared" si="16"/>
        <v>2025</v>
      </c>
      <c r="M169" s="12">
        <f t="shared" si="17"/>
        <v>12</v>
      </c>
    </row>
    <row r="170" spans="1:13" x14ac:dyDescent="0.2">
      <c r="A170" s="20" t="s">
        <v>294</v>
      </c>
      <c r="B170" s="2" t="s">
        <v>15</v>
      </c>
      <c r="C170" s="2" t="s">
        <v>295</v>
      </c>
      <c r="D170" s="2" t="s">
        <v>113</v>
      </c>
      <c r="E170" s="17" t="s">
        <v>296</v>
      </c>
      <c r="G170" s="18" t="str">
        <f t="shared" si="12"/>
        <v>KFE1E</v>
      </c>
      <c r="H170" s="11" t="str">
        <f>VLOOKUP($A170,[1]Sheet2!$I$2:$O$544,7,FALSE)</f>
        <v>https://fruitbasket.blob.core.windows.net/gk2o5k/avatar/21063208420251007110800MKRBLT.jpg</v>
      </c>
      <c r="I170" s="12">
        <f t="shared" si="13"/>
        <v>60</v>
      </c>
      <c r="J170" s="12" t="str">
        <f t="shared" si="14"/>
        <v>08</v>
      </c>
      <c r="K170" s="12" t="str">
        <f t="shared" si="15"/>
        <v>08</v>
      </c>
      <c r="L170" s="12" t="str">
        <f t="shared" si="16"/>
        <v>2025</v>
      </c>
      <c r="M170" s="12">
        <f t="shared" si="17"/>
        <v>12</v>
      </c>
    </row>
    <row r="171" spans="1:13" x14ac:dyDescent="0.2">
      <c r="A171" s="20" t="s">
        <v>465</v>
      </c>
      <c r="B171" s="2" t="s">
        <v>27</v>
      </c>
      <c r="C171" s="2" t="s">
        <v>466</v>
      </c>
      <c r="D171" s="2" t="s">
        <v>164</v>
      </c>
      <c r="E171" s="17" t="s">
        <v>467</v>
      </c>
      <c r="G171" s="18" t="str">
        <f t="shared" si="12"/>
        <v>JMH1E</v>
      </c>
      <c r="H171" s="11" t="str">
        <f>VLOOKUP($A171,[1]Sheet2!$I$2:$O$544,7,FALSE)</f>
        <v>https://hana.modakita.com/azd942/avatar/23773820251021135938TWPTIO.jpg</v>
      </c>
      <c r="I171" s="12">
        <f t="shared" si="13"/>
        <v>117</v>
      </c>
      <c r="J171" s="12" t="str">
        <f t="shared" si="14"/>
        <v>26</v>
      </c>
      <c r="K171" s="12" t="str">
        <f t="shared" si="15"/>
        <v>06</v>
      </c>
      <c r="L171" s="12" t="str">
        <f t="shared" si="16"/>
        <v>2025</v>
      </c>
      <c r="M171" s="12">
        <f t="shared" si="17"/>
        <v>12</v>
      </c>
    </row>
    <row r="172" spans="1:13" x14ac:dyDescent="0.2">
      <c r="A172" s="20" t="s">
        <v>115</v>
      </c>
      <c r="B172" s="2" t="s">
        <v>15</v>
      </c>
      <c r="C172" s="2" t="s">
        <v>116</v>
      </c>
      <c r="D172" s="2" t="s">
        <v>117</v>
      </c>
      <c r="E172" s="17" t="s">
        <v>118</v>
      </c>
      <c r="G172" s="18" t="str">
        <f t="shared" si="12"/>
        <v>JME1E</v>
      </c>
      <c r="H172" s="11" t="str">
        <f>VLOOKUP($A172,[1]Sheet2!$I$2:$O$544,7,FALSE)</f>
        <v>https://fruitbasket.blob.core.windows.net/gk2o5k/avatar/23773820251009130244IMTQSR.jpg</v>
      </c>
      <c r="I172" s="12">
        <f t="shared" si="13"/>
        <v>61</v>
      </c>
      <c r="J172" s="12" t="str">
        <f t="shared" si="14"/>
        <v>09</v>
      </c>
      <c r="K172" s="12" t="str">
        <f t="shared" si="15"/>
        <v>08</v>
      </c>
      <c r="L172" s="12" t="str">
        <f t="shared" si="16"/>
        <v>2025</v>
      </c>
      <c r="M172" s="12">
        <f t="shared" si="17"/>
        <v>12</v>
      </c>
    </row>
    <row r="173" spans="1:13" x14ac:dyDescent="0.2">
      <c r="A173" s="20" t="s">
        <v>181</v>
      </c>
      <c r="B173" s="2" t="s">
        <v>27</v>
      </c>
      <c r="C173" s="2" t="s">
        <v>182</v>
      </c>
      <c r="D173" s="2" t="s">
        <v>113</v>
      </c>
      <c r="E173" s="17" t="s">
        <v>183</v>
      </c>
      <c r="G173" s="18" t="str">
        <f t="shared" si="12"/>
        <v>JMG1E</v>
      </c>
      <c r="H173" s="11" t="str">
        <f>VLOOKUP($A173,[1]Sheet2!$I$2:$O$544,7,FALSE)</f>
        <v>https://fruitbasket.blob.core.windows.net/gk2o5k/avatar/21063208420251007100341UIBWU1.jpg</v>
      </c>
      <c r="I173" s="12">
        <f t="shared" si="13"/>
        <v>123</v>
      </c>
      <c r="J173" s="12" t="str">
        <f t="shared" si="14"/>
        <v>06</v>
      </c>
      <c r="K173" s="12" t="str">
        <f t="shared" si="15"/>
        <v>06</v>
      </c>
      <c r="L173" s="12" t="str">
        <f t="shared" si="16"/>
        <v>2025</v>
      </c>
      <c r="M173" s="12">
        <f t="shared" si="17"/>
        <v>12</v>
      </c>
    </row>
    <row r="174" spans="1:13" x14ac:dyDescent="0.2">
      <c r="A174" s="20" t="s">
        <v>445</v>
      </c>
      <c r="B174" s="2" t="s">
        <v>27</v>
      </c>
      <c r="C174" s="2" t="s">
        <v>193</v>
      </c>
      <c r="D174" s="2" t="s">
        <v>117</v>
      </c>
      <c r="E174" s="17" t="s">
        <v>446</v>
      </c>
      <c r="G174" s="18" t="str">
        <f t="shared" si="12"/>
        <v>JMH1E</v>
      </c>
      <c r="H174" s="11" t="str">
        <f>VLOOKUP($A174,[1]Sheet2!$I$2:$O$544,7,FALSE)</f>
        <v>https://fruitbasket.blob.core.windows.net/gk2o5k/avatar/21063208420251009153313PKT3AN.jpg</v>
      </c>
      <c r="I174" s="12">
        <f t="shared" si="13"/>
        <v>121</v>
      </c>
      <c r="J174" s="12" t="str">
        <f t="shared" si="14"/>
        <v>10</v>
      </c>
      <c r="K174" s="12" t="str">
        <f t="shared" si="15"/>
        <v>06</v>
      </c>
      <c r="L174" s="12" t="str">
        <f t="shared" si="16"/>
        <v>2025</v>
      </c>
      <c r="M174" s="12">
        <f t="shared" si="17"/>
        <v>12</v>
      </c>
    </row>
    <row r="175" spans="1:13" x14ac:dyDescent="0.2">
      <c r="A175" s="20" t="s">
        <v>875</v>
      </c>
      <c r="B175" s="2" t="s">
        <v>27</v>
      </c>
      <c r="C175" s="2" t="s">
        <v>463</v>
      </c>
      <c r="D175" s="2" t="s">
        <v>216</v>
      </c>
      <c r="E175" s="17" t="s">
        <v>876</v>
      </c>
      <c r="G175" s="18" t="str">
        <f t="shared" si="12"/>
        <v>KF01E</v>
      </c>
      <c r="H175" s="11" t="str">
        <f>VLOOKUP($A175,[1]Sheet2!$I$2:$O$544,7,FALSE)</f>
        <v>https://hana.modakita.com/azd942/avatar/23773820251020121136EB6VRM.jpg</v>
      </c>
      <c r="I175" s="12">
        <f t="shared" si="13"/>
        <v>119</v>
      </c>
      <c r="J175" s="12" t="str">
        <f t="shared" si="14"/>
        <v>23</v>
      </c>
      <c r="K175" s="12" t="str">
        <f t="shared" si="15"/>
        <v>06</v>
      </c>
      <c r="L175" s="12" t="str">
        <f t="shared" si="16"/>
        <v>2025</v>
      </c>
      <c r="M175" s="12">
        <f t="shared" si="17"/>
        <v>12</v>
      </c>
    </row>
    <row r="176" spans="1:13" x14ac:dyDescent="0.2">
      <c r="A176" s="20" t="s">
        <v>574</v>
      </c>
      <c r="B176" s="2" t="s">
        <v>27</v>
      </c>
      <c r="C176" s="2" t="s">
        <v>270</v>
      </c>
      <c r="D176" s="2" t="s">
        <v>131</v>
      </c>
      <c r="E176" s="17" t="s">
        <v>575</v>
      </c>
      <c r="G176" s="18" t="str">
        <f t="shared" si="12"/>
        <v>JBP1E</v>
      </c>
      <c r="H176" s="11" t="str">
        <f>VLOOKUP($A176,[1]Sheet2!$I$2:$O$544,7,FALSE)</f>
        <v>https://hana.modakita.com/azd942/avatar/21394210620251013104235WZB1DY.jpg</v>
      </c>
      <c r="I176" s="12">
        <f t="shared" si="13"/>
        <v>121</v>
      </c>
      <c r="J176" s="12" t="str">
        <f t="shared" si="14"/>
        <v>14</v>
      </c>
      <c r="K176" s="12" t="str">
        <f t="shared" si="15"/>
        <v>06</v>
      </c>
      <c r="L176" s="12" t="str">
        <f t="shared" si="16"/>
        <v>2025</v>
      </c>
      <c r="M176" s="12">
        <f t="shared" si="17"/>
        <v>12</v>
      </c>
    </row>
    <row r="177" spans="1:13" x14ac:dyDescent="0.2">
      <c r="A177" s="20" t="s">
        <v>390</v>
      </c>
      <c r="B177" s="2" t="s">
        <v>15</v>
      </c>
      <c r="C177" s="2" t="s">
        <v>103</v>
      </c>
      <c r="D177" s="2" t="s">
        <v>104</v>
      </c>
      <c r="E177" s="17" t="s">
        <v>391</v>
      </c>
      <c r="G177" s="18" t="str">
        <f t="shared" si="12"/>
        <v>JMH1E</v>
      </c>
      <c r="H177" s="11" t="str">
        <f>VLOOKUP($A177,[1]Sheet2!$I$2:$O$544,7,FALSE)</f>
        <v>https://fruitbasket.blob.core.windows.net/gk2o5k/avatar/23773820251006101254IHDE4Z.jpg</v>
      </c>
      <c r="I177" s="12">
        <f t="shared" si="13"/>
        <v>63</v>
      </c>
      <c r="J177" s="12" t="str">
        <f t="shared" si="14"/>
        <v>04</v>
      </c>
      <c r="K177" s="12" t="str">
        <f t="shared" si="15"/>
        <v>08</v>
      </c>
      <c r="L177" s="12" t="str">
        <f t="shared" si="16"/>
        <v>2025</v>
      </c>
      <c r="M177" s="12">
        <f t="shared" si="17"/>
        <v>12</v>
      </c>
    </row>
    <row r="178" spans="1:13" x14ac:dyDescent="0.2">
      <c r="A178" s="20" t="s">
        <v>813</v>
      </c>
      <c r="B178" s="2" t="s">
        <v>33</v>
      </c>
      <c r="C178" s="2" t="s">
        <v>814</v>
      </c>
      <c r="D178" s="2" t="s">
        <v>164</v>
      </c>
      <c r="E178" s="17" t="s">
        <v>815</v>
      </c>
      <c r="G178" s="18" t="str">
        <f t="shared" si="12"/>
        <v>JMC1E</v>
      </c>
      <c r="H178" s="11" t="str">
        <f>VLOOKUP($A178,[1]Sheet2!$I$2:$O$544,7,FALSE)</f>
        <v>https://hana.modakita.com/azd942/avatar/210632084202510211516096EWK2F.jpg</v>
      </c>
      <c r="I178" s="12">
        <f t="shared" si="13"/>
        <v>236</v>
      </c>
      <c r="J178" s="12" t="str">
        <f t="shared" si="14"/>
        <v>27</v>
      </c>
      <c r="K178" s="12" t="str">
        <f t="shared" si="15"/>
        <v>02</v>
      </c>
      <c r="L178" s="12" t="str">
        <f t="shared" si="16"/>
        <v>2025</v>
      </c>
      <c r="M178" s="12">
        <f t="shared" si="17"/>
        <v>12</v>
      </c>
    </row>
    <row r="179" spans="1:13" x14ac:dyDescent="0.2">
      <c r="A179" s="23" t="s">
        <v>782</v>
      </c>
      <c r="B179" s="2" t="s">
        <v>33</v>
      </c>
      <c r="C179" s="2" t="s">
        <v>774</v>
      </c>
      <c r="D179" s="2" t="s">
        <v>141</v>
      </c>
      <c r="E179" s="17" t="s">
        <v>783</v>
      </c>
      <c r="F179" s="19" t="s">
        <v>984</v>
      </c>
      <c r="G179" s="18" t="str">
        <f t="shared" si="12"/>
        <v>JMC1E</v>
      </c>
      <c r="H179" s="11" t="str">
        <f>VLOOKUP($A179,[1]Sheet2!$I$2:$O$544,7,FALSE)</f>
        <v>https://hana.modakita.com/azd942/avatar/21063208420251015103139SYC9AA.jpg</v>
      </c>
      <c r="I179" s="12">
        <f t="shared" si="13"/>
        <v>244</v>
      </c>
      <c r="J179" s="12" t="str">
        <f t="shared" si="14"/>
        <v>13</v>
      </c>
      <c r="K179" s="12" t="str">
        <f t="shared" si="15"/>
        <v>02</v>
      </c>
      <c r="L179" s="12" t="str">
        <f t="shared" si="16"/>
        <v>2025</v>
      </c>
      <c r="M179" s="12">
        <f t="shared" si="17"/>
        <v>12</v>
      </c>
    </row>
    <row r="180" spans="1:13" x14ac:dyDescent="0.2">
      <c r="A180" s="20" t="s">
        <v>904</v>
      </c>
      <c r="B180" s="2" t="s">
        <v>15</v>
      </c>
      <c r="C180" s="2" t="s">
        <v>618</v>
      </c>
      <c r="D180" s="2" t="s">
        <v>128</v>
      </c>
      <c r="E180" s="17" t="s">
        <v>905</v>
      </c>
      <c r="G180" s="18" t="str">
        <f t="shared" si="12"/>
        <v>KC04E</v>
      </c>
      <c r="H180" s="11" t="str">
        <f>VLOOKUP($A180,[1]Sheet2!$I$2:$O$544,7,FALSE)</f>
        <v>https://hana.modakita.com/azd942/avatar/23773820251011091651BVYQHO.jpg</v>
      </c>
      <c r="I180" s="12">
        <f t="shared" si="13"/>
        <v>60</v>
      </c>
      <c r="J180" s="12" t="str">
        <f t="shared" si="14"/>
        <v>12</v>
      </c>
      <c r="K180" s="12" t="str">
        <f t="shared" si="15"/>
        <v>08</v>
      </c>
      <c r="L180" s="12" t="str">
        <f t="shared" si="16"/>
        <v>2025</v>
      </c>
      <c r="M180" s="12">
        <f t="shared" si="17"/>
        <v>12</v>
      </c>
    </row>
    <row r="181" spans="1:13" x14ac:dyDescent="0.2">
      <c r="A181" s="20" t="s">
        <v>370</v>
      </c>
      <c r="B181" s="2" t="s">
        <v>33</v>
      </c>
      <c r="C181" s="2" t="s">
        <v>371</v>
      </c>
      <c r="D181" s="2" t="s">
        <v>250</v>
      </c>
      <c r="E181" s="17" t="s">
        <v>372</v>
      </c>
      <c r="G181" s="18" t="str">
        <f t="shared" si="12"/>
        <v>JBK3E</v>
      </c>
      <c r="H181" s="11" t="str">
        <f>VLOOKUP($A181,[1]Sheet2!$I$2:$O$544,7,FALSE)</f>
        <v>https://fruitbasket.blob.core.windows.net/gk2o5k/avatar/210632084202510081527347SN2J3.jpg</v>
      </c>
      <c r="I181" s="12">
        <f t="shared" si="13"/>
        <v>242</v>
      </c>
      <c r="J181" s="12" t="str">
        <f t="shared" si="14"/>
        <v>08</v>
      </c>
      <c r="K181" s="12" t="str">
        <f t="shared" si="15"/>
        <v>02</v>
      </c>
      <c r="L181" s="12" t="str">
        <f t="shared" si="16"/>
        <v>2025</v>
      </c>
      <c r="M181" s="12">
        <f t="shared" si="17"/>
        <v>12</v>
      </c>
    </row>
    <row r="182" spans="1:13" x14ac:dyDescent="0.2">
      <c r="A182" s="20" t="s">
        <v>617</v>
      </c>
      <c r="B182" s="2" t="s">
        <v>15</v>
      </c>
      <c r="C182" s="2" t="s">
        <v>618</v>
      </c>
      <c r="D182" s="2" t="s">
        <v>121</v>
      </c>
      <c r="E182" s="17" t="s">
        <v>619</v>
      </c>
      <c r="G182" s="18" t="str">
        <f t="shared" si="12"/>
        <v>JMC1E</v>
      </c>
      <c r="H182" s="11" t="str">
        <f>VLOOKUP($A182,[1]Sheet2!$I$2:$O$544,7,FALSE)</f>
        <v>https://hana.modakita.com/azd942/avatar/23773820251010132954YOASLW.jpg</v>
      </c>
      <c r="I182" s="12">
        <f t="shared" si="13"/>
        <v>59</v>
      </c>
      <c r="J182" s="12" t="str">
        <f t="shared" si="14"/>
        <v>12</v>
      </c>
      <c r="K182" s="12" t="str">
        <f t="shared" si="15"/>
        <v>08</v>
      </c>
      <c r="L182" s="12" t="str">
        <f t="shared" si="16"/>
        <v>2025</v>
      </c>
      <c r="M182" s="12">
        <f t="shared" si="17"/>
        <v>12</v>
      </c>
    </row>
    <row r="183" spans="1:13" x14ac:dyDescent="0.2">
      <c r="A183" s="20" t="s">
        <v>848</v>
      </c>
      <c r="B183" s="2" t="s">
        <v>15</v>
      </c>
      <c r="C183" s="2" t="s">
        <v>120</v>
      </c>
      <c r="D183" s="2" t="s">
        <v>121</v>
      </c>
      <c r="E183" s="17" t="s">
        <v>849</v>
      </c>
      <c r="G183" s="18" t="str">
        <f t="shared" si="12"/>
        <v>KFA1E</v>
      </c>
      <c r="H183" s="11" t="str">
        <f>VLOOKUP($A183,[1]Sheet2!$I$2:$O$544,7,FALSE)</f>
        <v>https://hana.modakita.com/azd942/avatar/21301231220251010105302FWE6D7.jpg</v>
      </c>
      <c r="I183" s="12">
        <f t="shared" si="13"/>
        <v>60</v>
      </c>
      <c r="J183" s="12" t="str">
        <f t="shared" si="14"/>
        <v>11</v>
      </c>
      <c r="K183" s="12" t="str">
        <f t="shared" si="15"/>
        <v>08</v>
      </c>
      <c r="L183" s="12" t="str">
        <f t="shared" si="16"/>
        <v>2025</v>
      </c>
      <c r="M183" s="12">
        <f t="shared" si="17"/>
        <v>12</v>
      </c>
    </row>
    <row r="184" spans="1:13" x14ac:dyDescent="0.2">
      <c r="A184" s="20" t="s">
        <v>636</v>
      </c>
      <c r="B184" s="2" t="s">
        <v>15</v>
      </c>
      <c r="C184" s="2" t="s">
        <v>127</v>
      </c>
      <c r="D184" s="2" t="s">
        <v>131</v>
      </c>
      <c r="E184" s="17" t="s">
        <v>637</v>
      </c>
      <c r="G184" s="18" t="str">
        <f t="shared" si="12"/>
        <v>JMD1E</v>
      </c>
      <c r="H184" s="11" t="str">
        <f>VLOOKUP($A184,[1]Sheet2!$I$2:$O$544,7,FALSE)</f>
        <v>https://hana.modakita.com/azd942/avatar/23773820251013142419DXQOZA.jpg</v>
      </c>
      <c r="I184" s="12">
        <f t="shared" si="13"/>
        <v>60</v>
      </c>
      <c r="J184" s="12" t="str">
        <f t="shared" si="14"/>
        <v>14</v>
      </c>
      <c r="K184" s="12" t="str">
        <f t="shared" si="15"/>
        <v>08</v>
      </c>
      <c r="L184" s="12" t="str">
        <f t="shared" si="16"/>
        <v>2025</v>
      </c>
      <c r="M184" s="12">
        <f t="shared" si="17"/>
        <v>12</v>
      </c>
    </row>
    <row r="185" spans="1:13" x14ac:dyDescent="0.2">
      <c r="A185" s="20" t="s">
        <v>869</v>
      </c>
      <c r="B185" s="2" t="s">
        <v>27</v>
      </c>
      <c r="C185" s="2" t="s">
        <v>193</v>
      </c>
      <c r="D185" s="2" t="s">
        <v>117</v>
      </c>
      <c r="E185" s="17" t="s">
        <v>870</v>
      </c>
      <c r="G185" s="18" t="str">
        <f t="shared" si="12"/>
        <v>KF01E</v>
      </c>
      <c r="H185" s="11" t="str">
        <f>VLOOKUP($A185,[1]Sheet2!$I$2:$O$544,7,FALSE)</f>
        <v>https://fruitbasket.blob.core.windows.net/gk2o5k/avatar/23773820251009145810NT2STD.jpg</v>
      </c>
      <c r="I185" s="12">
        <f t="shared" si="13"/>
        <v>121</v>
      </c>
      <c r="J185" s="12" t="str">
        <f t="shared" si="14"/>
        <v>10</v>
      </c>
      <c r="K185" s="12" t="str">
        <f t="shared" si="15"/>
        <v>06</v>
      </c>
      <c r="L185" s="12" t="str">
        <f t="shared" si="16"/>
        <v>2025</v>
      </c>
      <c r="M185" s="12">
        <f t="shared" si="17"/>
        <v>12</v>
      </c>
    </row>
    <row r="186" spans="1:13" x14ac:dyDescent="0.2">
      <c r="A186" s="20" t="s">
        <v>591</v>
      </c>
      <c r="B186" s="2" t="s">
        <v>27</v>
      </c>
      <c r="C186" s="2" t="s">
        <v>206</v>
      </c>
      <c r="D186" s="2" t="s">
        <v>154</v>
      </c>
      <c r="E186" s="17" t="s">
        <v>592</v>
      </c>
      <c r="G186" s="18" t="str">
        <f t="shared" si="12"/>
        <v>KB22E</v>
      </c>
      <c r="H186" s="11" t="str">
        <f>VLOOKUP($A186,[1]Sheet2!$I$2:$O$544,7,FALSE)</f>
        <v>https://hana.modakita.com/azd942/avatar/23773820251018101008NOKVZO.jpg</v>
      </c>
      <c r="I186" s="12">
        <f t="shared" si="13"/>
        <v>120</v>
      </c>
      <c r="J186" s="12" t="str">
        <f t="shared" si="14"/>
        <v>20</v>
      </c>
      <c r="K186" s="12" t="str">
        <f t="shared" si="15"/>
        <v>06</v>
      </c>
      <c r="L186" s="12" t="str">
        <f t="shared" si="16"/>
        <v>2025</v>
      </c>
      <c r="M186" s="12">
        <f t="shared" si="17"/>
        <v>12</v>
      </c>
    </row>
    <row r="187" spans="1:13" x14ac:dyDescent="0.2">
      <c r="A187" s="20" t="s">
        <v>919</v>
      </c>
      <c r="B187" s="2" t="s">
        <v>15</v>
      </c>
      <c r="C187" s="2" t="s">
        <v>150</v>
      </c>
      <c r="D187" s="2" t="s">
        <v>147</v>
      </c>
      <c r="E187" s="17" t="s">
        <v>920</v>
      </c>
      <c r="G187" s="18" t="str">
        <f t="shared" si="12"/>
        <v>KC04E</v>
      </c>
      <c r="H187" s="11" t="str">
        <f>VLOOKUP($A187,[1]Sheet2!$I$2:$O$544,7,FALSE)</f>
        <v>https://hana.modakita.com/azd942/avatar/23773820251017085322OS0WUP.jpg</v>
      </c>
      <c r="I187" s="12">
        <f t="shared" si="13"/>
        <v>60</v>
      </c>
      <c r="J187" s="12" t="str">
        <f t="shared" si="14"/>
        <v>18</v>
      </c>
      <c r="K187" s="12" t="str">
        <f t="shared" si="15"/>
        <v>08</v>
      </c>
      <c r="L187" s="12" t="str">
        <f t="shared" si="16"/>
        <v>2025</v>
      </c>
      <c r="M187" s="12">
        <f t="shared" si="17"/>
        <v>12</v>
      </c>
    </row>
    <row r="188" spans="1:13" x14ac:dyDescent="0.2">
      <c r="A188" s="20" t="s">
        <v>491</v>
      </c>
      <c r="B188" s="2" t="s">
        <v>33</v>
      </c>
      <c r="C188" s="2" t="s">
        <v>240</v>
      </c>
      <c r="D188" s="2" t="s">
        <v>216</v>
      </c>
      <c r="E188" s="17" t="s">
        <v>492</v>
      </c>
      <c r="G188" s="18" t="str">
        <f t="shared" si="12"/>
        <v>JMH2E</v>
      </c>
      <c r="H188" s="11" t="str">
        <f>VLOOKUP($A188,[1]Sheet2!$I$2:$O$544,7,FALSE)</f>
        <v>https://hana.modakita.com/azd942/avatar/21063208420251020111428DI3XCZ.jpg</v>
      </c>
      <c r="I188" s="12">
        <f t="shared" si="13"/>
        <v>240</v>
      </c>
      <c r="J188" s="12" t="str">
        <f t="shared" si="14"/>
        <v>22</v>
      </c>
      <c r="K188" s="12" t="str">
        <f t="shared" si="15"/>
        <v>02</v>
      </c>
      <c r="L188" s="12" t="str">
        <f t="shared" si="16"/>
        <v>2025</v>
      </c>
      <c r="M188" s="12">
        <f t="shared" si="17"/>
        <v>12</v>
      </c>
    </row>
    <row r="189" spans="1:13" x14ac:dyDescent="0.2">
      <c r="A189" s="20" t="s">
        <v>426</v>
      </c>
      <c r="B189" s="2" t="s">
        <v>15</v>
      </c>
      <c r="C189" s="2" t="s">
        <v>167</v>
      </c>
      <c r="D189" s="2" t="s">
        <v>154</v>
      </c>
      <c r="E189" s="17" t="s">
        <v>427</v>
      </c>
      <c r="G189" s="18" t="str">
        <f t="shared" si="12"/>
        <v>JMH1E</v>
      </c>
      <c r="H189" s="11" t="str">
        <f>VLOOKUP($A189,[1]Sheet2!$I$2:$O$544,7,FALSE)</f>
        <v>https://hana.modakita.com/azd942/avatar/21063208420251018113950CM43RU.jpg</v>
      </c>
      <c r="I189" s="12">
        <f t="shared" si="13"/>
        <v>49</v>
      </c>
      <c r="J189" s="12" t="str">
        <f t="shared" si="14"/>
        <v>30</v>
      </c>
      <c r="K189" s="12" t="str">
        <f t="shared" si="15"/>
        <v>08</v>
      </c>
      <c r="L189" s="12" t="str">
        <f t="shared" si="16"/>
        <v>2025</v>
      </c>
      <c r="M189" s="12">
        <f t="shared" si="17"/>
        <v>12</v>
      </c>
    </row>
    <row r="190" spans="1:13" x14ac:dyDescent="0.2">
      <c r="A190" s="20" t="s">
        <v>811</v>
      </c>
      <c r="B190" s="2" t="s">
        <v>33</v>
      </c>
      <c r="C190" s="2" t="s">
        <v>558</v>
      </c>
      <c r="D190" s="2" t="s">
        <v>164</v>
      </c>
      <c r="E190" s="17" t="s">
        <v>812</v>
      </c>
      <c r="G190" s="18" t="str">
        <f t="shared" si="12"/>
        <v>JMD1E</v>
      </c>
      <c r="H190" s="11" t="str">
        <f>VLOOKUP($A190,[1]Sheet2!$I$2:$O$544,7,FALSE)</f>
        <v>https://hana.modakita.com/azd942/avatar/21063208420251021141727SBRHZN.jpg</v>
      </c>
      <c r="I190" s="12">
        <f t="shared" si="13"/>
        <v>237</v>
      </c>
      <c r="J190" s="12" t="str">
        <f t="shared" si="14"/>
        <v>26</v>
      </c>
      <c r="K190" s="12" t="str">
        <f t="shared" si="15"/>
        <v>02</v>
      </c>
      <c r="L190" s="12" t="str">
        <f t="shared" si="16"/>
        <v>2025</v>
      </c>
      <c r="M190" s="12">
        <f t="shared" si="17"/>
        <v>12</v>
      </c>
    </row>
    <row r="191" spans="1:13" x14ac:dyDescent="0.2">
      <c r="A191" s="20" t="s">
        <v>373</v>
      </c>
      <c r="B191" s="2" t="s">
        <v>33</v>
      </c>
      <c r="C191" s="2" t="s">
        <v>374</v>
      </c>
      <c r="D191" s="2" t="s">
        <v>117</v>
      </c>
      <c r="E191" s="17" t="s">
        <v>375</v>
      </c>
      <c r="G191" s="18" t="str">
        <f t="shared" si="12"/>
        <v>JBK3E</v>
      </c>
      <c r="H191" s="11" t="str">
        <f>VLOOKUP($A191,[1]Sheet2!$I$2:$O$544,7,FALSE)</f>
        <v>https://fruitbasket.blob.core.windows.net/gk2o5k/avatar/21063208420251009150853V0FXBP.jpg</v>
      </c>
      <c r="I191" s="12">
        <f t="shared" si="13"/>
        <v>241</v>
      </c>
      <c r="J191" s="12" t="str">
        <f t="shared" si="14"/>
        <v>10</v>
      </c>
      <c r="K191" s="12" t="str">
        <f t="shared" si="15"/>
        <v>02</v>
      </c>
      <c r="L191" s="12" t="str">
        <f t="shared" si="16"/>
        <v>2025</v>
      </c>
      <c r="M191" s="12">
        <f t="shared" si="17"/>
        <v>12</v>
      </c>
    </row>
    <row r="192" spans="1:13" x14ac:dyDescent="0.2">
      <c r="A192" s="20" t="s">
        <v>344</v>
      </c>
      <c r="B192" s="2" t="s">
        <v>15</v>
      </c>
      <c r="C192" s="2" t="s">
        <v>167</v>
      </c>
      <c r="D192" s="2" t="s">
        <v>154</v>
      </c>
      <c r="E192" s="17" t="s">
        <v>345</v>
      </c>
      <c r="G192" s="18" t="str">
        <f t="shared" si="12"/>
        <v>JBK3E</v>
      </c>
      <c r="H192" s="11" t="str">
        <f>VLOOKUP($A192,[1]Sheet2!$I$2:$O$544,7,FALSE)</f>
        <v>https://hana.modakita.com/azd942/avatar/21063208420251018115457TO4TH7.jpg</v>
      </c>
      <c r="I192" s="12">
        <f t="shared" si="13"/>
        <v>49</v>
      </c>
      <c r="J192" s="12" t="str">
        <f t="shared" si="14"/>
        <v>30</v>
      </c>
      <c r="K192" s="12" t="str">
        <f t="shared" si="15"/>
        <v>08</v>
      </c>
      <c r="L192" s="12" t="str">
        <f t="shared" si="16"/>
        <v>2025</v>
      </c>
      <c r="M192" s="12">
        <f t="shared" si="17"/>
        <v>12</v>
      </c>
    </row>
    <row r="193" spans="1:13" x14ac:dyDescent="0.2">
      <c r="A193" s="20" t="s">
        <v>119</v>
      </c>
      <c r="B193" s="2" t="s">
        <v>15</v>
      </c>
      <c r="C193" s="2" t="s">
        <v>120</v>
      </c>
      <c r="D193" s="2" t="s">
        <v>121</v>
      </c>
      <c r="E193" s="17" t="s">
        <v>122</v>
      </c>
      <c r="G193" s="18" t="str">
        <f t="shared" si="12"/>
        <v>JME1E</v>
      </c>
      <c r="H193" s="11" t="str">
        <f>VLOOKUP($A193,[1]Sheet2!$I$2:$O$544,7,FALSE)</f>
        <v>https://hana.modakita.com/azd942/avatar/21301231220251010091825VCEH0U.jpg</v>
      </c>
      <c r="I193" s="12">
        <f t="shared" si="13"/>
        <v>60</v>
      </c>
      <c r="J193" s="12" t="str">
        <f t="shared" si="14"/>
        <v>11</v>
      </c>
      <c r="K193" s="12" t="str">
        <f t="shared" si="15"/>
        <v>08</v>
      </c>
      <c r="L193" s="12" t="str">
        <f t="shared" si="16"/>
        <v>2025</v>
      </c>
      <c r="M193" s="12">
        <f t="shared" si="17"/>
        <v>12</v>
      </c>
    </row>
    <row r="194" spans="1:13" x14ac:dyDescent="0.2">
      <c r="A194" s="20" t="s">
        <v>414</v>
      </c>
      <c r="B194" s="2" t="s">
        <v>15</v>
      </c>
      <c r="C194" s="2" t="s">
        <v>107</v>
      </c>
      <c r="D194" s="2" t="s">
        <v>121</v>
      </c>
      <c r="E194" s="17" t="s">
        <v>122</v>
      </c>
      <c r="G194" s="18" t="str">
        <f t="shared" ref="G194:G257" si="18">LEFT(A194,5)</f>
        <v>JMH1E</v>
      </c>
      <c r="H194" s="11" t="str">
        <f>VLOOKUP($A194,[1]Sheet2!$I$2:$O$544,7,FALSE)</f>
        <v>https://hana.modakita.com/azd942/avatar/23773820251010114434W7UTOY.jpg</v>
      </c>
      <c r="I194" s="12">
        <f t="shared" ref="I194:I257" si="19">D194-C194</f>
        <v>65</v>
      </c>
      <c r="J194" s="12" t="str">
        <f t="shared" ref="J194:J257" si="20">LEFT(C194,2)</f>
        <v>06</v>
      </c>
      <c r="K194" s="12" t="str">
        <f t="shared" ref="K194:K257" si="21">MID(C194,4,2)</f>
        <v>08</v>
      </c>
      <c r="L194" s="12" t="str">
        <f t="shared" ref="L194:L257" si="22">RIGHT(C194,4)</f>
        <v>2025</v>
      </c>
      <c r="M194" s="12">
        <f t="shared" ref="M194:M257" si="23">LEN(A194)</f>
        <v>12</v>
      </c>
    </row>
    <row r="195" spans="1:13" x14ac:dyDescent="0.2">
      <c r="A195" s="20" t="s">
        <v>808</v>
      </c>
      <c r="B195" s="2" t="s">
        <v>33</v>
      </c>
      <c r="C195" s="2" t="s">
        <v>809</v>
      </c>
      <c r="D195" s="2" t="s">
        <v>164</v>
      </c>
      <c r="E195" s="17" t="s">
        <v>810</v>
      </c>
      <c r="G195" s="18" t="str">
        <f t="shared" si="18"/>
        <v>JMC1E</v>
      </c>
      <c r="H195" s="11" t="str">
        <f>VLOOKUP($A195,[1]Sheet2!$I$2:$O$544,7,FALSE)</f>
        <v>https://hana.modakita.com/azd942/avatar/21063208420251021110701FOYVIF.jpg</v>
      </c>
      <c r="I195" s="12">
        <f t="shared" si="19"/>
        <v>238</v>
      </c>
      <c r="J195" s="12" t="str">
        <f t="shared" si="20"/>
        <v>25</v>
      </c>
      <c r="K195" s="12" t="str">
        <f t="shared" si="21"/>
        <v>02</v>
      </c>
      <c r="L195" s="12" t="str">
        <f t="shared" si="22"/>
        <v>2025</v>
      </c>
      <c r="M195" s="12">
        <f t="shared" si="23"/>
        <v>12</v>
      </c>
    </row>
    <row r="196" spans="1:13" x14ac:dyDescent="0.2">
      <c r="A196" s="20" t="s">
        <v>793</v>
      </c>
      <c r="B196" s="2" t="s">
        <v>33</v>
      </c>
      <c r="C196" s="2" t="s">
        <v>377</v>
      </c>
      <c r="D196" s="2" t="s">
        <v>154</v>
      </c>
      <c r="E196" s="17" t="s">
        <v>794</v>
      </c>
      <c r="G196" s="18" t="str">
        <f t="shared" si="18"/>
        <v>JMC1E</v>
      </c>
      <c r="H196" s="11" t="str">
        <f>VLOOKUP($A196,[1]Sheet2!$I$2:$O$544,7,FALSE)</f>
        <v>https://hana.modakita.com/azd942/avatar/21063208420251018141344RN27VI.jpg</v>
      </c>
      <c r="I196" s="12">
        <f t="shared" si="19"/>
        <v>239</v>
      </c>
      <c r="J196" s="12" t="str">
        <f t="shared" si="20"/>
        <v>21</v>
      </c>
      <c r="K196" s="12" t="str">
        <f t="shared" si="21"/>
        <v>02</v>
      </c>
      <c r="L196" s="12" t="str">
        <f t="shared" si="22"/>
        <v>2025</v>
      </c>
      <c r="M196" s="12">
        <f t="shared" si="23"/>
        <v>12</v>
      </c>
    </row>
    <row r="197" spans="1:13" x14ac:dyDescent="0.2">
      <c r="A197" s="20" t="s">
        <v>488</v>
      </c>
      <c r="B197" s="2" t="s">
        <v>33</v>
      </c>
      <c r="C197" s="2" t="s">
        <v>489</v>
      </c>
      <c r="D197" s="2" t="s">
        <v>154</v>
      </c>
      <c r="E197" s="17" t="s">
        <v>490</v>
      </c>
      <c r="G197" s="18" t="str">
        <f t="shared" si="18"/>
        <v>JMH1E</v>
      </c>
      <c r="H197" s="11" t="str">
        <f>VLOOKUP($A197,[1]Sheet2!$I$2:$O$544,7,FALSE)</f>
        <v>https://hana.modakita.com/azd942/avatar/21063208420251018111141KC2TVQ.jpg</v>
      </c>
      <c r="I197" s="12">
        <f t="shared" si="19"/>
        <v>240</v>
      </c>
      <c r="J197" s="12" t="str">
        <f t="shared" si="20"/>
        <v>20</v>
      </c>
      <c r="K197" s="12" t="str">
        <f t="shared" si="21"/>
        <v>02</v>
      </c>
      <c r="L197" s="12" t="str">
        <f t="shared" si="22"/>
        <v>2025</v>
      </c>
      <c r="M197" s="12">
        <f t="shared" si="23"/>
        <v>12</v>
      </c>
    </row>
    <row r="198" spans="1:13" x14ac:dyDescent="0.2">
      <c r="A198" s="20" t="s">
        <v>649</v>
      </c>
      <c r="B198" s="2" t="s">
        <v>15</v>
      </c>
      <c r="C198" s="2" t="s">
        <v>337</v>
      </c>
      <c r="D198" s="2" t="s">
        <v>141</v>
      </c>
      <c r="E198" s="17" t="s">
        <v>650</v>
      </c>
      <c r="G198" s="18" t="str">
        <f t="shared" si="18"/>
        <v>JMC1E</v>
      </c>
      <c r="H198" s="11" t="str">
        <f>VLOOKUP($A198,[1]Sheet2!$I$2:$O$544,7,FALSE)</f>
        <v>https://hana.modakita.com/azd942/avatar/21063208420251015120812LH3HF7.jpg</v>
      </c>
      <c r="I198" s="12">
        <f t="shared" si="19"/>
        <v>60</v>
      </c>
      <c r="J198" s="12" t="str">
        <f t="shared" si="20"/>
        <v>16</v>
      </c>
      <c r="K198" s="12" t="str">
        <f t="shared" si="21"/>
        <v>08</v>
      </c>
      <c r="L198" s="12" t="str">
        <f t="shared" si="22"/>
        <v>2025</v>
      </c>
      <c r="M198" s="12">
        <f t="shared" si="23"/>
        <v>12</v>
      </c>
    </row>
    <row r="199" spans="1:13" x14ac:dyDescent="0.2">
      <c r="A199" s="20" t="s">
        <v>850</v>
      </c>
      <c r="B199" s="2" t="s">
        <v>15</v>
      </c>
      <c r="C199" s="2" t="s">
        <v>618</v>
      </c>
      <c r="D199" s="2" t="s">
        <v>121</v>
      </c>
      <c r="E199" s="17" t="s">
        <v>851</v>
      </c>
      <c r="G199" s="18" t="str">
        <f t="shared" si="18"/>
        <v>KF01E</v>
      </c>
      <c r="H199" s="11" t="str">
        <f>VLOOKUP($A199,[1]Sheet2!$I$2:$O$544,7,FALSE)</f>
        <v>https://hana.modakita.com/azd942/avatar/23773820251010143113RIJA8Y.jpg</v>
      </c>
      <c r="I199" s="12">
        <f t="shared" si="19"/>
        <v>59</v>
      </c>
      <c r="J199" s="12" t="str">
        <f t="shared" si="20"/>
        <v>12</v>
      </c>
      <c r="K199" s="12" t="str">
        <f t="shared" si="21"/>
        <v>08</v>
      </c>
      <c r="L199" s="12" t="str">
        <f t="shared" si="22"/>
        <v>2025</v>
      </c>
      <c r="M199" s="12">
        <f t="shared" si="23"/>
        <v>12</v>
      </c>
    </row>
    <row r="200" spans="1:13" x14ac:dyDescent="0.2">
      <c r="A200" s="20" t="s">
        <v>481</v>
      </c>
      <c r="B200" s="2" t="s">
        <v>33</v>
      </c>
      <c r="C200" s="2" t="s">
        <v>371</v>
      </c>
      <c r="D200" s="2" t="s">
        <v>141</v>
      </c>
      <c r="E200" s="17" t="s">
        <v>482</v>
      </c>
      <c r="G200" s="18" t="str">
        <f t="shared" si="18"/>
        <v>JMH2E</v>
      </c>
      <c r="H200" s="11" t="str">
        <f>VLOOKUP($A200,[1]Sheet2!$I$2:$O$544,7,FALSE)</f>
        <v>https://hana.modakita.com/azd942/avatar/237738202510150956267V1Q7A.jpg</v>
      </c>
      <c r="I200" s="12">
        <f t="shared" si="19"/>
        <v>249</v>
      </c>
      <c r="J200" s="12" t="str">
        <f t="shared" si="20"/>
        <v>08</v>
      </c>
      <c r="K200" s="12" t="str">
        <f t="shared" si="21"/>
        <v>02</v>
      </c>
      <c r="L200" s="12" t="str">
        <f t="shared" si="22"/>
        <v>2025</v>
      </c>
      <c r="M200" s="12">
        <f t="shared" si="23"/>
        <v>12</v>
      </c>
    </row>
    <row r="201" spans="1:13" x14ac:dyDescent="0.2">
      <c r="A201" s="20" t="s">
        <v>605</v>
      </c>
      <c r="B201" s="2" t="s">
        <v>15</v>
      </c>
      <c r="C201" s="2" t="s">
        <v>112</v>
      </c>
      <c r="D201" s="2" t="s">
        <v>113</v>
      </c>
      <c r="E201" s="17" t="s">
        <v>606</v>
      </c>
      <c r="G201" s="18" t="str">
        <f t="shared" si="18"/>
        <v>JMD1E</v>
      </c>
      <c r="H201" s="11" t="str">
        <f>VLOOKUP($A201,[1]Sheet2!$I$2:$O$544,7,FALSE)</f>
        <v>https://fruitbasket.blob.core.windows.net/gk2o5k/avatar/2106320842025100713145712S5BK.jpg</v>
      </c>
      <c r="I201" s="12">
        <f t="shared" si="19"/>
        <v>61</v>
      </c>
      <c r="J201" s="12" t="str">
        <f t="shared" si="20"/>
        <v>07</v>
      </c>
      <c r="K201" s="12" t="str">
        <f t="shared" si="21"/>
        <v>08</v>
      </c>
      <c r="L201" s="12" t="str">
        <f t="shared" si="22"/>
        <v>2025</v>
      </c>
      <c r="M201" s="12">
        <f t="shared" si="23"/>
        <v>12</v>
      </c>
    </row>
    <row r="202" spans="1:13" x14ac:dyDescent="0.2">
      <c r="A202" s="20" t="s">
        <v>614</v>
      </c>
      <c r="B202" s="2" t="s">
        <v>15</v>
      </c>
      <c r="C202" s="2" t="s">
        <v>116</v>
      </c>
      <c r="D202" s="2" t="s">
        <v>117</v>
      </c>
      <c r="E202" s="17" t="s">
        <v>615</v>
      </c>
      <c r="G202" s="18" t="str">
        <f t="shared" si="18"/>
        <v>JMD1E</v>
      </c>
      <c r="H202" s="11" t="str">
        <f>VLOOKUP($A202,[1]Sheet2!$I$2:$O$544,7,FALSE)</f>
        <v>https://fruitbasket.blob.core.windows.net/gk2o5k/avatar/23773820251009105858SJYTRH.jpg</v>
      </c>
      <c r="I202" s="12">
        <f t="shared" si="19"/>
        <v>61</v>
      </c>
      <c r="J202" s="12" t="str">
        <f t="shared" si="20"/>
        <v>09</v>
      </c>
      <c r="K202" s="12" t="str">
        <f t="shared" si="21"/>
        <v>08</v>
      </c>
      <c r="L202" s="12" t="str">
        <f t="shared" si="22"/>
        <v>2025</v>
      </c>
      <c r="M202" s="12">
        <f t="shared" si="23"/>
        <v>12</v>
      </c>
    </row>
    <row r="203" spans="1:13" x14ac:dyDescent="0.2">
      <c r="A203" s="20" t="s">
        <v>797</v>
      </c>
      <c r="B203" s="2" t="s">
        <v>33</v>
      </c>
      <c r="C203" s="2" t="s">
        <v>377</v>
      </c>
      <c r="D203" s="2" t="s">
        <v>154</v>
      </c>
      <c r="E203" s="17" t="s">
        <v>798</v>
      </c>
      <c r="G203" s="18" t="str">
        <f t="shared" si="18"/>
        <v>JMC1E</v>
      </c>
      <c r="H203" s="11" t="str">
        <f>VLOOKUP($A203,[1]Sheet2!$I$2:$O$544,7,FALSE)</f>
        <v>https://hana.modakita.com/azd942/avatar/21301231220251018145806PGASVN.jpg</v>
      </c>
      <c r="I203" s="12">
        <f t="shared" si="19"/>
        <v>239</v>
      </c>
      <c r="J203" s="12" t="str">
        <f t="shared" si="20"/>
        <v>21</v>
      </c>
      <c r="K203" s="12" t="str">
        <f t="shared" si="21"/>
        <v>02</v>
      </c>
      <c r="L203" s="12" t="str">
        <f t="shared" si="22"/>
        <v>2025</v>
      </c>
      <c r="M203" s="12">
        <f t="shared" si="23"/>
        <v>12</v>
      </c>
    </row>
    <row r="204" spans="1:13" x14ac:dyDescent="0.2">
      <c r="A204" s="20" t="s">
        <v>514</v>
      </c>
      <c r="B204" s="2" t="s">
        <v>15</v>
      </c>
      <c r="C204" s="2" t="s">
        <v>304</v>
      </c>
      <c r="D204" s="2" t="s">
        <v>154</v>
      </c>
      <c r="E204" s="17" t="s">
        <v>515</v>
      </c>
      <c r="G204" s="18" t="str">
        <f t="shared" si="18"/>
        <v>KFD1E</v>
      </c>
      <c r="H204" s="11" t="str">
        <f>VLOOKUP($A204,[1]Sheet2!$I$2:$O$544,7,FALSE)</f>
        <v>https://hana.modakita.com/azd942/avatar/21301231220251018150952FRJTZW.jpg</v>
      </c>
      <c r="I204" s="12">
        <f t="shared" si="19"/>
        <v>58</v>
      </c>
      <c r="J204" s="12" t="str">
        <f t="shared" si="20"/>
        <v>21</v>
      </c>
      <c r="K204" s="12" t="str">
        <f t="shared" si="21"/>
        <v>08</v>
      </c>
      <c r="L204" s="12" t="str">
        <f t="shared" si="22"/>
        <v>2025</v>
      </c>
      <c r="M204" s="12">
        <f t="shared" si="23"/>
        <v>12</v>
      </c>
    </row>
    <row r="205" spans="1:13" x14ac:dyDescent="0.2">
      <c r="A205" s="20" t="s">
        <v>779</v>
      </c>
      <c r="B205" s="2" t="s">
        <v>33</v>
      </c>
      <c r="C205" s="2" t="s">
        <v>777</v>
      </c>
      <c r="D205" s="2" t="s">
        <v>131</v>
      </c>
      <c r="E205" s="17" t="s">
        <v>780</v>
      </c>
      <c r="G205" s="18" t="str">
        <f t="shared" si="18"/>
        <v>JMC1E</v>
      </c>
      <c r="H205" s="11" t="str">
        <f>VLOOKUP($A205,[1]Sheet2!$I$2:$O$544,7,FALSE)</f>
        <v>https://hana.modakita.com/azd942/avatar/21063208420251013134302TY0M12.jpg</v>
      </c>
      <c r="I205" s="12">
        <f t="shared" si="19"/>
        <v>241</v>
      </c>
      <c r="J205" s="12" t="str">
        <f t="shared" si="20"/>
        <v>14</v>
      </c>
      <c r="K205" s="12" t="str">
        <f t="shared" si="21"/>
        <v>02</v>
      </c>
      <c r="L205" s="12" t="str">
        <f t="shared" si="22"/>
        <v>2025</v>
      </c>
      <c r="M205" s="12">
        <f t="shared" si="23"/>
        <v>12</v>
      </c>
    </row>
    <row r="206" spans="1:13" x14ac:dyDescent="0.2">
      <c r="A206" s="20" t="s">
        <v>367</v>
      </c>
      <c r="B206" s="2" t="s">
        <v>33</v>
      </c>
      <c r="C206" s="2" t="s">
        <v>368</v>
      </c>
      <c r="D206" s="2" t="s">
        <v>113</v>
      </c>
      <c r="E206" s="17" t="s">
        <v>369</v>
      </c>
      <c r="G206" s="18" t="str">
        <f t="shared" si="18"/>
        <v>JBK1E</v>
      </c>
      <c r="H206" s="11" t="str">
        <f>VLOOKUP($A206,[1]Sheet2!$I$2:$O$544,7,FALSE)</f>
        <v>https://fruitbasket.blob.core.windows.net/gk2o5k/avatar/210632084202510071138165G03VW.jpg</v>
      </c>
      <c r="I206" s="12">
        <f t="shared" si="19"/>
        <v>242</v>
      </c>
      <c r="J206" s="12" t="str">
        <f t="shared" si="20"/>
        <v>07</v>
      </c>
      <c r="K206" s="12" t="str">
        <f t="shared" si="21"/>
        <v>02</v>
      </c>
      <c r="L206" s="12" t="str">
        <f t="shared" si="22"/>
        <v>2025</v>
      </c>
      <c r="M206" s="12">
        <f t="shared" si="23"/>
        <v>12</v>
      </c>
    </row>
    <row r="207" spans="1:13" x14ac:dyDescent="0.2">
      <c r="A207" s="20" t="s">
        <v>342</v>
      </c>
      <c r="B207" s="2" t="s">
        <v>15</v>
      </c>
      <c r="C207" s="2" t="s">
        <v>285</v>
      </c>
      <c r="D207" s="2" t="s">
        <v>154</v>
      </c>
      <c r="E207" s="17" t="s">
        <v>343</v>
      </c>
      <c r="G207" s="18" t="str">
        <f t="shared" si="18"/>
        <v>JBK3E</v>
      </c>
      <c r="H207" s="11" t="str">
        <f>VLOOKUP($A207,[1]Sheet2!$I$2:$O$544,7,FALSE)</f>
        <v>https://hana.modakita.com/azd942/avatar/21063208420251018095751GJ3WWT.jpg</v>
      </c>
      <c r="I207" s="12">
        <f t="shared" si="19"/>
        <v>51</v>
      </c>
      <c r="J207" s="12" t="str">
        <f t="shared" si="20"/>
        <v>28</v>
      </c>
      <c r="K207" s="12" t="str">
        <f t="shared" si="21"/>
        <v>08</v>
      </c>
      <c r="L207" s="12" t="str">
        <f t="shared" si="22"/>
        <v>2025</v>
      </c>
      <c r="M207" s="12">
        <f t="shared" si="23"/>
        <v>12</v>
      </c>
    </row>
    <row r="208" spans="1:13" x14ac:dyDescent="0.2">
      <c r="A208" s="20" t="s">
        <v>805</v>
      </c>
      <c r="B208" s="2" t="s">
        <v>33</v>
      </c>
      <c r="C208" s="2" t="s">
        <v>806</v>
      </c>
      <c r="D208" s="2" t="s">
        <v>216</v>
      </c>
      <c r="E208" s="17" t="s">
        <v>807</v>
      </c>
      <c r="G208" s="18" t="str">
        <f t="shared" si="18"/>
        <v>JMD1E</v>
      </c>
      <c r="H208" s="11" t="str">
        <f>VLOOKUP($A208,[1]Sheet2!$I$2:$O$544,7,FALSE)</f>
        <v>https://hana.modakita.com/azd942/avatar/21063208420251020135236OKGLXI.jpg</v>
      </c>
      <c r="I208" s="12">
        <f t="shared" si="19"/>
        <v>238</v>
      </c>
      <c r="J208" s="12" t="str">
        <f t="shared" si="20"/>
        <v>24</v>
      </c>
      <c r="K208" s="12" t="str">
        <f t="shared" si="21"/>
        <v>02</v>
      </c>
      <c r="L208" s="12" t="str">
        <f t="shared" si="22"/>
        <v>2025</v>
      </c>
      <c r="M208" s="12">
        <f t="shared" si="23"/>
        <v>12</v>
      </c>
    </row>
    <row r="209" spans="1:13" x14ac:dyDescent="0.2">
      <c r="A209" s="20" t="s">
        <v>865</v>
      </c>
      <c r="B209" s="2" t="s">
        <v>15</v>
      </c>
      <c r="C209" s="2" t="s">
        <v>153</v>
      </c>
      <c r="D209" s="2" t="s">
        <v>164</v>
      </c>
      <c r="E209" s="17" t="s">
        <v>866</v>
      </c>
      <c r="G209" s="18" t="str">
        <f t="shared" si="18"/>
        <v>KF01E</v>
      </c>
      <c r="H209" s="11" t="str">
        <f>VLOOKUP($A209,[1]Sheet2!$I$2:$O$544,7,FALSE)</f>
        <v>https://hana.modakita.com/azd942/avatar/23773820251021111635UF5GQG.jpg</v>
      </c>
      <c r="I209" s="12">
        <f t="shared" si="19"/>
        <v>56</v>
      </c>
      <c r="J209" s="12" t="str">
        <f t="shared" si="20"/>
        <v>26</v>
      </c>
      <c r="K209" s="12" t="str">
        <f t="shared" si="21"/>
        <v>08</v>
      </c>
      <c r="L209" s="12" t="str">
        <f t="shared" si="22"/>
        <v>2025</v>
      </c>
      <c r="M209" s="12">
        <f t="shared" si="23"/>
        <v>12</v>
      </c>
    </row>
    <row r="210" spans="1:13" x14ac:dyDescent="0.2">
      <c r="A210" s="20" t="s">
        <v>473</v>
      </c>
      <c r="B210" s="2" t="s">
        <v>33</v>
      </c>
      <c r="C210" s="2" t="s">
        <v>474</v>
      </c>
      <c r="D210" s="2" t="s">
        <v>121</v>
      </c>
      <c r="E210" s="17" t="s">
        <v>475</v>
      </c>
      <c r="G210" s="18" t="str">
        <f t="shared" si="18"/>
        <v>JMH1E</v>
      </c>
      <c r="H210" s="11" t="str">
        <f>VLOOKUP($A210,[1]Sheet2!$I$2:$O$544,7,FALSE)</f>
        <v>https://hana.modakita.com/azd942/avatar/21301231220251010113542V0IQ4N.jpg</v>
      </c>
      <c r="I210" s="12">
        <f t="shared" si="19"/>
        <v>241</v>
      </c>
      <c r="J210" s="12" t="str">
        <f t="shared" si="20"/>
        <v>11</v>
      </c>
      <c r="K210" s="12" t="str">
        <f t="shared" si="21"/>
        <v>02</v>
      </c>
      <c r="L210" s="12" t="str">
        <f t="shared" si="22"/>
        <v>2025</v>
      </c>
      <c r="M210" s="12">
        <f t="shared" si="23"/>
        <v>12</v>
      </c>
    </row>
    <row r="211" spans="1:13" x14ac:dyDescent="0.2">
      <c r="A211" s="20" t="s">
        <v>609</v>
      </c>
      <c r="B211" s="2" t="s">
        <v>15</v>
      </c>
      <c r="C211" s="2" t="s">
        <v>295</v>
      </c>
      <c r="D211" s="2" t="s">
        <v>113</v>
      </c>
      <c r="E211" s="17" t="s">
        <v>610</v>
      </c>
      <c r="G211" s="18" t="str">
        <f t="shared" si="18"/>
        <v>JMD1E</v>
      </c>
      <c r="H211" s="11" t="str">
        <f>VLOOKUP($A211,[1]Sheet2!$I$2:$O$544,7,FALSE)</f>
        <v>https://fruitbasket.blob.core.windows.net/gk2o5k/avatar/23773820251007152154OUSNMY.jpg</v>
      </c>
      <c r="I211" s="12">
        <f t="shared" si="19"/>
        <v>60</v>
      </c>
      <c r="J211" s="12" t="str">
        <f t="shared" si="20"/>
        <v>08</v>
      </c>
      <c r="K211" s="12" t="str">
        <f t="shared" si="21"/>
        <v>08</v>
      </c>
      <c r="L211" s="12" t="str">
        <f t="shared" si="22"/>
        <v>2025</v>
      </c>
      <c r="M211" s="12">
        <f t="shared" si="23"/>
        <v>12</v>
      </c>
    </row>
    <row r="212" spans="1:13" x14ac:dyDescent="0.2">
      <c r="A212" s="20" t="s">
        <v>233</v>
      </c>
      <c r="B212" s="2" t="s">
        <v>33</v>
      </c>
      <c r="C212" s="2" t="s">
        <v>234</v>
      </c>
      <c r="D212" s="2" t="s">
        <v>131</v>
      </c>
      <c r="E212" s="17" t="s">
        <v>235</v>
      </c>
      <c r="G212" s="18" t="str">
        <f t="shared" si="18"/>
        <v>JMF1E</v>
      </c>
      <c r="H212" s="11" t="str">
        <f>VLOOKUP($A212,[1]Sheet2!$I$2:$O$544,7,FALSE)</f>
        <v>https://hana.modakita.com/azd942/avatar/23773820251013143057DZMKJ5.jpg</v>
      </c>
      <c r="I212" s="12">
        <f t="shared" si="19"/>
        <v>240</v>
      </c>
      <c r="J212" s="12" t="str">
        <f t="shared" si="20"/>
        <v>15</v>
      </c>
      <c r="K212" s="12" t="str">
        <f t="shared" si="21"/>
        <v>02</v>
      </c>
      <c r="L212" s="12" t="str">
        <f t="shared" si="22"/>
        <v>2025</v>
      </c>
      <c r="M212" s="12">
        <f t="shared" si="23"/>
        <v>12</v>
      </c>
    </row>
    <row r="213" spans="1:13" x14ac:dyDescent="0.2">
      <c r="A213" s="20" t="s">
        <v>289</v>
      </c>
      <c r="B213" s="2" t="s">
        <v>15</v>
      </c>
      <c r="C213" s="2" t="s">
        <v>290</v>
      </c>
      <c r="D213" s="2" t="s">
        <v>179</v>
      </c>
      <c r="E213" s="17" t="s">
        <v>291</v>
      </c>
      <c r="G213" s="18" t="str">
        <f t="shared" si="18"/>
        <v>KFE1E</v>
      </c>
      <c r="H213" s="11" t="str">
        <f>VLOOKUP($A213,[1]Sheet2!$I$2:$O$544,7,FALSE)</f>
        <v>https://fruitbasket.blob.core.windows.net/gk2o5k/avatar/23773820251004113012TPILXW.jpg</v>
      </c>
      <c r="I213" s="12">
        <f t="shared" si="19"/>
        <v>62</v>
      </c>
      <c r="J213" s="12" t="str">
        <f t="shared" si="20"/>
        <v>03</v>
      </c>
      <c r="K213" s="12" t="str">
        <f t="shared" si="21"/>
        <v>08</v>
      </c>
      <c r="L213" s="12" t="str">
        <f t="shared" si="22"/>
        <v>2025</v>
      </c>
      <c r="M213" s="12">
        <f t="shared" si="23"/>
        <v>12</v>
      </c>
    </row>
    <row r="214" spans="1:13" x14ac:dyDescent="0.2">
      <c r="A214" s="20" t="s">
        <v>483</v>
      </c>
      <c r="B214" s="2" t="s">
        <v>33</v>
      </c>
      <c r="C214" s="2" t="s">
        <v>374</v>
      </c>
      <c r="D214" s="2" t="s">
        <v>141</v>
      </c>
      <c r="E214" s="17" t="s">
        <v>484</v>
      </c>
      <c r="G214" s="18" t="str">
        <f t="shared" si="18"/>
        <v>JMH1E</v>
      </c>
      <c r="H214" s="11" t="str">
        <f>VLOOKUP($A214,[1]Sheet2!$I$2:$O$544,7,FALSE)</f>
        <v>https://hana.modakita.com/azd942/avatar/21063208420251015102052YKFY1W.jpg</v>
      </c>
      <c r="I214" s="12">
        <f t="shared" si="19"/>
        <v>247</v>
      </c>
      <c r="J214" s="12" t="str">
        <f t="shared" si="20"/>
        <v>10</v>
      </c>
      <c r="K214" s="12" t="str">
        <f t="shared" si="21"/>
        <v>02</v>
      </c>
      <c r="L214" s="12" t="str">
        <f t="shared" si="22"/>
        <v>2025</v>
      </c>
      <c r="M214" s="12">
        <f t="shared" si="23"/>
        <v>12</v>
      </c>
    </row>
    <row r="215" spans="1:13" x14ac:dyDescent="0.2">
      <c r="A215" s="20" t="s">
        <v>516</v>
      </c>
      <c r="B215" s="2" t="s">
        <v>15</v>
      </c>
      <c r="C215" s="2" t="s">
        <v>285</v>
      </c>
      <c r="D215" s="2" t="s">
        <v>168</v>
      </c>
      <c r="E215" s="17" t="s">
        <v>517</v>
      </c>
      <c r="G215" s="18" t="str">
        <f t="shared" si="18"/>
        <v>KFD1E</v>
      </c>
      <c r="H215" s="11" t="str">
        <f>VLOOKUP($A215,[1]Sheet2!$I$2:$O$544,7,FALSE)</f>
        <v>https://hana.modakita.com/azd942/avatar/237738202510220852008RWZ7H.jpg</v>
      </c>
      <c r="I215" s="12">
        <f t="shared" si="19"/>
        <v>55</v>
      </c>
      <c r="J215" s="12" t="str">
        <f t="shared" si="20"/>
        <v>28</v>
      </c>
      <c r="K215" s="12" t="str">
        <f t="shared" si="21"/>
        <v>08</v>
      </c>
      <c r="L215" s="12" t="str">
        <f t="shared" si="22"/>
        <v>2025</v>
      </c>
      <c r="M215" s="12">
        <f t="shared" si="23"/>
        <v>12</v>
      </c>
    </row>
    <row r="216" spans="1:13" x14ac:dyDescent="0.2">
      <c r="A216" s="20" t="s">
        <v>275</v>
      </c>
      <c r="B216" s="2" t="s">
        <v>15</v>
      </c>
      <c r="C216" s="2" t="s">
        <v>103</v>
      </c>
      <c r="D216" s="2" t="s">
        <v>104</v>
      </c>
      <c r="E216" s="17" t="s">
        <v>276</v>
      </c>
      <c r="G216" s="18" t="str">
        <f t="shared" si="18"/>
        <v>JMA1E</v>
      </c>
      <c r="H216" s="11" t="str">
        <f>VLOOKUP($A216,[1]Sheet2!$I$2:$O$544,7,FALSE)</f>
        <v>https://fruitbasket.blob.core.windows.net/gk2o5k/avatar/21301231220251006163809ZYE96C.jpg</v>
      </c>
      <c r="I216" s="12">
        <f t="shared" si="19"/>
        <v>63</v>
      </c>
      <c r="J216" s="12" t="str">
        <f t="shared" si="20"/>
        <v>04</v>
      </c>
      <c r="K216" s="12" t="str">
        <f t="shared" si="21"/>
        <v>08</v>
      </c>
      <c r="L216" s="12" t="str">
        <f t="shared" si="22"/>
        <v>2025</v>
      </c>
      <c r="M216" s="12">
        <f t="shared" si="23"/>
        <v>12</v>
      </c>
    </row>
    <row r="217" spans="1:13" x14ac:dyDescent="0.2">
      <c r="A217" s="20" t="s">
        <v>521</v>
      </c>
      <c r="B217" s="2" t="s">
        <v>15</v>
      </c>
      <c r="C217" s="2" t="s">
        <v>280</v>
      </c>
      <c r="D217" s="2" t="s">
        <v>265</v>
      </c>
      <c r="E217" s="17" t="s">
        <v>522</v>
      </c>
      <c r="G217" s="18" t="str">
        <f t="shared" si="18"/>
        <v>KFC1E</v>
      </c>
      <c r="H217" s="11" t="str">
        <f>VLOOKUP($A217,[1]Sheet2!$I$2:$O$544,7,FALSE)</f>
        <v>https://hana.modakita.com/azd942/avatar/21301231220251023082957BVRXTL.jpg</v>
      </c>
      <c r="I217" s="12">
        <f t="shared" si="19"/>
        <v>71</v>
      </c>
      <c r="J217" s="12" t="str">
        <f t="shared" si="20"/>
        <v>13</v>
      </c>
      <c r="K217" s="12" t="str">
        <f t="shared" si="21"/>
        <v>08</v>
      </c>
      <c r="L217" s="12" t="str">
        <f t="shared" si="22"/>
        <v>2025</v>
      </c>
      <c r="M217" s="12">
        <f t="shared" si="23"/>
        <v>12</v>
      </c>
    </row>
    <row r="218" spans="1:13" x14ac:dyDescent="0.2">
      <c r="A218" s="20" t="s">
        <v>386</v>
      </c>
      <c r="B218" s="2" t="s">
        <v>15</v>
      </c>
      <c r="C218" s="2" t="s">
        <v>120</v>
      </c>
      <c r="D218" s="2" t="s">
        <v>179</v>
      </c>
      <c r="E218" s="17" t="s">
        <v>387</v>
      </c>
      <c r="G218" s="18" t="str">
        <f t="shared" si="18"/>
        <v>JMH2E</v>
      </c>
      <c r="H218" s="11" t="str">
        <f>VLOOKUP($A218,[1]Sheet2!$I$2:$O$544,7,FALSE)</f>
        <v>https://fruitbasket.blob.core.windows.net/gk2o5k/avatar/21063208420251004092940ROHAC0.jpg</v>
      </c>
      <c r="I218" s="12">
        <f t="shared" si="19"/>
        <v>54</v>
      </c>
      <c r="J218" s="12" t="str">
        <f t="shared" si="20"/>
        <v>11</v>
      </c>
      <c r="K218" s="12" t="str">
        <f t="shared" si="21"/>
        <v>08</v>
      </c>
      <c r="L218" s="12" t="str">
        <f t="shared" si="22"/>
        <v>2025</v>
      </c>
      <c r="M218" s="12">
        <f t="shared" si="23"/>
        <v>12</v>
      </c>
    </row>
    <row r="219" spans="1:13" x14ac:dyDescent="0.2">
      <c r="A219" s="20" t="s">
        <v>816</v>
      </c>
      <c r="B219" s="2" t="s">
        <v>33</v>
      </c>
      <c r="C219" s="2" t="s">
        <v>814</v>
      </c>
      <c r="D219" s="2" t="s">
        <v>164</v>
      </c>
      <c r="E219" s="17" t="s">
        <v>817</v>
      </c>
      <c r="G219" s="18" t="str">
        <f t="shared" si="18"/>
        <v>JMD1E</v>
      </c>
      <c r="H219" s="11" t="str">
        <f>VLOOKUP($A219,[1]Sheet2!$I$2:$O$544,7,FALSE)</f>
        <v>https://hana.modakita.com/azd942/avatar/21063208420251021152349YF6I8T.jpg</v>
      </c>
      <c r="I219" s="12">
        <f t="shared" si="19"/>
        <v>236</v>
      </c>
      <c r="J219" s="12" t="str">
        <f t="shared" si="20"/>
        <v>27</v>
      </c>
      <c r="K219" s="12" t="str">
        <f t="shared" si="21"/>
        <v>02</v>
      </c>
      <c r="L219" s="12" t="str">
        <f t="shared" si="22"/>
        <v>2025</v>
      </c>
      <c r="M219" s="12">
        <f t="shared" si="23"/>
        <v>12</v>
      </c>
    </row>
    <row r="220" spans="1:13" x14ac:dyDescent="0.2">
      <c r="A220" s="20" t="s">
        <v>759</v>
      </c>
      <c r="B220" s="2" t="s">
        <v>33</v>
      </c>
      <c r="C220" s="2" t="s">
        <v>368</v>
      </c>
      <c r="D220" s="2" t="s">
        <v>113</v>
      </c>
      <c r="E220" s="17" t="s">
        <v>760</v>
      </c>
      <c r="G220" s="18" t="str">
        <f t="shared" si="18"/>
        <v>JMD1E</v>
      </c>
      <c r="H220" s="11" t="str">
        <f>VLOOKUP($A220,[1]Sheet2!$I$2:$O$544,7,FALSE)</f>
        <v>https://fruitbasket.blob.core.windows.net/gk2o5k/avatar/21063208420251007112906ZW1MDM.jpg</v>
      </c>
      <c r="I220" s="12">
        <f t="shared" si="19"/>
        <v>242</v>
      </c>
      <c r="J220" s="12" t="str">
        <f t="shared" si="20"/>
        <v>07</v>
      </c>
      <c r="K220" s="12" t="str">
        <f t="shared" si="21"/>
        <v>02</v>
      </c>
      <c r="L220" s="12" t="str">
        <f t="shared" si="22"/>
        <v>2025</v>
      </c>
      <c r="M220" s="12">
        <f t="shared" si="23"/>
        <v>12</v>
      </c>
    </row>
    <row r="221" spans="1:13" x14ac:dyDescent="0.2">
      <c r="A221" s="20" t="s">
        <v>676</v>
      </c>
      <c r="B221" s="2" t="s">
        <v>15</v>
      </c>
      <c r="C221" s="2" t="s">
        <v>309</v>
      </c>
      <c r="D221" s="2" t="s">
        <v>216</v>
      </c>
      <c r="E221" s="17" t="s">
        <v>677</v>
      </c>
      <c r="G221" s="18" t="str">
        <f t="shared" si="18"/>
        <v>JMC1E</v>
      </c>
      <c r="H221" s="11" t="str">
        <f>VLOOKUP($A221,[1]Sheet2!$I$2:$O$544,7,FALSE)</f>
        <v>https://hana.modakita.com/azd942/avatar/210632084202510201218190GR0GC.jpg</v>
      </c>
      <c r="I221" s="12">
        <f t="shared" si="19"/>
        <v>58</v>
      </c>
      <c r="J221" s="12" t="str">
        <f t="shared" si="20"/>
        <v>23</v>
      </c>
      <c r="K221" s="12" t="str">
        <f t="shared" si="21"/>
        <v>08</v>
      </c>
      <c r="L221" s="12" t="str">
        <f t="shared" si="22"/>
        <v>2025</v>
      </c>
      <c r="M221" s="12">
        <f t="shared" si="23"/>
        <v>12</v>
      </c>
    </row>
    <row r="222" spans="1:13" x14ac:dyDescent="0.2">
      <c r="A222" s="20" t="s">
        <v>166</v>
      </c>
      <c r="B222" s="2" t="s">
        <v>15</v>
      </c>
      <c r="C222" s="2" t="s">
        <v>167</v>
      </c>
      <c r="D222" s="2" t="s">
        <v>168</v>
      </c>
      <c r="E222" s="17" t="s">
        <v>169</v>
      </c>
      <c r="G222" s="18" t="str">
        <f t="shared" si="18"/>
        <v>JMG1E</v>
      </c>
      <c r="H222" s="11" t="str">
        <f>VLOOKUP($A222,[1]Sheet2!$I$2:$O$544,7,FALSE)</f>
        <v>https://hana.modakita.com/azd942/avatar/21301231220251022140456VA0D8A.jpg</v>
      </c>
      <c r="I222" s="12">
        <f t="shared" si="19"/>
        <v>53</v>
      </c>
      <c r="J222" s="12" t="str">
        <f t="shared" si="20"/>
        <v>30</v>
      </c>
      <c r="K222" s="12" t="str">
        <f t="shared" si="21"/>
        <v>08</v>
      </c>
      <c r="L222" s="12" t="str">
        <f t="shared" si="22"/>
        <v>2025</v>
      </c>
      <c r="M222" s="12">
        <f t="shared" si="23"/>
        <v>12</v>
      </c>
    </row>
    <row r="223" spans="1:13" x14ac:dyDescent="0.2">
      <c r="A223" s="20" t="s">
        <v>750</v>
      </c>
      <c r="B223" s="2" t="s">
        <v>33</v>
      </c>
      <c r="C223" s="2" t="s">
        <v>751</v>
      </c>
      <c r="D223" s="2" t="s">
        <v>104</v>
      </c>
      <c r="E223" s="17" t="s">
        <v>752</v>
      </c>
      <c r="G223" s="18" t="str">
        <f t="shared" si="18"/>
        <v>JMC1E</v>
      </c>
      <c r="H223" s="11" t="str">
        <f>VLOOKUP($A223,[1]Sheet2!$I$2:$O$544,7,FALSE)</f>
        <v>https://fruitbasket.blob.core.windows.net/gk2o5k/avatar/23773820251006102019T19V37.jpg</v>
      </c>
      <c r="I223" s="12">
        <f t="shared" si="19"/>
        <v>244</v>
      </c>
      <c r="J223" s="12" t="str">
        <f t="shared" si="20"/>
        <v>04</v>
      </c>
      <c r="K223" s="12" t="str">
        <f t="shared" si="21"/>
        <v>02</v>
      </c>
      <c r="L223" s="12" t="str">
        <f t="shared" si="22"/>
        <v>2025</v>
      </c>
      <c r="M223" s="12">
        <f t="shared" si="23"/>
        <v>12</v>
      </c>
    </row>
    <row r="224" spans="1:13" x14ac:dyDescent="0.2">
      <c r="A224" s="20" t="s">
        <v>840</v>
      </c>
      <c r="B224" s="2" t="s">
        <v>15</v>
      </c>
      <c r="C224" s="2" t="s">
        <v>124</v>
      </c>
      <c r="D224" s="2" t="s">
        <v>179</v>
      </c>
      <c r="E224" s="17" t="s">
        <v>841</v>
      </c>
      <c r="G224" s="18" t="str">
        <f t="shared" si="18"/>
        <v>KFA1E</v>
      </c>
      <c r="H224" s="11" t="str">
        <f>VLOOKUP($A224,[1]Sheet2!$I$2:$O$544,7,FALSE)</f>
        <v>https://fruitbasket.blob.core.windows.net/gk2o5k/avatar/213942106202510041017456VRSIL.jpg</v>
      </c>
      <c r="I224" s="12">
        <f t="shared" si="19"/>
        <v>63</v>
      </c>
      <c r="J224" s="12" t="str">
        <f t="shared" si="20"/>
        <v>02</v>
      </c>
      <c r="K224" s="12" t="str">
        <f t="shared" si="21"/>
        <v>08</v>
      </c>
      <c r="L224" s="12" t="str">
        <f t="shared" si="22"/>
        <v>2025</v>
      </c>
      <c r="M224" s="12">
        <f t="shared" si="23"/>
        <v>12</v>
      </c>
    </row>
    <row r="225" spans="1:13" x14ac:dyDescent="0.2">
      <c r="A225" s="20" t="s">
        <v>519</v>
      </c>
      <c r="B225" s="2" t="s">
        <v>15</v>
      </c>
      <c r="C225" s="2" t="s">
        <v>285</v>
      </c>
      <c r="D225" s="2" t="s">
        <v>168</v>
      </c>
      <c r="E225" s="17" t="s">
        <v>520</v>
      </c>
      <c r="G225" s="18" t="str">
        <f t="shared" si="18"/>
        <v>KFD1E</v>
      </c>
      <c r="H225" s="11" t="str">
        <f>VLOOKUP($A225,[1]Sheet2!$I$2:$O$544,7,FALSE)</f>
        <v>https://hana.modakita.com/azd942/avatar/21301231220251022101027T0UZ9N.jpg</v>
      </c>
      <c r="I225" s="12">
        <f t="shared" si="19"/>
        <v>55</v>
      </c>
      <c r="J225" s="12" t="str">
        <f t="shared" si="20"/>
        <v>28</v>
      </c>
      <c r="K225" s="12" t="str">
        <f t="shared" si="21"/>
        <v>08</v>
      </c>
      <c r="L225" s="12" t="str">
        <f t="shared" si="22"/>
        <v>2025</v>
      </c>
      <c r="M225" s="12">
        <f t="shared" si="23"/>
        <v>12</v>
      </c>
    </row>
    <row r="226" spans="1:13" x14ac:dyDescent="0.2">
      <c r="A226" s="20" t="s">
        <v>769</v>
      </c>
      <c r="B226" s="2" t="s">
        <v>33</v>
      </c>
      <c r="C226" s="2" t="s">
        <v>474</v>
      </c>
      <c r="D226" s="2" t="s">
        <v>121</v>
      </c>
      <c r="E226" s="17" t="s">
        <v>770</v>
      </c>
      <c r="G226" s="18" t="str">
        <f t="shared" si="18"/>
        <v>JMD1E</v>
      </c>
      <c r="H226" s="11" t="str">
        <f>VLOOKUP($A226,[1]Sheet2!$I$2:$O$544,7,FALSE)</f>
        <v>https://hana.modakita.com/azd942/avatar/21301231220251010090101OSH2I2.jpg</v>
      </c>
      <c r="I226" s="12">
        <f t="shared" si="19"/>
        <v>241</v>
      </c>
      <c r="J226" s="12" t="str">
        <f t="shared" si="20"/>
        <v>11</v>
      </c>
      <c r="K226" s="12" t="str">
        <f t="shared" si="21"/>
        <v>02</v>
      </c>
      <c r="L226" s="12" t="str">
        <f t="shared" si="22"/>
        <v>2025</v>
      </c>
      <c r="M226" s="12">
        <f t="shared" si="23"/>
        <v>12</v>
      </c>
    </row>
    <row r="227" spans="1:13" x14ac:dyDescent="0.2">
      <c r="A227" s="20" t="s">
        <v>836</v>
      </c>
      <c r="B227" s="2" t="s">
        <v>15</v>
      </c>
      <c r="C227" s="2" t="s">
        <v>99</v>
      </c>
      <c r="D227" s="2" t="s">
        <v>179</v>
      </c>
      <c r="E227" s="17" t="s">
        <v>837</v>
      </c>
      <c r="G227" s="18" t="str">
        <f t="shared" si="18"/>
        <v>KF01E</v>
      </c>
      <c r="H227" s="11" t="str">
        <f>VLOOKUP($A227,[1]Sheet2!$I$2:$O$544,7,FALSE)</f>
        <v>https://fruitbasket.blob.core.windows.net/gk2o5k/avatar/210632084202510040834591MOSXR.jpg</v>
      </c>
      <c r="I227" s="12">
        <f t="shared" si="19"/>
        <v>64</v>
      </c>
      <c r="J227" s="12" t="str">
        <f t="shared" si="20"/>
        <v>01</v>
      </c>
      <c r="K227" s="12" t="str">
        <f t="shared" si="21"/>
        <v>08</v>
      </c>
      <c r="L227" s="12" t="str">
        <f t="shared" si="22"/>
        <v>2025</v>
      </c>
      <c r="M227" s="12">
        <f t="shared" si="23"/>
        <v>12</v>
      </c>
    </row>
    <row r="228" spans="1:13" x14ac:dyDescent="0.2">
      <c r="A228" s="20" t="s">
        <v>691</v>
      </c>
      <c r="B228" s="2" t="s">
        <v>15</v>
      </c>
      <c r="C228" s="2" t="s">
        <v>167</v>
      </c>
      <c r="D228" s="2" t="s">
        <v>168</v>
      </c>
      <c r="E228" s="17" t="s">
        <v>692</v>
      </c>
      <c r="G228" s="18" t="str">
        <f t="shared" si="18"/>
        <v>JMD1E</v>
      </c>
      <c r="H228" s="11" t="str">
        <f>VLOOKUP($A228,[1]Sheet2!$I$2:$O$544,7,FALSE)</f>
        <v>https://hana.modakita.com/azd942/avatar/23773820251022142254OXYCQO.jpg</v>
      </c>
      <c r="I228" s="12">
        <f t="shared" si="19"/>
        <v>53</v>
      </c>
      <c r="J228" s="12" t="str">
        <f t="shared" si="20"/>
        <v>30</v>
      </c>
      <c r="K228" s="12" t="str">
        <f t="shared" si="21"/>
        <v>08</v>
      </c>
      <c r="L228" s="12" t="str">
        <f t="shared" si="22"/>
        <v>2025</v>
      </c>
      <c r="M228" s="12">
        <f t="shared" si="23"/>
        <v>12</v>
      </c>
    </row>
    <row r="229" spans="1:13" x14ac:dyDescent="0.2">
      <c r="A229" s="20" t="s">
        <v>803</v>
      </c>
      <c r="B229" s="2" t="s">
        <v>33</v>
      </c>
      <c r="C229" s="2" t="s">
        <v>240</v>
      </c>
      <c r="D229" s="2" t="s">
        <v>216</v>
      </c>
      <c r="E229" s="17" t="s">
        <v>804</v>
      </c>
      <c r="G229" s="18" t="str">
        <f t="shared" si="18"/>
        <v>JMD1E</v>
      </c>
      <c r="H229" s="11" t="str">
        <f>VLOOKUP($A229,[1]Sheet2!$I$2:$O$544,7,FALSE)</f>
        <v>https://hana.modakita.com/azd942/avatar/21063208420251020111744T1F2PX.jpg</v>
      </c>
      <c r="I229" s="12">
        <f t="shared" si="19"/>
        <v>240</v>
      </c>
      <c r="J229" s="12" t="str">
        <f t="shared" si="20"/>
        <v>22</v>
      </c>
      <c r="K229" s="12" t="str">
        <f t="shared" si="21"/>
        <v>02</v>
      </c>
      <c r="L229" s="12" t="str">
        <f t="shared" si="22"/>
        <v>2025</v>
      </c>
      <c r="M229" s="12">
        <f t="shared" si="23"/>
        <v>12</v>
      </c>
    </row>
    <row r="230" spans="1:13" x14ac:dyDescent="0.2">
      <c r="A230" s="20" t="s">
        <v>657</v>
      </c>
      <c r="B230" s="2" t="s">
        <v>15</v>
      </c>
      <c r="C230" s="2" t="s">
        <v>150</v>
      </c>
      <c r="D230" s="2" t="s">
        <v>458</v>
      </c>
      <c r="E230" s="17" t="s">
        <v>658</v>
      </c>
      <c r="G230" s="18" t="str">
        <f t="shared" si="18"/>
        <v>JMD1E</v>
      </c>
      <c r="H230" s="11" t="str">
        <f>VLOOKUP($A230,[1]Sheet2!$I$2:$O$544,7,FALSE)</f>
        <v>https://hana.modakita.com/azd942/avatar/23773820251016153023MF2ZBZ.jpg</v>
      </c>
      <c r="I230" s="12">
        <f t="shared" si="19"/>
        <v>59</v>
      </c>
      <c r="J230" s="12" t="str">
        <f t="shared" si="20"/>
        <v>18</v>
      </c>
      <c r="K230" s="12" t="str">
        <f t="shared" si="21"/>
        <v>08</v>
      </c>
      <c r="L230" s="12" t="str">
        <f t="shared" si="22"/>
        <v>2025</v>
      </c>
      <c r="M230" s="12">
        <f t="shared" si="23"/>
        <v>12</v>
      </c>
    </row>
    <row r="231" spans="1:13" x14ac:dyDescent="0.2">
      <c r="A231" s="20" t="s">
        <v>771</v>
      </c>
      <c r="B231" s="2" t="s">
        <v>33</v>
      </c>
      <c r="C231" s="2" t="s">
        <v>474</v>
      </c>
      <c r="D231" s="2" t="s">
        <v>121</v>
      </c>
      <c r="E231" s="17" t="s">
        <v>772</v>
      </c>
      <c r="G231" s="18" t="str">
        <f t="shared" si="18"/>
        <v>JMC1E</v>
      </c>
      <c r="H231" s="11" t="str">
        <f>VLOOKUP($A231,[1]Sheet2!$I$2:$O$544,7,FALSE)</f>
        <v>https://hana.modakita.com/azd942/avatar/21394210620251010115443N34KYD.jpg</v>
      </c>
      <c r="I231" s="12">
        <f t="shared" si="19"/>
        <v>241</v>
      </c>
      <c r="J231" s="12" t="str">
        <f t="shared" si="20"/>
        <v>11</v>
      </c>
      <c r="K231" s="12" t="str">
        <f t="shared" si="21"/>
        <v>02</v>
      </c>
      <c r="L231" s="12" t="str">
        <f t="shared" si="22"/>
        <v>2025</v>
      </c>
      <c r="M231" s="12">
        <f t="shared" si="23"/>
        <v>12</v>
      </c>
    </row>
    <row r="232" spans="1:13" x14ac:dyDescent="0.2">
      <c r="A232" s="23" t="s">
        <v>821</v>
      </c>
      <c r="B232" s="2" t="s">
        <v>33</v>
      </c>
      <c r="C232" s="2" t="s">
        <v>822</v>
      </c>
      <c r="D232" s="2" t="s">
        <v>823</v>
      </c>
      <c r="E232" s="2" t="s">
        <v>824</v>
      </c>
      <c r="F232" t="s">
        <v>971</v>
      </c>
      <c r="G232" t="str">
        <f t="shared" si="18"/>
        <v>JMC1E</v>
      </c>
      <c r="H232" s="11" t="str">
        <f>VLOOKUP($A232,[1]Sheet2!$I$2:$O$544,7,FALSE)</f>
        <v>https://hana.modakita.com/azd942/avatar/21063208420251029143711OLVXB1.jpg</v>
      </c>
      <c r="I232" s="12">
        <f t="shared" si="19"/>
        <v>243</v>
      </c>
      <c r="J232" s="12" t="str">
        <f t="shared" si="20"/>
        <v>28</v>
      </c>
      <c r="K232" s="12" t="str">
        <f t="shared" si="21"/>
        <v>02</v>
      </c>
      <c r="L232" s="12" t="str">
        <f t="shared" si="22"/>
        <v>2025</v>
      </c>
      <c r="M232" s="12">
        <f t="shared" si="23"/>
        <v>12</v>
      </c>
    </row>
    <row r="233" spans="1:13" x14ac:dyDescent="0.2">
      <c r="A233" s="20" t="s">
        <v>882</v>
      </c>
      <c r="B233" s="2" t="s">
        <v>27</v>
      </c>
      <c r="C233" s="2" t="s">
        <v>322</v>
      </c>
      <c r="D233" s="2" t="s">
        <v>168</v>
      </c>
      <c r="E233" s="17" t="s">
        <v>883</v>
      </c>
      <c r="G233" s="18" t="str">
        <f t="shared" si="18"/>
        <v>KF01E</v>
      </c>
      <c r="H233" s="11" t="str">
        <f>VLOOKUP($A233,[1]Sheet2!$I$2:$O$544,7,FALSE)</f>
        <v>https://hana.modakita.com/azd942/avatar/23773820251022152832EWX1CK.jpg</v>
      </c>
      <c r="I233" s="12">
        <f t="shared" si="19"/>
        <v>114</v>
      </c>
      <c r="J233" s="12" t="str">
        <f t="shared" si="20"/>
        <v>30</v>
      </c>
      <c r="K233" s="12" t="str">
        <f t="shared" si="21"/>
        <v>06</v>
      </c>
      <c r="L233" s="12" t="str">
        <f t="shared" si="22"/>
        <v>2025</v>
      </c>
      <c r="M233" s="12">
        <f t="shared" si="23"/>
        <v>12</v>
      </c>
    </row>
    <row r="234" spans="1:13" x14ac:dyDescent="0.2">
      <c r="A234" s="20" t="s">
        <v>818</v>
      </c>
      <c r="B234" s="2" t="s">
        <v>33</v>
      </c>
      <c r="C234" s="2" t="s">
        <v>819</v>
      </c>
      <c r="D234" s="2" t="s">
        <v>164</v>
      </c>
      <c r="E234" s="17" t="s">
        <v>820</v>
      </c>
      <c r="G234" s="18" t="str">
        <f t="shared" si="18"/>
        <v>JMC1E</v>
      </c>
      <c r="H234" s="11" t="str">
        <f>VLOOKUP($A234,[1]Sheet2!$I$2:$O$544,7,FALSE)</f>
        <v>https://hana.modakita.com/azd942/avatar/21273061520251021155325C6SF4M.jpg</v>
      </c>
      <c r="I234" s="12">
        <f t="shared" si="19"/>
        <v>207</v>
      </c>
      <c r="J234" s="12" t="str">
        <f t="shared" si="20"/>
        <v>28</v>
      </c>
      <c r="K234" s="12" t="str">
        <f t="shared" si="21"/>
        <v>03</v>
      </c>
      <c r="L234" s="12" t="str">
        <f t="shared" si="22"/>
        <v>2025</v>
      </c>
      <c r="M234" s="12">
        <f t="shared" si="23"/>
        <v>12</v>
      </c>
    </row>
    <row r="235" spans="1:13" x14ac:dyDescent="0.2">
      <c r="A235" s="20" t="s">
        <v>620</v>
      </c>
      <c r="B235" s="2" t="s">
        <v>15</v>
      </c>
      <c r="C235" s="2" t="s">
        <v>618</v>
      </c>
      <c r="D235" s="2" t="s">
        <v>121</v>
      </c>
      <c r="E235" s="17" t="s">
        <v>621</v>
      </c>
      <c r="G235" s="18" t="str">
        <f t="shared" si="18"/>
        <v>JMC1E</v>
      </c>
      <c r="H235" s="11" t="str">
        <f>VLOOKUP($A235,[1]Sheet2!$I$2:$O$544,7,FALSE)</f>
        <v>https://hana.modakita.com/azd942/avatar/23773820251010140219MGEWHU.jpg</v>
      </c>
      <c r="I235" s="12">
        <f t="shared" si="19"/>
        <v>59</v>
      </c>
      <c r="J235" s="12" t="str">
        <f t="shared" si="20"/>
        <v>12</v>
      </c>
      <c r="K235" s="12" t="str">
        <f t="shared" si="21"/>
        <v>08</v>
      </c>
      <c r="L235" s="12" t="str">
        <f t="shared" si="22"/>
        <v>2025</v>
      </c>
      <c r="M235" s="12">
        <f t="shared" si="23"/>
        <v>12</v>
      </c>
    </row>
    <row r="236" spans="1:13" x14ac:dyDescent="0.2">
      <c r="A236" s="20" t="s">
        <v>681</v>
      </c>
      <c r="B236" s="2" t="s">
        <v>15</v>
      </c>
      <c r="C236" s="2" t="s">
        <v>285</v>
      </c>
      <c r="D236" s="2" t="s">
        <v>164</v>
      </c>
      <c r="E236" s="17" t="s">
        <v>682</v>
      </c>
      <c r="G236" s="18" t="str">
        <f t="shared" si="18"/>
        <v>JMC1E</v>
      </c>
      <c r="H236" s="11" t="str">
        <f>VLOOKUP($A236,[1]Sheet2!$I$2:$O$544,7,FALSE)</f>
        <v>https://hana.modakita.com/azd942/avatar/2130123122025102115431694JQSB.jpg</v>
      </c>
      <c r="I236" s="12">
        <f t="shared" si="19"/>
        <v>54</v>
      </c>
      <c r="J236" s="12" t="str">
        <f t="shared" si="20"/>
        <v>28</v>
      </c>
      <c r="K236" s="12" t="str">
        <f t="shared" si="21"/>
        <v>08</v>
      </c>
      <c r="L236" s="12" t="str">
        <f t="shared" si="22"/>
        <v>2025</v>
      </c>
      <c r="M236" s="12">
        <f t="shared" si="23"/>
        <v>12</v>
      </c>
    </row>
    <row r="237" spans="1:13" x14ac:dyDescent="0.2">
      <c r="A237" s="20" t="s">
        <v>470</v>
      </c>
      <c r="B237" s="2" t="s">
        <v>33</v>
      </c>
      <c r="C237" s="2" t="s">
        <v>471</v>
      </c>
      <c r="D237" s="2" t="s">
        <v>113</v>
      </c>
      <c r="E237" s="17" t="s">
        <v>472</v>
      </c>
      <c r="G237" s="18" t="str">
        <f t="shared" si="18"/>
        <v>JMH2E</v>
      </c>
      <c r="H237" s="11" t="str">
        <f>VLOOKUP($A237,[1]Sheet2!$I$2:$O$544,7,FALSE)</f>
        <v>https://fruitbasket.blob.core.windows.net/gk2o5k/avatar/23773820251007093627OW5ZSR.jpg</v>
      </c>
      <c r="I237" s="12">
        <f t="shared" si="19"/>
        <v>244</v>
      </c>
      <c r="J237" s="12" t="str">
        <f t="shared" si="20"/>
        <v>05</v>
      </c>
      <c r="K237" s="12" t="str">
        <f t="shared" si="21"/>
        <v>02</v>
      </c>
      <c r="L237" s="12" t="str">
        <f t="shared" si="22"/>
        <v>2025</v>
      </c>
      <c r="M237" s="12">
        <f t="shared" si="23"/>
        <v>12</v>
      </c>
    </row>
    <row r="238" spans="1:13" x14ac:dyDescent="0.2">
      <c r="A238" s="20" t="s">
        <v>292</v>
      </c>
      <c r="B238" s="2" t="s">
        <v>15</v>
      </c>
      <c r="C238" s="2" t="s">
        <v>112</v>
      </c>
      <c r="D238" s="2" t="s">
        <v>113</v>
      </c>
      <c r="E238" s="17" t="s">
        <v>293</v>
      </c>
      <c r="G238" s="18" t="str">
        <f t="shared" si="18"/>
        <v>KFE1E</v>
      </c>
      <c r="H238" s="11" t="str">
        <f>VLOOKUP($A238,[1]Sheet2!$I$2:$O$544,7,FALSE)</f>
        <v>https://fruitbasket.blob.core.windows.net/gk2o5k/avatar/21063208420251007110205YHNBVT.jpg</v>
      </c>
      <c r="I238" s="12">
        <f t="shared" si="19"/>
        <v>61</v>
      </c>
      <c r="J238" s="12" t="str">
        <f t="shared" si="20"/>
        <v>07</v>
      </c>
      <c r="K238" s="12" t="str">
        <f t="shared" si="21"/>
        <v>08</v>
      </c>
      <c r="L238" s="12" t="str">
        <f t="shared" si="22"/>
        <v>2025</v>
      </c>
      <c r="M238" s="12">
        <f t="shared" si="23"/>
        <v>12</v>
      </c>
    </row>
    <row r="239" spans="1:13" x14ac:dyDescent="0.2">
      <c r="A239" s="20" t="s">
        <v>396</v>
      </c>
      <c r="B239" s="2" t="s">
        <v>15</v>
      </c>
      <c r="C239" s="2" t="s">
        <v>107</v>
      </c>
      <c r="D239" s="2" t="s">
        <v>104</v>
      </c>
      <c r="E239" s="17" t="s">
        <v>397</v>
      </c>
      <c r="G239" s="18" t="str">
        <f t="shared" si="18"/>
        <v>JMH1E</v>
      </c>
      <c r="H239" s="11" t="str">
        <f>VLOOKUP($A239,[1]Sheet2!$I$2:$O$544,7,FALSE)</f>
        <v>https://fruitbasket.blob.core.windows.net/gk2o5k/avatar/21063208420251006105740PXB0WP.jpg</v>
      </c>
      <c r="I239" s="12">
        <f t="shared" si="19"/>
        <v>61</v>
      </c>
      <c r="J239" s="12" t="str">
        <f t="shared" si="20"/>
        <v>06</v>
      </c>
      <c r="K239" s="12" t="str">
        <f t="shared" si="21"/>
        <v>08</v>
      </c>
      <c r="L239" s="12" t="str">
        <f t="shared" si="22"/>
        <v>2025</v>
      </c>
      <c r="M239" s="12">
        <f t="shared" si="23"/>
        <v>12</v>
      </c>
    </row>
    <row r="240" spans="1:13" x14ac:dyDescent="0.2">
      <c r="A240" s="20" t="s">
        <v>689</v>
      </c>
      <c r="B240" s="2" t="s">
        <v>15</v>
      </c>
      <c r="C240" s="2" t="s">
        <v>167</v>
      </c>
      <c r="D240" s="2" t="s">
        <v>168</v>
      </c>
      <c r="E240" s="17" t="s">
        <v>690</v>
      </c>
      <c r="G240" s="18" t="str">
        <f t="shared" si="18"/>
        <v>JMD1E</v>
      </c>
      <c r="H240" s="11" t="str">
        <f>VLOOKUP($A240,[1]Sheet2!$I$2:$O$544,7,FALSE)</f>
        <v>https://hana.modakita.com/azd942/avatar/21394210620251022131406KHUXS2.jpg</v>
      </c>
      <c r="I240" s="12">
        <f t="shared" si="19"/>
        <v>53</v>
      </c>
      <c r="J240" s="12" t="str">
        <f t="shared" si="20"/>
        <v>30</v>
      </c>
      <c r="K240" s="12" t="str">
        <f t="shared" si="21"/>
        <v>08</v>
      </c>
      <c r="L240" s="12" t="str">
        <f t="shared" si="22"/>
        <v>2025</v>
      </c>
      <c r="M240" s="12">
        <f t="shared" si="23"/>
        <v>12</v>
      </c>
    </row>
    <row r="241" spans="1:13" x14ac:dyDescent="0.2">
      <c r="A241" s="20" t="s">
        <v>149</v>
      </c>
      <c r="B241" s="2" t="s">
        <v>15</v>
      </c>
      <c r="C241" s="2" t="s">
        <v>150</v>
      </c>
      <c r="D241" s="2" t="s">
        <v>147</v>
      </c>
      <c r="E241" s="17" t="s">
        <v>151</v>
      </c>
      <c r="G241" s="18" t="str">
        <f t="shared" si="18"/>
        <v>JMF1E</v>
      </c>
      <c r="H241" s="11" t="str">
        <f>VLOOKUP($A241,[1]Sheet2!$I$2:$O$544,7,FALSE)</f>
        <v>https://hana.modakita.com/azd942/avatar/21394210620251017113839JG3SVY.jpg</v>
      </c>
      <c r="I241" s="12">
        <f t="shared" si="19"/>
        <v>60</v>
      </c>
      <c r="J241" s="12" t="str">
        <f t="shared" si="20"/>
        <v>18</v>
      </c>
      <c r="K241" s="12" t="str">
        <f t="shared" si="21"/>
        <v>08</v>
      </c>
      <c r="L241" s="12" t="str">
        <f t="shared" si="22"/>
        <v>2025</v>
      </c>
      <c r="M241" s="12">
        <f t="shared" si="23"/>
        <v>12</v>
      </c>
    </row>
    <row r="242" spans="1:13" x14ac:dyDescent="0.2">
      <c r="A242" s="20" t="s">
        <v>761</v>
      </c>
      <c r="B242" s="2" t="s">
        <v>33</v>
      </c>
      <c r="C242" s="2" t="s">
        <v>368</v>
      </c>
      <c r="D242" s="2" t="s">
        <v>113</v>
      </c>
      <c r="E242" s="17" t="s">
        <v>762</v>
      </c>
      <c r="G242" s="18" t="str">
        <f t="shared" si="18"/>
        <v>JMC1E</v>
      </c>
      <c r="H242" s="11" t="str">
        <f>VLOOKUP($A242,[1]Sheet2!$I$2:$O$544,7,FALSE)</f>
        <v>https://fruitbasket.blob.core.windows.net/gk2o5k/avatar/21063208420251007114342IFLC1T.jpg</v>
      </c>
      <c r="I242" s="12">
        <f t="shared" si="19"/>
        <v>242</v>
      </c>
      <c r="J242" s="12" t="str">
        <f t="shared" si="20"/>
        <v>07</v>
      </c>
      <c r="K242" s="12" t="str">
        <f t="shared" si="21"/>
        <v>02</v>
      </c>
      <c r="L242" s="12" t="str">
        <f t="shared" si="22"/>
        <v>2025</v>
      </c>
      <c r="M242" s="12">
        <f t="shared" si="23"/>
        <v>12</v>
      </c>
    </row>
    <row r="243" spans="1:13" x14ac:dyDescent="0.2">
      <c r="A243" s="20" t="s">
        <v>109</v>
      </c>
      <c r="B243" s="2" t="s">
        <v>15</v>
      </c>
      <c r="C243" s="2" t="s">
        <v>107</v>
      </c>
      <c r="D243" s="2" t="s">
        <v>104</v>
      </c>
      <c r="E243" s="17" t="s">
        <v>110</v>
      </c>
      <c r="G243" s="18" t="str">
        <f t="shared" si="18"/>
        <v>JMG1E</v>
      </c>
      <c r="H243" s="11" t="str">
        <f>VLOOKUP($A243,[1]Sheet2!$I$2:$O$544,7,FALSE)</f>
        <v>https://fruitbasket.blob.core.windows.net/gk2o5k/avatar/23773820251006120711HYIRTC.jpg</v>
      </c>
      <c r="I243" s="12">
        <f t="shared" si="19"/>
        <v>61</v>
      </c>
      <c r="J243" s="12" t="str">
        <f t="shared" si="20"/>
        <v>06</v>
      </c>
      <c r="K243" s="12" t="str">
        <f t="shared" si="21"/>
        <v>08</v>
      </c>
      <c r="L243" s="12" t="str">
        <f t="shared" si="22"/>
        <v>2025</v>
      </c>
      <c r="M243" s="12">
        <f t="shared" si="23"/>
        <v>12</v>
      </c>
    </row>
    <row r="244" spans="1:13" x14ac:dyDescent="0.2">
      <c r="A244" s="20" t="s">
        <v>922</v>
      </c>
      <c r="B244" s="2" t="s">
        <v>15</v>
      </c>
      <c r="C244" s="2" t="s">
        <v>174</v>
      </c>
      <c r="D244" s="2" t="s">
        <v>216</v>
      </c>
      <c r="E244" s="17" t="s">
        <v>923</v>
      </c>
      <c r="G244" s="18" t="str">
        <f t="shared" si="18"/>
        <v>KC04E</v>
      </c>
      <c r="H244" s="11" t="str">
        <f>VLOOKUP($A244,[1]Sheet2!$I$2:$O$544,7,FALSE)</f>
        <v>https://hana.modakita.com/azd942/avatar/21301231220251020085345TBTTYV.jpg</v>
      </c>
      <c r="I244" s="12">
        <f t="shared" si="19"/>
        <v>59</v>
      </c>
      <c r="J244" s="12" t="str">
        <f t="shared" si="20"/>
        <v>22</v>
      </c>
      <c r="K244" s="12" t="str">
        <f t="shared" si="21"/>
        <v>08</v>
      </c>
      <c r="L244" s="12" t="str">
        <f t="shared" si="22"/>
        <v>2025</v>
      </c>
      <c r="M244" s="12">
        <f t="shared" si="23"/>
        <v>12</v>
      </c>
    </row>
    <row r="245" spans="1:13" x14ac:dyDescent="0.2">
      <c r="A245" s="20" t="s">
        <v>683</v>
      </c>
      <c r="B245" s="2" t="s">
        <v>15</v>
      </c>
      <c r="C245" s="2" t="s">
        <v>285</v>
      </c>
      <c r="D245" s="2" t="s">
        <v>164</v>
      </c>
      <c r="E245" s="17" t="s">
        <v>684</v>
      </c>
      <c r="G245" s="18" t="str">
        <f t="shared" si="18"/>
        <v>JMC1E</v>
      </c>
      <c r="H245" s="11" t="str">
        <f>VLOOKUP($A245,[1]Sheet2!$I$2:$O$544,7,FALSE)</f>
        <v>https://hana.modakita.com/azd942/avatar/23773820251021155922TWQFK5.jpg</v>
      </c>
      <c r="I245" s="12">
        <f t="shared" si="19"/>
        <v>54</v>
      </c>
      <c r="J245" s="12" t="str">
        <f t="shared" si="20"/>
        <v>28</v>
      </c>
      <c r="K245" s="12" t="str">
        <f t="shared" si="21"/>
        <v>08</v>
      </c>
      <c r="L245" s="12" t="str">
        <f t="shared" si="22"/>
        <v>2025</v>
      </c>
      <c r="M245" s="12">
        <f t="shared" si="23"/>
        <v>12</v>
      </c>
    </row>
    <row r="246" spans="1:13" x14ac:dyDescent="0.2">
      <c r="A246" s="20" t="s">
        <v>921</v>
      </c>
      <c r="B246" s="2" t="s">
        <v>15</v>
      </c>
      <c r="C246" s="2" t="s">
        <v>285</v>
      </c>
      <c r="D246" s="2" t="s">
        <v>154</v>
      </c>
      <c r="E246" s="17" t="s">
        <v>684</v>
      </c>
      <c r="G246" s="18" t="str">
        <f t="shared" si="18"/>
        <v>KC04E</v>
      </c>
      <c r="H246" s="11" t="str">
        <f>VLOOKUP($A246,[1]Sheet2!$I$2:$O$544,7,FALSE)</f>
        <v>https://hana.modakita.com/azd942/avatar/210632084202510181006582HBPRQ.jpg</v>
      </c>
      <c r="I246" s="12">
        <f t="shared" si="19"/>
        <v>51</v>
      </c>
      <c r="J246" s="12" t="str">
        <f t="shared" si="20"/>
        <v>28</v>
      </c>
      <c r="K246" s="12" t="str">
        <f t="shared" si="21"/>
        <v>08</v>
      </c>
      <c r="L246" s="12" t="str">
        <f t="shared" si="22"/>
        <v>2025</v>
      </c>
      <c r="M246" s="12">
        <f t="shared" si="23"/>
        <v>12</v>
      </c>
    </row>
    <row r="247" spans="1:13" x14ac:dyDescent="0.2">
      <c r="A247" s="20" t="s">
        <v>485</v>
      </c>
      <c r="B247" s="2" t="s">
        <v>33</v>
      </c>
      <c r="C247" s="2" t="s">
        <v>477</v>
      </c>
      <c r="D247" s="2" t="s">
        <v>141</v>
      </c>
      <c r="E247" s="17" t="s">
        <v>486</v>
      </c>
      <c r="G247" s="18" t="str">
        <f t="shared" si="18"/>
        <v>JMH2E</v>
      </c>
      <c r="H247" s="11" t="str">
        <f>VLOOKUP($A247,[1]Sheet2!$I$2:$O$544,7,FALSE)</f>
        <v>https://hana.modakita.com/azd942/avatar/23773820251015103214XRPS4C.jpg</v>
      </c>
      <c r="I247" s="12">
        <f t="shared" si="19"/>
        <v>245</v>
      </c>
      <c r="J247" s="12" t="str">
        <f t="shared" si="20"/>
        <v>12</v>
      </c>
      <c r="K247" s="12" t="str">
        <f t="shared" si="21"/>
        <v>02</v>
      </c>
      <c r="L247" s="12" t="str">
        <f t="shared" si="22"/>
        <v>2025</v>
      </c>
      <c r="M247" s="12">
        <f t="shared" si="23"/>
        <v>12</v>
      </c>
    </row>
    <row r="248" spans="1:13" x14ac:dyDescent="0.2">
      <c r="A248" s="20" t="s">
        <v>784</v>
      </c>
      <c r="B248" s="2" t="s">
        <v>33</v>
      </c>
      <c r="C248" s="2" t="s">
        <v>237</v>
      </c>
      <c r="D248" s="2" t="s">
        <v>141</v>
      </c>
      <c r="E248" s="17" t="s">
        <v>785</v>
      </c>
      <c r="G248" s="18" t="str">
        <f t="shared" si="18"/>
        <v>JMD1E</v>
      </c>
      <c r="H248" s="11" t="str">
        <f>VLOOKUP($A248,[1]Sheet2!$I$2:$O$544,7,FALSE)</f>
        <v>https://hana.modakita.com/azd942/avatar/210632084202510151515350G7HJ6.jpg</v>
      </c>
      <c r="I248" s="12">
        <f t="shared" si="19"/>
        <v>240</v>
      </c>
      <c r="J248" s="12" t="str">
        <f t="shared" si="20"/>
        <v>17</v>
      </c>
      <c r="K248" s="12" t="str">
        <f t="shared" si="21"/>
        <v>02</v>
      </c>
      <c r="L248" s="12" t="str">
        <f t="shared" si="22"/>
        <v>2025</v>
      </c>
      <c r="M248" s="12">
        <f t="shared" si="23"/>
        <v>12</v>
      </c>
    </row>
    <row r="249" spans="1:13" x14ac:dyDescent="0.2">
      <c r="A249" s="20" t="s">
        <v>586</v>
      </c>
      <c r="B249" s="2" t="s">
        <v>33</v>
      </c>
      <c r="C249" s="2" t="s">
        <v>368</v>
      </c>
      <c r="D249" s="2" t="s">
        <v>113</v>
      </c>
      <c r="E249" s="17" t="s">
        <v>587</v>
      </c>
      <c r="G249" s="18" t="str">
        <f t="shared" si="18"/>
        <v>JBP1E</v>
      </c>
      <c r="H249" s="11" t="str">
        <f>VLOOKUP($A249,[1]Sheet2!$I$2:$O$544,7,FALSE)</f>
        <v>https://fruitbasket.blob.core.windows.net/gk2o5k/avatar/23773820251007114351AYMGZY.jpg</v>
      </c>
      <c r="I249" s="12">
        <f t="shared" si="19"/>
        <v>242</v>
      </c>
      <c r="J249" s="12" t="str">
        <f t="shared" si="20"/>
        <v>07</v>
      </c>
      <c r="K249" s="12" t="str">
        <f t="shared" si="21"/>
        <v>02</v>
      </c>
      <c r="L249" s="12" t="str">
        <f t="shared" si="22"/>
        <v>2025</v>
      </c>
      <c r="M249" s="12">
        <f t="shared" si="23"/>
        <v>12</v>
      </c>
    </row>
    <row r="250" spans="1:13" x14ac:dyDescent="0.2">
      <c r="A250" s="20" t="s">
        <v>776</v>
      </c>
      <c r="B250" s="2" t="s">
        <v>33</v>
      </c>
      <c r="C250" s="2" t="s">
        <v>777</v>
      </c>
      <c r="D250" s="2" t="s">
        <v>131</v>
      </c>
      <c r="E250" s="17" t="s">
        <v>778</v>
      </c>
      <c r="G250" s="18" t="str">
        <f t="shared" si="18"/>
        <v>JMC1E</v>
      </c>
      <c r="H250" s="11" t="str">
        <f>VLOOKUP($A250,[1]Sheet2!$I$2:$O$544,7,FALSE)</f>
        <v>https://hana.modakita.com/azd942/avatar/21063208420251013133449FFRU10.jpg</v>
      </c>
      <c r="I250" s="12">
        <f t="shared" si="19"/>
        <v>241</v>
      </c>
      <c r="J250" s="12" t="str">
        <f t="shared" si="20"/>
        <v>14</v>
      </c>
      <c r="K250" s="12" t="str">
        <f t="shared" si="21"/>
        <v>02</v>
      </c>
      <c r="L250" s="12" t="str">
        <f t="shared" si="22"/>
        <v>2025</v>
      </c>
      <c r="M250" s="12">
        <f t="shared" si="23"/>
        <v>12</v>
      </c>
    </row>
    <row r="251" spans="1:13" x14ac:dyDescent="0.2">
      <c r="A251" s="20" t="s">
        <v>642</v>
      </c>
      <c r="B251" s="2" t="s">
        <v>15</v>
      </c>
      <c r="C251" s="2" t="s">
        <v>134</v>
      </c>
      <c r="D251" s="2" t="s">
        <v>138</v>
      </c>
      <c r="E251" s="17" t="s">
        <v>643</v>
      </c>
      <c r="G251" s="18" t="str">
        <f t="shared" si="18"/>
        <v>JMC1E</v>
      </c>
      <c r="H251" s="11" t="str">
        <f>VLOOKUP($A251,[1]Sheet2!$I$2:$O$544,7,FALSE)</f>
        <v>https://hana.modakita.com/azd942/avatar/21301231220251014090925JISLDF.jpg</v>
      </c>
      <c r="I251" s="12">
        <f t="shared" si="19"/>
        <v>60</v>
      </c>
      <c r="J251" s="12" t="str">
        <f t="shared" si="20"/>
        <v>15</v>
      </c>
      <c r="K251" s="12" t="str">
        <f t="shared" si="21"/>
        <v>08</v>
      </c>
      <c r="L251" s="12" t="str">
        <f t="shared" si="22"/>
        <v>2025</v>
      </c>
      <c r="M251" s="12">
        <f t="shared" si="23"/>
        <v>12</v>
      </c>
    </row>
    <row r="252" spans="1:13" x14ac:dyDescent="0.2">
      <c r="A252" s="20" t="s">
        <v>860</v>
      </c>
      <c r="B252" s="2" t="s">
        <v>15</v>
      </c>
      <c r="C252" s="2" t="s">
        <v>304</v>
      </c>
      <c r="D252" s="2" t="s">
        <v>154</v>
      </c>
      <c r="E252" s="17" t="s">
        <v>861</v>
      </c>
      <c r="G252" s="18" t="str">
        <f t="shared" si="18"/>
        <v>KFA1E</v>
      </c>
      <c r="H252" s="11" t="str">
        <f>VLOOKUP($A252,[1]Sheet2!$I$2:$O$544,7,FALSE)</f>
        <v>https://hana.modakita.com/azd942/avatar/237738202510181116496MA5WL.jpg</v>
      </c>
      <c r="I252" s="12">
        <f t="shared" si="19"/>
        <v>58</v>
      </c>
      <c r="J252" s="12" t="str">
        <f t="shared" si="20"/>
        <v>21</v>
      </c>
      <c r="K252" s="12" t="str">
        <f t="shared" si="21"/>
        <v>08</v>
      </c>
      <c r="L252" s="12" t="str">
        <f t="shared" si="22"/>
        <v>2025</v>
      </c>
      <c r="M252" s="12">
        <f t="shared" si="23"/>
        <v>12</v>
      </c>
    </row>
    <row r="253" spans="1:13" x14ac:dyDescent="0.2">
      <c r="A253" s="20" t="s">
        <v>230</v>
      </c>
      <c r="B253" s="2" t="s">
        <v>33</v>
      </c>
      <c r="C253" s="2" t="s">
        <v>231</v>
      </c>
      <c r="D253" s="2" t="s">
        <v>121</v>
      </c>
      <c r="E253" s="17" t="s">
        <v>232</v>
      </c>
      <c r="G253" s="18" t="str">
        <f t="shared" si="18"/>
        <v>JME1E</v>
      </c>
      <c r="H253" s="11" t="str">
        <f>VLOOKUP($A253,[1]Sheet2!$I$2:$O$544,7,FALSE)</f>
        <v>https://hana.modakita.com/azd942/avatar/21063208420251010140843SYRLKH.jpg</v>
      </c>
      <c r="I253" s="12">
        <f t="shared" si="19"/>
        <v>246</v>
      </c>
      <c r="J253" s="12" t="str">
        <f t="shared" si="20"/>
        <v>06</v>
      </c>
      <c r="K253" s="12" t="str">
        <f t="shared" si="21"/>
        <v>02</v>
      </c>
      <c r="L253" s="12" t="str">
        <f t="shared" si="22"/>
        <v>2025</v>
      </c>
      <c r="M253" s="12">
        <f t="shared" si="23"/>
        <v>12</v>
      </c>
    </row>
    <row r="254" spans="1:13" x14ac:dyDescent="0.2">
      <c r="A254" s="20" t="s">
        <v>906</v>
      </c>
      <c r="B254" s="2" t="s">
        <v>15</v>
      </c>
      <c r="C254" s="2" t="s">
        <v>618</v>
      </c>
      <c r="D254" s="2" t="s">
        <v>128</v>
      </c>
      <c r="E254" s="17" t="s">
        <v>907</v>
      </c>
      <c r="G254" s="18" t="str">
        <f t="shared" si="18"/>
        <v>KC04E</v>
      </c>
      <c r="H254" s="11" t="str">
        <f>VLOOKUP($A254,[1]Sheet2!$I$2:$O$544,7,FALSE)</f>
        <v>https://hana.modakita.com/azd942/avatar/23773820251011092542RGAKMY.jpg</v>
      </c>
      <c r="I254" s="12">
        <f t="shared" si="19"/>
        <v>60</v>
      </c>
      <c r="J254" s="12" t="str">
        <f t="shared" si="20"/>
        <v>12</v>
      </c>
      <c r="K254" s="12" t="str">
        <f t="shared" si="21"/>
        <v>08</v>
      </c>
      <c r="L254" s="12" t="str">
        <f t="shared" si="22"/>
        <v>2025</v>
      </c>
      <c r="M254" s="12">
        <f t="shared" si="23"/>
        <v>12</v>
      </c>
    </row>
    <row r="255" spans="1:13" x14ac:dyDescent="0.2">
      <c r="A255" s="20" t="s">
        <v>632</v>
      </c>
      <c r="B255" s="2" t="s">
        <v>15</v>
      </c>
      <c r="C255" s="2" t="s">
        <v>127</v>
      </c>
      <c r="D255" s="2" t="s">
        <v>131</v>
      </c>
      <c r="E255" s="17" t="s">
        <v>633</v>
      </c>
      <c r="G255" s="18" t="str">
        <f t="shared" si="18"/>
        <v>JMC1E</v>
      </c>
      <c r="H255" s="11" t="str">
        <f>VLOOKUP($A255,[1]Sheet2!$I$2:$O$544,7,FALSE)</f>
        <v>https://hana.modakita.com/azd942/avatar/21301231220251013090636HYT4LP.jpg</v>
      </c>
      <c r="I255" s="12">
        <f t="shared" si="19"/>
        <v>60</v>
      </c>
      <c r="J255" s="12" t="str">
        <f t="shared" si="20"/>
        <v>14</v>
      </c>
      <c r="K255" s="12" t="str">
        <f t="shared" si="21"/>
        <v>08</v>
      </c>
      <c r="L255" s="12" t="str">
        <f t="shared" si="22"/>
        <v>2025</v>
      </c>
      <c r="M255" s="12">
        <f t="shared" si="23"/>
        <v>12</v>
      </c>
    </row>
    <row r="256" spans="1:13" x14ac:dyDescent="0.2">
      <c r="A256" s="20" t="s">
        <v>765</v>
      </c>
      <c r="B256" s="2" t="s">
        <v>33</v>
      </c>
      <c r="C256" s="2" t="s">
        <v>371</v>
      </c>
      <c r="D256" s="2" t="s">
        <v>250</v>
      </c>
      <c r="E256" s="17" t="s">
        <v>766</v>
      </c>
      <c r="G256" s="18" t="str">
        <f t="shared" si="18"/>
        <v>JMD1E</v>
      </c>
      <c r="H256" s="11" t="str">
        <f>VLOOKUP($A256,[1]Sheet2!$I$2:$O$544,7,FALSE)</f>
        <v>https://fruitbasket.blob.core.windows.net/gk2o5k/avatar/21301231220251008151613T1T6HF.jpg</v>
      </c>
      <c r="I256" s="12">
        <f t="shared" si="19"/>
        <v>242</v>
      </c>
      <c r="J256" s="12" t="str">
        <f t="shared" si="20"/>
        <v>08</v>
      </c>
      <c r="K256" s="12" t="str">
        <f t="shared" si="21"/>
        <v>02</v>
      </c>
      <c r="L256" s="12" t="str">
        <f t="shared" si="22"/>
        <v>2025</v>
      </c>
      <c r="M256" s="12">
        <f t="shared" si="23"/>
        <v>12</v>
      </c>
    </row>
    <row r="257" spans="1:13" x14ac:dyDescent="0.2">
      <c r="A257" s="20" t="s">
        <v>550</v>
      </c>
      <c r="B257" s="2" t="s">
        <v>33</v>
      </c>
      <c r="C257" s="2" t="s">
        <v>551</v>
      </c>
      <c r="D257" s="2" t="s">
        <v>147</v>
      </c>
      <c r="E257" s="17" t="s">
        <v>552</v>
      </c>
      <c r="G257" s="18" t="str">
        <f t="shared" si="18"/>
        <v>KFD1E</v>
      </c>
      <c r="H257" s="11" t="str">
        <f>VLOOKUP($A257,[1]Sheet2!$I$2:$O$544,7,FALSE)</f>
        <v>https://hana.modakita.com/azd942/avatar/21063208420251017144945FWJE8U.jpg</v>
      </c>
      <c r="I257" s="12">
        <f t="shared" si="19"/>
        <v>240</v>
      </c>
      <c r="J257" s="12" t="str">
        <f t="shared" si="20"/>
        <v>19</v>
      </c>
      <c r="K257" s="12" t="str">
        <f t="shared" si="21"/>
        <v>02</v>
      </c>
      <c r="L257" s="12" t="str">
        <f t="shared" si="22"/>
        <v>2025</v>
      </c>
      <c r="M257" s="12">
        <f t="shared" si="23"/>
        <v>12</v>
      </c>
    </row>
    <row r="258" spans="1:13" x14ac:dyDescent="0.2">
      <c r="A258" s="20" t="s">
        <v>392</v>
      </c>
      <c r="B258" s="2" t="s">
        <v>15</v>
      </c>
      <c r="C258" s="2" t="s">
        <v>107</v>
      </c>
      <c r="D258" s="2" t="s">
        <v>104</v>
      </c>
      <c r="E258" s="17" t="s">
        <v>393</v>
      </c>
      <c r="G258" s="18" t="str">
        <f t="shared" ref="G258:G321" si="24">LEFT(A258,5)</f>
        <v>JMH1E</v>
      </c>
      <c r="H258" s="11" t="str">
        <f>VLOOKUP($A258,[1]Sheet2!$I$2:$O$544,7,FALSE)</f>
        <v>https://fruitbasket.blob.core.windows.net/gk2o5k/avatar/21301231220251006103259LT7HEC.jpg</v>
      </c>
      <c r="I258" s="12">
        <f t="shared" ref="I258:I321" si="25">D258-C258</f>
        <v>61</v>
      </c>
      <c r="J258" s="12" t="str">
        <f t="shared" ref="J258:J321" si="26">LEFT(C258,2)</f>
        <v>06</v>
      </c>
      <c r="K258" s="12" t="str">
        <f t="shared" ref="K258:K321" si="27">MID(C258,4,2)</f>
        <v>08</v>
      </c>
      <c r="L258" s="12" t="str">
        <f t="shared" ref="L258:L321" si="28">RIGHT(C258,4)</f>
        <v>2025</v>
      </c>
      <c r="M258" s="12">
        <f t="shared" ref="M258:M321" si="29">LEN(A258)</f>
        <v>12</v>
      </c>
    </row>
    <row r="259" spans="1:13" x14ac:dyDescent="0.2">
      <c r="A259" s="23" t="s">
        <v>513</v>
      </c>
      <c r="B259" s="2" t="s">
        <v>15</v>
      </c>
      <c r="C259" s="2" t="s">
        <v>137</v>
      </c>
      <c r="D259" s="2" t="s">
        <v>147</v>
      </c>
      <c r="E259" s="2" t="s">
        <v>393</v>
      </c>
      <c r="F259" s="19" t="s">
        <v>976</v>
      </c>
      <c r="G259" t="str">
        <f t="shared" si="24"/>
        <v>KFC1E</v>
      </c>
      <c r="H259" s="11" t="str">
        <f>VLOOKUP($A259,[1]Sheet2!$I$2:$O$544,7,FALSE)</f>
        <v>https://hana.modakita.com/azd942/avatar/23773820251017143324IGOSGL.jpg</v>
      </c>
      <c r="I259" s="12">
        <f t="shared" si="25"/>
        <v>59</v>
      </c>
      <c r="J259" s="12" t="str">
        <f t="shared" si="26"/>
        <v>19</v>
      </c>
      <c r="K259" s="12" t="str">
        <f t="shared" si="27"/>
        <v>08</v>
      </c>
      <c r="L259" s="12" t="str">
        <f t="shared" si="28"/>
        <v>2025</v>
      </c>
      <c r="M259" s="12">
        <f t="shared" si="29"/>
        <v>12</v>
      </c>
    </row>
    <row r="260" spans="1:13" x14ac:dyDescent="0.2">
      <c r="A260" s="23" t="s">
        <v>518</v>
      </c>
      <c r="B260" s="2" t="s">
        <v>15</v>
      </c>
      <c r="C260" s="2" t="s">
        <v>285</v>
      </c>
      <c r="D260" s="2" t="s">
        <v>168</v>
      </c>
      <c r="E260" s="2" t="s">
        <v>393</v>
      </c>
      <c r="F260" s="19" t="s">
        <v>976</v>
      </c>
      <c r="G260" t="str">
        <f t="shared" si="24"/>
        <v>KFC1E</v>
      </c>
      <c r="H260" s="11" t="str">
        <f>VLOOKUP($A260,[1]Sheet2!$I$2:$O$544,7,FALSE)</f>
        <v>https://hana.modakita.com/azd942/avatar/23773820251022093857LIAFI4.jpg</v>
      </c>
      <c r="I260" s="12">
        <f t="shared" si="25"/>
        <v>55</v>
      </c>
      <c r="J260" s="12" t="str">
        <f t="shared" si="26"/>
        <v>28</v>
      </c>
      <c r="K260" s="12" t="str">
        <f t="shared" si="27"/>
        <v>08</v>
      </c>
      <c r="L260" s="12" t="str">
        <f t="shared" si="28"/>
        <v>2025</v>
      </c>
      <c r="M260" s="12">
        <f t="shared" si="29"/>
        <v>12</v>
      </c>
    </row>
    <row r="261" spans="1:13" x14ac:dyDescent="0.2">
      <c r="A261" s="20" t="s">
        <v>786</v>
      </c>
      <c r="B261" s="2" t="s">
        <v>33</v>
      </c>
      <c r="C261" s="2" t="s">
        <v>237</v>
      </c>
      <c r="D261" s="2" t="s">
        <v>141</v>
      </c>
      <c r="E261" s="17" t="s">
        <v>787</v>
      </c>
      <c r="G261" s="18" t="str">
        <f t="shared" si="24"/>
        <v>JMD1E</v>
      </c>
      <c r="H261" s="11" t="str">
        <f>VLOOKUP($A261,[1]Sheet2!$I$2:$O$544,7,FALSE)</f>
        <v>https://hana.modakita.com/azd942/avatar/21063208420251015152727QYM3R6.jpg</v>
      </c>
      <c r="I261" s="12">
        <f t="shared" si="25"/>
        <v>240</v>
      </c>
      <c r="J261" s="12" t="str">
        <f t="shared" si="26"/>
        <v>17</v>
      </c>
      <c r="K261" s="12" t="str">
        <f t="shared" si="27"/>
        <v>02</v>
      </c>
      <c r="L261" s="12" t="str">
        <f t="shared" si="28"/>
        <v>2025</v>
      </c>
      <c r="M261" s="12">
        <f t="shared" si="29"/>
        <v>12</v>
      </c>
    </row>
    <row r="262" spans="1:13" x14ac:dyDescent="0.2">
      <c r="A262" s="20" t="s">
        <v>788</v>
      </c>
      <c r="B262" s="2" t="s">
        <v>33</v>
      </c>
      <c r="C262" s="2" t="s">
        <v>789</v>
      </c>
      <c r="D262" s="2" t="s">
        <v>458</v>
      </c>
      <c r="E262" s="17" t="s">
        <v>790</v>
      </c>
      <c r="G262" s="18" t="str">
        <f t="shared" si="24"/>
        <v>JMC1E</v>
      </c>
      <c r="H262" s="11" t="str">
        <f>VLOOKUP($A262,[1]Sheet2!$I$2:$O$544,7,FALSE)</f>
        <v>https://hana.modakita.com/azd942/avatar/23773820251016151549DKZIHD.jpg</v>
      </c>
      <c r="I262" s="12">
        <f t="shared" si="25"/>
        <v>240</v>
      </c>
      <c r="J262" s="12" t="str">
        <f t="shared" si="26"/>
        <v>18</v>
      </c>
      <c r="K262" s="12" t="str">
        <f t="shared" si="27"/>
        <v>02</v>
      </c>
      <c r="L262" s="12" t="str">
        <f t="shared" si="28"/>
        <v>2025</v>
      </c>
      <c r="M262" s="12">
        <f t="shared" si="29"/>
        <v>12</v>
      </c>
    </row>
    <row r="263" spans="1:13" x14ac:dyDescent="0.2">
      <c r="A263" s="20" t="s">
        <v>553</v>
      </c>
      <c r="B263" s="2" t="s">
        <v>33</v>
      </c>
      <c r="C263" s="2" t="s">
        <v>554</v>
      </c>
      <c r="D263" s="2" t="s">
        <v>164</v>
      </c>
      <c r="E263" s="17" t="s">
        <v>555</v>
      </c>
      <c r="G263" s="18" t="str">
        <f t="shared" si="24"/>
        <v>KFD1E</v>
      </c>
      <c r="H263" s="11" t="str">
        <f>VLOOKUP($A263,[1]Sheet2!$I$2:$O$544,7,FALSE)</f>
        <v>https://hana.modakita.com/azd942/avatar/21063208420251021135559UAKYWI.jpg</v>
      </c>
      <c r="I263" s="12">
        <f t="shared" si="25"/>
        <v>268</v>
      </c>
      <c r="J263" s="12" t="str">
        <f t="shared" si="26"/>
        <v>26</v>
      </c>
      <c r="K263" s="12" t="str">
        <f t="shared" si="27"/>
        <v>01</v>
      </c>
      <c r="L263" s="12" t="str">
        <f t="shared" si="28"/>
        <v>2025</v>
      </c>
      <c r="M263" s="12">
        <f t="shared" si="29"/>
        <v>12</v>
      </c>
    </row>
    <row r="264" spans="1:13" x14ac:dyDescent="0.2">
      <c r="A264" s="20" t="s">
        <v>773</v>
      </c>
      <c r="B264" s="2" t="s">
        <v>33</v>
      </c>
      <c r="C264" s="2" t="s">
        <v>774</v>
      </c>
      <c r="D264" s="2" t="s">
        <v>128</v>
      </c>
      <c r="E264" s="17" t="s">
        <v>775</v>
      </c>
      <c r="G264" s="18" t="str">
        <f t="shared" si="24"/>
        <v>JMC1E</v>
      </c>
      <c r="H264" s="11" t="str">
        <f>VLOOKUP($A264,[1]Sheet2!$I$2:$O$544,7,FALSE)</f>
        <v>https://hana.modakita.com/azd942/avatar/21301231220251011100316W3IGZP.jpg</v>
      </c>
      <c r="I264" s="12">
        <f t="shared" si="25"/>
        <v>240</v>
      </c>
      <c r="J264" s="12" t="str">
        <f t="shared" si="26"/>
        <v>13</v>
      </c>
      <c r="K264" s="12" t="str">
        <f t="shared" si="27"/>
        <v>02</v>
      </c>
      <c r="L264" s="12" t="str">
        <f t="shared" si="28"/>
        <v>2025</v>
      </c>
      <c r="M264" s="12">
        <f t="shared" si="29"/>
        <v>12</v>
      </c>
    </row>
    <row r="265" spans="1:13" x14ac:dyDescent="0.2">
      <c r="A265" s="20" t="s">
        <v>384</v>
      </c>
      <c r="B265" s="2" t="s">
        <v>15</v>
      </c>
      <c r="C265" s="2" t="s">
        <v>99</v>
      </c>
      <c r="D265" s="2" t="s">
        <v>179</v>
      </c>
      <c r="E265" s="17" t="s">
        <v>385</v>
      </c>
      <c r="G265" s="18" t="str">
        <f t="shared" si="24"/>
        <v>JMH1E</v>
      </c>
      <c r="H265" s="11" t="str">
        <f>VLOOKUP($A265,[1]Sheet2!$I$2:$O$544,7,FALSE)</f>
        <v>https://fruitbasket.blob.core.windows.net/gk2o5k/avatar/23773820251004091522XRCIPL.jpg</v>
      </c>
      <c r="I265" s="12">
        <f t="shared" si="25"/>
        <v>64</v>
      </c>
      <c r="J265" s="12" t="str">
        <f t="shared" si="26"/>
        <v>01</v>
      </c>
      <c r="K265" s="12" t="str">
        <f t="shared" si="27"/>
        <v>08</v>
      </c>
      <c r="L265" s="12" t="str">
        <f t="shared" si="28"/>
        <v>2025</v>
      </c>
      <c r="M265" s="12">
        <f t="shared" si="29"/>
        <v>12</v>
      </c>
    </row>
    <row r="266" spans="1:13" x14ac:dyDescent="0.2">
      <c r="A266" s="20" t="s">
        <v>613</v>
      </c>
      <c r="B266" s="2" t="s">
        <v>15</v>
      </c>
      <c r="C266" s="2" t="s">
        <v>295</v>
      </c>
      <c r="D266" s="2" t="s">
        <v>117</v>
      </c>
      <c r="E266" s="17" t="s">
        <v>385</v>
      </c>
      <c r="G266" s="18" t="str">
        <f t="shared" si="24"/>
        <v>JMD1E</v>
      </c>
      <c r="H266" s="11" t="str">
        <f>VLOOKUP($A266,[1]Sheet2!$I$2:$O$544,7,FALSE)</f>
        <v>https://fruitbasket.blob.core.windows.net/gk2o5k/avatar/21063208420251009083520V7R622.jpg</v>
      </c>
      <c r="I266" s="12">
        <f t="shared" si="25"/>
        <v>62</v>
      </c>
      <c r="J266" s="12" t="str">
        <f t="shared" si="26"/>
        <v>08</v>
      </c>
      <c r="K266" s="12" t="str">
        <f t="shared" si="27"/>
        <v>08</v>
      </c>
      <c r="L266" s="12" t="str">
        <f t="shared" si="28"/>
        <v>2025</v>
      </c>
      <c r="M266" s="12">
        <f t="shared" si="29"/>
        <v>12</v>
      </c>
    </row>
    <row r="267" spans="1:13" x14ac:dyDescent="0.2">
      <c r="A267" s="20" t="s">
        <v>145</v>
      </c>
      <c r="B267" s="2" t="s">
        <v>15</v>
      </c>
      <c r="C267" s="2" t="s">
        <v>146</v>
      </c>
      <c r="D267" s="2" t="s">
        <v>147</v>
      </c>
      <c r="E267" s="17" t="s">
        <v>148</v>
      </c>
      <c r="G267" s="18" t="str">
        <f t="shared" si="24"/>
        <v>JME1E</v>
      </c>
      <c r="H267" s="11" t="str">
        <f>VLOOKUP($A267,[1]Sheet2!$I$2:$O$544,7,FALSE)</f>
        <v>https://hana.modakita.com/azd942/avatar/210632084202510170845463MFSRC.jpg</v>
      </c>
      <c r="I267" s="12">
        <f t="shared" si="25"/>
        <v>58</v>
      </c>
      <c r="J267" s="12" t="str">
        <f t="shared" si="26"/>
        <v>20</v>
      </c>
      <c r="K267" s="12" t="str">
        <f t="shared" si="27"/>
        <v>08</v>
      </c>
      <c r="L267" s="12" t="str">
        <f t="shared" si="28"/>
        <v>2025</v>
      </c>
      <c r="M267" s="12">
        <f t="shared" si="29"/>
        <v>12</v>
      </c>
    </row>
    <row r="268" spans="1:13" x14ac:dyDescent="0.2">
      <c r="A268" s="20" t="s">
        <v>543</v>
      </c>
      <c r="B268" s="2" t="s">
        <v>33</v>
      </c>
      <c r="C268" s="2" t="s">
        <v>368</v>
      </c>
      <c r="D268" s="2" t="s">
        <v>113</v>
      </c>
      <c r="E268" s="17" t="s">
        <v>544</v>
      </c>
      <c r="G268" s="18" t="str">
        <f t="shared" si="24"/>
        <v>KFD1E</v>
      </c>
      <c r="H268" s="11" t="str">
        <f>VLOOKUP($A268,[1]Sheet2!$I$2:$O$544,7,FALSE)</f>
        <v>https://fruitbasket.blob.core.windows.net/gk2o5k/avatar/23773820251007131108Z65FDW.jpg</v>
      </c>
      <c r="I268" s="12">
        <f t="shared" si="25"/>
        <v>242</v>
      </c>
      <c r="J268" s="12" t="str">
        <f t="shared" si="26"/>
        <v>07</v>
      </c>
      <c r="K268" s="12" t="str">
        <f t="shared" si="27"/>
        <v>02</v>
      </c>
      <c r="L268" s="12" t="str">
        <f t="shared" si="28"/>
        <v>2025</v>
      </c>
      <c r="M268" s="12">
        <f t="shared" si="29"/>
        <v>12</v>
      </c>
    </row>
    <row r="269" spans="1:13" x14ac:dyDescent="0.2">
      <c r="A269" s="20" t="s">
        <v>799</v>
      </c>
      <c r="B269" s="2" t="s">
        <v>33</v>
      </c>
      <c r="C269" s="2" t="s">
        <v>240</v>
      </c>
      <c r="D269" s="2" t="s">
        <v>216</v>
      </c>
      <c r="E269" s="17" t="s">
        <v>800</v>
      </c>
      <c r="G269" s="18" t="str">
        <f t="shared" si="24"/>
        <v>JMC1E</v>
      </c>
      <c r="H269" s="11" t="str">
        <f>VLOOKUP($A269,[1]Sheet2!$I$2:$O$544,7,FALSE)</f>
        <v>https://hana.modakita.com/azd942/avatar/21063208420251020105310T8MZFG.jpg</v>
      </c>
      <c r="I269" s="12">
        <f t="shared" si="25"/>
        <v>240</v>
      </c>
      <c r="J269" s="12" t="str">
        <f t="shared" si="26"/>
        <v>22</v>
      </c>
      <c r="K269" s="12" t="str">
        <f t="shared" si="27"/>
        <v>02</v>
      </c>
      <c r="L269" s="12" t="str">
        <f t="shared" si="28"/>
        <v>2025</v>
      </c>
      <c r="M269" s="12">
        <f t="shared" si="29"/>
        <v>12</v>
      </c>
    </row>
    <row r="270" spans="1:13" x14ac:dyDescent="0.2">
      <c r="A270" s="23" t="s">
        <v>479</v>
      </c>
      <c r="B270" s="2" t="s">
        <v>33</v>
      </c>
      <c r="C270" s="2" t="s">
        <v>231</v>
      </c>
      <c r="D270" s="2" t="s">
        <v>141</v>
      </c>
      <c r="E270" s="2" t="s">
        <v>480</v>
      </c>
      <c r="F270" s="19" t="s">
        <v>975</v>
      </c>
      <c r="G270" t="str">
        <f t="shared" si="24"/>
        <v>JMH2E</v>
      </c>
      <c r="H270" s="11" t="str">
        <f>VLOOKUP($A270,[1]Sheet2!$I$2:$O$544,7,FALSE)</f>
        <v>https://hana.modakita.com/azd942/avatar/23773820251015091146NGIUNV.jpg</v>
      </c>
      <c r="I270" s="12">
        <f t="shared" si="25"/>
        <v>251</v>
      </c>
      <c r="J270" s="12" t="str">
        <f t="shared" si="26"/>
        <v>06</v>
      </c>
      <c r="K270" s="12" t="str">
        <f t="shared" si="27"/>
        <v>02</v>
      </c>
      <c r="L270" s="12" t="str">
        <f t="shared" si="28"/>
        <v>2025</v>
      </c>
      <c r="M270" s="12">
        <f t="shared" si="29"/>
        <v>12</v>
      </c>
    </row>
    <row r="271" spans="1:13" x14ac:dyDescent="0.2">
      <c r="A271" s="23" t="s">
        <v>487</v>
      </c>
      <c r="B271" s="2" t="s">
        <v>33</v>
      </c>
      <c r="C271" s="2" t="s">
        <v>234</v>
      </c>
      <c r="D271" s="2" t="s">
        <v>141</v>
      </c>
      <c r="E271" s="2" t="s">
        <v>480</v>
      </c>
      <c r="F271" s="19" t="s">
        <v>975</v>
      </c>
      <c r="G271" t="str">
        <f t="shared" si="24"/>
        <v>JMH2E</v>
      </c>
      <c r="H271" s="11" t="str">
        <f>VLOOKUP($A271,[1]Sheet2!$I$2:$O$544,7,FALSE)</f>
        <v>https://hana.modakita.com/azd942/avatar/21063208420251015110031CIFM67.jpg</v>
      </c>
      <c r="I271" s="12">
        <f t="shared" si="25"/>
        <v>242</v>
      </c>
      <c r="J271" s="12" t="str">
        <f t="shared" si="26"/>
        <v>15</v>
      </c>
      <c r="K271" s="12" t="str">
        <f t="shared" si="27"/>
        <v>02</v>
      </c>
      <c r="L271" s="12" t="str">
        <f t="shared" si="28"/>
        <v>2025</v>
      </c>
      <c r="M271" s="12">
        <f t="shared" si="29"/>
        <v>12</v>
      </c>
    </row>
    <row r="272" spans="1:13" x14ac:dyDescent="0.2">
      <c r="A272" s="20" t="s">
        <v>694</v>
      </c>
      <c r="B272" s="2" t="s">
        <v>15</v>
      </c>
      <c r="C272" s="2" t="s">
        <v>167</v>
      </c>
      <c r="D272" s="2" t="s">
        <v>168</v>
      </c>
      <c r="E272" s="17" t="s">
        <v>695</v>
      </c>
      <c r="G272" s="18" t="str">
        <f t="shared" si="24"/>
        <v>JMD1E</v>
      </c>
      <c r="H272" s="11" t="str">
        <f>VLOOKUP($A272,[1]Sheet2!$I$2:$O$544,7,FALSE)</f>
        <v>https://hana.modakita.com/azd942/avatar/23773820251022151800OQVO3L.jpg</v>
      </c>
      <c r="I272" s="12">
        <f t="shared" si="25"/>
        <v>53</v>
      </c>
      <c r="J272" s="12" t="str">
        <f t="shared" si="26"/>
        <v>30</v>
      </c>
      <c r="K272" s="12" t="str">
        <f t="shared" si="27"/>
        <v>08</v>
      </c>
      <c r="L272" s="12" t="str">
        <f t="shared" si="28"/>
        <v>2025</v>
      </c>
      <c r="M272" s="12">
        <f t="shared" si="29"/>
        <v>12</v>
      </c>
    </row>
    <row r="273" spans="1:13" x14ac:dyDescent="0.2">
      <c r="A273" s="20" t="s">
        <v>476</v>
      </c>
      <c r="B273" s="2" t="s">
        <v>33</v>
      </c>
      <c r="C273" s="2" t="s">
        <v>477</v>
      </c>
      <c r="D273" s="2" t="s">
        <v>128</v>
      </c>
      <c r="E273" s="17" t="s">
        <v>478</v>
      </c>
      <c r="G273" s="18" t="str">
        <f t="shared" si="24"/>
        <v>JMH1E</v>
      </c>
      <c r="H273" s="11" t="str">
        <f>VLOOKUP($A273,[1]Sheet2!$I$2:$O$544,7,FALSE)</f>
        <v>https://hana.modakita.com/azd942/avatar/21301231220251011092424OWJDIH.jpg</v>
      </c>
      <c r="I273" s="12">
        <f t="shared" si="25"/>
        <v>241</v>
      </c>
      <c r="J273" s="12" t="str">
        <f t="shared" si="26"/>
        <v>12</v>
      </c>
      <c r="K273" s="12" t="str">
        <f t="shared" si="27"/>
        <v>02</v>
      </c>
      <c r="L273" s="12" t="str">
        <f t="shared" si="28"/>
        <v>2025</v>
      </c>
      <c r="M273" s="12">
        <f t="shared" si="29"/>
        <v>12</v>
      </c>
    </row>
    <row r="274" spans="1:13" x14ac:dyDescent="0.2">
      <c r="A274" s="20" t="s">
        <v>159</v>
      </c>
      <c r="B274" s="2" t="s">
        <v>15</v>
      </c>
      <c r="C274" s="2" t="s">
        <v>160</v>
      </c>
      <c r="D274" s="2" t="s">
        <v>154</v>
      </c>
      <c r="E274" s="17" t="s">
        <v>161</v>
      </c>
      <c r="G274" s="18" t="str">
        <f t="shared" si="24"/>
        <v>JME1E</v>
      </c>
      <c r="H274" s="11" t="str">
        <f>VLOOKUP($A274,[1]Sheet2!$I$2:$O$544,7,FALSE)</f>
        <v>https://hana.modakita.com/azd942/avatar/21063208420251018112232EVROHZ.jpg</v>
      </c>
      <c r="I274" s="12">
        <f t="shared" si="25"/>
        <v>50</v>
      </c>
      <c r="J274" s="12" t="str">
        <f t="shared" si="26"/>
        <v>29</v>
      </c>
      <c r="K274" s="12" t="str">
        <f t="shared" si="27"/>
        <v>08</v>
      </c>
      <c r="L274" s="12" t="str">
        <f t="shared" si="28"/>
        <v>2025</v>
      </c>
      <c r="M274" s="12">
        <f t="shared" si="29"/>
        <v>12</v>
      </c>
    </row>
    <row r="275" spans="1:13" x14ac:dyDescent="0.2">
      <c r="A275" s="20" t="s">
        <v>376</v>
      </c>
      <c r="B275" s="2" t="s">
        <v>33</v>
      </c>
      <c r="C275" s="2" t="s">
        <v>377</v>
      </c>
      <c r="D275" s="2" t="s">
        <v>154</v>
      </c>
      <c r="E275" s="17" t="s">
        <v>378</v>
      </c>
      <c r="G275" s="18" t="str">
        <f t="shared" si="24"/>
        <v>JBK1E</v>
      </c>
      <c r="H275" s="11" t="str">
        <f>VLOOKUP($A275,[1]Sheet2!$I$2:$O$544,7,FALSE)</f>
        <v>https://hana.modakita.com/azd942/avatar/210632084202510181027561BAAIP.jpg</v>
      </c>
      <c r="I275" s="12">
        <f t="shared" si="25"/>
        <v>239</v>
      </c>
      <c r="J275" s="12" t="str">
        <f t="shared" si="26"/>
        <v>21</v>
      </c>
      <c r="K275" s="12" t="str">
        <f t="shared" si="27"/>
        <v>02</v>
      </c>
      <c r="L275" s="12" t="str">
        <f t="shared" si="28"/>
        <v>2025</v>
      </c>
      <c r="M275" s="12">
        <f t="shared" si="29"/>
        <v>12</v>
      </c>
    </row>
    <row r="276" spans="1:13" x14ac:dyDescent="0.2">
      <c r="A276" s="23" t="s">
        <v>236</v>
      </c>
      <c r="B276" s="2" t="s">
        <v>33</v>
      </c>
      <c r="C276" s="2" t="s">
        <v>237</v>
      </c>
      <c r="D276" s="2" t="s">
        <v>141</v>
      </c>
      <c r="E276" s="17" t="s">
        <v>238</v>
      </c>
      <c r="F276" s="19" t="s">
        <v>985</v>
      </c>
      <c r="G276" s="18" t="str">
        <f t="shared" si="24"/>
        <v>JMF1E</v>
      </c>
      <c r="H276" s="11" t="str">
        <f>VLOOKUP($A276,[1]Sheet2!$I$2:$O$544,7,FALSE)</f>
        <v>https://hana.modakita.com/azd942/avatar/23773820251015151359FPX837.jpg</v>
      </c>
      <c r="I276" s="12">
        <f t="shared" si="25"/>
        <v>240</v>
      </c>
      <c r="J276" s="12" t="str">
        <f t="shared" si="26"/>
        <v>17</v>
      </c>
      <c r="K276" s="12" t="str">
        <f t="shared" si="27"/>
        <v>02</v>
      </c>
      <c r="L276" s="12" t="str">
        <f t="shared" si="28"/>
        <v>2025</v>
      </c>
      <c r="M276" s="12">
        <f t="shared" si="29"/>
        <v>12</v>
      </c>
    </row>
    <row r="277" spans="1:13" x14ac:dyDescent="0.2">
      <c r="A277" s="20" t="s">
        <v>767</v>
      </c>
      <c r="B277" s="2" t="s">
        <v>33</v>
      </c>
      <c r="C277" s="2" t="s">
        <v>371</v>
      </c>
      <c r="D277" s="2" t="s">
        <v>250</v>
      </c>
      <c r="E277" s="17" t="s">
        <v>768</v>
      </c>
      <c r="G277" s="18" t="str">
        <f t="shared" si="24"/>
        <v>JMC1E</v>
      </c>
      <c r="H277" s="11" t="str">
        <f>VLOOKUP($A277,[1]Sheet2!$I$2:$O$544,7,FALSE)</f>
        <v>https://fruitbasket.blob.core.windows.net/gk2o5k/avatar/210632084202510081523552UBLAD.jpg</v>
      </c>
      <c r="I277" s="12">
        <f t="shared" si="25"/>
        <v>242</v>
      </c>
      <c r="J277" s="12" t="str">
        <f t="shared" si="26"/>
        <v>08</v>
      </c>
      <c r="K277" s="12" t="str">
        <f t="shared" si="27"/>
        <v>02</v>
      </c>
      <c r="L277" s="12" t="str">
        <f t="shared" si="28"/>
        <v>2025</v>
      </c>
      <c r="M277" s="12">
        <f t="shared" si="29"/>
        <v>12</v>
      </c>
    </row>
    <row r="278" spans="1:13" x14ac:dyDescent="0.2">
      <c r="A278" s="20" t="s">
        <v>925</v>
      </c>
      <c r="B278" s="2" t="s">
        <v>15</v>
      </c>
      <c r="C278" s="2" t="s">
        <v>309</v>
      </c>
      <c r="D278" s="2" t="s">
        <v>926</v>
      </c>
      <c r="E278" s="17" t="s">
        <v>927</v>
      </c>
      <c r="G278" s="18" t="str">
        <f t="shared" si="24"/>
        <v>KC04E</v>
      </c>
      <c r="H278" s="11" t="str">
        <f>VLOOKUP($A278,[1]Sheet2!$I$2:$O$544,7,FALSE)</f>
        <v>https://hana.modakita.com/azd942/avatar/21394210620251025103001ZOS5OA.jpg</v>
      </c>
      <c r="I278" s="12">
        <f t="shared" si="25"/>
        <v>63</v>
      </c>
      <c r="J278" s="12" t="str">
        <f t="shared" si="26"/>
        <v>23</v>
      </c>
      <c r="K278" s="12" t="str">
        <f t="shared" si="27"/>
        <v>08</v>
      </c>
      <c r="L278" s="12" t="str">
        <f t="shared" si="28"/>
        <v>2025</v>
      </c>
      <c r="M278" s="12">
        <f t="shared" si="29"/>
        <v>12</v>
      </c>
    </row>
    <row r="279" spans="1:13" x14ac:dyDescent="0.2">
      <c r="A279" s="20" t="s">
        <v>398</v>
      </c>
      <c r="B279" s="2" t="s">
        <v>15</v>
      </c>
      <c r="C279" s="2" t="s">
        <v>107</v>
      </c>
      <c r="D279" s="2" t="s">
        <v>104</v>
      </c>
      <c r="E279" s="17" t="s">
        <v>399</v>
      </c>
      <c r="G279" s="18" t="str">
        <f t="shared" si="24"/>
        <v>JMH1E</v>
      </c>
      <c r="H279" s="11" t="str">
        <f>VLOOKUP($A279,[1]Sheet2!$I$2:$O$544,7,FALSE)</f>
        <v>https://fruitbasket.blob.core.windows.net/gk2o5k/avatar/23773820251006114624MBI8TD.jpg</v>
      </c>
      <c r="I279" s="12">
        <f t="shared" si="25"/>
        <v>61</v>
      </c>
      <c r="J279" s="12" t="str">
        <f t="shared" si="26"/>
        <v>06</v>
      </c>
      <c r="K279" s="12" t="str">
        <f t="shared" si="27"/>
        <v>08</v>
      </c>
      <c r="L279" s="12" t="str">
        <f t="shared" si="28"/>
        <v>2025</v>
      </c>
      <c r="M279" s="12">
        <f t="shared" si="29"/>
        <v>12</v>
      </c>
    </row>
    <row r="280" spans="1:13" x14ac:dyDescent="0.2">
      <c r="A280" s="20" t="s">
        <v>863</v>
      </c>
      <c r="B280" s="2" t="s">
        <v>15</v>
      </c>
      <c r="C280" s="2" t="s">
        <v>309</v>
      </c>
      <c r="D280" s="2" t="s">
        <v>216</v>
      </c>
      <c r="E280" s="17" t="s">
        <v>864</v>
      </c>
      <c r="G280" s="18" t="str">
        <f t="shared" si="24"/>
        <v>KF01E</v>
      </c>
      <c r="H280" s="11" t="str">
        <f>VLOOKUP($A280,[1]Sheet2!$I$2:$O$544,7,FALSE)</f>
        <v>https://hana.modakita.com/azd942/avatar/21394210620251020120732QNJYVF.jpg</v>
      </c>
      <c r="I280" s="12">
        <f t="shared" si="25"/>
        <v>58</v>
      </c>
      <c r="J280" s="12" t="str">
        <f t="shared" si="26"/>
        <v>23</v>
      </c>
      <c r="K280" s="12" t="str">
        <f t="shared" si="27"/>
        <v>08</v>
      </c>
      <c r="L280" s="12" t="str">
        <f t="shared" si="28"/>
        <v>2025</v>
      </c>
      <c r="M280" s="12">
        <f t="shared" si="29"/>
        <v>12</v>
      </c>
    </row>
    <row r="281" spans="1:13" x14ac:dyDescent="0.2">
      <c r="A281" s="20" t="s">
        <v>890</v>
      </c>
      <c r="B281" s="2" t="s">
        <v>33</v>
      </c>
      <c r="C281" s="2" t="s">
        <v>891</v>
      </c>
      <c r="D281" s="2" t="s">
        <v>121</v>
      </c>
      <c r="E281" s="17" t="s">
        <v>892</v>
      </c>
      <c r="G281" s="18" t="str">
        <f t="shared" si="24"/>
        <v>KF01E</v>
      </c>
      <c r="H281" s="11" t="str">
        <f>VLOOKUP($A281,[1]Sheet2!$I$2:$O$544,7,FALSE)</f>
        <v>https://hana.modakita.com/azd942/avatar/213012312202510100845564NAI0L.jpg</v>
      </c>
      <c r="I281" s="12">
        <f t="shared" si="25"/>
        <v>213</v>
      </c>
      <c r="J281" s="12" t="str">
        <f t="shared" si="26"/>
        <v>11</v>
      </c>
      <c r="K281" s="12" t="str">
        <f t="shared" si="27"/>
        <v>03</v>
      </c>
      <c r="L281" s="12" t="str">
        <f t="shared" si="28"/>
        <v>2025</v>
      </c>
      <c r="M281" s="12">
        <f t="shared" si="29"/>
        <v>12</v>
      </c>
    </row>
    <row r="282" spans="1:13" x14ac:dyDescent="0.2">
      <c r="A282" s="20" t="s">
        <v>140</v>
      </c>
      <c r="B282" s="2" t="s">
        <v>15</v>
      </c>
      <c r="C282" s="2" t="s">
        <v>120</v>
      </c>
      <c r="D282" s="2" t="s">
        <v>141</v>
      </c>
      <c r="E282" s="17" t="s">
        <v>142</v>
      </c>
      <c r="G282" s="18" t="str">
        <f t="shared" si="24"/>
        <v>JME1E</v>
      </c>
      <c r="H282" s="11" t="str">
        <f>VLOOKUP($A282,[1]Sheet2!$I$2:$O$544,7,FALSE)</f>
        <v>https://hana.modakita.com/azd942/avatar/23773820251015091934CDOYYS.jpg</v>
      </c>
      <c r="I282" s="12">
        <f t="shared" si="25"/>
        <v>65</v>
      </c>
      <c r="J282" s="12" t="str">
        <f t="shared" si="26"/>
        <v>11</v>
      </c>
      <c r="K282" s="12" t="str">
        <f t="shared" si="27"/>
        <v>08</v>
      </c>
      <c r="L282" s="12" t="str">
        <f t="shared" si="28"/>
        <v>2025</v>
      </c>
      <c r="M282" s="12">
        <f t="shared" si="29"/>
        <v>12</v>
      </c>
    </row>
    <row r="283" spans="1:13" x14ac:dyDescent="0.2">
      <c r="A283" s="20" t="s">
        <v>424</v>
      </c>
      <c r="B283" s="2" t="s">
        <v>15</v>
      </c>
      <c r="C283" s="2" t="s">
        <v>337</v>
      </c>
      <c r="D283" s="2" t="s">
        <v>147</v>
      </c>
      <c r="E283" s="17" t="s">
        <v>425</v>
      </c>
      <c r="G283" s="18" t="str">
        <f t="shared" si="24"/>
        <v>JMH1E</v>
      </c>
      <c r="H283" s="11" t="str">
        <f>VLOOKUP($A283,[1]Sheet2!$I$2:$O$544,7,FALSE)</f>
        <v>https://hana.modakita.com/azd942/avatar/213942106202510170918248UBWWL.jpg</v>
      </c>
      <c r="I283" s="12">
        <f t="shared" si="25"/>
        <v>62</v>
      </c>
      <c r="J283" s="12" t="str">
        <f t="shared" si="26"/>
        <v>16</v>
      </c>
      <c r="K283" s="12" t="str">
        <f t="shared" si="27"/>
        <v>08</v>
      </c>
      <c r="L283" s="12" t="str">
        <f t="shared" si="28"/>
        <v>2025</v>
      </c>
      <c r="M283" s="12">
        <f t="shared" si="29"/>
        <v>12</v>
      </c>
    </row>
    <row r="284" spans="1:13" x14ac:dyDescent="0.2">
      <c r="A284" s="20" t="s">
        <v>686</v>
      </c>
      <c r="B284" s="2" t="s">
        <v>15</v>
      </c>
      <c r="C284" s="2" t="s">
        <v>160</v>
      </c>
      <c r="D284" s="2" t="s">
        <v>168</v>
      </c>
      <c r="E284" s="17" t="s">
        <v>425</v>
      </c>
      <c r="G284" s="18" t="str">
        <f t="shared" si="24"/>
        <v>JMC1E</v>
      </c>
      <c r="H284" s="11" t="str">
        <f>VLOOKUP($A284,[1]Sheet2!$I$2:$O$544,7,FALSE)</f>
        <v>https://hana.modakita.com/azd942/avatar/23773820251022114010ER9WO4.jpg</v>
      </c>
      <c r="I284" s="12">
        <f t="shared" si="25"/>
        <v>54</v>
      </c>
      <c r="J284" s="12" t="str">
        <f t="shared" si="26"/>
        <v>29</v>
      </c>
      <c r="K284" s="12" t="str">
        <f t="shared" si="27"/>
        <v>08</v>
      </c>
      <c r="L284" s="12" t="str">
        <f t="shared" si="28"/>
        <v>2025</v>
      </c>
      <c r="M284" s="12">
        <f t="shared" si="29"/>
        <v>12</v>
      </c>
    </row>
    <row r="285" spans="1:13" x14ac:dyDescent="0.2">
      <c r="A285" s="20" t="s">
        <v>763</v>
      </c>
      <c r="B285" s="2" t="s">
        <v>33</v>
      </c>
      <c r="C285" s="2" t="s">
        <v>368</v>
      </c>
      <c r="D285" s="2" t="s">
        <v>113</v>
      </c>
      <c r="E285" s="17" t="s">
        <v>764</v>
      </c>
      <c r="G285" s="18" t="str">
        <f t="shared" si="24"/>
        <v>JMD1E</v>
      </c>
      <c r="H285" s="11" t="str">
        <f>VLOOKUP($A285,[1]Sheet2!$I$2:$O$544,7,FALSE)</f>
        <v>https://fruitbasket.blob.core.windows.net/gk2o5k/avatar/210632084202510071201592IK7WN.jpg</v>
      </c>
      <c r="I285" s="12">
        <f t="shared" si="25"/>
        <v>242</v>
      </c>
      <c r="J285" s="12" t="str">
        <f t="shared" si="26"/>
        <v>07</v>
      </c>
      <c r="K285" s="12" t="str">
        <f t="shared" si="27"/>
        <v>02</v>
      </c>
      <c r="L285" s="12" t="str">
        <f t="shared" si="28"/>
        <v>2025</v>
      </c>
      <c r="M285" s="12">
        <f t="shared" si="29"/>
        <v>12</v>
      </c>
    </row>
    <row r="286" spans="1:13" x14ac:dyDescent="0.2">
      <c r="A286" s="20" t="s">
        <v>673</v>
      </c>
      <c r="B286" s="2" t="s">
        <v>15</v>
      </c>
      <c r="C286" s="2" t="s">
        <v>309</v>
      </c>
      <c r="D286" s="2" t="s">
        <v>216</v>
      </c>
      <c r="E286" s="17" t="s">
        <v>674</v>
      </c>
      <c r="G286" s="18" t="str">
        <f t="shared" si="24"/>
        <v>JMD1E</v>
      </c>
      <c r="H286" s="11" t="str">
        <f>VLOOKUP($A286,[1]Sheet2!$I$2:$O$544,7,FALSE)</f>
        <v>https://hana.modakita.com/azd942/avatar/21301231220251020114041Q1E5UM.jpg</v>
      </c>
      <c r="I286" s="12">
        <f t="shared" si="25"/>
        <v>58</v>
      </c>
      <c r="J286" s="12" t="str">
        <f t="shared" si="26"/>
        <v>23</v>
      </c>
      <c r="K286" s="12" t="str">
        <f t="shared" si="27"/>
        <v>08</v>
      </c>
      <c r="L286" s="12" t="str">
        <f t="shared" si="28"/>
        <v>2025</v>
      </c>
      <c r="M286" s="12">
        <f t="shared" si="29"/>
        <v>12</v>
      </c>
    </row>
    <row r="287" spans="1:13" x14ac:dyDescent="0.2">
      <c r="A287" s="20" t="s">
        <v>678</v>
      </c>
      <c r="B287" s="2" t="s">
        <v>15</v>
      </c>
      <c r="C287" s="2" t="s">
        <v>163</v>
      </c>
      <c r="D287" s="2" t="s">
        <v>164</v>
      </c>
      <c r="E287" s="17" t="s">
        <v>679</v>
      </c>
      <c r="G287" s="18" t="str">
        <f t="shared" si="24"/>
        <v>JMC1E</v>
      </c>
      <c r="H287" s="11" t="str">
        <f>VLOOKUP($A287,[1]Sheet2!$I$2:$O$544,7,FALSE)</f>
        <v>https://hana.modakita.com/azd942/avatar/23773820251021091205EOQGSZ.jpg</v>
      </c>
      <c r="I287" s="12">
        <f t="shared" si="25"/>
        <v>57</v>
      </c>
      <c r="J287" s="12" t="str">
        <f t="shared" si="26"/>
        <v>25</v>
      </c>
      <c r="K287" s="12" t="str">
        <f t="shared" si="27"/>
        <v>08</v>
      </c>
      <c r="L287" s="12" t="str">
        <f t="shared" si="28"/>
        <v>2025</v>
      </c>
      <c r="M287" s="12">
        <f t="shared" si="29"/>
        <v>12</v>
      </c>
    </row>
    <row r="288" spans="1:13" x14ac:dyDescent="0.2">
      <c r="A288" s="20" t="s">
        <v>901</v>
      </c>
      <c r="B288" s="2" t="s">
        <v>15</v>
      </c>
      <c r="C288" s="2" t="s">
        <v>99</v>
      </c>
      <c r="D288" s="2" t="s">
        <v>179</v>
      </c>
      <c r="E288" s="17" t="s">
        <v>902</v>
      </c>
      <c r="G288" s="18" t="str">
        <f t="shared" si="24"/>
        <v>KC04E</v>
      </c>
      <c r="H288" s="11" t="str">
        <f>VLOOKUP($A288,[1]Sheet2!$I$2:$O$544,7,FALSE)</f>
        <v>https://fruitbasket.blob.core.windows.net/gk2o5k/avatar/237738202510040944373MUWRA.jpg</v>
      </c>
      <c r="I288" s="12">
        <f t="shared" si="25"/>
        <v>64</v>
      </c>
      <c r="J288" s="12" t="str">
        <f t="shared" si="26"/>
        <v>01</v>
      </c>
      <c r="K288" s="12" t="str">
        <f t="shared" si="27"/>
        <v>08</v>
      </c>
      <c r="L288" s="12" t="str">
        <f t="shared" si="28"/>
        <v>2025</v>
      </c>
      <c r="M288" s="12">
        <f t="shared" si="29"/>
        <v>12</v>
      </c>
    </row>
    <row r="289" spans="1:13" x14ac:dyDescent="0.2">
      <c r="A289" s="20" t="s">
        <v>303</v>
      </c>
      <c r="B289" s="2" t="s">
        <v>15</v>
      </c>
      <c r="C289" s="2" t="s">
        <v>304</v>
      </c>
      <c r="D289" s="2" t="s">
        <v>154</v>
      </c>
      <c r="E289" s="17" t="s">
        <v>305</v>
      </c>
      <c r="G289" s="18" t="str">
        <f t="shared" si="24"/>
        <v>KFE3E</v>
      </c>
      <c r="H289" s="11" t="str">
        <f>VLOOKUP($A289,[1]Sheet2!$I$2:$O$544,7,FALSE)</f>
        <v>https://hana.modakita.com/azd942/avatar/23773820251018103029ELI0IJ.jpg</v>
      </c>
      <c r="I289" s="12">
        <f t="shared" si="25"/>
        <v>58</v>
      </c>
      <c r="J289" s="12" t="str">
        <f t="shared" si="26"/>
        <v>21</v>
      </c>
      <c r="K289" s="12" t="str">
        <f t="shared" si="27"/>
        <v>08</v>
      </c>
      <c r="L289" s="12" t="str">
        <f t="shared" si="28"/>
        <v>2025</v>
      </c>
      <c r="M289" s="12">
        <f t="shared" si="29"/>
        <v>12</v>
      </c>
    </row>
    <row r="290" spans="1:13" x14ac:dyDescent="0.2">
      <c r="A290" s="20" t="s">
        <v>560</v>
      </c>
      <c r="B290" s="2" t="s">
        <v>33</v>
      </c>
      <c r="C290" s="2" t="s">
        <v>558</v>
      </c>
      <c r="D290" s="2" t="s">
        <v>164</v>
      </c>
      <c r="E290" s="17" t="s">
        <v>561</v>
      </c>
      <c r="G290" s="18" t="str">
        <f t="shared" si="24"/>
        <v>KFD1E</v>
      </c>
      <c r="H290" s="11" t="str">
        <f>VLOOKUP($A290,[1]Sheet2!$I$2:$O$544,7,FALSE)</f>
        <v>https://hana.modakita.com/azd942/avatar/210632084202510211427169HGCVX.jpg</v>
      </c>
      <c r="I290" s="12">
        <f t="shared" si="25"/>
        <v>237</v>
      </c>
      <c r="J290" s="12" t="str">
        <f t="shared" si="26"/>
        <v>26</v>
      </c>
      <c r="K290" s="12" t="str">
        <f t="shared" si="27"/>
        <v>02</v>
      </c>
      <c r="L290" s="12" t="str">
        <f t="shared" si="28"/>
        <v>2025</v>
      </c>
      <c r="M290" s="12">
        <f t="shared" si="29"/>
        <v>12</v>
      </c>
    </row>
    <row r="291" spans="1:13" x14ac:dyDescent="0.2">
      <c r="A291" s="20" t="s">
        <v>854</v>
      </c>
      <c r="B291" s="2" t="s">
        <v>15</v>
      </c>
      <c r="C291" s="2" t="s">
        <v>127</v>
      </c>
      <c r="D291" s="2" t="s">
        <v>131</v>
      </c>
      <c r="E291" s="17" t="s">
        <v>855</v>
      </c>
      <c r="G291" s="18" t="str">
        <f t="shared" si="24"/>
        <v>KFA1E</v>
      </c>
      <c r="H291" s="11" t="str">
        <f>VLOOKUP($A291,[1]Sheet2!$I$2:$O$544,7,FALSE)</f>
        <v>https://hana.modakita.com/azd942/avatar/210632084202510131140210NQRC6.jpg</v>
      </c>
      <c r="I291" s="12">
        <f t="shared" si="25"/>
        <v>60</v>
      </c>
      <c r="J291" s="12" t="str">
        <f t="shared" si="26"/>
        <v>14</v>
      </c>
      <c r="K291" s="12" t="str">
        <f t="shared" si="27"/>
        <v>08</v>
      </c>
      <c r="L291" s="12" t="str">
        <f t="shared" si="28"/>
        <v>2025</v>
      </c>
      <c r="M291" s="12">
        <f t="shared" si="29"/>
        <v>12</v>
      </c>
    </row>
    <row r="292" spans="1:13" x14ac:dyDescent="0.2">
      <c r="A292" s="20" t="s">
        <v>653</v>
      </c>
      <c r="B292" s="2" t="s">
        <v>15</v>
      </c>
      <c r="C292" s="2" t="s">
        <v>150</v>
      </c>
      <c r="D292" s="2" t="s">
        <v>458</v>
      </c>
      <c r="E292" s="17" t="s">
        <v>654</v>
      </c>
      <c r="G292" s="18" t="str">
        <f t="shared" si="24"/>
        <v>JMD1E</v>
      </c>
      <c r="H292" s="11" t="str">
        <f>VLOOKUP($A292,[1]Sheet2!$I$2:$O$544,7,FALSE)</f>
        <v>https://hana.modakita.com/azd942/avatar/213012312202510160928375BUVKV.jpg</v>
      </c>
      <c r="I292" s="12">
        <f t="shared" si="25"/>
        <v>59</v>
      </c>
      <c r="J292" s="12" t="str">
        <f t="shared" si="26"/>
        <v>18</v>
      </c>
      <c r="K292" s="12" t="str">
        <f t="shared" si="27"/>
        <v>08</v>
      </c>
      <c r="L292" s="12" t="str">
        <f t="shared" si="28"/>
        <v>2025</v>
      </c>
      <c r="M292" s="12">
        <f t="shared" si="29"/>
        <v>12</v>
      </c>
    </row>
    <row r="293" spans="1:13" x14ac:dyDescent="0.2">
      <c r="A293" s="20" t="s">
        <v>685</v>
      </c>
      <c r="B293" s="2" t="s">
        <v>15</v>
      </c>
      <c r="C293" s="2" t="s">
        <v>160</v>
      </c>
      <c r="D293" s="2" t="s">
        <v>168</v>
      </c>
      <c r="E293" s="17" t="s">
        <v>654</v>
      </c>
      <c r="G293" s="18" t="str">
        <f t="shared" si="24"/>
        <v>JMD1E</v>
      </c>
      <c r="H293" s="11" t="str">
        <f>VLOOKUP($A293,[1]Sheet2!$I$2:$O$544,7,FALSE)</f>
        <v>https://hana.modakita.com/azd942/avatar/21394210620251022103902MRYAR9.jpg</v>
      </c>
      <c r="I293" s="12">
        <f t="shared" si="25"/>
        <v>54</v>
      </c>
      <c r="J293" s="12" t="str">
        <f t="shared" si="26"/>
        <v>29</v>
      </c>
      <c r="K293" s="12" t="str">
        <f t="shared" si="27"/>
        <v>08</v>
      </c>
      <c r="L293" s="12" t="str">
        <f t="shared" si="28"/>
        <v>2025</v>
      </c>
      <c r="M293" s="12">
        <f t="shared" si="29"/>
        <v>12</v>
      </c>
    </row>
    <row r="294" spans="1:13" x14ac:dyDescent="0.2">
      <c r="A294" s="20" t="s">
        <v>844</v>
      </c>
      <c r="B294" s="2" t="s">
        <v>15</v>
      </c>
      <c r="C294" s="2" t="s">
        <v>295</v>
      </c>
      <c r="D294" s="2" t="s">
        <v>113</v>
      </c>
      <c r="E294" s="17" t="s">
        <v>845</v>
      </c>
      <c r="G294" s="18" t="str">
        <f t="shared" si="24"/>
        <v>KFA1E</v>
      </c>
      <c r="H294" s="11" t="str">
        <f>VLOOKUP($A294,[1]Sheet2!$I$2:$O$544,7,FALSE)</f>
        <v>https://fruitbasket.blob.core.windows.net/gk2o5k/avatar/21063208420251007154212YYTXTF.jpg</v>
      </c>
      <c r="I294" s="12">
        <f t="shared" si="25"/>
        <v>60</v>
      </c>
      <c r="J294" s="12" t="str">
        <f t="shared" si="26"/>
        <v>08</v>
      </c>
      <c r="K294" s="12" t="str">
        <f t="shared" si="27"/>
        <v>08</v>
      </c>
      <c r="L294" s="12" t="str">
        <f t="shared" si="28"/>
        <v>2025</v>
      </c>
      <c r="M294" s="12">
        <f t="shared" si="29"/>
        <v>12</v>
      </c>
    </row>
    <row r="295" spans="1:13" x14ac:dyDescent="0.2">
      <c r="A295" s="20" t="s">
        <v>600</v>
      </c>
      <c r="B295" s="2" t="s">
        <v>15</v>
      </c>
      <c r="C295" s="2" t="s">
        <v>416</v>
      </c>
      <c r="D295" s="2" t="s">
        <v>113</v>
      </c>
      <c r="E295" s="17" t="s">
        <v>601</v>
      </c>
      <c r="G295" s="18" t="str">
        <f t="shared" si="24"/>
        <v>JMC1E</v>
      </c>
      <c r="H295" s="11" t="str">
        <f>VLOOKUP($A295,[1]Sheet2!$I$2:$O$544,7,FALSE)</f>
        <v>https://fruitbasket.blob.core.windows.net/gk2o5k/avatar/23773820251007090015XW0YK2.jpg</v>
      </c>
      <c r="I295" s="12">
        <f t="shared" si="25"/>
        <v>63</v>
      </c>
      <c r="J295" s="12" t="str">
        <f t="shared" si="26"/>
        <v>05</v>
      </c>
      <c r="K295" s="12" t="str">
        <f t="shared" si="27"/>
        <v>08</v>
      </c>
      <c r="L295" s="12" t="str">
        <f t="shared" si="28"/>
        <v>2025</v>
      </c>
      <c r="M295" s="12">
        <f t="shared" si="29"/>
        <v>12</v>
      </c>
    </row>
    <row r="296" spans="1:13" x14ac:dyDescent="0.2">
      <c r="A296" s="20" t="s">
        <v>408</v>
      </c>
      <c r="B296" s="2" t="s">
        <v>15</v>
      </c>
      <c r="C296" s="2" t="s">
        <v>295</v>
      </c>
      <c r="D296" s="2" t="s">
        <v>117</v>
      </c>
      <c r="E296" s="17" t="s">
        <v>409</v>
      </c>
      <c r="G296" s="18" t="str">
        <f t="shared" si="24"/>
        <v>JMH1E</v>
      </c>
      <c r="H296" s="11" t="str">
        <f>VLOOKUP($A296,[1]Sheet2!$I$2:$O$544,7,FALSE)</f>
        <v>https://fruitbasket.blob.core.windows.net/gk2o5k/avatar/21063208420251009084105IPRWMD.jpg</v>
      </c>
      <c r="I296" s="12">
        <f t="shared" si="25"/>
        <v>62</v>
      </c>
      <c r="J296" s="12" t="str">
        <f t="shared" si="26"/>
        <v>08</v>
      </c>
      <c r="K296" s="12" t="str">
        <f t="shared" si="27"/>
        <v>08</v>
      </c>
      <c r="L296" s="12" t="str">
        <f t="shared" si="28"/>
        <v>2025</v>
      </c>
      <c r="M296" s="12">
        <f t="shared" si="29"/>
        <v>12</v>
      </c>
    </row>
    <row r="297" spans="1:13" x14ac:dyDescent="0.2">
      <c r="A297" s="20" t="s">
        <v>916</v>
      </c>
      <c r="B297" s="2" t="s">
        <v>15</v>
      </c>
      <c r="C297" s="2" t="s">
        <v>618</v>
      </c>
      <c r="D297" s="2" t="s">
        <v>458</v>
      </c>
      <c r="E297" s="17" t="s">
        <v>917</v>
      </c>
      <c r="G297" s="18" t="str">
        <f t="shared" si="24"/>
        <v>KC04E</v>
      </c>
      <c r="H297" s="11" t="str">
        <f>VLOOKUP($A297,[1]Sheet2!$I$2:$O$544,7,FALSE)</f>
        <v>https://hana.modakita.com/azd942/avatar/21063208420251016151131J42MOQ.jpg</v>
      </c>
      <c r="I297" s="12">
        <f t="shared" si="25"/>
        <v>65</v>
      </c>
      <c r="J297" s="12" t="str">
        <f t="shared" si="26"/>
        <v>12</v>
      </c>
      <c r="K297" s="12" t="str">
        <f t="shared" si="27"/>
        <v>08</v>
      </c>
      <c r="L297" s="12" t="str">
        <f t="shared" si="28"/>
        <v>2025</v>
      </c>
      <c r="M297" s="12">
        <f t="shared" si="29"/>
        <v>12</v>
      </c>
    </row>
    <row r="298" spans="1:13" x14ac:dyDescent="0.2">
      <c r="A298" s="20" t="s">
        <v>545</v>
      </c>
      <c r="B298" s="2" t="s">
        <v>33</v>
      </c>
      <c r="C298" s="2" t="s">
        <v>234</v>
      </c>
      <c r="D298" s="2" t="s">
        <v>141</v>
      </c>
      <c r="E298" s="17" t="s">
        <v>546</v>
      </c>
      <c r="G298" s="18" t="str">
        <f t="shared" si="24"/>
        <v>KFC1E</v>
      </c>
      <c r="H298" s="11" t="str">
        <f>VLOOKUP($A298,[1]Sheet2!$I$2:$O$544,7,FALSE)</f>
        <v>https://hana.modakita.com/azd942/avatar/23773820251015110738HHHQUS.jpg</v>
      </c>
      <c r="I298" s="12">
        <f t="shared" si="25"/>
        <v>242</v>
      </c>
      <c r="J298" s="12" t="str">
        <f t="shared" si="26"/>
        <v>15</v>
      </c>
      <c r="K298" s="12" t="str">
        <f t="shared" si="27"/>
        <v>02</v>
      </c>
      <c r="L298" s="12" t="str">
        <f t="shared" si="28"/>
        <v>2025</v>
      </c>
      <c r="M298" s="12">
        <f t="shared" si="29"/>
        <v>12</v>
      </c>
    </row>
    <row r="299" spans="1:13" x14ac:dyDescent="0.2">
      <c r="A299" s="20" t="s">
        <v>330</v>
      </c>
      <c r="B299" s="2" t="s">
        <v>15</v>
      </c>
      <c r="C299" s="2" t="s">
        <v>99</v>
      </c>
      <c r="D299" s="2" t="s">
        <v>100</v>
      </c>
      <c r="E299" s="17" t="s">
        <v>331</v>
      </c>
      <c r="G299" s="18" t="str">
        <f t="shared" si="24"/>
        <v>JBK3E</v>
      </c>
      <c r="H299" s="11" t="str">
        <f>VLOOKUP($A299,[1]Sheet2!$I$2:$O$544,7,FALSE)</f>
        <v>https://fruitbasket.blob.core.windows.net/gk2o5k/avatar/210632084202510031607340M7KPJ.jpg</v>
      </c>
      <c r="I299" s="12">
        <f t="shared" si="25"/>
        <v>63</v>
      </c>
      <c r="J299" s="12" t="str">
        <f t="shared" si="26"/>
        <v>01</v>
      </c>
      <c r="K299" s="12" t="str">
        <f t="shared" si="27"/>
        <v>08</v>
      </c>
      <c r="L299" s="12" t="str">
        <f t="shared" si="28"/>
        <v>2025</v>
      </c>
      <c r="M299" s="12">
        <f t="shared" si="29"/>
        <v>12</v>
      </c>
    </row>
    <row r="300" spans="1:13" x14ac:dyDescent="0.2">
      <c r="A300" s="20" t="s">
        <v>628</v>
      </c>
      <c r="B300" s="2" t="s">
        <v>15</v>
      </c>
      <c r="C300" s="2" t="s">
        <v>280</v>
      </c>
      <c r="D300" s="2" t="s">
        <v>128</v>
      </c>
      <c r="E300" s="17" t="s">
        <v>629</v>
      </c>
      <c r="G300" s="18" t="str">
        <f t="shared" si="24"/>
        <v>JMD1E</v>
      </c>
      <c r="H300" s="11" t="str">
        <f>VLOOKUP($A300,[1]Sheet2!$I$2:$O$544,7,FALSE)</f>
        <v>https://hana.modakita.com/azd942/avatar/21301231220251011133728OHMRSJ.jpg</v>
      </c>
      <c r="I300" s="12">
        <f t="shared" si="25"/>
        <v>59</v>
      </c>
      <c r="J300" s="12" t="str">
        <f t="shared" si="26"/>
        <v>13</v>
      </c>
      <c r="K300" s="12" t="str">
        <f t="shared" si="27"/>
        <v>08</v>
      </c>
      <c r="L300" s="12" t="str">
        <f t="shared" si="28"/>
        <v>2025</v>
      </c>
      <c r="M300" s="12">
        <f t="shared" si="29"/>
        <v>12</v>
      </c>
    </row>
    <row r="301" spans="1:13" x14ac:dyDescent="0.2">
      <c r="A301" s="20" t="s">
        <v>791</v>
      </c>
      <c r="B301" s="2" t="s">
        <v>33</v>
      </c>
      <c r="C301" s="2" t="s">
        <v>789</v>
      </c>
      <c r="D301" s="2" t="s">
        <v>458</v>
      </c>
      <c r="E301" s="17" t="s">
        <v>792</v>
      </c>
      <c r="G301" s="18" t="str">
        <f t="shared" si="24"/>
        <v>JMC1E</v>
      </c>
      <c r="H301" s="11" t="str">
        <f>VLOOKUP($A301,[1]Sheet2!$I$2:$O$544,7,FALSE)</f>
        <v>https://hana.modakita.com/azd942/avatar/23773820251016152419X4KKHH.jpg</v>
      </c>
      <c r="I301" s="12">
        <f t="shared" si="25"/>
        <v>240</v>
      </c>
      <c r="J301" s="12" t="str">
        <f t="shared" si="26"/>
        <v>18</v>
      </c>
      <c r="K301" s="12" t="str">
        <f t="shared" si="27"/>
        <v>02</v>
      </c>
      <c r="L301" s="12" t="str">
        <f t="shared" si="28"/>
        <v>2025</v>
      </c>
      <c r="M301" s="12">
        <f t="shared" si="29"/>
        <v>12</v>
      </c>
    </row>
    <row r="302" spans="1:13" x14ac:dyDescent="0.2">
      <c r="A302" s="20" t="s">
        <v>279</v>
      </c>
      <c r="B302" s="2" t="s">
        <v>15</v>
      </c>
      <c r="C302" s="2" t="s">
        <v>280</v>
      </c>
      <c r="D302" s="2" t="s">
        <v>147</v>
      </c>
      <c r="E302" s="17" t="s">
        <v>281</v>
      </c>
      <c r="G302" s="18" t="str">
        <f t="shared" si="24"/>
        <v>JMB1E</v>
      </c>
      <c r="H302" s="11" t="str">
        <f>VLOOKUP($A302,[1]Sheet2!$I$2:$O$544,7,FALSE)</f>
        <v>https://hana.modakita.com/azd942/avatar/23773820251017142119SRYITJ.jpg</v>
      </c>
      <c r="I302" s="12">
        <f t="shared" si="25"/>
        <v>65</v>
      </c>
      <c r="J302" s="12" t="str">
        <f t="shared" si="26"/>
        <v>13</v>
      </c>
      <c r="K302" s="12" t="str">
        <f t="shared" si="27"/>
        <v>08</v>
      </c>
      <c r="L302" s="12" t="str">
        <f t="shared" si="28"/>
        <v>2025</v>
      </c>
      <c r="M302" s="12">
        <f t="shared" si="29"/>
        <v>12</v>
      </c>
    </row>
    <row r="303" spans="1:13" x14ac:dyDescent="0.2">
      <c r="A303" s="20" t="s">
        <v>227</v>
      </c>
      <c r="B303" s="2" t="s">
        <v>33</v>
      </c>
      <c r="C303" s="2" t="s">
        <v>228</v>
      </c>
      <c r="D303" s="2" t="s">
        <v>179</v>
      </c>
      <c r="E303" s="17" t="s">
        <v>229</v>
      </c>
      <c r="G303" s="18" t="str">
        <f t="shared" si="24"/>
        <v>JME1E</v>
      </c>
      <c r="H303" s="11" t="str">
        <f>VLOOKUP($A303,[1]Sheet2!$I$2:$O$544,7,FALSE)</f>
        <v>https://fruitbasket.blob.core.windows.net/gk2o5k/avatar/23773820251004113945WHWF3B.jpg</v>
      </c>
      <c r="I303" s="12">
        <f t="shared" si="25"/>
        <v>243</v>
      </c>
      <c r="J303" s="12" t="str">
        <f t="shared" si="26"/>
        <v>03</v>
      </c>
      <c r="K303" s="12" t="str">
        <f t="shared" si="27"/>
        <v>02</v>
      </c>
      <c r="L303" s="12" t="str">
        <f t="shared" si="28"/>
        <v>2025</v>
      </c>
      <c r="M303" s="12">
        <f t="shared" si="29"/>
        <v>12</v>
      </c>
    </row>
    <row r="304" spans="1:13" x14ac:dyDescent="0.2">
      <c r="A304" s="23" t="s">
        <v>753</v>
      </c>
      <c r="B304" s="2" t="s">
        <v>33</v>
      </c>
      <c r="C304" s="2" t="s">
        <v>471</v>
      </c>
      <c r="D304" s="2" t="s">
        <v>113</v>
      </c>
      <c r="E304" s="2" t="s">
        <v>754</v>
      </c>
      <c r="F304" s="19" t="s">
        <v>973</v>
      </c>
      <c r="G304" t="str">
        <f t="shared" si="24"/>
        <v>JMD1E</v>
      </c>
      <c r="H304" s="11" t="str">
        <f>VLOOKUP($A304,[1]Sheet2!$I$2:$O$544,7,FALSE)</f>
        <v>https://fruitbasket.blob.core.windows.net/gk2o5k/avatar/21063208420251007093514NKYWPC.jpg</v>
      </c>
      <c r="I304" s="12">
        <f t="shared" si="25"/>
        <v>244</v>
      </c>
      <c r="J304" s="12" t="str">
        <f t="shared" si="26"/>
        <v>05</v>
      </c>
      <c r="K304" s="12" t="str">
        <f t="shared" si="27"/>
        <v>02</v>
      </c>
      <c r="L304" s="12" t="str">
        <f t="shared" si="28"/>
        <v>2025</v>
      </c>
      <c r="M304" s="12">
        <f t="shared" si="29"/>
        <v>12</v>
      </c>
    </row>
    <row r="305" spans="1:13" x14ac:dyDescent="0.2">
      <c r="A305" s="23" t="s">
        <v>781</v>
      </c>
      <c r="B305" s="2" t="s">
        <v>33</v>
      </c>
      <c r="C305" s="2" t="s">
        <v>234</v>
      </c>
      <c r="D305" s="2" t="s">
        <v>138</v>
      </c>
      <c r="E305" s="2" t="s">
        <v>754</v>
      </c>
      <c r="F305" s="19" t="s">
        <v>973</v>
      </c>
      <c r="G305" t="str">
        <f t="shared" si="24"/>
        <v>JMD1E</v>
      </c>
      <c r="H305" s="11" t="str">
        <f>VLOOKUP($A305,[1]Sheet2!$I$2:$O$544,7,FALSE)</f>
        <v>https://hana.modakita.com/azd942/avatar/21301231220251014084803D2CNU0.jpg</v>
      </c>
      <c r="I305" s="12">
        <f t="shared" si="25"/>
        <v>241</v>
      </c>
      <c r="J305" s="12" t="str">
        <f t="shared" si="26"/>
        <v>15</v>
      </c>
      <c r="K305" s="12" t="str">
        <f t="shared" si="27"/>
        <v>02</v>
      </c>
      <c r="L305" s="12" t="str">
        <f t="shared" si="28"/>
        <v>2025</v>
      </c>
      <c r="M305" s="12">
        <f t="shared" si="29"/>
        <v>12</v>
      </c>
    </row>
    <row r="306" spans="1:13" x14ac:dyDescent="0.2">
      <c r="A306" s="20" t="s">
        <v>944</v>
      </c>
      <c r="B306" s="2" t="s">
        <v>33</v>
      </c>
      <c r="C306" s="2" t="s">
        <v>789</v>
      </c>
      <c r="D306" s="2" t="s">
        <v>147</v>
      </c>
      <c r="E306" s="17" t="s">
        <v>945</v>
      </c>
      <c r="G306" s="18" t="str">
        <f t="shared" si="24"/>
        <v>KC02E</v>
      </c>
      <c r="H306" s="11" t="str">
        <f>VLOOKUP($A306,[1]Sheet2!$I$2:$O$544,7,FALSE)</f>
        <v>https://hana.modakita.com/azd942/avatar/21063208420251017143013JLSGA6.jpg</v>
      </c>
      <c r="I306" s="12">
        <f t="shared" si="25"/>
        <v>241</v>
      </c>
      <c r="J306" s="12" t="str">
        <f t="shared" si="26"/>
        <v>18</v>
      </c>
      <c r="K306" s="12" t="str">
        <f t="shared" si="27"/>
        <v>02</v>
      </c>
      <c r="L306" s="12" t="str">
        <f t="shared" si="28"/>
        <v>2025</v>
      </c>
      <c r="M306" s="12">
        <f t="shared" si="29"/>
        <v>12</v>
      </c>
    </row>
    <row r="307" spans="1:13" x14ac:dyDescent="0.2">
      <c r="A307" s="20" t="s">
        <v>346</v>
      </c>
      <c r="B307" s="2" t="s">
        <v>15</v>
      </c>
      <c r="C307" s="2" t="s">
        <v>163</v>
      </c>
      <c r="D307" s="2" t="s">
        <v>164</v>
      </c>
      <c r="E307" s="17" t="s">
        <v>347</v>
      </c>
      <c r="G307" s="18" t="str">
        <f t="shared" si="24"/>
        <v>JBK1E</v>
      </c>
      <c r="H307" s="11" t="str">
        <f>VLOOKUP($A307,[1]Sheet2!$I$2:$O$544,7,FALSE)</f>
        <v>https://hana.modakita.com/azd942/avatar/23773820251021110900HY7QK6.jpg</v>
      </c>
      <c r="I307" s="12">
        <f t="shared" si="25"/>
        <v>57</v>
      </c>
      <c r="J307" s="12" t="str">
        <f t="shared" si="26"/>
        <v>25</v>
      </c>
      <c r="K307" s="12" t="str">
        <f t="shared" si="27"/>
        <v>08</v>
      </c>
      <c r="L307" s="12" t="str">
        <f t="shared" si="28"/>
        <v>2025</v>
      </c>
      <c r="M307" s="12">
        <f t="shared" si="29"/>
        <v>12</v>
      </c>
    </row>
    <row r="308" spans="1:13" x14ac:dyDescent="0.2">
      <c r="A308" s="20" t="s">
        <v>842</v>
      </c>
      <c r="B308" s="2" t="s">
        <v>15</v>
      </c>
      <c r="C308" s="2" t="s">
        <v>112</v>
      </c>
      <c r="D308" s="2" t="s">
        <v>113</v>
      </c>
      <c r="E308" s="17" t="s">
        <v>843</v>
      </c>
      <c r="G308" s="18" t="str">
        <f t="shared" si="24"/>
        <v>KF01E</v>
      </c>
      <c r="H308" s="11" t="str">
        <f>VLOOKUP($A308,[1]Sheet2!$I$2:$O$544,7,FALSE)</f>
        <v>https://fruitbasket.blob.core.windows.net/gk2o5k/avatar/210632084202510071510458Q6IDC.jpg</v>
      </c>
      <c r="I308" s="12">
        <f t="shared" si="25"/>
        <v>61</v>
      </c>
      <c r="J308" s="12" t="str">
        <f t="shared" si="26"/>
        <v>07</v>
      </c>
      <c r="K308" s="12" t="str">
        <f t="shared" si="27"/>
        <v>08</v>
      </c>
      <c r="L308" s="12" t="str">
        <f t="shared" si="28"/>
        <v>2025</v>
      </c>
      <c r="M308" s="12">
        <f t="shared" si="29"/>
        <v>12</v>
      </c>
    </row>
    <row r="309" spans="1:13" x14ac:dyDescent="0.2">
      <c r="A309" s="20" t="s">
        <v>418</v>
      </c>
      <c r="B309" s="2" t="s">
        <v>15</v>
      </c>
      <c r="C309" s="2" t="s">
        <v>116</v>
      </c>
      <c r="D309" s="2" t="s">
        <v>141</v>
      </c>
      <c r="E309" s="17" t="s">
        <v>419</v>
      </c>
      <c r="F309" s="19"/>
      <c r="G309" s="18" t="str">
        <f t="shared" si="24"/>
        <v>JMH2E</v>
      </c>
      <c r="H309" s="11" t="str">
        <f>VLOOKUP($A309,[1]Sheet2!$I$2:$O$544,7,FALSE)</f>
        <v>https://hana.modakita.com/azd942/avatar/21063208420251015093140DMIIT0.jpg</v>
      </c>
      <c r="I309" s="12">
        <f t="shared" si="25"/>
        <v>67</v>
      </c>
      <c r="J309" s="12" t="str">
        <f t="shared" si="26"/>
        <v>09</v>
      </c>
      <c r="K309" s="12" t="str">
        <f t="shared" si="27"/>
        <v>08</v>
      </c>
      <c r="L309" s="12" t="str">
        <f t="shared" si="28"/>
        <v>2025</v>
      </c>
      <c r="M309" s="12">
        <f t="shared" si="29"/>
        <v>12</v>
      </c>
    </row>
    <row r="310" spans="1:13" x14ac:dyDescent="0.2">
      <c r="A310" s="20" t="s">
        <v>348</v>
      </c>
      <c r="B310" s="2" t="s">
        <v>15</v>
      </c>
      <c r="C310" s="2" t="s">
        <v>285</v>
      </c>
      <c r="D310" s="2" t="s">
        <v>168</v>
      </c>
      <c r="E310" s="17" t="s">
        <v>318</v>
      </c>
      <c r="G310" s="18" t="str">
        <f t="shared" si="24"/>
        <v>JBK3E</v>
      </c>
      <c r="H310" s="11" t="str">
        <f>VLOOKUP($A310,[1]Sheet2!$I$2:$O$544,7,FALSE)</f>
        <v>https://hana.modakita.com/azd942/avatar/21301231220251022094919R9MKRJ.jpg</v>
      </c>
      <c r="I310" s="12">
        <f t="shared" si="25"/>
        <v>55</v>
      </c>
      <c r="J310" s="12" t="str">
        <f t="shared" si="26"/>
        <v>28</v>
      </c>
      <c r="K310" s="12" t="str">
        <f t="shared" si="27"/>
        <v>08</v>
      </c>
      <c r="L310" s="12" t="str">
        <f t="shared" si="28"/>
        <v>2025</v>
      </c>
      <c r="M310" s="12">
        <f t="shared" si="29"/>
        <v>12</v>
      </c>
    </row>
    <row r="311" spans="1:13" x14ac:dyDescent="0.2">
      <c r="A311" s="20" t="s">
        <v>638</v>
      </c>
      <c r="B311" s="2" t="s">
        <v>15</v>
      </c>
      <c r="C311" s="2" t="s">
        <v>127</v>
      </c>
      <c r="D311" s="2" t="s">
        <v>138</v>
      </c>
      <c r="E311" s="17" t="s">
        <v>639</v>
      </c>
      <c r="G311" s="18" t="str">
        <f t="shared" si="24"/>
        <v>JMC1E</v>
      </c>
      <c r="H311" s="11" t="str">
        <f>VLOOKUP($A311,[1]Sheet2!$I$2:$O$544,7,FALSE)</f>
        <v>https://hana.modakita.com/azd942/avatar/21301231220251014083712V86VLC.jpg</v>
      </c>
      <c r="I311" s="12">
        <f t="shared" si="25"/>
        <v>61</v>
      </c>
      <c r="J311" s="12" t="str">
        <f t="shared" si="26"/>
        <v>14</v>
      </c>
      <c r="K311" s="12" t="str">
        <f t="shared" si="27"/>
        <v>08</v>
      </c>
      <c r="L311" s="12" t="str">
        <f t="shared" si="28"/>
        <v>2025</v>
      </c>
      <c r="M311" s="12">
        <f t="shared" si="29"/>
        <v>12</v>
      </c>
    </row>
    <row r="312" spans="1:13" x14ac:dyDescent="0.2">
      <c r="A312" s="20" t="s">
        <v>239</v>
      </c>
      <c r="B312" s="2" t="s">
        <v>33</v>
      </c>
      <c r="C312" s="2" t="s">
        <v>240</v>
      </c>
      <c r="D312" s="2" t="s">
        <v>216</v>
      </c>
      <c r="E312" s="17" t="s">
        <v>241</v>
      </c>
      <c r="G312" s="18" t="str">
        <f t="shared" si="24"/>
        <v>JMF1E</v>
      </c>
      <c r="H312" s="11" t="str">
        <f>VLOOKUP($A312,[1]Sheet2!$I$2:$O$544,7,FALSE)</f>
        <v>https://hana.modakita.com/azd942/avatar/21063208420251020105726AALEV0.jpg</v>
      </c>
      <c r="I312" s="12">
        <f t="shared" si="25"/>
        <v>240</v>
      </c>
      <c r="J312" s="12" t="str">
        <f t="shared" si="26"/>
        <v>22</v>
      </c>
      <c r="K312" s="12" t="str">
        <f t="shared" si="27"/>
        <v>02</v>
      </c>
      <c r="L312" s="12" t="str">
        <f t="shared" si="28"/>
        <v>2025</v>
      </c>
      <c r="M312" s="12">
        <f t="shared" si="29"/>
        <v>12</v>
      </c>
    </row>
    <row r="313" spans="1:13" x14ac:dyDescent="0.2">
      <c r="A313" s="20" t="s">
        <v>143</v>
      </c>
      <c r="B313" s="2" t="s">
        <v>15</v>
      </c>
      <c r="C313" s="2" t="s">
        <v>116</v>
      </c>
      <c r="D313" s="2" t="s">
        <v>141</v>
      </c>
      <c r="E313" s="17" t="s">
        <v>144</v>
      </c>
      <c r="G313" s="18" t="str">
        <f t="shared" si="24"/>
        <v>JME1E</v>
      </c>
      <c r="H313" s="11" t="str">
        <f>VLOOKUP($A313,[1]Sheet2!$I$2:$O$544,7,FALSE)</f>
        <v>https://hana.modakita.com/azd942/avatar/23773820251015101824ORCDJN.jpg</v>
      </c>
      <c r="I313" s="12">
        <f t="shared" si="25"/>
        <v>67</v>
      </c>
      <c r="J313" s="12" t="str">
        <f t="shared" si="26"/>
        <v>09</v>
      </c>
      <c r="K313" s="12" t="str">
        <f t="shared" si="27"/>
        <v>08</v>
      </c>
      <c r="L313" s="12" t="str">
        <f t="shared" si="28"/>
        <v>2025</v>
      </c>
      <c r="M313" s="12">
        <f t="shared" si="29"/>
        <v>12</v>
      </c>
    </row>
    <row r="314" spans="1:13" x14ac:dyDescent="0.2">
      <c r="A314" s="20" t="s">
        <v>795</v>
      </c>
      <c r="B314" s="2" t="s">
        <v>33</v>
      </c>
      <c r="C314" s="2" t="s">
        <v>377</v>
      </c>
      <c r="D314" s="2" t="s">
        <v>154</v>
      </c>
      <c r="E314" s="17" t="s">
        <v>796</v>
      </c>
      <c r="G314" s="18" t="str">
        <f t="shared" si="24"/>
        <v>JMC1E</v>
      </c>
      <c r="H314" s="11" t="str">
        <f>VLOOKUP($A314,[1]Sheet2!$I$2:$O$544,7,FALSE)</f>
        <v>https://hana.modakita.com/azd942/avatar/21301231220251018145416X2MBKT.jpg</v>
      </c>
      <c r="I314" s="12">
        <f t="shared" si="25"/>
        <v>239</v>
      </c>
      <c r="J314" s="12" t="str">
        <f t="shared" si="26"/>
        <v>21</v>
      </c>
      <c r="K314" s="12" t="str">
        <f t="shared" si="27"/>
        <v>02</v>
      </c>
      <c r="L314" s="12" t="str">
        <f t="shared" si="28"/>
        <v>2025</v>
      </c>
      <c r="M314" s="12">
        <f t="shared" si="29"/>
        <v>12</v>
      </c>
    </row>
    <row r="315" spans="1:13" x14ac:dyDescent="0.2">
      <c r="A315" s="20" t="s">
        <v>429</v>
      </c>
      <c r="B315" s="2" t="s">
        <v>15</v>
      </c>
      <c r="C315" s="2" t="s">
        <v>309</v>
      </c>
      <c r="D315" s="2" t="s">
        <v>216</v>
      </c>
      <c r="E315" s="17" t="s">
        <v>430</v>
      </c>
      <c r="F315" s="19"/>
      <c r="G315" s="18" t="str">
        <f t="shared" si="24"/>
        <v>JMH2E</v>
      </c>
      <c r="H315" s="11" t="str">
        <f>VLOOKUP($A315,[1]Sheet2!$I$2:$O$544,7,FALSE)</f>
        <v>https://hana.modakita.com/azd942/avatar/23773820251020122515YUE4UI.jpg</v>
      </c>
      <c r="I315" s="12">
        <f t="shared" si="25"/>
        <v>58</v>
      </c>
      <c r="J315" s="12" t="str">
        <f t="shared" si="26"/>
        <v>23</v>
      </c>
      <c r="K315" s="12" t="str">
        <f t="shared" si="27"/>
        <v>08</v>
      </c>
      <c r="L315" s="12" t="str">
        <f t="shared" si="28"/>
        <v>2025</v>
      </c>
      <c r="M315" s="12">
        <f t="shared" si="29"/>
        <v>12</v>
      </c>
    </row>
    <row r="316" spans="1:13" x14ac:dyDescent="0.2">
      <c r="A316" s="20" t="s">
        <v>801</v>
      </c>
      <c r="B316" s="2" t="s">
        <v>33</v>
      </c>
      <c r="C316" s="2" t="s">
        <v>240</v>
      </c>
      <c r="D316" s="2" t="s">
        <v>216</v>
      </c>
      <c r="E316" s="17" t="s">
        <v>802</v>
      </c>
      <c r="G316" s="18" t="str">
        <f t="shared" si="24"/>
        <v>JMC1E</v>
      </c>
      <c r="H316" s="11" t="str">
        <f>VLOOKUP($A316,[1]Sheet2!$I$2:$O$544,7,FALSE)</f>
        <v>https://hana.modakita.com/azd942/avatar/21063208420251020110041TAVC0R.jpg</v>
      </c>
      <c r="I316" s="12">
        <f t="shared" si="25"/>
        <v>240</v>
      </c>
      <c r="J316" s="12" t="str">
        <f t="shared" si="26"/>
        <v>22</v>
      </c>
      <c r="K316" s="12" t="str">
        <f t="shared" si="27"/>
        <v>02</v>
      </c>
      <c r="L316" s="12" t="str">
        <f t="shared" si="28"/>
        <v>2025</v>
      </c>
      <c r="M316" s="12">
        <f t="shared" si="29"/>
        <v>12</v>
      </c>
    </row>
    <row r="317" spans="1:13" x14ac:dyDescent="0.2">
      <c r="A317" s="20" t="s">
        <v>659</v>
      </c>
      <c r="B317" s="2" t="s">
        <v>15</v>
      </c>
      <c r="C317" s="2" t="s">
        <v>137</v>
      </c>
      <c r="D317" s="2" t="s">
        <v>147</v>
      </c>
      <c r="E317" s="17" t="s">
        <v>660</v>
      </c>
      <c r="G317" s="18" t="str">
        <f t="shared" si="24"/>
        <v>JMC1E</v>
      </c>
      <c r="H317" s="11" t="str">
        <f>VLOOKUP($A317,[1]Sheet2!$I$2:$O$544,7,FALSE)</f>
        <v>https://hana.modakita.com/azd942/avatar/237738202510171500017R14QC.jpg</v>
      </c>
      <c r="I317" s="12">
        <f t="shared" si="25"/>
        <v>59</v>
      </c>
      <c r="J317" s="12" t="str">
        <f t="shared" si="26"/>
        <v>19</v>
      </c>
      <c r="K317" s="12" t="str">
        <f t="shared" si="27"/>
        <v>08</v>
      </c>
      <c r="L317" s="12" t="str">
        <f t="shared" si="28"/>
        <v>2025</v>
      </c>
      <c r="M317" s="12">
        <f t="shared" si="29"/>
        <v>12</v>
      </c>
    </row>
    <row r="318" spans="1:13" x14ac:dyDescent="0.2">
      <c r="A318" s="20" t="s">
        <v>897</v>
      </c>
      <c r="B318" s="2" t="s">
        <v>33</v>
      </c>
      <c r="C318" s="2" t="s">
        <v>374</v>
      </c>
      <c r="D318" s="2" t="s">
        <v>141</v>
      </c>
      <c r="E318" s="17" t="s">
        <v>898</v>
      </c>
      <c r="G318" s="18" t="str">
        <f t="shared" si="24"/>
        <v>KF01E</v>
      </c>
      <c r="H318" s="11" t="str">
        <f>VLOOKUP($A318,[1]Sheet2!$I$2:$O$544,7,FALSE)</f>
        <v>https://hana.modakita.com/azd942/avatar/23773820251015102616R1UAP0.jpg</v>
      </c>
      <c r="I318" s="12">
        <f t="shared" si="25"/>
        <v>247</v>
      </c>
      <c r="J318" s="12" t="str">
        <f t="shared" si="26"/>
        <v>10</v>
      </c>
      <c r="K318" s="12" t="str">
        <f t="shared" si="27"/>
        <v>02</v>
      </c>
      <c r="L318" s="12" t="str">
        <f t="shared" si="28"/>
        <v>2025</v>
      </c>
      <c r="M318" s="12">
        <f t="shared" si="29"/>
        <v>12</v>
      </c>
    </row>
    <row r="319" spans="1:13" x14ac:dyDescent="0.2">
      <c r="A319" s="20" t="s">
        <v>755</v>
      </c>
      <c r="B319" s="2" t="s">
        <v>33</v>
      </c>
      <c r="C319" s="2" t="s">
        <v>471</v>
      </c>
      <c r="D319" s="2" t="s">
        <v>113</v>
      </c>
      <c r="E319" s="17" t="s">
        <v>756</v>
      </c>
      <c r="G319" s="18" t="str">
        <f t="shared" si="24"/>
        <v>JMC1E</v>
      </c>
      <c r="H319" s="11" t="str">
        <f>VLOOKUP($A319,[1]Sheet2!$I$2:$O$544,7,FALSE)</f>
        <v>https://fruitbasket.blob.core.windows.net/gk2o5k/avatar/23773820251007094610Q0XXWG.jpg</v>
      </c>
      <c r="I319" s="12">
        <f t="shared" si="25"/>
        <v>244</v>
      </c>
      <c r="J319" s="12" t="str">
        <f t="shared" si="26"/>
        <v>05</v>
      </c>
      <c r="K319" s="12" t="str">
        <f t="shared" si="27"/>
        <v>02</v>
      </c>
      <c r="L319" s="12" t="str">
        <f t="shared" si="28"/>
        <v>2025</v>
      </c>
      <c r="M319" s="12">
        <f t="shared" si="29"/>
        <v>12</v>
      </c>
    </row>
    <row r="320" spans="1:13" x14ac:dyDescent="0.2">
      <c r="A320" s="20" t="s">
        <v>942</v>
      </c>
      <c r="B320" s="2" t="s">
        <v>33</v>
      </c>
      <c r="C320" s="2" t="s">
        <v>489</v>
      </c>
      <c r="D320" s="2" t="s">
        <v>147</v>
      </c>
      <c r="E320" s="17" t="s">
        <v>943</v>
      </c>
      <c r="G320" s="18" t="str">
        <f t="shared" si="24"/>
        <v>KC02E</v>
      </c>
      <c r="H320" s="11" t="str">
        <f>VLOOKUP($A320,[1]Sheet2!$I$2:$O$544,7,FALSE)</f>
        <v>https://hana.modakita.com/azd942/avatar/23773820251017140326HSGOCJ.jpg</v>
      </c>
      <c r="I320" s="12">
        <f t="shared" si="25"/>
        <v>239</v>
      </c>
      <c r="J320" s="12" t="str">
        <f t="shared" si="26"/>
        <v>20</v>
      </c>
      <c r="K320" s="12" t="str">
        <f t="shared" si="27"/>
        <v>02</v>
      </c>
      <c r="L320" s="12" t="str">
        <f t="shared" si="28"/>
        <v>2025</v>
      </c>
      <c r="M320" s="12">
        <f t="shared" si="29"/>
        <v>12</v>
      </c>
    </row>
    <row r="321" spans="1:13" x14ac:dyDescent="0.2">
      <c r="A321" s="20" t="s">
        <v>858</v>
      </c>
      <c r="B321" s="2" t="s">
        <v>15</v>
      </c>
      <c r="C321" s="2" t="s">
        <v>163</v>
      </c>
      <c r="D321" s="2" t="s">
        <v>147</v>
      </c>
      <c r="E321" s="17" t="s">
        <v>859</v>
      </c>
      <c r="G321" s="18" t="str">
        <f t="shared" si="24"/>
        <v>KF01E</v>
      </c>
      <c r="H321" s="11" t="str">
        <f>VLOOKUP($A321,[1]Sheet2!$I$2:$O$544,7,FALSE)</f>
        <v>https://hana.modakita.com/azd942/avatar/21063208420251017143924NADDHB.jpg</v>
      </c>
      <c r="I321" s="12">
        <f t="shared" si="25"/>
        <v>53</v>
      </c>
      <c r="J321" s="12" t="str">
        <f t="shared" si="26"/>
        <v>25</v>
      </c>
      <c r="K321" s="12" t="str">
        <f t="shared" si="27"/>
        <v>08</v>
      </c>
      <c r="L321" s="12" t="str">
        <f t="shared" si="28"/>
        <v>2025</v>
      </c>
      <c r="M321" s="12">
        <f t="shared" si="29"/>
        <v>12</v>
      </c>
    </row>
    <row r="322" spans="1:13" x14ac:dyDescent="0.2">
      <c r="A322" s="20" t="s">
        <v>757</v>
      </c>
      <c r="B322" s="2" t="s">
        <v>33</v>
      </c>
      <c r="C322" s="2" t="s">
        <v>231</v>
      </c>
      <c r="D322" s="2" t="s">
        <v>113</v>
      </c>
      <c r="E322" s="17" t="s">
        <v>758</v>
      </c>
      <c r="G322" s="18" t="str">
        <f t="shared" ref="G322:G376" si="30">LEFT(A322,5)</f>
        <v>JMC1E</v>
      </c>
      <c r="H322" s="11" t="str">
        <f>VLOOKUP($A322,[1]Sheet2!$I$2:$O$544,7,FALSE)</f>
        <v>https://fruitbasket.blob.core.windows.net/gk2o5k/avatar/23773820251007105109MKKRY0.jpg</v>
      </c>
      <c r="I322" s="12">
        <f t="shared" ref="I322:I376" si="31">D322-C322</f>
        <v>243</v>
      </c>
      <c r="J322" s="12" t="str">
        <f t="shared" ref="J322:J376" si="32">LEFT(C322,2)</f>
        <v>06</v>
      </c>
      <c r="K322" s="12" t="str">
        <f t="shared" ref="K322:K376" si="33">MID(C322,4,2)</f>
        <v>02</v>
      </c>
      <c r="L322" s="12" t="str">
        <f t="shared" ref="L322:L376" si="34">RIGHT(C322,4)</f>
        <v>2025</v>
      </c>
      <c r="M322" s="12">
        <f t="shared" ref="M322:M376" si="35">LEN(A322)</f>
        <v>12</v>
      </c>
    </row>
    <row r="323" spans="1:13" x14ac:dyDescent="0.2">
      <c r="A323" s="20" t="s">
        <v>644</v>
      </c>
      <c r="B323" s="2" t="s">
        <v>15</v>
      </c>
      <c r="C323" s="2" t="s">
        <v>150</v>
      </c>
      <c r="D323" s="2" t="s">
        <v>138</v>
      </c>
      <c r="E323" s="17" t="s">
        <v>645</v>
      </c>
      <c r="G323" s="18" t="str">
        <f t="shared" si="30"/>
        <v>JMD1E</v>
      </c>
      <c r="H323" s="11" t="str">
        <f>VLOOKUP($A323,[1]Sheet2!$I$2:$O$544,7,FALSE)</f>
        <v>https://hana.modakita.com/azd942/avatar/21063208420251014143720BXLZMQ.jpg</v>
      </c>
      <c r="I323" s="12">
        <f t="shared" si="31"/>
        <v>57</v>
      </c>
      <c r="J323" s="12" t="str">
        <f t="shared" si="32"/>
        <v>18</v>
      </c>
      <c r="K323" s="12" t="str">
        <f t="shared" si="33"/>
        <v>08</v>
      </c>
      <c r="L323" s="12" t="str">
        <f t="shared" si="34"/>
        <v>2025</v>
      </c>
      <c r="M323" s="12">
        <f t="shared" si="35"/>
        <v>12</v>
      </c>
    </row>
    <row r="324" spans="1:13" x14ac:dyDescent="0.2">
      <c r="A324" s="20" t="s">
        <v>680</v>
      </c>
      <c r="B324" s="2" t="s">
        <v>15</v>
      </c>
      <c r="C324" s="2" t="s">
        <v>163</v>
      </c>
      <c r="D324" s="2" t="s">
        <v>164</v>
      </c>
      <c r="E324" s="17" t="s">
        <v>645</v>
      </c>
      <c r="G324" s="18" t="str">
        <f t="shared" si="30"/>
        <v>JMC1E</v>
      </c>
      <c r="H324" s="11" t="str">
        <f>VLOOKUP($A324,[1]Sheet2!$I$2:$O$544,7,FALSE)</f>
        <v>https://hana.modakita.com/azd942/avatar/23773820251021105031QTZESF.jpg</v>
      </c>
      <c r="I324" s="12">
        <f t="shared" si="31"/>
        <v>57</v>
      </c>
      <c r="J324" s="12" t="str">
        <f t="shared" si="32"/>
        <v>25</v>
      </c>
      <c r="K324" s="12" t="str">
        <f t="shared" si="33"/>
        <v>08</v>
      </c>
      <c r="L324" s="12" t="str">
        <f t="shared" si="34"/>
        <v>2025</v>
      </c>
      <c r="M324" s="12">
        <f t="shared" si="35"/>
        <v>12</v>
      </c>
    </row>
    <row r="325" spans="1:13" x14ac:dyDescent="0.2">
      <c r="A325" s="20" t="s">
        <v>334</v>
      </c>
      <c r="B325" s="2" t="s">
        <v>15</v>
      </c>
      <c r="C325" s="2" t="s">
        <v>127</v>
      </c>
      <c r="D325" s="2" t="s">
        <v>131</v>
      </c>
      <c r="E325" s="17" t="s">
        <v>335</v>
      </c>
      <c r="G325" s="18" t="str">
        <f t="shared" si="30"/>
        <v>JBK3E</v>
      </c>
      <c r="H325" s="11" t="str">
        <f>VLOOKUP($A325,[1]Sheet2!$I$2:$O$544,7,FALSE)</f>
        <v>https://hana.modakita.com/azd942/avatar/2106320842025101313591651ZSCF.jpg</v>
      </c>
      <c r="I325" s="12">
        <f t="shared" si="31"/>
        <v>60</v>
      </c>
      <c r="J325" s="12" t="str">
        <f t="shared" si="32"/>
        <v>14</v>
      </c>
      <c r="K325" s="12" t="str">
        <f t="shared" si="33"/>
        <v>08</v>
      </c>
      <c r="L325" s="12" t="str">
        <f t="shared" si="34"/>
        <v>2025</v>
      </c>
      <c r="M325" s="12">
        <f t="shared" si="35"/>
        <v>12</v>
      </c>
    </row>
    <row r="326" spans="1:13" x14ac:dyDescent="0.2">
      <c r="A326" s="20" t="s">
        <v>852</v>
      </c>
      <c r="B326" s="2" t="s">
        <v>15</v>
      </c>
      <c r="C326" s="2" t="s">
        <v>127</v>
      </c>
      <c r="D326" s="2" t="s">
        <v>128</v>
      </c>
      <c r="E326" s="17" t="s">
        <v>853</v>
      </c>
      <c r="G326" s="18" t="str">
        <f t="shared" si="30"/>
        <v>KF01E</v>
      </c>
      <c r="H326" s="11" t="str">
        <f>VLOOKUP($A326,[1]Sheet2!$I$2:$O$544,7,FALSE)</f>
        <v>https://hana.modakita.com/azd942/avatar/21063208420251011134340TBUV2I.jpg</v>
      </c>
      <c r="I326" s="12">
        <f t="shared" si="31"/>
        <v>58</v>
      </c>
      <c r="J326" s="12" t="str">
        <f t="shared" si="32"/>
        <v>14</v>
      </c>
      <c r="K326" s="12" t="str">
        <f t="shared" si="33"/>
        <v>08</v>
      </c>
      <c r="L326" s="12" t="str">
        <f t="shared" si="34"/>
        <v>2025</v>
      </c>
      <c r="M326" s="12">
        <f t="shared" si="35"/>
        <v>12</v>
      </c>
    </row>
    <row r="327" spans="1:13" x14ac:dyDescent="0.2">
      <c r="A327" s="20" t="s">
        <v>661</v>
      </c>
      <c r="B327" s="2" t="s">
        <v>15</v>
      </c>
      <c r="C327" s="2" t="s">
        <v>137</v>
      </c>
      <c r="D327" s="2" t="s">
        <v>147</v>
      </c>
      <c r="E327" s="17" t="s">
        <v>662</v>
      </c>
      <c r="G327" s="18" t="str">
        <f t="shared" si="30"/>
        <v>JMD1E</v>
      </c>
      <c r="H327" s="11" t="str">
        <f>VLOOKUP($A327,[1]Sheet2!$I$2:$O$544,7,FALSE)</f>
        <v>https://hana.modakita.com/azd942/avatar/21301231220251017151559YOBZ3W.jpg</v>
      </c>
      <c r="I327" s="12">
        <f t="shared" si="31"/>
        <v>59</v>
      </c>
      <c r="J327" s="12" t="str">
        <f t="shared" si="32"/>
        <v>19</v>
      </c>
      <c r="K327" s="12" t="str">
        <f t="shared" si="33"/>
        <v>08</v>
      </c>
      <c r="L327" s="12" t="str">
        <f t="shared" si="34"/>
        <v>2025</v>
      </c>
      <c r="M327" s="12">
        <f t="shared" si="35"/>
        <v>12</v>
      </c>
    </row>
    <row r="328" spans="1:13" x14ac:dyDescent="0.2">
      <c r="A328" s="20" t="s">
        <v>634</v>
      </c>
      <c r="B328" s="2" t="s">
        <v>15</v>
      </c>
      <c r="C328" s="2" t="s">
        <v>127</v>
      </c>
      <c r="D328" s="2" t="s">
        <v>131</v>
      </c>
      <c r="E328" s="17" t="s">
        <v>635</v>
      </c>
      <c r="G328" s="18" t="str">
        <f t="shared" si="30"/>
        <v>JMC1E</v>
      </c>
      <c r="H328" s="11" t="str">
        <f>VLOOKUP($A328,[1]Sheet2!$I$2:$O$544,7,FALSE)</f>
        <v>https://hana.modakita.com/azd942/avatar/21301231220251013093243ZWHVGA.jpg</v>
      </c>
      <c r="I328" s="12">
        <f t="shared" si="31"/>
        <v>60</v>
      </c>
      <c r="J328" s="12" t="str">
        <f t="shared" si="32"/>
        <v>14</v>
      </c>
      <c r="K328" s="12" t="str">
        <f t="shared" si="33"/>
        <v>08</v>
      </c>
      <c r="L328" s="12" t="str">
        <f t="shared" si="34"/>
        <v>2025</v>
      </c>
      <c r="M328" s="12">
        <f t="shared" si="35"/>
        <v>12</v>
      </c>
    </row>
    <row r="329" spans="1:13" x14ac:dyDescent="0.2">
      <c r="A329" s="20" t="s">
        <v>895</v>
      </c>
      <c r="B329" s="2" t="s">
        <v>33</v>
      </c>
      <c r="C329" s="2" t="s">
        <v>374</v>
      </c>
      <c r="D329" s="2" t="s">
        <v>141</v>
      </c>
      <c r="E329" s="17" t="s">
        <v>896</v>
      </c>
      <c r="G329" s="18" t="str">
        <f t="shared" si="30"/>
        <v>KFA1E</v>
      </c>
      <c r="H329" s="11" t="str">
        <f>VLOOKUP($A329,[1]Sheet2!$I$2:$O$544,7,FALSE)</f>
        <v>https://hana.modakita.com/azd942/avatar/21063208420251015102430NWFEFT.jpg</v>
      </c>
      <c r="I329" s="12">
        <f t="shared" si="31"/>
        <v>247</v>
      </c>
      <c r="J329" s="12" t="str">
        <f t="shared" si="32"/>
        <v>10</v>
      </c>
      <c r="K329" s="12" t="str">
        <f t="shared" si="33"/>
        <v>02</v>
      </c>
      <c r="L329" s="12" t="str">
        <f t="shared" si="34"/>
        <v>2025</v>
      </c>
      <c r="M329" s="12">
        <f t="shared" si="35"/>
        <v>12</v>
      </c>
    </row>
    <row r="330" spans="1:13" x14ac:dyDescent="0.2">
      <c r="A330" s="20" t="s">
        <v>611</v>
      </c>
      <c r="B330" s="2" t="s">
        <v>15</v>
      </c>
      <c r="C330" s="2" t="s">
        <v>295</v>
      </c>
      <c r="D330" s="2" t="s">
        <v>117</v>
      </c>
      <c r="E330" s="17" t="s">
        <v>612</v>
      </c>
      <c r="G330" s="18" t="str">
        <f t="shared" si="30"/>
        <v>JMC1E</v>
      </c>
      <c r="H330" s="11" t="str">
        <f>VLOOKUP($A330,[1]Sheet2!$I$2:$O$544,7,FALSE)</f>
        <v>https://fruitbasket.blob.core.windows.net/gk2o5k/avatar/23773820251009083137FNVLX1.jpg</v>
      </c>
      <c r="I330" s="12">
        <f t="shared" si="31"/>
        <v>62</v>
      </c>
      <c r="J330" s="12" t="str">
        <f t="shared" si="32"/>
        <v>08</v>
      </c>
      <c r="K330" s="12" t="str">
        <f t="shared" si="33"/>
        <v>08</v>
      </c>
      <c r="L330" s="12" t="str">
        <f t="shared" si="34"/>
        <v>2025</v>
      </c>
      <c r="M330" s="12">
        <f t="shared" si="35"/>
        <v>12</v>
      </c>
    </row>
    <row r="331" spans="1:13" x14ac:dyDescent="0.2">
      <c r="A331" s="20" t="s">
        <v>541</v>
      </c>
      <c r="B331" s="2" t="s">
        <v>33</v>
      </c>
      <c r="C331" s="2" t="s">
        <v>471</v>
      </c>
      <c r="D331" s="2" t="s">
        <v>113</v>
      </c>
      <c r="E331" s="17" t="s">
        <v>542</v>
      </c>
      <c r="G331" s="18" t="str">
        <f t="shared" si="30"/>
        <v>KFC1E</v>
      </c>
      <c r="H331" s="11" t="str">
        <f>VLOOKUP($A331,[1]Sheet2!$I$2:$O$544,7,FALSE)</f>
        <v>https://fruitbasket.blob.core.windows.net/gk2o5k/avatar/21063208420251007091052VTWCPD.jpg</v>
      </c>
      <c r="I331" s="12">
        <f t="shared" si="31"/>
        <v>244</v>
      </c>
      <c r="J331" s="12" t="str">
        <f t="shared" si="32"/>
        <v>05</v>
      </c>
      <c r="K331" s="12" t="str">
        <f t="shared" si="33"/>
        <v>02</v>
      </c>
      <c r="L331" s="12" t="str">
        <f t="shared" si="34"/>
        <v>2025</v>
      </c>
      <c r="M331" s="12">
        <f t="shared" si="35"/>
        <v>12</v>
      </c>
    </row>
    <row r="332" spans="1:13" x14ac:dyDescent="0.2">
      <c r="A332" s="20" t="s">
        <v>261</v>
      </c>
      <c r="B332" s="2" t="s">
        <v>15</v>
      </c>
      <c r="C332" s="2" t="s">
        <v>262</v>
      </c>
      <c r="D332" s="2" t="s">
        <v>117</v>
      </c>
      <c r="E332" s="17" t="s">
        <v>263</v>
      </c>
      <c r="G332" s="18" t="str">
        <f t="shared" si="30"/>
        <v>KD11E</v>
      </c>
      <c r="H332" s="11" t="str">
        <f>VLOOKUP($A332,[1]Sheet2!$I$2:$O$544,7,FALSE)</f>
        <v>https://fruitbasket.blob.core.windows.net/gk2o5k/avatar/21063208420251009160657SO9DFI.jpg</v>
      </c>
      <c r="I332" s="12">
        <f t="shared" si="31"/>
        <v>60</v>
      </c>
      <c r="J332" s="12" t="str">
        <f t="shared" si="32"/>
        <v>10</v>
      </c>
      <c r="K332" s="12" t="str">
        <f t="shared" si="33"/>
        <v>08</v>
      </c>
      <c r="L332" s="12" t="str">
        <f t="shared" si="34"/>
        <v>2025</v>
      </c>
      <c r="M332" s="12">
        <f t="shared" si="35"/>
        <v>12</v>
      </c>
    </row>
    <row r="333" spans="1:13" x14ac:dyDescent="0.2">
      <c r="A333" s="20" t="s">
        <v>381</v>
      </c>
      <c r="B333" s="2" t="s">
        <v>38</v>
      </c>
      <c r="C333" s="2" t="s">
        <v>382</v>
      </c>
      <c r="D333" s="2" t="s">
        <v>121</v>
      </c>
      <c r="E333" s="17" t="s">
        <v>383</v>
      </c>
      <c r="G333" s="18" t="str">
        <f t="shared" si="30"/>
        <v>JBK3E</v>
      </c>
      <c r="H333" s="11" t="str">
        <f>VLOOKUP($A333,[1]Sheet2!$I$2:$O$544,7,FALSE)</f>
        <v>https://hana.modakita.com/azd942/avatar/210632084202510101450044NHXU5.jpg</v>
      </c>
      <c r="I333" s="12">
        <f t="shared" si="31"/>
        <v>365</v>
      </c>
      <c r="J333" s="12" t="str">
        <f t="shared" si="32"/>
        <v>10</v>
      </c>
      <c r="K333" s="12" t="str">
        <f t="shared" si="33"/>
        <v>10</v>
      </c>
      <c r="L333" s="12" t="str">
        <f t="shared" si="34"/>
        <v>2024</v>
      </c>
      <c r="M333" s="12">
        <f t="shared" si="35"/>
        <v>12</v>
      </c>
    </row>
    <row r="334" spans="1:13" x14ac:dyDescent="0.2">
      <c r="A334" s="20" t="s">
        <v>567</v>
      </c>
      <c r="B334" s="2" t="s">
        <v>15</v>
      </c>
      <c r="C334" s="2" t="s">
        <v>137</v>
      </c>
      <c r="D334" s="2" t="s">
        <v>154</v>
      </c>
      <c r="E334" s="17" t="s">
        <v>568</v>
      </c>
      <c r="G334" s="18" t="str">
        <f t="shared" si="30"/>
        <v>JBP1E</v>
      </c>
      <c r="H334" s="11" t="str">
        <f>VLOOKUP($A334,[1]Sheet2!$I$2:$O$544,7,FALSE)</f>
        <v>https://hana.modakita.com/azd942/avatar/21394210620251018082923HIKVDI.jpg</v>
      </c>
      <c r="I334" s="12">
        <f t="shared" si="31"/>
        <v>60</v>
      </c>
      <c r="J334" s="12" t="str">
        <f t="shared" si="32"/>
        <v>19</v>
      </c>
      <c r="K334" s="12" t="str">
        <f t="shared" si="33"/>
        <v>08</v>
      </c>
      <c r="L334" s="12" t="str">
        <f t="shared" si="34"/>
        <v>2025</v>
      </c>
      <c r="M334" s="12">
        <f t="shared" si="35"/>
        <v>12</v>
      </c>
    </row>
    <row r="335" spans="1:13" x14ac:dyDescent="0.2">
      <c r="A335" s="20" t="s">
        <v>666</v>
      </c>
      <c r="B335" s="2" t="s">
        <v>15</v>
      </c>
      <c r="C335" s="2" t="s">
        <v>304</v>
      </c>
      <c r="D335" s="2" t="s">
        <v>154</v>
      </c>
      <c r="E335" s="17" t="s">
        <v>667</v>
      </c>
      <c r="G335" s="18" t="str">
        <f t="shared" si="30"/>
        <v>JMC1E</v>
      </c>
      <c r="H335" s="11" t="str">
        <f>VLOOKUP($A335,[1]Sheet2!$I$2:$O$544,7,FALSE)</f>
        <v>https://hana.modakita.com/azd942/avatar/21301231220251018104245GUXVD7.jpg</v>
      </c>
      <c r="I335" s="12">
        <f t="shared" si="31"/>
        <v>58</v>
      </c>
      <c r="J335" s="12" t="str">
        <f t="shared" si="32"/>
        <v>21</v>
      </c>
      <c r="K335" s="12" t="str">
        <f t="shared" si="33"/>
        <v>08</v>
      </c>
      <c r="L335" s="12" t="str">
        <f t="shared" si="34"/>
        <v>2025</v>
      </c>
      <c r="M335" s="12">
        <f t="shared" si="35"/>
        <v>12</v>
      </c>
    </row>
    <row r="336" spans="1:13" x14ac:dyDescent="0.2">
      <c r="A336" s="20" t="s">
        <v>946</v>
      </c>
      <c r="B336" s="2" t="s">
        <v>38</v>
      </c>
      <c r="C336" s="2" t="s">
        <v>243</v>
      </c>
      <c r="D336" s="2" t="s">
        <v>100</v>
      </c>
      <c r="E336" s="17" t="s">
        <v>947</v>
      </c>
      <c r="G336" s="18" t="str">
        <f t="shared" si="30"/>
        <v>KC02E</v>
      </c>
      <c r="H336" s="11" t="str">
        <f>VLOOKUP($A336,[1]Sheet2!$I$2:$O$544,7,FALSE)</f>
        <v>https://fruitbasket.blob.core.windows.net/gk2o5k/avatar/23773820251003161733HHWM7E.jpg</v>
      </c>
      <c r="I336" s="12">
        <f t="shared" si="31"/>
        <v>367</v>
      </c>
      <c r="J336" s="12" t="str">
        <f t="shared" si="32"/>
        <v>01</v>
      </c>
      <c r="K336" s="12" t="str">
        <f t="shared" si="33"/>
        <v>10</v>
      </c>
      <c r="L336" s="12" t="str">
        <f t="shared" si="34"/>
        <v>2024</v>
      </c>
      <c r="M336" s="12">
        <f t="shared" si="35"/>
        <v>12</v>
      </c>
    </row>
    <row r="337" spans="1:13" x14ac:dyDescent="0.2">
      <c r="A337" s="20" t="s">
        <v>111</v>
      </c>
      <c r="B337" s="2" t="s">
        <v>15</v>
      </c>
      <c r="C337" s="2" t="s">
        <v>112</v>
      </c>
      <c r="D337" s="2" t="s">
        <v>113</v>
      </c>
      <c r="E337" s="17" t="s">
        <v>114</v>
      </c>
      <c r="G337" s="18" t="str">
        <f t="shared" si="30"/>
        <v>JMF2E</v>
      </c>
      <c r="H337" s="11" t="str">
        <f>VLOOKUP($A337,[1]Sheet2!$I$2:$O$544,7,FALSE)</f>
        <v>https://fruitbasket.blob.core.windows.net/gk2o5k/avatar/210632084202510071429116XMVWO.jpg</v>
      </c>
      <c r="I337" s="12">
        <f t="shared" si="31"/>
        <v>61</v>
      </c>
      <c r="J337" s="12" t="str">
        <f t="shared" si="32"/>
        <v>07</v>
      </c>
      <c r="K337" s="12" t="str">
        <f t="shared" si="33"/>
        <v>08</v>
      </c>
      <c r="L337" s="12" t="str">
        <f t="shared" si="34"/>
        <v>2025</v>
      </c>
      <c r="M337" s="12">
        <f t="shared" si="35"/>
        <v>12</v>
      </c>
    </row>
    <row r="338" spans="1:13" x14ac:dyDescent="0.2">
      <c r="A338" s="20" t="s">
        <v>914</v>
      </c>
      <c r="B338" s="2" t="s">
        <v>15</v>
      </c>
      <c r="C338" s="2" t="s">
        <v>915</v>
      </c>
      <c r="D338" s="2" t="s">
        <v>458</v>
      </c>
      <c r="E338" s="17" t="s">
        <v>339</v>
      </c>
      <c r="G338" s="18" t="str">
        <f t="shared" si="30"/>
        <v>KC04E</v>
      </c>
      <c r="H338" s="11" t="str">
        <f>VLOOKUP($A338,[1]Sheet2!$I$2:$O$544,7,FALSE)</f>
        <v>https://hana.modakita.com/azd942/avatar/213012312202510160923284GC9ON.jpg</v>
      </c>
      <c r="I338" s="12">
        <f t="shared" si="31"/>
        <v>53</v>
      </c>
      <c r="J338" s="12" t="str">
        <f t="shared" si="32"/>
        <v>24</v>
      </c>
      <c r="K338" s="12" t="str">
        <f t="shared" si="33"/>
        <v>08</v>
      </c>
      <c r="L338" s="12" t="str">
        <f t="shared" si="34"/>
        <v>2025</v>
      </c>
      <c r="M338" s="12">
        <f t="shared" si="35"/>
        <v>12</v>
      </c>
    </row>
    <row r="339" spans="1:13" x14ac:dyDescent="0.2">
      <c r="A339" s="20" t="s">
        <v>170</v>
      </c>
      <c r="B339" s="2" t="s">
        <v>15</v>
      </c>
      <c r="C339" s="2" t="s">
        <v>171</v>
      </c>
      <c r="D339" s="2" t="s">
        <v>168</v>
      </c>
      <c r="E339" s="17" t="s">
        <v>172</v>
      </c>
      <c r="G339" s="18" t="str">
        <f t="shared" si="30"/>
        <v>JME1E</v>
      </c>
      <c r="H339" s="11" t="str">
        <f>VLOOKUP($A339,[1]Sheet2!$I$2:$O$544,7,FALSE)</f>
        <v>https://hana.modakita.com/azd942/avatar/23773820251022154325NHZLRS.jpg</v>
      </c>
      <c r="I339" s="12">
        <f t="shared" si="31"/>
        <v>52</v>
      </c>
      <c r="J339" s="12" t="str">
        <f t="shared" si="32"/>
        <v>31</v>
      </c>
      <c r="K339" s="12" t="str">
        <f t="shared" si="33"/>
        <v>08</v>
      </c>
      <c r="L339" s="12" t="str">
        <f t="shared" si="34"/>
        <v>2025</v>
      </c>
      <c r="M339" s="12">
        <f t="shared" si="35"/>
        <v>12</v>
      </c>
    </row>
    <row r="340" spans="1:13" x14ac:dyDescent="0.2">
      <c r="A340" s="20" t="s">
        <v>248</v>
      </c>
      <c r="B340" s="2" t="s">
        <v>38</v>
      </c>
      <c r="C340" s="2" t="s">
        <v>249</v>
      </c>
      <c r="D340" s="2" t="s">
        <v>250</v>
      </c>
      <c r="E340" s="17" t="s">
        <v>251</v>
      </c>
      <c r="G340" s="18" t="str">
        <f t="shared" si="30"/>
        <v>JMG1E</v>
      </c>
      <c r="H340" s="11" t="str">
        <f>VLOOKUP($A340,[1]Sheet2!$I$2:$O$544,7,FALSE)</f>
        <v>https://fruitbasket.blob.core.windows.net/gk2o5k/avatar/23773820251008153436UUKNL6.jpg</v>
      </c>
      <c r="I340" s="12">
        <f t="shared" si="31"/>
        <v>365</v>
      </c>
      <c r="J340" s="12" t="str">
        <f t="shared" si="32"/>
        <v>08</v>
      </c>
      <c r="K340" s="12" t="str">
        <f t="shared" si="33"/>
        <v>10</v>
      </c>
      <c r="L340" s="12" t="str">
        <f t="shared" si="34"/>
        <v>2024</v>
      </c>
      <c r="M340" s="12">
        <f t="shared" si="35"/>
        <v>12</v>
      </c>
    </row>
    <row r="341" spans="1:13" x14ac:dyDescent="0.2">
      <c r="A341" s="23" t="s">
        <v>332</v>
      </c>
      <c r="B341" s="2" t="s">
        <v>15</v>
      </c>
      <c r="C341" s="2" t="s">
        <v>103</v>
      </c>
      <c r="D341" s="2" t="s">
        <v>131</v>
      </c>
      <c r="E341" s="2" t="s">
        <v>333</v>
      </c>
      <c r="F341" t="s">
        <v>971</v>
      </c>
      <c r="G341" t="str">
        <f t="shared" si="30"/>
        <v>JBK3E</v>
      </c>
      <c r="H341" s="11" t="str">
        <f>VLOOKUP($A341,[1]Sheet2!$I$2:$O$544,7,FALSE)</f>
        <v>https://hana.modakita.com/azd942/avatar/23773820251013110611DXOLOE.jpg</v>
      </c>
      <c r="I341" s="12">
        <f t="shared" si="31"/>
        <v>70</v>
      </c>
      <c r="J341" s="12" t="str">
        <f t="shared" si="32"/>
        <v>04</v>
      </c>
      <c r="K341" s="12" t="str">
        <f t="shared" si="33"/>
        <v>08</v>
      </c>
      <c r="L341" s="12" t="str">
        <f t="shared" si="34"/>
        <v>2025</v>
      </c>
      <c r="M341" s="12">
        <f t="shared" si="35"/>
        <v>12</v>
      </c>
    </row>
    <row r="342" spans="1:13" x14ac:dyDescent="0.2">
      <c r="A342" s="20" t="s">
        <v>831</v>
      </c>
      <c r="B342" s="2" t="s">
        <v>38</v>
      </c>
      <c r="C342" s="2" t="s">
        <v>259</v>
      </c>
      <c r="D342" s="2" t="s">
        <v>141</v>
      </c>
      <c r="E342" s="17" t="s">
        <v>832</v>
      </c>
      <c r="G342" s="18" t="str">
        <f t="shared" si="30"/>
        <v>JMD1E</v>
      </c>
      <c r="H342" s="11" t="str">
        <f>VLOOKUP($A342,[1]Sheet2!$I$2:$O$544,7,FALSE)</f>
        <v>https://hana.modakita.com/azd942/avatar/23773820251015154043QQ1BUD.jpg</v>
      </c>
      <c r="I342" s="12">
        <f t="shared" si="31"/>
        <v>363</v>
      </c>
      <c r="J342" s="12" t="str">
        <f t="shared" si="32"/>
        <v>17</v>
      </c>
      <c r="K342" s="12" t="str">
        <f t="shared" si="33"/>
        <v>10</v>
      </c>
      <c r="L342" s="12" t="str">
        <f t="shared" si="34"/>
        <v>2024</v>
      </c>
      <c r="M342" s="12">
        <f t="shared" si="35"/>
        <v>12</v>
      </c>
    </row>
    <row r="343" spans="1:13" x14ac:dyDescent="0.2">
      <c r="A343" s="20" t="s">
        <v>301</v>
      </c>
      <c r="B343" s="2" t="s">
        <v>15</v>
      </c>
      <c r="C343" s="2" t="s">
        <v>280</v>
      </c>
      <c r="D343" s="2" t="s">
        <v>154</v>
      </c>
      <c r="E343" s="17" t="s">
        <v>302</v>
      </c>
      <c r="G343" s="18" t="str">
        <f t="shared" si="30"/>
        <v>KFE2E</v>
      </c>
      <c r="H343" s="11" t="str">
        <f>VLOOKUP($A343,[1]Sheet2!$I$2:$O$544,7,FALSE)</f>
        <v>https://hana.modakita.com/azd942/avatar/21063208420251018091556ANGKY9.jpg</v>
      </c>
      <c r="I343" s="12">
        <f t="shared" si="31"/>
        <v>66</v>
      </c>
      <c r="J343" s="12" t="str">
        <f t="shared" si="32"/>
        <v>13</v>
      </c>
      <c r="K343" s="12" t="str">
        <f t="shared" si="33"/>
        <v>08</v>
      </c>
      <c r="L343" s="12" t="str">
        <f t="shared" si="34"/>
        <v>2025</v>
      </c>
      <c r="M343" s="12">
        <f t="shared" si="35"/>
        <v>12</v>
      </c>
    </row>
    <row r="344" spans="1:13" x14ac:dyDescent="0.2">
      <c r="A344" s="20" t="s">
        <v>651</v>
      </c>
      <c r="B344" s="2" t="s">
        <v>15</v>
      </c>
      <c r="C344" s="2" t="s">
        <v>150</v>
      </c>
      <c r="D344" s="2" t="s">
        <v>458</v>
      </c>
      <c r="E344" s="17" t="s">
        <v>652</v>
      </c>
      <c r="G344" s="18" t="str">
        <f t="shared" si="30"/>
        <v>JMC1E</v>
      </c>
      <c r="H344" s="11" t="str">
        <f>VLOOKUP($A344,[1]Sheet2!$I$2:$O$544,7,FALSE)</f>
        <v>https://hana.modakita.com/azd942/avatar/21301231220251016091934EBMQH8.jpg</v>
      </c>
      <c r="I344" s="12">
        <f t="shared" si="31"/>
        <v>59</v>
      </c>
      <c r="J344" s="12" t="str">
        <f t="shared" si="32"/>
        <v>18</v>
      </c>
      <c r="K344" s="12" t="str">
        <f t="shared" si="33"/>
        <v>08</v>
      </c>
      <c r="L344" s="12" t="str">
        <f t="shared" si="34"/>
        <v>2025</v>
      </c>
      <c r="M344" s="12">
        <f t="shared" si="35"/>
        <v>12</v>
      </c>
    </row>
    <row r="345" spans="1:13" x14ac:dyDescent="0.2">
      <c r="A345" s="20" t="s">
        <v>563</v>
      </c>
      <c r="B345" s="2" t="s">
        <v>15</v>
      </c>
      <c r="C345" s="2" t="s">
        <v>416</v>
      </c>
      <c r="D345" s="2" t="s">
        <v>104</v>
      </c>
      <c r="E345" s="17" t="s">
        <v>564</v>
      </c>
      <c r="G345" s="18" t="str">
        <f t="shared" si="30"/>
        <v>JBP1E</v>
      </c>
      <c r="H345" s="11" t="str">
        <f>VLOOKUP($A345,[1]Sheet2!$I$2:$O$544,7,FALSE)</f>
        <v>https://fruitbasket.blob.core.windows.net/gk2o5k/avatar/21301231220251006090127HUOUGZ.jpg</v>
      </c>
      <c r="I345" s="12">
        <f t="shared" si="31"/>
        <v>62</v>
      </c>
      <c r="J345" s="12" t="str">
        <f t="shared" si="32"/>
        <v>05</v>
      </c>
      <c r="K345" s="12" t="str">
        <f t="shared" si="33"/>
        <v>08</v>
      </c>
      <c r="L345" s="12" t="str">
        <f t="shared" si="34"/>
        <v>2025</v>
      </c>
      <c r="M345" s="12">
        <f t="shared" si="35"/>
        <v>12</v>
      </c>
    </row>
    <row r="346" spans="1:13" x14ac:dyDescent="0.2">
      <c r="A346" s="23" t="s">
        <v>626</v>
      </c>
      <c r="B346" s="2" t="s">
        <v>15</v>
      </c>
      <c r="C346" s="2" t="s">
        <v>280</v>
      </c>
      <c r="D346" s="2" t="s">
        <v>128</v>
      </c>
      <c r="E346" s="17" t="s">
        <v>627</v>
      </c>
      <c r="F346" s="19" t="s">
        <v>986</v>
      </c>
      <c r="G346" s="18" t="str">
        <f t="shared" si="30"/>
        <v>JMD1E</v>
      </c>
      <c r="H346" s="11" t="str">
        <f>VLOOKUP($A346,[1]Sheet2!$I$2:$O$544,7,FALSE)</f>
        <v>https://hana.modakita.com/azd942/avatar/23773820251011133325NWTU7Z.jpg</v>
      </c>
      <c r="I346" s="12">
        <f t="shared" si="31"/>
        <v>59</v>
      </c>
      <c r="J346" s="12" t="str">
        <f t="shared" si="32"/>
        <v>13</v>
      </c>
      <c r="K346" s="12" t="str">
        <f t="shared" si="33"/>
        <v>08</v>
      </c>
      <c r="L346" s="12" t="str">
        <f t="shared" si="34"/>
        <v>2025</v>
      </c>
      <c r="M346" s="12">
        <f t="shared" si="35"/>
        <v>12</v>
      </c>
    </row>
    <row r="347" spans="1:13" x14ac:dyDescent="0.2">
      <c r="A347" s="20" t="s">
        <v>950</v>
      </c>
      <c r="B347" s="2" t="s">
        <v>38</v>
      </c>
      <c r="C347" s="2" t="s">
        <v>951</v>
      </c>
      <c r="D347" s="2" t="s">
        <v>154</v>
      </c>
      <c r="E347" s="17" t="s">
        <v>952</v>
      </c>
      <c r="G347" s="18" t="str">
        <f t="shared" si="30"/>
        <v>KC02E</v>
      </c>
      <c r="H347" s="11" t="str">
        <f>VLOOKUP($A347,[1]Sheet2!$I$2:$O$544,7,FALSE)</f>
        <v>https://hana.modakita.com/azd942/avatar/210632084202510180836090J7C9T.jpg</v>
      </c>
      <c r="I347" s="12">
        <f t="shared" si="31"/>
        <v>358</v>
      </c>
      <c r="J347" s="12" t="str">
        <f t="shared" si="32"/>
        <v>25</v>
      </c>
      <c r="K347" s="12" t="str">
        <f t="shared" si="33"/>
        <v>10</v>
      </c>
      <c r="L347" s="12" t="str">
        <f t="shared" si="34"/>
        <v>2024</v>
      </c>
      <c r="M347" s="12">
        <f t="shared" si="35"/>
        <v>12</v>
      </c>
    </row>
    <row r="348" spans="1:13" x14ac:dyDescent="0.2">
      <c r="A348" s="20" t="s">
        <v>909</v>
      </c>
      <c r="B348" s="2" t="s">
        <v>15</v>
      </c>
      <c r="C348" s="2" t="s">
        <v>618</v>
      </c>
      <c r="D348" s="2" t="s">
        <v>128</v>
      </c>
      <c r="E348" s="17" t="s">
        <v>910</v>
      </c>
      <c r="G348" s="18" t="str">
        <f t="shared" si="30"/>
        <v>KC04E</v>
      </c>
      <c r="H348" s="11" t="str">
        <f>VLOOKUP($A348,[1]Sheet2!$I$2:$O$544,7,FALSE)</f>
        <v>https://hana.modakita.com/azd942/avatar/21301231220251011093842HYPJ1O.jpg</v>
      </c>
      <c r="I348" s="12">
        <f t="shared" si="31"/>
        <v>60</v>
      </c>
      <c r="J348" s="12" t="str">
        <f t="shared" si="32"/>
        <v>12</v>
      </c>
      <c r="K348" s="12" t="str">
        <f t="shared" si="33"/>
        <v>08</v>
      </c>
      <c r="L348" s="12" t="str">
        <f t="shared" si="34"/>
        <v>2025</v>
      </c>
      <c r="M348" s="12">
        <f t="shared" si="35"/>
        <v>12</v>
      </c>
    </row>
    <row r="349" spans="1:13" x14ac:dyDescent="0.2">
      <c r="A349" s="20" t="s">
        <v>327</v>
      </c>
      <c r="B349" s="2" t="s">
        <v>33</v>
      </c>
      <c r="C349" s="2" t="s">
        <v>328</v>
      </c>
      <c r="D349" s="2" t="s">
        <v>168</v>
      </c>
      <c r="E349" s="17" t="s">
        <v>329</v>
      </c>
      <c r="G349" s="18" t="str">
        <f t="shared" si="30"/>
        <v>KF81E</v>
      </c>
      <c r="H349" s="11" t="str">
        <f>VLOOKUP($A349,[1]Sheet2!$I$2:$O$544,7,FALSE)</f>
        <v>https://hana.modakita.com/azd942/avatar/21063208420251022153737SDXYMN.jpg</v>
      </c>
      <c r="I349" s="12">
        <f t="shared" si="31"/>
        <v>357</v>
      </c>
      <c r="J349" s="12" t="str">
        <f t="shared" si="32"/>
        <v>30</v>
      </c>
      <c r="K349" s="12" t="str">
        <f t="shared" si="33"/>
        <v>10</v>
      </c>
      <c r="L349" s="12" t="str">
        <f t="shared" si="34"/>
        <v>2024</v>
      </c>
      <c r="M349" s="12">
        <f t="shared" si="35"/>
        <v>12</v>
      </c>
    </row>
    <row r="350" spans="1:13" x14ac:dyDescent="0.2">
      <c r="A350" s="20" t="s">
        <v>825</v>
      </c>
      <c r="B350" s="2" t="s">
        <v>38</v>
      </c>
      <c r="C350" s="2" t="s">
        <v>253</v>
      </c>
      <c r="D350" s="2" t="s">
        <v>179</v>
      </c>
      <c r="E350" s="17" t="s">
        <v>826</v>
      </c>
      <c r="G350" s="18" t="str">
        <f t="shared" si="30"/>
        <v>JMD1E</v>
      </c>
      <c r="H350" s="11" t="str">
        <f>VLOOKUP($A350,[1]Sheet2!$I$2:$O$544,7,FALSE)</f>
        <v>https://fruitbasket.blob.core.windows.net/gk2o5k/avatar/23773820251004101555BP5OVB.jpg</v>
      </c>
      <c r="I350" s="12">
        <f t="shared" si="31"/>
        <v>357</v>
      </c>
      <c r="J350" s="12" t="str">
        <f t="shared" si="32"/>
        <v>12</v>
      </c>
      <c r="K350" s="12" t="str">
        <f t="shared" si="33"/>
        <v>10</v>
      </c>
      <c r="L350" s="12" t="str">
        <f t="shared" si="34"/>
        <v>2024</v>
      </c>
      <c r="M350" s="12">
        <f t="shared" si="35"/>
        <v>12</v>
      </c>
    </row>
    <row r="351" spans="1:13" x14ac:dyDescent="0.2">
      <c r="A351" s="20" t="s">
        <v>953</v>
      </c>
      <c r="B351" s="2" t="s">
        <v>38</v>
      </c>
      <c r="C351" s="2" t="s">
        <v>273</v>
      </c>
      <c r="D351" s="2" t="s">
        <v>216</v>
      </c>
      <c r="E351" s="17" t="s">
        <v>954</v>
      </c>
      <c r="G351" s="18" t="str">
        <f t="shared" si="30"/>
        <v>KC02E</v>
      </c>
      <c r="H351" s="11" t="str">
        <f>VLOOKUP($A351,[1]Sheet2!$I$2:$O$544,7,FALSE)</f>
        <v>https://hana.modakita.com/azd942/avatar/23773820251020140345RCT9NV.jpg</v>
      </c>
      <c r="I351" s="12">
        <f t="shared" si="31"/>
        <v>361</v>
      </c>
      <c r="J351" s="12" t="str">
        <f t="shared" si="32"/>
        <v>24</v>
      </c>
      <c r="K351" s="12" t="str">
        <f t="shared" si="33"/>
        <v>10</v>
      </c>
      <c r="L351" s="12" t="str">
        <f t="shared" si="34"/>
        <v>2024</v>
      </c>
      <c r="M351" s="12">
        <f t="shared" si="35"/>
        <v>12</v>
      </c>
    </row>
    <row r="352" spans="1:13" x14ac:dyDescent="0.2">
      <c r="A352" s="20" t="s">
        <v>827</v>
      </c>
      <c r="B352" s="2" t="s">
        <v>38</v>
      </c>
      <c r="C352" s="2" t="s">
        <v>382</v>
      </c>
      <c r="D352" s="2" t="s">
        <v>117</v>
      </c>
      <c r="E352" s="17" t="s">
        <v>828</v>
      </c>
      <c r="G352" s="18" t="str">
        <f t="shared" si="30"/>
        <v>JMC1E</v>
      </c>
      <c r="H352" s="11" t="str">
        <f>VLOOKUP($A352,[1]Sheet2!$I$2:$O$544,7,FALSE)</f>
        <v>https://fruitbasket.blob.core.windows.net/gk2o5k/avatar/23773820251009151154AREWYR.jpg</v>
      </c>
      <c r="I352" s="12">
        <f t="shared" si="31"/>
        <v>364</v>
      </c>
      <c r="J352" s="12" t="str">
        <f t="shared" si="32"/>
        <v>10</v>
      </c>
      <c r="K352" s="12" t="str">
        <f t="shared" si="33"/>
        <v>10</v>
      </c>
      <c r="L352" s="12" t="str">
        <f t="shared" si="34"/>
        <v>2024</v>
      </c>
      <c r="M352" s="12">
        <f t="shared" si="35"/>
        <v>12</v>
      </c>
    </row>
    <row r="353" spans="1:13" x14ac:dyDescent="0.2">
      <c r="A353" s="20" t="s">
        <v>245</v>
      </c>
      <c r="B353" s="2" t="s">
        <v>38</v>
      </c>
      <c r="C353" s="2" t="s">
        <v>246</v>
      </c>
      <c r="D353" s="2" t="s">
        <v>104</v>
      </c>
      <c r="E353" s="17" t="s">
        <v>247</v>
      </c>
      <c r="G353" s="18" t="str">
        <f t="shared" si="30"/>
        <v>JME1E</v>
      </c>
      <c r="H353" s="11" t="str">
        <f>VLOOKUP($A353,[1]Sheet2!$I$2:$O$544,7,FALSE)</f>
        <v>https://fruitbasket.blob.core.windows.net/gk2o5k/avatar/210632084202510060950483NDQLC.jpg</v>
      </c>
      <c r="I353" s="12">
        <f t="shared" si="31"/>
        <v>367</v>
      </c>
      <c r="J353" s="12" t="str">
        <f t="shared" si="32"/>
        <v>04</v>
      </c>
      <c r="K353" s="12" t="str">
        <f t="shared" si="33"/>
        <v>10</v>
      </c>
      <c r="L353" s="12" t="str">
        <f t="shared" si="34"/>
        <v>2024</v>
      </c>
      <c r="M353" s="12">
        <f t="shared" si="35"/>
        <v>12</v>
      </c>
    </row>
    <row r="354" spans="1:13" x14ac:dyDescent="0.2">
      <c r="A354" s="20" t="s">
        <v>588</v>
      </c>
      <c r="B354" s="2" t="s">
        <v>38</v>
      </c>
      <c r="C354" s="2" t="s">
        <v>589</v>
      </c>
      <c r="D354" s="2" t="s">
        <v>121</v>
      </c>
      <c r="E354" s="17" t="s">
        <v>590</v>
      </c>
      <c r="G354" s="18" t="str">
        <f t="shared" si="30"/>
        <v>JBP1E</v>
      </c>
      <c r="H354" s="11" t="str">
        <f>VLOOKUP($A354,[1]Sheet2!$I$2:$O$544,7,FALSE)</f>
        <v>https://hana.modakita.com/azd942/avatar/23773820251010131253SUVLZ8.jpg</v>
      </c>
      <c r="I354" s="12">
        <f t="shared" si="31"/>
        <v>362</v>
      </c>
      <c r="J354" s="12" t="str">
        <f t="shared" si="32"/>
        <v>13</v>
      </c>
      <c r="K354" s="12" t="str">
        <f t="shared" si="33"/>
        <v>10</v>
      </c>
      <c r="L354" s="12" t="str">
        <f t="shared" si="34"/>
        <v>2024</v>
      </c>
      <c r="M354" s="12">
        <f t="shared" si="35"/>
        <v>12</v>
      </c>
    </row>
    <row r="355" spans="1:13" x14ac:dyDescent="0.2">
      <c r="A355" s="20" t="s">
        <v>663</v>
      </c>
      <c r="B355" s="2" t="s">
        <v>15</v>
      </c>
      <c r="C355" s="2" t="s">
        <v>146</v>
      </c>
      <c r="D355" s="2" t="s">
        <v>154</v>
      </c>
      <c r="E355" s="17" t="s">
        <v>664</v>
      </c>
      <c r="G355" s="18" t="str">
        <f t="shared" si="30"/>
        <v>JMD1E</v>
      </c>
      <c r="H355" s="11" t="str">
        <f>VLOOKUP($A355,[1]Sheet2!$I$2:$O$544,7,FALSE)</f>
        <v>https://hana.modakita.com/azd942/avatar/23773820251018084645VRQFKV.jpg</v>
      </c>
      <c r="I355" s="12">
        <f t="shared" si="31"/>
        <v>59</v>
      </c>
      <c r="J355" s="12" t="str">
        <f t="shared" si="32"/>
        <v>20</v>
      </c>
      <c r="K355" s="12" t="str">
        <f t="shared" si="33"/>
        <v>08</v>
      </c>
      <c r="L355" s="12" t="str">
        <f t="shared" si="34"/>
        <v>2025</v>
      </c>
      <c r="M355" s="12">
        <f t="shared" si="35"/>
        <v>12</v>
      </c>
    </row>
    <row r="356" spans="1:13" x14ac:dyDescent="0.2">
      <c r="A356" s="20" t="s">
        <v>955</v>
      </c>
      <c r="B356" s="2" t="s">
        <v>38</v>
      </c>
      <c r="C356" s="2" t="s">
        <v>956</v>
      </c>
      <c r="D356" s="2" t="s">
        <v>164</v>
      </c>
      <c r="E356" s="17" t="s">
        <v>957</v>
      </c>
      <c r="G356" s="18" t="str">
        <f t="shared" si="30"/>
        <v>KC02E</v>
      </c>
      <c r="H356" s="11" t="str">
        <f>VLOOKUP($A356,[1]Sheet2!$I$2:$O$544,7,FALSE)</f>
        <v>https://hana.modakita.com/azd942/avatar/21063208420251021153658UXTHFN.jpg</v>
      </c>
      <c r="I356" s="12">
        <f t="shared" si="31"/>
        <v>359</v>
      </c>
      <c r="J356" s="12" t="str">
        <f t="shared" si="32"/>
        <v>27</v>
      </c>
      <c r="K356" s="12" t="str">
        <f t="shared" si="33"/>
        <v>10</v>
      </c>
      <c r="L356" s="12" t="str">
        <f t="shared" si="34"/>
        <v>2024</v>
      </c>
      <c r="M356" s="12">
        <f t="shared" si="35"/>
        <v>12</v>
      </c>
    </row>
    <row r="357" spans="1:13" x14ac:dyDescent="0.2">
      <c r="A357" s="20" t="s">
        <v>324</v>
      </c>
      <c r="B357" s="2" t="s">
        <v>33</v>
      </c>
      <c r="C357" s="2" t="s">
        <v>325</v>
      </c>
      <c r="D357" s="2" t="s">
        <v>117</v>
      </c>
      <c r="E357" s="17" t="s">
        <v>326</v>
      </c>
      <c r="G357" s="18" t="str">
        <f t="shared" si="30"/>
        <v>KF81E</v>
      </c>
      <c r="H357" s="11" t="str">
        <f>VLOOKUP($A357,[1]Sheet2!$I$2:$O$544,7,FALSE)</f>
        <v>https://fruitbasket.blob.core.windows.net/gk2o5k/avatar/23773820251009134613FTQKJE.jpg</v>
      </c>
      <c r="I357" s="12">
        <f t="shared" si="31"/>
        <v>365</v>
      </c>
      <c r="J357" s="12" t="str">
        <f t="shared" si="32"/>
        <v>09</v>
      </c>
      <c r="K357" s="12" t="str">
        <f t="shared" si="33"/>
        <v>10</v>
      </c>
      <c r="L357" s="12" t="str">
        <f t="shared" si="34"/>
        <v>2024</v>
      </c>
      <c r="M357" s="12">
        <f t="shared" si="35"/>
        <v>12</v>
      </c>
    </row>
    <row r="358" spans="1:13" x14ac:dyDescent="0.2">
      <c r="A358" s="20" t="s">
        <v>623</v>
      </c>
      <c r="B358" s="2" t="s">
        <v>15</v>
      </c>
      <c r="C358" s="2" t="s">
        <v>280</v>
      </c>
      <c r="D358" s="2" t="s">
        <v>128</v>
      </c>
      <c r="E358" s="17" t="s">
        <v>624</v>
      </c>
      <c r="G358" s="18" t="str">
        <f t="shared" si="30"/>
        <v>JMC1E</v>
      </c>
      <c r="H358" s="11" t="str">
        <f>VLOOKUP($A358,[1]Sheet2!$I$2:$O$544,7,FALSE)</f>
        <v>https://hana.modakita.com/azd942/avatar/23773820251011102249KYRQMM.jpg</v>
      </c>
      <c r="I358" s="12">
        <f t="shared" si="31"/>
        <v>59</v>
      </c>
      <c r="J358" s="12" t="str">
        <f t="shared" si="32"/>
        <v>13</v>
      </c>
      <c r="K358" s="12" t="str">
        <f t="shared" si="33"/>
        <v>08</v>
      </c>
      <c r="L358" s="12" t="str">
        <f t="shared" si="34"/>
        <v>2025</v>
      </c>
      <c r="M358" s="12">
        <f t="shared" si="35"/>
        <v>12</v>
      </c>
    </row>
    <row r="359" spans="1:13" x14ac:dyDescent="0.2">
      <c r="A359" s="20" t="s">
        <v>379</v>
      </c>
      <c r="B359" s="2" t="s">
        <v>38</v>
      </c>
      <c r="C359" s="2" t="s">
        <v>325</v>
      </c>
      <c r="D359" s="2" t="s">
        <v>117</v>
      </c>
      <c r="E359" s="17" t="s">
        <v>380</v>
      </c>
      <c r="G359" s="18" t="str">
        <f t="shared" si="30"/>
        <v>JBK1E</v>
      </c>
      <c r="H359" s="11" t="str">
        <f>VLOOKUP($A359,[1]Sheet2!$I$2:$O$544,7,FALSE)</f>
        <v>https://fruitbasket.blob.core.windows.net/gk2o5k/avatar/21063208420251009115250TVTLYH.jpg</v>
      </c>
      <c r="I359" s="12">
        <f t="shared" si="31"/>
        <v>365</v>
      </c>
      <c r="J359" s="12" t="str">
        <f t="shared" si="32"/>
        <v>09</v>
      </c>
      <c r="K359" s="12" t="str">
        <f t="shared" si="33"/>
        <v>10</v>
      </c>
      <c r="L359" s="12" t="str">
        <f t="shared" si="34"/>
        <v>2024</v>
      </c>
      <c r="M359" s="12">
        <f t="shared" si="35"/>
        <v>12</v>
      </c>
    </row>
    <row r="360" spans="1:13" x14ac:dyDescent="0.2">
      <c r="A360" s="20" t="s">
        <v>669</v>
      </c>
      <c r="B360" s="2" t="s">
        <v>15</v>
      </c>
      <c r="C360" s="2" t="s">
        <v>304</v>
      </c>
      <c r="D360" s="2" t="s">
        <v>154</v>
      </c>
      <c r="E360" s="17" t="s">
        <v>670</v>
      </c>
      <c r="G360" s="18" t="str">
        <f t="shared" si="30"/>
        <v>JMD1E</v>
      </c>
      <c r="H360" s="11" t="str">
        <f>VLOOKUP($A360,[1]Sheet2!$I$2:$O$544,7,FALSE)</f>
        <v>https://hana.modakita.com/azd942/avatar/21301231220251018150423AKVYLL.jpg</v>
      </c>
      <c r="I360" s="12">
        <f t="shared" si="31"/>
        <v>58</v>
      </c>
      <c r="J360" s="12" t="str">
        <f t="shared" si="32"/>
        <v>21</v>
      </c>
      <c r="K360" s="12" t="str">
        <f t="shared" si="33"/>
        <v>08</v>
      </c>
      <c r="L360" s="12" t="str">
        <f t="shared" si="34"/>
        <v>2025</v>
      </c>
      <c r="M360" s="12">
        <f t="shared" si="35"/>
        <v>12</v>
      </c>
    </row>
    <row r="361" spans="1:13" x14ac:dyDescent="0.2">
      <c r="A361" s="20" t="s">
        <v>336</v>
      </c>
      <c r="B361" s="2" t="s">
        <v>15</v>
      </c>
      <c r="C361" s="2" t="s">
        <v>337</v>
      </c>
      <c r="D361" s="2" t="s">
        <v>141</v>
      </c>
      <c r="E361" s="17" t="s">
        <v>338</v>
      </c>
      <c r="G361" s="18" t="str">
        <f t="shared" si="30"/>
        <v>JBK3E</v>
      </c>
      <c r="H361" s="11" t="str">
        <f>VLOOKUP($A361,[1]Sheet2!$I$2:$O$544,7,FALSE)</f>
        <v>https://hana.modakita.com/azd942/avatar/23773820251015121742UAHCBM.jpg</v>
      </c>
      <c r="I361" s="12">
        <f t="shared" si="31"/>
        <v>60</v>
      </c>
      <c r="J361" s="12" t="str">
        <f t="shared" si="32"/>
        <v>16</v>
      </c>
      <c r="K361" s="12" t="str">
        <f t="shared" si="33"/>
        <v>08</v>
      </c>
      <c r="L361" s="12" t="str">
        <f t="shared" si="34"/>
        <v>2025</v>
      </c>
      <c r="M361" s="12">
        <f t="shared" si="35"/>
        <v>12</v>
      </c>
    </row>
    <row r="362" spans="1:13" x14ac:dyDescent="0.2">
      <c r="A362" s="20" t="s">
        <v>547</v>
      </c>
      <c r="B362" s="2" t="s">
        <v>33</v>
      </c>
      <c r="C362" s="2" t="s">
        <v>548</v>
      </c>
      <c r="D362" s="2" t="s">
        <v>141</v>
      </c>
      <c r="E362" s="17" t="s">
        <v>549</v>
      </c>
      <c r="G362" s="18" t="str">
        <f t="shared" si="30"/>
        <v>KFC1E</v>
      </c>
      <c r="H362" s="11" t="str">
        <f>VLOOKUP($A362,[1]Sheet2!$I$2:$O$544,7,FALSE)</f>
        <v>https://hana.modakita.com/azd942/avatar/21063208420251015112854DDM2FP.jpg</v>
      </c>
      <c r="I362" s="12">
        <f t="shared" si="31"/>
        <v>241</v>
      </c>
      <c r="J362" s="12" t="str">
        <f t="shared" si="32"/>
        <v>16</v>
      </c>
      <c r="K362" s="12" t="str">
        <f t="shared" si="33"/>
        <v>02</v>
      </c>
      <c r="L362" s="12" t="str">
        <f t="shared" si="34"/>
        <v>2025</v>
      </c>
      <c r="M362" s="12">
        <f t="shared" si="35"/>
        <v>12</v>
      </c>
    </row>
    <row r="363" spans="1:13" x14ac:dyDescent="0.2">
      <c r="A363" s="20" t="s">
        <v>297</v>
      </c>
      <c r="B363" s="2" t="s">
        <v>15</v>
      </c>
      <c r="C363" s="2" t="s">
        <v>295</v>
      </c>
      <c r="D363" s="2" t="s">
        <v>113</v>
      </c>
      <c r="E363" s="17" t="s">
        <v>298</v>
      </c>
      <c r="G363" s="18" t="str">
        <f t="shared" si="30"/>
        <v>KFE2E</v>
      </c>
      <c r="H363" s="11" t="str">
        <f>VLOOKUP($A363,[1]Sheet2!$I$2:$O$544,7,FALSE)</f>
        <v>https://fruitbasket.blob.core.windows.net/gk2o5k/avatar/21063208420251007115330RMUHXU.jpg</v>
      </c>
      <c r="I363" s="12">
        <f t="shared" si="31"/>
        <v>60</v>
      </c>
      <c r="J363" s="12" t="str">
        <f t="shared" si="32"/>
        <v>08</v>
      </c>
      <c r="K363" s="12" t="str">
        <f t="shared" si="33"/>
        <v>08</v>
      </c>
      <c r="L363" s="12" t="str">
        <f t="shared" si="34"/>
        <v>2025</v>
      </c>
      <c r="M363" s="12">
        <f t="shared" si="35"/>
        <v>12</v>
      </c>
    </row>
    <row r="364" spans="1:13" x14ac:dyDescent="0.2">
      <c r="A364" s="20" t="s">
        <v>306</v>
      </c>
      <c r="B364" s="2" t="s">
        <v>15</v>
      </c>
      <c r="C364" s="2" t="s">
        <v>304</v>
      </c>
      <c r="D364" s="2" t="s">
        <v>154</v>
      </c>
      <c r="E364" s="17" t="s">
        <v>307</v>
      </c>
      <c r="G364" s="18" t="str">
        <f t="shared" si="30"/>
        <v>KFE1E</v>
      </c>
      <c r="H364" s="11" t="str">
        <f>VLOOKUP($A364,[1]Sheet2!$I$2:$O$544,7,FALSE)</f>
        <v>https://hana.modakita.com/azd942/avatar/23773820251018110929UBIJV9.jpg</v>
      </c>
      <c r="I364" s="12">
        <f t="shared" si="31"/>
        <v>58</v>
      </c>
      <c r="J364" s="12" t="str">
        <f t="shared" si="32"/>
        <v>21</v>
      </c>
      <c r="K364" s="12" t="str">
        <f t="shared" si="33"/>
        <v>08</v>
      </c>
      <c r="L364" s="12" t="str">
        <f t="shared" si="34"/>
        <v>2025</v>
      </c>
      <c r="M364" s="12">
        <f t="shared" si="35"/>
        <v>12</v>
      </c>
    </row>
    <row r="365" spans="1:13" x14ac:dyDescent="0.2">
      <c r="A365" s="20" t="s">
        <v>173</v>
      </c>
      <c r="B365" s="2" t="s">
        <v>15</v>
      </c>
      <c r="C365" s="2" t="s">
        <v>174</v>
      </c>
      <c r="D365" s="2" t="s">
        <v>175</v>
      </c>
      <c r="E365" s="17" t="s">
        <v>176</v>
      </c>
      <c r="G365" s="18" t="str">
        <f t="shared" si="30"/>
        <v>JME1E</v>
      </c>
      <c r="H365" s="11" t="str">
        <f>VLOOKUP($A365,[1]Sheet2!$I$2:$O$544,7,FALSE)</f>
        <v>https://hana.modakita.com/azd942/avatar/23773820251024143728NTLYVU.jpg</v>
      </c>
      <c r="I365" s="12">
        <f t="shared" si="31"/>
        <v>63</v>
      </c>
      <c r="J365" s="12" t="str">
        <f t="shared" si="32"/>
        <v>22</v>
      </c>
      <c r="K365" s="12" t="str">
        <f t="shared" si="33"/>
        <v>08</v>
      </c>
      <c r="L365" s="12" t="str">
        <f t="shared" si="34"/>
        <v>2025</v>
      </c>
      <c r="M365" s="12">
        <f t="shared" si="35"/>
        <v>12</v>
      </c>
    </row>
    <row r="366" spans="1:13" x14ac:dyDescent="0.2">
      <c r="A366" s="20" t="s">
        <v>495</v>
      </c>
      <c r="B366" s="2" t="s">
        <v>38</v>
      </c>
      <c r="C366" s="2" t="s">
        <v>496</v>
      </c>
      <c r="D366" s="2" t="s">
        <v>179</v>
      </c>
      <c r="E366" s="17" t="s">
        <v>497</v>
      </c>
      <c r="G366" s="18" t="str">
        <f t="shared" si="30"/>
        <v>JM03E</v>
      </c>
      <c r="H366" s="11" t="str">
        <f>VLOOKUP($A366,[1]Sheet2!$I$2:$O$544,7,FALSE)</f>
        <v>https://fruitbasket.blob.core.windows.net/gk2o5k/avatar/21063208420251004112513BRJTMU.jpg</v>
      </c>
      <c r="I366" s="12">
        <f t="shared" si="31"/>
        <v>366</v>
      </c>
      <c r="J366" s="12" t="str">
        <f t="shared" si="32"/>
        <v>03</v>
      </c>
      <c r="K366" s="12" t="str">
        <f t="shared" si="33"/>
        <v>10</v>
      </c>
      <c r="L366" s="12" t="str">
        <f t="shared" si="34"/>
        <v>2024</v>
      </c>
      <c r="M366" s="12">
        <f t="shared" si="35"/>
        <v>12</v>
      </c>
    </row>
    <row r="367" spans="1:13" x14ac:dyDescent="0.2">
      <c r="A367" s="20" t="s">
        <v>899</v>
      </c>
      <c r="B367" s="2" t="s">
        <v>33</v>
      </c>
      <c r="C367" s="2" t="s">
        <v>777</v>
      </c>
      <c r="D367" s="2" t="s">
        <v>141</v>
      </c>
      <c r="E367" s="17" t="s">
        <v>900</v>
      </c>
      <c r="G367" s="18" t="str">
        <f t="shared" si="30"/>
        <v>KF01E</v>
      </c>
      <c r="H367" s="11" t="str">
        <f>VLOOKUP($A367,[1]Sheet2!$I$2:$O$544,7,FALSE)</f>
        <v>https://hana.modakita.com/azd942/avatar/21063208420251015103941J6EJQP.jpg</v>
      </c>
      <c r="I367" s="12">
        <f t="shared" si="31"/>
        <v>243</v>
      </c>
      <c r="J367" s="12" t="str">
        <f t="shared" si="32"/>
        <v>14</v>
      </c>
      <c r="K367" s="12" t="str">
        <f t="shared" si="33"/>
        <v>02</v>
      </c>
      <c r="L367" s="12" t="str">
        <f t="shared" si="34"/>
        <v>2025</v>
      </c>
      <c r="M367" s="12">
        <f t="shared" si="35"/>
        <v>12</v>
      </c>
    </row>
    <row r="368" spans="1:13" x14ac:dyDescent="0.2">
      <c r="A368" s="20" t="s">
        <v>509</v>
      </c>
      <c r="B368" s="2" t="s">
        <v>15</v>
      </c>
      <c r="C368" s="2" t="s">
        <v>280</v>
      </c>
      <c r="D368" s="2" t="s">
        <v>128</v>
      </c>
      <c r="E368" s="17" t="s">
        <v>510</v>
      </c>
      <c r="G368" s="18" t="str">
        <f t="shared" si="30"/>
        <v>KFD1E</v>
      </c>
      <c r="H368" s="11" t="str">
        <f>VLOOKUP($A368,[1]Sheet2!$I$2:$O$544,7,FALSE)</f>
        <v>https://hana.modakita.com/azd942/avatar/21301231220251011134412QV0FPO.jpg</v>
      </c>
      <c r="I368" s="12">
        <f t="shared" si="31"/>
        <v>59</v>
      </c>
      <c r="J368" s="12" t="str">
        <f t="shared" si="32"/>
        <v>13</v>
      </c>
      <c r="K368" s="12" t="str">
        <f t="shared" si="33"/>
        <v>08</v>
      </c>
      <c r="L368" s="12" t="str">
        <f t="shared" si="34"/>
        <v>2025</v>
      </c>
      <c r="M368" s="12">
        <f t="shared" si="35"/>
        <v>12</v>
      </c>
    </row>
    <row r="369" spans="1:13" x14ac:dyDescent="0.2">
      <c r="A369" s="20" t="s">
        <v>133</v>
      </c>
      <c r="B369" s="2" t="s">
        <v>15</v>
      </c>
      <c r="C369" s="2" t="s">
        <v>134</v>
      </c>
      <c r="D369" s="2" t="s">
        <v>131</v>
      </c>
      <c r="E369" s="17" t="s">
        <v>135</v>
      </c>
      <c r="G369" s="18" t="str">
        <f t="shared" si="30"/>
        <v>JMF1E</v>
      </c>
      <c r="H369" s="11" t="str">
        <f>VLOOKUP($A369,[1]Sheet2!$I$2:$O$544,7,FALSE)</f>
        <v>https://hana.modakita.com/azd942/avatar/21063208420251013144012ZCMPFK.jpg</v>
      </c>
      <c r="I369" s="12">
        <f t="shared" si="31"/>
        <v>59</v>
      </c>
      <c r="J369" s="12" t="str">
        <f t="shared" si="32"/>
        <v>15</v>
      </c>
      <c r="K369" s="12" t="str">
        <f t="shared" si="33"/>
        <v>08</v>
      </c>
      <c r="L369" s="12" t="str">
        <f t="shared" si="34"/>
        <v>2025</v>
      </c>
      <c r="M369" s="12">
        <f t="shared" si="35"/>
        <v>12</v>
      </c>
    </row>
    <row r="370" spans="1:13" x14ac:dyDescent="0.2">
      <c r="A370" s="20" t="s">
        <v>630</v>
      </c>
      <c r="B370" s="2" t="s">
        <v>15</v>
      </c>
      <c r="C370" s="2" t="s">
        <v>127</v>
      </c>
      <c r="D370" s="2" t="s">
        <v>128</v>
      </c>
      <c r="E370" s="17" t="s">
        <v>631</v>
      </c>
      <c r="G370" s="18" t="str">
        <f t="shared" si="30"/>
        <v>JMC1E</v>
      </c>
      <c r="H370" s="11" t="str">
        <f>VLOOKUP($A370,[1]Sheet2!$I$2:$O$544,7,FALSE)</f>
        <v>https://hana.modakita.com/azd942/avatar/21063208420251011142036T2VI1H.jpg</v>
      </c>
      <c r="I370" s="12">
        <f t="shared" si="31"/>
        <v>58</v>
      </c>
      <c r="J370" s="12" t="str">
        <f t="shared" si="32"/>
        <v>14</v>
      </c>
      <c r="K370" s="12" t="str">
        <f t="shared" si="33"/>
        <v>08</v>
      </c>
      <c r="L370" s="12" t="str">
        <f t="shared" si="34"/>
        <v>2025</v>
      </c>
      <c r="M370" s="12">
        <f t="shared" si="35"/>
        <v>12</v>
      </c>
    </row>
    <row r="371" spans="1:13" x14ac:dyDescent="0.2">
      <c r="A371" s="20" t="s">
        <v>431</v>
      </c>
      <c r="B371" s="2" t="s">
        <v>15</v>
      </c>
      <c r="C371" s="2" t="s">
        <v>163</v>
      </c>
      <c r="D371" s="2" t="s">
        <v>164</v>
      </c>
      <c r="E371" s="17" t="s">
        <v>432</v>
      </c>
      <c r="F371" s="19"/>
      <c r="G371" s="18" t="str">
        <f t="shared" si="30"/>
        <v>JMH2E</v>
      </c>
      <c r="H371" s="11" t="str">
        <f>VLOOKUP($A371,[1]Sheet2!$I$2:$O$544,7,FALSE)</f>
        <v>https://hana.modakita.com/azd942/avatar/210632084202510210917227STPBL.jpg</v>
      </c>
      <c r="I371" s="12">
        <f t="shared" si="31"/>
        <v>57</v>
      </c>
      <c r="J371" s="12" t="str">
        <f t="shared" si="32"/>
        <v>25</v>
      </c>
      <c r="K371" s="12" t="str">
        <f t="shared" si="33"/>
        <v>08</v>
      </c>
      <c r="L371" s="12" t="str">
        <f t="shared" si="34"/>
        <v>2025</v>
      </c>
      <c r="M371" s="12">
        <f t="shared" si="35"/>
        <v>12</v>
      </c>
    </row>
    <row r="372" spans="1:13" x14ac:dyDescent="0.2">
      <c r="A372" s="20" t="s">
        <v>646</v>
      </c>
      <c r="B372" s="2" t="s">
        <v>15</v>
      </c>
      <c r="C372" s="2" t="s">
        <v>337</v>
      </c>
      <c r="D372" s="2" t="s">
        <v>141</v>
      </c>
      <c r="E372" s="17" t="s">
        <v>647</v>
      </c>
      <c r="G372" s="18" t="str">
        <f t="shared" si="30"/>
        <v>JMD1E</v>
      </c>
      <c r="H372" s="11" t="str">
        <f>VLOOKUP($A372,[1]Sheet2!$I$2:$O$544,7,FALSE)</f>
        <v>https://hana.modakita.com/azd942/avatar/23773820251015113020CZ6ZCD.jpg</v>
      </c>
      <c r="I372" s="12">
        <f t="shared" si="31"/>
        <v>60</v>
      </c>
      <c r="J372" s="12" t="str">
        <f t="shared" si="32"/>
        <v>16</v>
      </c>
      <c r="K372" s="12" t="str">
        <f t="shared" si="33"/>
        <v>08</v>
      </c>
      <c r="L372" s="12" t="str">
        <f t="shared" si="34"/>
        <v>2025</v>
      </c>
      <c r="M372" s="12">
        <f t="shared" si="35"/>
        <v>12</v>
      </c>
    </row>
    <row r="373" spans="1:13" x14ac:dyDescent="0.2">
      <c r="A373" s="20" t="s">
        <v>504</v>
      </c>
      <c r="B373" s="2" t="s">
        <v>38</v>
      </c>
      <c r="C373" s="2" t="s">
        <v>328</v>
      </c>
      <c r="D373" s="2" t="s">
        <v>168</v>
      </c>
      <c r="E373" s="17" t="s">
        <v>505</v>
      </c>
      <c r="G373" s="18" t="str">
        <f t="shared" si="30"/>
        <v>JM04E</v>
      </c>
      <c r="H373" s="11" t="str">
        <f>VLOOKUP($A373,[1]Sheet2!$I$2:$O$544,7,FALSE)</f>
        <v>https://hana.modakita.com/azd942/avatar/23773820251022153750C477BX.jpg</v>
      </c>
      <c r="I373" s="12">
        <f t="shared" si="31"/>
        <v>357</v>
      </c>
      <c r="J373" s="12" t="str">
        <f t="shared" si="32"/>
        <v>30</v>
      </c>
      <c r="K373" s="12" t="str">
        <f t="shared" si="33"/>
        <v>10</v>
      </c>
      <c r="L373" s="12" t="str">
        <f t="shared" si="34"/>
        <v>2024</v>
      </c>
      <c r="M373" s="12">
        <f t="shared" si="35"/>
        <v>12</v>
      </c>
    </row>
    <row r="374" spans="1:13" x14ac:dyDescent="0.2">
      <c r="A374" s="20" t="s">
        <v>156</v>
      </c>
      <c r="B374" s="2" t="s">
        <v>15</v>
      </c>
      <c r="C374" s="2" t="s">
        <v>157</v>
      </c>
      <c r="D374" s="2" t="s">
        <v>154</v>
      </c>
      <c r="E374" s="17" t="s">
        <v>158</v>
      </c>
      <c r="G374" s="18" t="str">
        <f t="shared" si="30"/>
        <v>JMF1E</v>
      </c>
      <c r="H374" s="11" t="str">
        <f>VLOOKUP($A374,[1]Sheet2!$I$2:$O$544,7,FALSE)</f>
        <v>https://hana.modakita.com/azd942/avatar/21063208420251018090237REIMWQ.jpg</v>
      </c>
      <c r="I374" s="12">
        <f t="shared" si="31"/>
        <v>52</v>
      </c>
      <c r="J374" s="12" t="str">
        <f t="shared" si="32"/>
        <v>27</v>
      </c>
      <c r="K374" s="12" t="str">
        <f t="shared" si="33"/>
        <v>08</v>
      </c>
      <c r="L374" s="12" t="str">
        <f t="shared" si="34"/>
        <v>2025</v>
      </c>
      <c r="M374" s="12">
        <f t="shared" si="35"/>
        <v>12</v>
      </c>
    </row>
    <row r="375" spans="1:13" x14ac:dyDescent="0.2">
      <c r="A375" s="20" t="s">
        <v>394</v>
      </c>
      <c r="B375" s="2" t="s">
        <v>15</v>
      </c>
      <c r="C375" s="2" t="s">
        <v>107</v>
      </c>
      <c r="D375" s="2" t="s">
        <v>104</v>
      </c>
      <c r="E375" s="17" t="s">
        <v>395</v>
      </c>
      <c r="G375" s="18" t="str">
        <f t="shared" si="30"/>
        <v>JMH1E</v>
      </c>
      <c r="H375" s="11" t="str">
        <f>VLOOKUP($A375,[1]Sheet2!$I$2:$O$544,7,FALSE)</f>
        <v>https://fruitbasket.blob.core.windows.net/gk2o5k/avatar/21063208420251006103935BJYVNZ.jpg</v>
      </c>
      <c r="I375" s="12">
        <f t="shared" si="31"/>
        <v>61</v>
      </c>
      <c r="J375" s="12" t="str">
        <f t="shared" si="32"/>
        <v>06</v>
      </c>
      <c r="K375" s="12" t="str">
        <f t="shared" si="33"/>
        <v>08</v>
      </c>
      <c r="L375" s="12" t="str">
        <f t="shared" si="34"/>
        <v>2025</v>
      </c>
      <c r="M375" s="12">
        <f t="shared" si="35"/>
        <v>12</v>
      </c>
    </row>
    <row r="376" spans="1:13" x14ac:dyDescent="0.2">
      <c r="A376" s="20" t="s">
        <v>508</v>
      </c>
      <c r="B376" s="2" t="s">
        <v>15</v>
      </c>
      <c r="C376" s="2" t="s">
        <v>116</v>
      </c>
      <c r="D376" s="2" t="s">
        <v>117</v>
      </c>
      <c r="E376" s="17" t="s">
        <v>395</v>
      </c>
      <c r="G376" s="18" t="str">
        <f t="shared" si="30"/>
        <v>KFC1E</v>
      </c>
      <c r="H376" s="11" t="str">
        <f>VLOOKUP($A376,[1]Sheet2!$I$2:$O$544,7,FALSE)</f>
        <v>https://fruitbasket.blob.core.windows.net/gk2o5k/avatar/21063208420251009135032I0B7OM.jpg</v>
      </c>
      <c r="I376" s="12">
        <f t="shared" si="31"/>
        <v>61</v>
      </c>
      <c r="J376" s="12" t="str">
        <f t="shared" si="32"/>
        <v>09</v>
      </c>
      <c r="K376" s="12" t="str">
        <f t="shared" si="33"/>
        <v>08</v>
      </c>
      <c r="L376" s="12" t="str">
        <f t="shared" si="34"/>
        <v>2025</v>
      </c>
      <c r="M376" s="12">
        <f t="shared" si="35"/>
        <v>12</v>
      </c>
    </row>
  </sheetData>
  <autoFilter ref="A1:M376" xr:uid="{00000000-0001-0000-0100-000000000000}">
    <sortState xmlns:xlrd2="http://schemas.microsoft.com/office/spreadsheetml/2017/richdata2" ref="A2:M376">
      <sortCondition ref="E1:E376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6E4E-16BE-48A5-8FE1-F0BD622D221F}">
  <dimension ref="A1:O376"/>
  <sheetViews>
    <sheetView tabSelected="1" zoomScaleNormal="100" workbookViewId="0">
      <selection activeCell="M8" sqref="M8"/>
    </sheetView>
  </sheetViews>
  <sheetFormatPr defaultRowHeight="12.75" x14ac:dyDescent="0.2"/>
  <cols>
    <col min="1" max="1" width="15" customWidth="1"/>
    <col min="2" max="3" width="8.140625" customWidth="1"/>
    <col min="4" max="11" width="11.28515625" customWidth="1"/>
    <col min="12" max="12" width="7.140625" customWidth="1"/>
    <col min="13" max="15" width="9.140625" customWidth="1"/>
  </cols>
  <sheetData>
    <row r="1" spans="1:15" ht="39" customHeight="1" x14ac:dyDescent="0.25">
      <c r="A1" s="1" t="s">
        <v>91</v>
      </c>
      <c r="B1" s="14" t="s">
        <v>92</v>
      </c>
      <c r="C1" s="14" t="s">
        <v>97</v>
      </c>
      <c r="D1" s="5" t="s">
        <v>93</v>
      </c>
      <c r="E1" s="6" t="s">
        <v>958</v>
      </c>
      <c r="F1" s="16" t="s">
        <v>959</v>
      </c>
      <c r="G1" s="6" t="s">
        <v>968</v>
      </c>
      <c r="H1" s="6" t="s">
        <v>969</v>
      </c>
      <c r="I1" s="6" t="s">
        <v>970</v>
      </c>
      <c r="J1" s="5" t="s">
        <v>94</v>
      </c>
      <c r="K1" s="5" t="s">
        <v>97</v>
      </c>
      <c r="L1" s="1" t="s">
        <v>95</v>
      </c>
      <c r="M1" s="7" t="s">
        <v>97</v>
      </c>
      <c r="N1" s="8" t="s">
        <v>960</v>
      </c>
      <c r="O1" s="8" t="s">
        <v>961</v>
      </c>
    </row>
    <row r="2" spans="1:15" x14ac:dyDescent="0.2">
      <c r="A2" s="25" t="s">
        <v>567</v>
      </c>
      <c r="B2" s="22" t="s">
        <v>15</v>
      </c>
      <c r="C2" s="9" t="str">
        <f>VLOOKUP($A2,[1]Sheet2!$I$2:$O$544,3,FALSE)</f>
        <v>KPB1</v>
      </c>
      <c r="D2" s="13" t="s">
        <v>137</v>
      </c>
      <c r="E2" s="15" t="str">
        <f>VLOOKUP($A2,[1]Sheet2!$I$2:$O$544,5,FALSE)</f>
        <v>2025-08-20</v>
      </c>
      <c r="F2" s="13" t="str">
        <f>VLOOKUP($A2,'[2]AHM-Q01-251105-2511051358'!$E$2:$H$376,4,FALSE)</f>
        <v>20/08/2025</v>
      </c>
      <c r="G2" s="15">
        <f t="shared" ref="G2:G65" si="0">D2-E2</f>
        <v>-1</v>
      </c>
      <c r="H2" s="24">
        <f t="shared" ref="H2:H65" si="1">D2-F2</f>
        <v>-1</v>
      </c>
      <c r="I2" s="13">
        <f t="shared" ref="I2:I65" si="2">E2-F2</f>
        <v>0</v>
      </c>
      <c r="J2" s="17" t="s">
        <v>154</v>
      </c>
      <c r="K2" s="9" t="str">
        <f>VLOOKUP($A2,[1]Sheet2!$I$2:$O$544,6,FALSE)</f>
        <v>2025-10-18</v>
      </c>
      <c r="L2" s="17" t="s">
        <v>568</v>
      </c>
      <c r="M2" s="9">
        <f>VLOOKUP($A2,[1]Sheet2!$I$2:$O$544,4,FALSE)</f>
        <v>836</v>
      </c>
      <c r="N2" s="10">
        <f t="shared" ref="N2:N65" si="3">K2-J2</f>
        <v>0</v>
      </c>
      <c r="O2" s="10">
        <f t="shared" ref="O2:O65" si="4">M2-L2</f>
        <v>0</v>
      </c>
    </row>
    <row r="3" spans="1:15" x14ac:dyDescent="0.2">
      <c r="A3" s="3" t="s">
        <v>102</v>
      </c>
      <c r="B3" s="21" t="s">
        <v>15</v>
      </c>
      <c r="C3" s="9" t="str">
        <f>VLOOKUP($A3,[1]Sheet2!$I$2:$O$544,3,FALSE)</f>
        <v>KPB1</v>
      </c>
      <c r="D3" s="2" t="s">
        <v>103</v>
      </c>
      <c r="E3" s="15" t="str">
        <f>VLOOKUP($A3,[1]Sheet2!$I$2:$O$544,5,FALSE)</f>
        <v>2025-08-07</v>
      </c>
      <c r="F3" s="13" t="str">
        <f>VLOOKUP($A3,'[2]AHM-Q01-251105-2511051358'!$E$2:$H$376,4,FALSE)</f>
        <v>07/08/2025</v>
      </c>
      <c r="G3" s="15">
        <f t="shared" si="0"/>
        <v>-3</v>
      </c>
      <c r="H3" s="24">
        <f t="shared" si="1"/>
        <v>-3</v>
      </c>
      <c r="I3" s="13">
        <f t="shared" si="2"/>
        <v>0</v>
      </c>
      <c r="J3" s="17" t="s">
        <v>104</v>
      </c>
      <c r="K3" s="9" t="str">
        <f>VLOOKUP($A3,[1]Sheet2!$I$2:$O$544,6,FALSE)</f>
        <v>2025-10-06</v>
      </c>
      <c r="L3" s="17" t="s">
        <v>105</v>
      </c>
      <c r="M3" s="9">
        <f>VLOOKUP($A3,[1]Sheet2!$I$2:$O$544,4,FALSE)</f>
        <v>135</v>
      </c>
      <c r="N3" s="10">
        <f t="shared" si="3"/>
        <v>0</v>
      </c>
      <c r="O3" s="10">
        <f t="shared" si="4"/>
        <v>0</v>
      </c>
    </row>
    <row r="4" spans="1:15" x14ac:dyDescent="0.2">
      <c r="A4" s="3" t="s">
        <v>666</v>
      </c>
      <c r="B4" s="17" t="s">
        <v>15</v>
      </c>
      <c r="C4" s="9" t="str">
        <f>VLOOKUP($A4,[1]Sheet2!$I$2:$O$544,3,FALSE)</f>
        <v>KPB1</v>
      </c>
      <c r="D4" s="2" t="s">
        <v>304</v>
      </c>
      <c r="E4" s="15" t="str">
        <f>VLOOKUP($A4,[1]Sheet2!$I$2:$O$544,5,FALSE)</f>
        <v>2025-08-21</v>
      </c>
      <c r="F4" s="13" t="str">
        <f>VLOOKUP($A4,'[2]AHM-Q01-251105-2511051358'!$E$2:$H$376,4,FALSE)</f>
        <v>21/08/2025</v>
      </c>
      <c r="G4" s="15">
        <f t="shared" si="0"/>
        <v>0</v>
      </c>
      <c r="H4" s="24">
        <f t="shared" si="1"/>
        <v>0</v>
      </c>
      <c r="I4" s="13">
        <f t="shared" si="2"/>
        <v>0</v>
      </c>
      <c r="J4" s="17" t="s">
        <v>154</v>
      </c>
      <c r="K4" s="9" t="str">
        <f>VLOOKUP($A4,[1]Sheet2!$I$2:$O$544,6,FALSE)</f>
        <v>2025-10-18</v>
      </c>
      <c r="L4" s="17" t="s">
        <v>667</v>
      </c>
      <c r="M4" s="9">
        <f>VLOOKUP($A4,[1]Sheet2!$I$2:$O$544,4,FALSE)</f>
        <v>837</v>
      </c>
      <c r="N4" s="10">
        <f t="shared" si="3"/>
        <v>0</v>
      </c>
      <c r="O4" s="10">
        <f t="shared" si="4"/>
        <v>0</v>
      </c>
    </row>
    <row r="5" spans="1:15" x14ac:dyDescent="0.2">
      <c r="A5" s="3" t="s">
        <v>109</v>
      </c>
      <c r="B5" s="17" t="s">
        <v>15</v>
      </c>
      <c r="C5" s="9" t="str">
        <f>VLOOKUP($A5,[1]Sheet2!$I$2:$O$544,3,FALSE)</f>
        <v>KPB1</v>
      </c>
      <c r="D5" s="2" t="s">
        <v>107</v>
      </c>
      <c r="E5" s="15" t="str">
        <f>VLOOKUP($A5,[1]Sheet2!$I$2:$O$544,5,FALSE)</f>
        <v>2025-08-08</v>
      </c>
      <c r="F5" s="13" t="str">
        <f>VLOOKUP($A5,'[2]AHM-Q01-251105-2511051358'!$E$2:$H$376,4,FALSE)</f>
        <v>08/08/2025</v>
      </c>
      <c r="G5" s="15">
        <f t="shared" si="0"/>
        <v>-2</v>
      </c>
      <c r="H5" s="24">
        <f t="shared" si="1"/>
        <v>-2</v>
      </c>
      <c r="I5" s="13">
        <f t="shared" si="2"/>
        <v>0</v>
      </c>
      <c r="J5" s="17" t="s">
        <v>104</v>
      </c>
      <c r="K5" s="9" t="str">
        <f>VLOOKUP($A5,[1]Sheet2!$I$2:$O$544,6,FALSE)</f>
        <v>2025-10-06</v>
      </c>
      <c r="L5" s="17" t="s">
        <v>110</v>
      </c>
      <c r="M5" s="9">
        <f>VLOOKUP($A5,[1]Sheet2!$I$2:$O$544,4,FALSE)</f>
        <v>581</v>
      </c>
      <c r="N5" s="10">
        <f t="shared" si="3"/>
        <v>0</v>
      </c>
      <c r="O5" s="10">
        <f t="shared" si="4"/>
        <v>0</v>
      </c>
    </row>
    <row r="6" spans="1:15" x14ac:dyDescent="0.2">
      <c r="A6" s="3" t="s">
        <v>111</v>
      </c>
      <c r="B6" s="17" t="s">
        <v>15</v>
      </c>
      <c r="C6" s="9" t="str">
        <f>VLOOKUP($A6,[1]Sheet2!$I$2:$O$544,3,FALSE)</f>
        <v>KPB1</v>
      </c>
      <c r="D6" s="2" t="s">
        <v>112</v>
      </c>
      <c r="E6" s="15" t="str">
        <f>VLOOKUP($A6,[1]Sheet2!$I$2:$O$544,5,FALSE)</f>
        <v>2025-08-08</v>
      </c>
      <c r="F6" s="13" t="str">
        <f>VLOOKUP($A6,'[2]AHM-Q01-251105-2511051358'!$E$2:$H$376,4,FALSE)</f>
        <v>08/08/2025</v>
      </c>
      <c r="G6" s="15">
        <f t="shared" si="0"/>
        <v>-1</v>
      </c>
      <c r="H6" s="24">
        <f t="shared" si="1"/>
        <v>-1</v>
      </c>
      <c r="I6" s="13">
        <f t="shared" si="2"/>
        <v>0</v>
      </c>
      <c r="J6" s="17" t="s">
        <v>113</v>
      </c>
      <c r="K6" s="9" t="str">
        <f>VLOOKUP($A6,[1]Sheet2!$I$2:$O$544,6,FALSE)</f>
        <v>2025-10-07</v>
      </c>
      <c r="L6" s="17" t="s">
        <v>114</v>
      </c>
      <c r="M6" s="9">
        <f>VLOOKUP($A6,[1]Sheet2!$I$2:$O$544,4,FALSE)</f>
        <v>839</v>
      </c>
      <c r="N6" s="10">
        <f t="shared" si="3"/>
        <v>0</v>
      </c>
      <c r="O6" s="10">
        <f t="shared" si="4"/>
        <v>0</v>
      </c>
    </row>
    <row r="7" spans="1:15" x14ac:dyDescent="0.2">
      <c r="A7" s="3" t="s">
        <v>680</v>
      </c>
      <c r="B7" s="17" t="s">
        <v>15</v>
      </c>
      <c r="C7" s="9" t="str">
        <f>VLOOKUP($A7,[1]Sheet2!$I$2:$O$544,3,FALSE)</f>
        <v>KPB1</v>
      </c>
      <c r="D7" s="2" t="s">
        <v>163</v>
      </c>
      <c r="E7" s="15" t="str">
        <f>VLOOKUP($A7,[1]Sheet2!$I$2:$O$544,5,FALSE)</f>
        <v>2025-08-26</v>
      </c>
      <c r="F7" s="13" t="str">
        <f>VLOOKUP($A7,'[2]AHM-Q01-251105-2511051358'!$E$2:$H$376,4,FALSE)</f>
        <v>26/08/2025</v>
      </c>
      <c r="G7" s="15">
        <f t="shared" si="0"/>
        <v>-1</v>
      </c>
      <c r="H7" s="24">
        <f t="shared" si="1"/>
        <v>-1</v>
      </c>
      <c r="I7" s="13">
        <f t="shared" si="2"/>
        <v>0</v>
      </c>
      <c r="J7" s="17" t="s">
        <v>164</v>
      </c>
      <c r="K7" s="9" t="str">
        <f>VLOOKUP($A7,[1]Sheet2!$I$2:$O$544,6,FALSE)</f>
        <v>2025-10-21</v>
      </c>
      <c r="L7" s="17" t="s">
        <v>645</v>
      </c>
      <c r="M7" s="9">
        <f>VLOOKUP($A7,[1]Sheet2!$I$2:$O$544,4,FALSE)</f>
        <v>797</v>
      </c>
      <c r="N7" s="10">
        <f t="shared" si="3"/>
        <v>0</v>
      </c>
      <c r="O7" s="10">
        <f t="shared" si="4"/>
        <v>0</v>
      </c>
    </row>
    <row r="8" spans="1:15" x14ac:dyDescent="0.2">
      <c r="A8" s="3" t="s">
        <v>119</v>
      </c>
      <c r="B8" s="17" t="s">
        <v>15</v>
      </c>
      <c r="C8" s="9" t="str">
        <f>VLOOKUP($A8,[1]Sheet2!$I$2:$O$544,3,FALSE)</f>
        <v>KPB1</v>
      </c>
      <c r="D8" s="2" t="s">
        <v>120</v>
      </c>
      <c r="E8" s="15" t="str">
        <f>VLOOKUP($A8,[1]Sheet2!$I$2:$O$544,5,FALSE)</f>
        <v>2025-08-11</v>
      </c>
      <c r="F8" s="13" t="str">
        <f>VLOOKUP($A8,'[2]AHM-Q01-251105-2511051358'!$E$2:$H$376,4,FALSE)</f>
        <v>11/08/2025</v>
      </c>
      <c r="G8" s="15">
        <f t="shared" si="0"/>
        <v>0</v>
      </c>
      <c r="H8" s="24">
        <f t="shared" si="1"/>
        <v>0</v>
      </c>
      <c r="I8" s="13">
        <f t="shared" si="2"/>
        <v>0</v>
      </c>
      <c r="J8" s="17" t="s">
        <v>121</v>
      </c>
      <c r="K8" s="9" t="str">
        <f>VLOOKUP($A8,[1]Sheet2!$I$2:$O$544,6,FALSE)</f>
        <v>2025-10-10</v>
      </c>
      <c r="L8" s="17" t="s">
        <v>122</v>
      </c>
      <c r="M8" s="9">
        <f>VLOOKUP($A8,[1]Sheet2!$I$2:$O$544,4,FALSE)</f>
        <v>456</v>
      </c>
      <c r="N8" s="10">
        <f t="shared" si="3"/>
        <v>0</v>
      </c>
      <c r="O8" s="10">
        <f t="shared" si="4"/>
        <v>0</v>
      </c>
    </row>
    <row r="9" spans="1:15" x14ac:dyDescent="0.2">
      <c r="A9" s="3" t="s">
        <v>653</v>
      </c>
      <c r="B9" s="17" t="s">
        <v>15</v>
      </c>
      <c r="C9" s="9" t="str">
        <f>VLOOKUP($A9,[1]Sheet2!$I$2:$O$544,3,FALSE)</f>
        <v>KPB1</v>
      </c>
      <c r="D9" s="2" t="s">
        <v>150</v>
      </c>
      <c r="E9" s="15" t="str">
        <f>VLOOKUP($A9,[1]Sheet2!$I$2:$O$544,5,FALSE)</f>
        <v>2025-08-18</v>
      </c>
      <c r="F9" s="13" t="str">
        <f>VLOOKUP($A9,'[2]AHM-Q01-251105-2511051358'!$E$2:$H$376,4,FALSE)</f>
        <v>18/08/2025</v>
      </c>
      <c r="G9" s="15">
        <f t="shared" si="0"/>
        <v>0</v>
      </c>
      <c r="H9" s="24">
        <f t="shared" si="1"/>
        <v>0</v>
      </c>
      <c r="I9" s="13">
        <f t="shared" si="2"/>
        <v>0</v>
      </c>
      <c r="J9" s="17" t="s">
        <v>458</v>
      </c>
      <c r="K9" s="9" t="str">
        <f>VLOOKUP($A9,[1]Sheet2!$I$2:$O$544,6,FALSE)</f>
        <v>2025-10-16</v>
      </c>
      <c r="L9" s="17" t="s">
        <v>654</v>
      </c>
      <c r="M9" s="9">
        <f>VLOOKUP($A9,[1]Sheet2!$I$2:$O$544,4,FALSE)</f>
        <v>711</v>
      </c>
      <c r="N9" s="10">
        <f t="shared" si="3"/>
        <v>0</v>
      </c>
      <c r="O9" s="10">
        <f t="shared" si="4"/>
        <v>0</v>
      </c>
    </row>
    <row r="10" spans="1:15" x14ac:dyDescent="0.2">
      <c r="A10" s="3" t="s">
        <v>126</v>
      </c>
      <c r="B10" s="17" t="s">
        <v>15</v>
      </c>
      <c r="C10" s="9" t="str">
        <f>VLOOKUP($A10,[1]Sheet2!$I$2:$O$544,3,FALSE)</f>
        <v>KPB1</v>
      </c>
      <c r="D10" s="2" t="s">
        <v>127</v>
      </c>
      <c r="E10" s="15" t="str">
        <f>VLOOKUP($A10,[1]Sheet2!$I$2:$O$544,5,FALSE)</f>
        <v>2025-08-15</v>
      </c>
      <c r="F10" s="13" t="str">
        <f>VLOOKUP($A10,'[2]AHM-Q01-251105-2511051358'!$E$2:$H$376,4,FALSE)</f>
        <v>15/08/2025</v>
      </c>
      <c r="G10" s="15">
        <f t="shared" si="0"/>
        <v>-1</v>
      </c>
      <c r="H10" s="24">
        <f t="shared" si="1"/>
        <v>-1</v>
      </c>
      <c r="I10" s="13">
        <f t="shared" si="2"/>
        <v>0</v>
      </c>
      <c r="J10" s="17" t="s">
        <v>128</v>
      </c>
      <c r="K10" s="9" t="str">
        <f>VLOOKUP($A10,[1]Sheet2!$I$2:$O$544,6,FALSE)</f>
        <v>2025-10-11</v>
      </c>
      <c r="L10" s="17" t="s">
        <v>129</v>
      </c>
      <c r="M10" s="9">
        <f>VLOOKUP($A10,[1]Sheet2!$I$2:$O$544,4,FALSE)</f>
        <v>228</v>
      </c>
      <c r="N10" s="10">
        <f t="shared" si="3"/>
        <v>0</v>
      </c>
      <c r="O10" s="10">
        <f t="shared" si="4"/>
        <v>0</v>
      </c>
    </row>
    <row r="11" spans="1:15" x14ac:dyDescent="0.2">
      <c r="A11" s="3" t="s">
        <v>130</v>
      </c>
      <c r="B11" s="17" t="s">
        <v>15</v>
      </c>
      <c r="C11" s="9" t="str">
        <f>VLOOKUP($A11,[1]Sheet2!$I$2:$O$544,3,FALSE)</f>
        <v>KPB1</v>
      </c>
      <c r="D11" s="2" t="s">
        <v>127</v>
      </c>
      <c r="E11" s="15" t="str">
        <f>VLOOKUP($A11,[1]Sheet2!$I$2:$O$544,5,FALSE)</f>
        <v>2025-08-14</v>
      </c>
      <c r="F11" s="13" t="str">
        <f>VLOOKUP($A11,'[2]AHM-Q01-251105-2511051358'!$E$2:$H$376,4,FALSE)</f>
        <v>14/08/2025</v>
      </c>
      <c r="G11" s="15">
        <f t="shared" si="0"/>
        <v>0</v>
      </c>
      <c r="H11" s="24">
        <f t="shared" si="1"/>
        <v>0</v>
      </c>
      <c r="I11" s="13">
        <f t="shared" si="2"/>
        <v>0</v>
      </c>
      <c r="J11" s="17" t="s">
        <v>131</v>
      </c>
      <c r="K11" s="9" t="str">
        <f>VLOOKUP($A11,[1]Sheet2!$I$2:$O$544,6,FALSE)</f>
        <v>2025-10-13</v>
      </c>
      <c r="L11" s="17" t="s">
        <v>132</v>
      </c>
      <c r="M11" s="9">
        <f>VLOOKUP($A11,[1]Sheet2!$I$2:$O$544,4,FALSE)</f>
        <v>177</v>
      </c>
      <c r="N11" s="10">
        <f t="shared" si="3"/>
        <v>0</v>
      </c>
      <c r="O11" s="10">
        <f t="shared" si="4"/>
        <v>0</v>
      </c>
    </row>
    <row r="12" spans="1:15" x14ac:dyDescent="0.2">
      <c r="A12" s="3" t="s">
        <v>133</v>
      </c>
      <c r="B12" s="17" t="s">
        <v>15</v>
      </c>
      <c r="C12" s="9" t="str">
        <f>VLOOKUP($A12,[1]Sheet2!$I$2:$O$544,3,FALSE)</f>
        <v>KPB1</v>
      </c>
      <c r="D12" s="2" t="s">
        <v>134</v>
      </c>
      <c r="E12" s="15" t="str">
        <f>VLOOKUP($A12,[1]Sheet2!$I$2:$O$544,5,FALSE)</f>
        <v>2025-08-15</v>
      </c>
      <c r="F12" s="13" t="str">
        <f>VLOOKUP($A12,'[2]AHM-Q01-251105-2511051358'!$E$2:$H$376,4,FALSE)</f>
        <v>15/08/2025</v>
      </c>
      <c r="G12" s="15">
        <f t="shared" si="0"/>
        <v>0</v>
      </c>
      <c r="H12" s="24">
        <f t="shared" si="1"/>
        <v>0</v>
      </c>
      <c r="I12" s="13">
        <f t="shared" si="2"/>
        <v>0</v>
      </c>
      <c r="J12" s="17" t="s">
        <v>131</v>
      </c>
      <c r="K12" s="9" t="str">
        <f>VLOOKUP($A12,[1]Sheet2!$I$2:$O$544,6,FALSE)</f>
        <v>2025-10-13</v>
      </c>
      <c r="L12" s="17" t="s">
        <v>135</v>
      </c>
      <c r="M12" s="9">
        <f>VLOOKUP($A12,[1]Sheet2!$I$2:$O$544,4,FALSE)</f>
        <v>973</v>
      </c>
      <c r="N12" s="10">
        <f t="shared" si="3"/>
        <v>0</v>
      </c>
      <c r="O12" s="10">
        <f t="shared" si="4"/>
        <v>0</v>
      </c>
    </row>
    <row r="13" spans="1:15" x14ac:dyDescent="0.2">
      <c r="A13" s="3" t="s">
        <v>136</v>
      </c>
      <c r="B13" s="17" t="s">
        <v>15</v>
      </c>
      <c r="C13" s="9" t="str">
        <f>VLOOKUP($A13,[1]Sheet2!$I$2:$O$544,3,FALSE)</f>
        <v>KPB1</v>
      </c>
      <c r="D13" s="2" t="s">
        <v>137</v>
      </c>
      <c r="E13" s="15" t="str">
        <f>VLOOKUP($A13,[1]Sheet2!$I$2:$O$544,5,FALSE)</f>
        <v>2025-08-19</v>
      </c>
      <c r="F13" s="13" t="str">
        <f>VLOOKUP($A13,'[2]AHM-Q01-251105-2511051358'!$E$2:$H$376,4,FALSE)</f>
        <v>19/08/2025</v>
      </c>
      <c r="G13" s="15">
        <f t="shared" si="0"/>
        <v>0</v>
      </c>
      <c r="H13" s="24">
        <f t="shared" si="1"/>
        <v>0</v>
      </c>
      <c r="I13" s="13">
        <f t="shared" si="2"/>
        <v>0</v>
      </c>
      <c r="J13" s="17" t="s">
        <v>138</v>
      </c>
      <c r="K13" s="9" t="str">
        <f>VLOOKUP($A13,[1]Sheet2!$I$2:$O$544,6,FALSE)</f>
        <v>2025-10-14</v>
      </c>
      <c r="L13" s="17" t="s">
        <v>139</v>
      </c>
      <c r="M13" s="9">
        <f>VLOOKUP($A13,[1]Sheet2!$I$2:$O$544,4,FALSE)</f>
        <v>377</v>
      </c>
      <c r="N13" s="10">
        <f t="shared" si="3"/>
        <v>0</v>
      </c>
      <c r="O13" s="10">
        <f t="shared" si="4"/>
        <v>0</v>
      </c>
    </row>
    <row r="14" spans="1:15" x14ac:dyDescent="0.2">
      <c r="A14" s="3" t="s">
        <v>140</v>
      </c>
      <c r="B14" s="17" t="s">
        <v>15</v>
      </c>
      <c r="C14" s="9" t="str">
        <f>VLOOKUP($A14,[1]Sheet2!$I$2:$O$544,3,FALSE)</f>
        <v>KPB1</v>
      </c>
      <c r="D14" s="2" t="s">
        <v>120</v>
      </c>
      <c r="E14" s="15" t="str">
        <f>VLOOKUP($A14,[1]Sheet2!$I$2:$O$544,5,FALSE)</f>
        <v>2025-08-12</v>
      </c>
      <c r="F14" s="13" t="str">
        <f>VLOOKUP($A14,'[2]AHM-Q01-251105-2511051358'!$E$2:$H$376,4,FALSE)</f>
        <v>12/08/2025</v>
      </c>
      <c r="G14" s="15">
        <f t="shared" si="0"/>
        <v>-1</v>
      </c>
      <c r="H14" s="24">
        <f t="shared" si="1"/>
        <v>-1</v>
      </c>
      <c r="I14" s="13">
        <f t="shared" si="2"/>
        <v>0</v>
      </c>
      <c r="J14" s="17" t="s">
        <v>141</v>
      </c>
      <c r="K14" s="9" t="str">
        <f>VLOOKUP($A14,[1]Sheet2!$I$2:$O$544,6,FALSE)</f>
        <v>2025-10-15</v>
      </c>
      <c r="L14" s="17" t="s">
        <v>142</v>
      </c>
      <c r="M14" s="9">
        <f>VLOOKUP($A14,[1]Sheet2!$I$2:$O$544,4,FALSE)</f>
        <v>674</v>
      </c>
      <c r="N14" s="10">
        <f t="shared" si="3"/>
        <v>0</v>
      </c>
      <c r="O14" s="10">
        <f t="shared" si="4"/>
        <v>0</v>
      </c>
    </row>
    <row r="15" spans="1:15" x14ac:dyDescent="0.2">
      <c r="A15" s="3" t="s">
        <v>143</v>
      </c>
      <c r="B15" s="17" t="s">
        <v>15</v>
      </c>
      <c r="C15" s="9" t="str">
        <f>VLOOKUP($A15,[1]Sheet2!$I$2:$O$544,3,FALSE)</f>
        <v>KPB1</v>
      </c>
      <c r="D15" s="2" t="s">
        <v>116</v>
      </c>
      <c r="E15" s="15" t="str">
        <f>VLOOKUP($A15,[1]Sheet2!$I$2:$O$544,5,FALSE)</f>
        <v>2025-08-11</v>
      </c>
      <c r="F15" s="13" t="str">
        <f>VLOOKUP($A15,'[2]AHM-Q01-251105-2511051358'!$E$2:$H$376,4,FALSE)</f>
        <v>11/08/2025</v>
      </c>
      <c r="G15" s="15">
        <f t="shared" si="0"/>
        <v>-2</v>
      </c>
      <c r="H15" s="24">
        <f t="shared" si="1"/>
        <v>-2</v>
      </c>
      <c r="I15" s="13">
        <f t="shared" si="2"/>
        <v>0</v>
      </c>
      <c r="J15" s="17" t="s">
        <v>141</v>
      </c>
      <c r="K15" s="9" t="str">
        <f>VLOOKUP($A15,[1]Sheet2!$I$2:$O$544,6,FALSE)</f>
        <v>2025-10-15</v>
      </c>
      <c r="L15" s="17" t="s">
        <v>144</v>
      </c>
      <c r="M15" s="9">
        <f>VLOOKUP($A15,[1]Sheet2!$I$2:$O$544,4,FALSE)</f>
        <v>764</v>
      </c>
      <c r="N15" s="10">
        <f t="shared" si="3"/>
        <v>0</v>
      </c>
      <c r="O15" s="10">
        <f t="shared" si="4"/>
        <v>0</v>
      </c>
    </row>
    <row r="16" spans="1:15" x14ac:dyDescent="0.2">
      <c r="A16" s="3" t="s">
        <v>145</v>
      </c>
      <c r="B16" s="17" t="s">
        <v>15</v>
      </c>
      <c r="C16" s="9" t="str">
        <f>VLOOKUP($A16,[1]Sheet2!$I$2:$O$544,3,FALSE)</f>
        <v>KPB1</v>
      </c>
      <c r="D16" s="2" t="s">
        <v>146</v>
      </c>
      <c r="E16" s="15" t="str">
        <f>VLOOKUP($A16,[1]Sheet2!$I$2:$O$544,5,FALSE)</f>
        <v>2025-08-20</v>
      </c>
      <c r="F16" s="13" t="str">
        <f>VLOOKUP($A16,'[2]AHM-Q01-251105-2511051358'!$E$2:$H$376,4,FALSE)</f>
        <v>20/08/2025</v>
      </c>
      <c r="G16" s="15">
        <f t="shared" si="0"/>
        <v>0</v>
      </c>
      <c r="H16" s="24">
        <f t="shared" si="1"/>
        <v>0</v>
      </c>
      <c r="I16" s="13">
        <f t="shared" si="2"/>
        <v>0</v>
      </c>
      <c r="J16" s="17" t="s">
        <v>147</v>
      </c>
      <c r="K16" s="9" t="str">
        <f>VLOOKUP($A16,[1]Sheet2!$I$2:$O$544,6,FALSE)</f>
        <v>2025-10-17</v>
      </c>
      <c r="L16" s="17" t="s">
        <v>148</v>
      </c>
      <c r="M16" s="9">
        <f>VLOOKUP($A16,[1]Sheet2!$I$2:$O$544,4,FALSE)</f>
        <v>627</v>
      </c>
      <c r="N16" s="10">
        <f t="shared" si="3"/>
        <v>0</v>
      </c>
      <c r="O16" s="10">
        <f t="shared" si="4"/>
        <v>0</v>
      </c>
    </row>
    <row r="17" spans="1:15" x14ac:dyDescent="0.2">
      <c r="A17" s="3" t="s">
        <v>149</v>
      </c>
      <c r="B17" s="17" t="s">
        <v>15</v>
      </c>
      <c r="C17" s="9" t="str">
        <f>VLOOKUP($A17,[1]Sheet2!$I$2:$O$544,3,FALSE)</f>
        <v>KPB1</v>
      </c>
      <c r="D17" s="2" t="s">
        <v>150</v>
      </c>
      <c r="E17" s="15" t="str">
        <f>VLOOKUP($A17,[1]Sheet2!$I$2:$O$544,5,FALSE)</f>
        <v>2025-08-19</v>
      </c>
      <c r="F17" s="13" t="str">
        <f>VLOOKUP($A17,'[2]AHM-Q01-251105-2511051358'!$E$2:$H$376,4,FALSE)</f>
        <v>19/08/2025</v>
      </c>
      <c r="G17" s="15">
        <f t="shared" si="0"/>
        <v>-1</v>
      </c>
      <c r="H17" s="24">
        <f t="shared" si="1"/>
        <v>-1</v>
      </c>
      <c r="I17" s="13">
        <f t="shared" si="2"/>
        <v>0</v>
      </c>
      <c r="J17" s="17" t="s">
        <v>147</v>
      </c>
      <c r="K17" s="9" t="str">
        <f>VLOOKUP($A17,[1]Sheet2!$I$2:$O$544,6,FALSE)</f>
        <v>2025-10-17</v>
      </c>
      <c r="L17" s="17" t="s">
        <v>151</v>
      </c>
      <c r="M17" s="9">
        <f>VLOOKUP($A17,[1]Sheet2!$I$2:$O$544,4,FALSE)</f>
        <v>579</v>
      </c>
      <c r="N17" s="10">
        <f t="shared" si="3"/>
        <v>0</v>
      </c>
      <c r="O17" s="10">
        <f t="shared" si="4"/>
        <v>0</v>
      </c>
    </row>
    <row r="18" spans="1:15" x14ac:dyDescent="0.2">
      <c r="A18" s="3" t="s">
        <v>152</v>
      </c>
      <c r="B18" s="17" t="s">
        <v>15</v>
      </c>
      <c r="C18" s="9" t="str">
        <f>VLOOKUP($A18,[1]Sheet2!$I$2:$O$544,3,FALSE)</f>
        <v>KPB1</v>
      </c>
      <c r="D18" s="2" t="s">
        <v>153</v>
      </c>
      <c r="E18" s="15" t="str">
        <f>VLOOKUP($A18,[1]Sheet2!$I$2:$O$544,5,FALSE)</f>
        <v>2025-08-27</v>
      </c>
      <c r="F18" s="13" t="str">
        <f>VLOOKUP($A18,'[2]AHM-Q01-251105-2511051358'!$E$2:$H$376,4,FALSE)</f>
        <v>27/08/2025</v>
      </c>
      <c r="G18" s="15">
        <f t="shared" si="0"/>
        <v>-1</v>
      </c>
      <c r="H18" s="24">
        <f t="shared" si="1"/>
        <v>-1</v>
      </c>
      <c r="I18" s="13">
        <f t="shared" si="2"/>
        <v>0</v>
      </c>
      <c r="J18" s="17" t="s">
        <v>154</v>
      </c>
      <c r="K18" s="9" t="str">
        <f>VLOOKUP($A18,[1]Sheet2!$I$2:$O$544,6,FALSE)</f>
        <v>2025-10-18</v>
      </c>
      <c r="L18" s="17" t="s">
        <v>155</v>
      </c>
      <c r="M18" s="9">
        <f>VLOOKUP($A18,[1]Sheet2!$I$2:$O$544,4,FALSE)</f>
        <v>181</v>
      </c>
      <c r="N18" s="10">
        <f t="shared" si="3"/>
        <v>0</v>
      </c>
      <c r="O18" s="10">
        <f t="shared" si="4"/>
        <v>0</v>
      </c>
    </row>
    <row r="19" spans="1:15" x14ac:dyDescent="0.2">
      <c r="A19" s="3" t="s">
        <v>663</v>
      </c>
      <c r="B19" s="17" t="s">
        <v>15</v>
      </c>
      <c r="C19" s="9" t="str">
        <f>VLOOKUP($A19,[1]Sheet2!$I$2:$O$544,3,FALSE)</f>
        <v>KPB1</v>
      </c>
      <c r="D19" s="2" t="s">
        <v>146</v>
      </c>
      <c r="E19" s="15" t="str">
        <f>VLOOKUP($A19,[1]Sheet2!$I$2:$O$544,5,FALSE)</f>
        <v>2025-08-20</v>
      </c>
      <c r="F19" s="13" t="str">
        <f>VLOOKUP($A19,'[2]AHM-Q01-251105-2511051358'!$E$2:$H$376,4,FALSE)</f>
        <v>20/08/2025</v>
      </c>
      <c r="G19" s="15">
        <f t="shared" si="0"/>
        <v>0</v>
      </c>
      <c r="H19" s="24">
        <f t="shared" si="1"/>
        <v>0</v>
      </c>
      <c r="I19" s="13">
        <f t="shared" si="2"/>
        <v>0</v>
      </c>
      <c r="J19" s="17" t="s">
        <v>154</v>
      </c>
      <c r="K19" s="9" t="str">
        <f>VLOOKUP($A19,[1]Sheet2!$I$2:$O$544,6,FALSE)</f>
        <v>2025-10-18</v>
      </c>
      <c r="L19" s="17" t="s">
        <v>664</v>
      </c>
      <c r="M19" s="9">
        <f>VLOOKUP($A19,[1]Sheet2!$I$2:$O$544,4,FALSE)</f>
        <v>925</v>
      </c>
      <c r="N19" s="10">
        <f t="shared" si="3"/>
        <v>0</v>
      </c>
      <c r="O19" s="10">
        <f t="shared" si="4"/>
        <v>0</v>
      </c>
    </row>
    <row r="20" spans="1:15" x14ac:dyDescent="0.2">
      <c r="A20" s="3" t="s">
        <v>159</v>
      </c>
      <c r="B20" s="17" t="s">
        <v>15</v>
      </c>
      <c r="C20" s="9" t="str">
        <f>VLOOKUP($A20,[1]Sheet2!$I$2:$O$544,3,FALSE)</f>
        <v>KPB1</v>
      </c>
      <c r="D20" s="2" t="s">
        <v>160</v>
      </c>
      <c r="E20" s="15" t="str">
        <f>VLOOKUP($A20,[1]Sheet2!$I$2:$O$544,5,FALSE)</f>
        <v>2025-08-29</v>
      </c>
      <c r="F20" s="13" t="str">
        <f>VLOOKUP($A20,'[2]AHM-Q01-251105-2511051358'!$E$2:$H$376,4,FALSE)</f>
        <v>29/08/2025</v>
      </c>
      <c r="G20" s="15">
        <f t="shared" si="0"/>
        <v>0</v>
      </c>
      <c r="H20" s="24">
        <f t="shared" si="1"/>
        <v>0</v>
      </c>
      <c r="I20" s="13">
        <f t="shared" si="2"/>
        <v>0</v>
      </c>
      <c r="J20" s="17" t="s">
        <v>154</v>
      </c>
      <c r="K20" s="9" t="str">
        <f>VLOOKUP($A20,[1]Sheet2!$I$2:$O$544,6,FALSE)</f>
        <v>2025-10-18</v>
      </c>
      <c r="L20" s="17" t="s">
        <v>161</v>
      </c>
      <c r="M20" s="9">
        <f>VLOOKUP($A20,[1]Sheet2!$I$2:$O$544,4,FALSE)</f>
        <v>643</v>
      </c>
      <c r="N20" s="10">
        <f t="shared" si="3"/>
        <v>0</v>
      </c>
      <c r="O20" s="10">
        <f t="shared" si="4"/>
        <v>0</v>
      </c>
    </row>
    <row r="21" spans="1:15" x14ac:dyDescent="0.2">
      <c r="A21" s="3" t="s">
        <v>162</v>
      </c>
      <c r="B21" s="17" t="s">
        <v>15</v>
      </c>
      <c r="C21" s="9" t="str">
        <f>VLOOKUP($A21,[1]Sheet2!$I$2:$O$544,3,FALSE)</f>
        <v>KPB1</v>
      </c>
      <c r="D21" s="2" t="s">
        <v>163</v>
      </c>
      <c r="E21" s="15" t="str">
        <f>VLOOKUP($A21,[1]Sheet2!$I$2:$O$544,5,FALSE)</f>
        <v>2025-08-25</v>
      </c>
      <c r="F21" s="13" t="str">
        <f>VLOOKUP($A21,'[2]AHM-Q01-251105-2511051358'!$E$2:$H$376,4,FALSE)</f>
        <v>25/08/2025</v>
      </c>
      <c r="G21" s="15">
        <f t="shared" si="0"/>
        <v>0</v>
      </c>
      <c r="H21" s="24">
        <f t="shared" si="1"/>
        <v>0</v>
      </c>
      <c r="I21" s="13">
        <f t="shared" si="2"/>
        <v>0</v>
      </c>
      <c r="J21" s="17" t="s">
        <v>164</v>
      </c>
      <c r="K21" s="9" t="str">
        <f>VLOOKUP($A21,[1]Sheet2!$I$2:$O$544,6,FALSE)</f>
        <v>2025-10-21</v>
      </c>
      <c r="L21" s="17" t="s">
        <v>165</v>
      </c>
      <c r="M21" s="9">
        <f>VLOOKUP($A21,[1]Sheet2!$I$2:$O$544,4,FALSE)</f>
        <v>378</v>
      </c>
      <c r="N21" s="10">
        <f t="shared" si="3"/>
        <v>0</v>
      </c>
      <c r="O21" s="10">
        <f t="shared" si="4"/>
        <v>0</v>
      </c>
    </row>
    <row r="22" spans="1:15" x14ac:dyDescent="0.2">
      <c r="A22" s="3" t="s">
        <v>166</v>
      </c>
      <c r="B22" s="17" t="s">
        <v>15</v>
      </c>
      <c r="C22" s="9" t="str">
        <f>VLOOKUP($A22,[1]Sheet2!$I$2:$O$544,3,FALSE)</f>
        <v>KPB1</v>
      </c>
      <c r="D22" s="2" t="s">
        <v>167</v>
      </c>
      <c r="E22" s="15" t="str">
        <f>VLOOKUP($A22,[1]Sheet2!$I$2:$O$544,5,FALSE)</f>
        <v>2025-08-30</v>
      </c>
      <c r="F22" s="13" t="str">
        <f>VLOOKUP($A22,'[2]AHM-Q01-251105-2511051358'!$E$2:$H$376,4,FALSE)</f>
        <v>30/08/2025</v>
      </c>
      <c r="G22" s="15">
        <f t="shared" si="0"/>
        <v>0</v>
      </c>
      <c r="H22" s="24">
        <f t="shared" si="1"/>
        <v>0</v>
      </c>
      <c r="I22" s="13">
        <f t="shared" si="2"/>
        <v>0</v>
      </c>
      <c r="J22" s="17" t="s">
        <v>168</v>
      </c>
      <c r="K22" s="9" t="str">
        <f>VLOOKUP($A22,[1]Sheet2!$I$2:$O$544,6,FALSE)</f>
        <v>2025-10-22</v>
      </c>
      <c r="L22" s="17" t="s">
        <v>169</v>
      </c>
      <c r="M22" s="9">
        <f>VLOOKUP($A22,[1]Sheet2!$I$2:$O$544,4,FALSE)</f>
        <v>527</v>
      </c>
      <c r="N22" s="10">
        <f t="shared" si="3"/>
        <v>0</v>
      </c>
      <c r="O22" s="10">
        <f t="shared" si="4"/>
        <v>0</v>
      </c>
    </row>
    <row r="23" spans="1:15" x14ac:dyDescent="0.2">
      <c r="A23" s="3" t="s">
        <v>170</v>
      </c>
      <c r="B23" s="17" t="s">
        <v>15</v>
      </c>
      <c r="C23" s="9" t="str">
        <f>VLOOKUP($A23,[1]Sheet2!$I$2:$O$544,3,FALSE)</f>
        <v>KPB1</v>
      </c>
      <c r="D23" s="2" t="s">
        <v>171</v>
      </c>
      <c r="E23" s="15" t="str">
        <f>VLOOKUP($A23,[1]Sheet2!$I$2:$O$544,5,FALSE)</f>
        <v>2025-08-31</v>
      </c>
      <c r="F23" s="13" t="str">
        <f>VLOOKUP($A23,'[2]AHM-Q01-251105-2511051358'!$E$2:$H$376,4,FALSE)</f>
        <v>31/08/2025</v>
      </c>
      <c r="G23" s="15">
        <f t="shared" si="0"/>
        <v>0</v>
      </c>
      <c r="H23" s="24">
        <f t="shared" si="1"/>
        <v>0</v>
      </c>
      <c r="I23" s="13">
        <f t="shared" si="2"/>
        <v>0</v>
      </c>
      <c r="J23" s="17" t="s">
        <v>168</v>
      </c>
      <c r="K23" s="9" t="str">
        <f>VLOOKUP($A23,[1]Sheet2!$I$2:$O$544,6,FALSE)</f>
        <v>2025-10-22</v>
      </c>
      <c r="L23" s="17" t="s">
        <v>172</v>
      </c>
      <c r="M23" s="9">
        <f>VLOOKUP($A23,[1]Sheet2!$I$2:$O$544,4,FALSE)</f>
        <v>844</v>
      </c>
      <c r="N23" s="10">
        <f t="shared" si="3"/>
        <v>0</v>
      </c>
      <c r="O23" s="10">
        <f t="shared" si="4"/>
        <v>0</v>
      </c>
    </row>
    <row r="24" spans="1:15" x14ac:dyDescent="0.2">
      <c r="A24" s="3" t="s">
        <v>173</v>
      </c>
      <c r="B24" s="17" t="s">
        <v>15</v>
      </c>
      <c r="C24" s="9" t="str">
        <f>VLOOKUP($A24,[1]Sheet2!$I$2:$O$544,3,FALSE)</f>
        <v>KPB1</v>
      </c>
      <c r="D24" s="2" t="s">
        <v>174</v>
      </c>
      <c r="E24" s="15" t="str">
        <f>VLOOKUP($A24,[1]Sheet2!$I$2:$O$544,5,FALSE)</f>
        <v>2025-08-23</v>
      </c>
      <c r="F24" s="13" t="str">
        <f>VLOOKUP($A24,'[2]AHM-Q01-251105-2511051358'!$E$2:$H$376,4,FALSE)</f>
        <v>23/08/2025</v>
      </c>
      <c r="G24" s="15">
        <f t="shared" si="0"/>
        <v>-1</v>
      </c>
      <c r="H24" s="24">
        <f t="shared" si="1"/>
        <v>-1</v>
      </c>
      <c r="I24" s="13">
        <f t="shared" si="2"/>
        <v>0</v>
      </c>
      <c r="J24" s="17" t="s">
        <v>175</v>
      </c>
      <c r="K24" s="9" t="str">
        <f>VLOOKUP($A24,[1]Sheet2!$I$2:$O$544,6,FALSE)</f>
        <v>2025-10-24</v>
      </c>
      <c r="L24" s="17" t="s">
        <v>176</v>
      </c>
      <c r="M24" s="9">
        <f>VLOOKUP($A24,[1]Sheet2!$I$2:$O$544,4,FALSE)</f>
        <v>952</v>
      </c>
      <c r="N24" s="10">
        <f t="shared" si="3"/>
        <v>0</v>
      </c>
      <c r="O24" s="10">
        <f t="shared" si="4"/>
        <v>0</v>
      </c>
    </row>
    <row r="25" spans="1:15" x14ac:dyDescent="0.2">
      <c r="A25" s="3" t="s">
        <v>177</v>
      </c>
      <c r="B25" s="17" t="s">
        <v>27</v>
      </c>
      <c r="C25" s="9" t="str">
        <f>VLOOKUP($A25,[1]Sheet2!$I$2:$O$544,3,FALSE)</f>
        <v>KPB2</v>
      </c>
      <c r="D25" s="2" t="s">
        <v>178</v>
      </c>
      <c r="E25" s="15" t="str">
        <f>VLOOKUP($A25,[1]Sheet2!$I$2:$O$544,5,FALSE)</f>
        <v>1970-01-01</v>
      </c>
      <c r="F25" s="13" t="str">
        <f>VLOOKUP($A25,'[2]AHM-Q01-251105-2511051358'!$E$2:$H$376,4,FALSE)</f>
        <v>04/06/2025</v>
      </c>
      <c r="G25" s="15">
        <f t="shared" si="0"/>
        <v>20241</v>
      </c>
      <c r="H25" s="24">
        <f t="shared" si="1"/>
        <v>-2</v>
      </c>
      <c r="I25" s="13">
        <f t="shared" si="2"/>
        <v>-20243</v>
      </c>
      <c r="J25" s="17" t="s">
        <v>179</v>
      </c>
      <c r="K25" s="9" t="str">
        <f>VLOOKUP($A25,[1]Sheet2!$I$2:$O$544,6,FALSE)</f>
        <v>2025-10-04</v>
      </c>
      <c r="L25" s="17" t="s">
        <v>180</v>
      </c>
      <c r="M25" s="9">
        <f>VLOOKUP($A25,[1]Sheet2!$I$2:$O$544,4,FALSE)</f>
        <v>2265</v>
      </c>
      <c r="N25" s="10">
        <f t="shared" si="3"/>
        <v>0</v>
      </c>
      <c r="O25" s="10">
        <f t="shared" si="4"/>
        <v>0</v>
      </c>
    </row>
    <row r="26" spans="1:15" x14ac:dyDescent="0.2">
      <c r="A26" s="3" t="s">
        <v>181</v>
      </c>
      <c r="B26" s="17" t="s">
        <v>27</v>
      </c>
      <c r="C26" s="9" t="str">
        <f>VLOOKUP($A26,[1]Sheet2!$I$2:$O$544,3,FALSE)</f>
        <v>KPB2</v>
      </c>
      <c r="D26" s="2" t="s">
        <v>182</v>
      </c>
      <c r="E26" s="15" t="str">
        <f>VLOOKUP($A26,[1]Sheet2!$I$2:$O$544,5,FALSE)</f>
        <v>1970-01-01</v>
      </c>
      <c r="F26" s="13" t="str">
        <f>VLOOKUP($A26,'[2]AHM-Q01-251105-2511051358'!$E$2:$H$376,4,FALSE)</f>
        <v>06/06/2025</v>
      </c>
      <c r="G26" s="15">
        <f t="shared" si="0"/>
        <v>20245</v>
      </c>
      <c r="H26" s="24">
        <f t="shared" si="1"/>
        <v>0</v>
      </c>
      <c r="I26" s="13">
        <f t="shared" si="2"/>
        <v>-20245</v>
      </c>
      <c r="J26" s="17" t="s">
        <v>113</v>
      </c>
      <c r="K26" s="9" t="str">
        <f>VLOOKUP($A26,[1]Sheet2!$I$2:$O$544,6,FALSE)</f>
        <v>2025-10-07</v>
      </c>
      <c r="L26" s="17" t="s">
        <v>183</v>
      </c>
      <c r="M26" s="9">
        <f>VLOOKUP($A26,[1]Sheet2!$I$2:$O$544,4,FALSE)</f>
        <v>4028</v>
      </c>
      <c r="N26" s="10">
        <f t="shared" si="3"/>
        <v>0</v>
      </c>
      <c r="O26" s="10">
        <f t="shared" si="4"/>
        <v>0</v>
      </c>
    </row>
    <row r="27" spans="1:15" x14ac:dyDescent="0.2">
      <c r="A27" s="3" t="s">
        <v>184</v>
      </c>
      <c r="B27" s="17" t="s">
        <v>27</v>
      </c>
      <c r="C27" s="9" t="str">
        <f>VLOOKUP($A27,[1]Sheet2!$I$2:$O$544,3,FALSE)</f>
        <v>KPB2</v>
      </c>
      <c r="D27" s="2" t="s">
        <v>185</v>
      </c>
      <c r="E27" s="15" t="str">
        <f>VLOOKUP($A27,[1]Sheet2!$I$2:$O$544,5,FALSE)</f>
        <v>1970-01-01</v>
      </c>
      <c r="F27" s="13" t="str">
        <f>VLOOKUP($A27,'[2]AHM-Q01-251105-2511051358'!$E$2:$H$376,4,FALSE)</f>
        <v>07/06/2025</v>
      </c>
      <c r="G27" s="15">
        <f t="shared" si="0"/>
        <v>20246</v>
      </c>
      <c r="H27" s="24">
        <f t="shared" si="1"/>
        <v>0</v>
      </c>
      <c r="I27" s="13">
        <f t="shared" si="2"/>
        <v>-20246</v>
      </c>
      <c r="J27" s="17" t="s">
        <v>113</v>
      </c>
      <c r="K27" s="9" t="str">
        <f>VLOOKUP($A27,[1]Sheet2!$I$2:$O$544,6,FALSE)</f>
        <v>2025-10-07</v>
      </c>
      <c r="L27" s="17" t="s">
        <v>186</v>
      </c>
      <c r="M27" s="9">
        <f>VLOOKUP($A27,[1]Sheet2!$I$2:$O$544,4,FALSE)</f>
        <v>2661</v>
      </c>
      <c r="N27" s="10">
        <f t="shared" si="3"/>
        <v>0</v>
      </c>
      <c r="O27" s="10">
        <f t="shared" si="4"/>
        <v>0</v>
      </c>
    </row>
    <row r="28" spans="1:15" x14ac:dyDescent="0.2">
      <c r="A28" s="3" t="s">
        <v>187</v>
      </c>
      <c r="B28" s="17" t="s">
        <v>27</v>
      </c>
      <c r="C28" s="9" t="str">
        <f>VLOOKUP($A28,[1]Sheet2!$I$2:$O$544,3,FALSE)</f>
        <v>KPB2</v>
      </c>
      <c r="D28" s="2" t="s">
        <v>188</v>
      </c>
      <c r="E28" s="15" t="str">
        <f>VLOOKUP($A28,[1]Sheet2!$I$2:$O$544,5,FALSE)</f>
        <v>1970-01-01</v>
      </c>
      <c r="F28" s="13" t="str">
        <f>VLOOKUP($A28,'[2]AHM-Q01-251105-2511051358'!$E$2:$H$376,4,FALSE)</f>
        <v>10/06/2025</v>
      </c>
      <c r="G28" s="15">
        <f t="shared" si="0"/>
        <v>20248</v>
      </c>
      <c r="H28" s="24">
        <f t="shared" si="1"/>
        <v>-1</v>
      </c>
      <c r="I28" s="13">
        <f t="shared" si="2"/>
        <v>-20249</v>
      </c>
      <c r="J28" s="17" t="s">
        <v>117</v>
      </c>
      <c r="K28" s="9" t="str">
        <f>VLOOKUP($A28,[1]Sheet2!$I$2:$O$544,6,FALSE)</f>
        <v>2025-10-09</v>
      </c>
      <c r="L28" s="17" t="s">
        <v>189</v>
      </c>
      <c r="M28" s="9">
        <f>VLOOKUP($A28,[1]Sheet2!$I$2:$O$544,4,FALSE)</f>
        <v>1783</v>
      </c>
      <c r="N28" s="10">
        <f t="shared" si="3"/>
        <v>0</v>
      </c>
      <c r="O28" s="10">
        <f t="shared" si="4"/>
        <v>0</v>
      </c>
    </row>
    <row r="29" spans="1:15" x14ac:dyDescent="0.2">
      <c r="A29" s="3" t="s">
        <v>190</v>
      </c>
      <c r="B29" s="17" t="s">
        <v>27</v>
      </c>
      <c r="C29" s="9" t="str">
        <f>VLOOKUP($A29,[1]Sheet2!$I$2:$O$544,3,FALSE)</f>
        <v>KPB2</v>
      </c>
      <c r="D29" s="2" t="s">
        <v>188</v>
      </c>
      <c r="E29" s="15" t="str">
        <f>VLOOKUP($A29,[1]Sheet2!$I$2:$O$544,5,FALSE)</f>
        <v>1970-01-01</v>
      </c>
      <c r="F29" s="13" t="str">
        <f>VLOOKUP($A29,'[2]AHM-Q01-251105-2511051358'!$E$2:$H$376,4,FALSE)</f>
        <v>09/06/2025</v>
      </c>
      <c r="G29" s="15">
        <f t="shared" si="0"/>
        <v>20248</v>
      </c>
      <c r="H29" s="24">
        <f t="shared" si="1"/>
        <v>0</v>
      </c>
      <c r="I29" s="13">
        <f t="shared" si="2"/>
        <v>-20248</v>
      </c>
      <c r="J29" s="17" t="s">
        <v>117</v>
      </c>
      <c r="K29" s="9" t="str">
        <f>VLOOKUP($A29,[1]Sheet2!$I$2:$O$544,6,FALSE)</f>
        <v>2025-10-09</v>
      </c>
      <c r="L29" s="17" t="s">
        <v>191</v>
      </c>
      <c r="M29" s="9">
        <f>VLOOKUP($A29,[1]Sheet2!$I$2:$O$544,4,FALSE)</f>
        <v>2864</v>
      </c>
      <c r="N29" s="10">
        <f t="shared" si="3"/>
        <v>0</v>
      </c>
      <c r="O29" s="10">
        <f t="shared" si="4"/>
        <v>0</v>
      </c>
    </row>
    <row r="30" spans="1:15" x14ac:dyDescent="0.2">
      <c r="A30" s="3" t="s">
        <v>192</v>
      </c>
      <c r="B30" s="17" t="s">
        <v>27</v>
      </c>
      <c r="C30" s="9" t="str">
        <f>VLOOKUP($A30,[1]Sheet2!$I$2:$O$544,3,FALSE)</f>
        <v>KPB2</v>
      </c>
      <c r="D30" s="2" t="s">
        <v>193</v>
      </c>
      <c r="E30" s="15" t="str">
        <f>VLOOKUP($A30,[1]Sheet2!$I$2:$O$544,5,FALSE)</f>
        <v>2025-06-10</v>
      </c>
      <c r="F30" s="13" t="str">
        <f>VLOOKUP($A30,'[2]AHM-Q01-251105-2511051358'!$E$2:$H$376,4,FALSE)</f>
        <v>10/06/2025</v>
      </c>
      <c r="G30" s="15">
        <f t="shared" si="0"/>
        <v>0</v>
      </c>
      <c r="H30" s="24">
        <f t="shared" si="1"/>
        <v>0</v>
      </c>
      <c r="I30" s="13">
        <f t="shared" si="2"/>
        <v>0</v>
      </c>
      <c r="J30" s="17" t="s">
        <v>117</v>
      </c>
      <c r="K30" s="9" t="str">
        <f>VLOOKUP($A30,[1]Sheet2!$I$2:$O$544,6,FALSE)</f>
        <v>2025-10-09</v>
      </c>
      <c r="L30" s="17" t="s">
        <v>194</v>
      </c>
      <c r="M30" s="9">
        <f>VLOOKUP($A30,[1]Sheet2!$I$2:$O$544,4,FALSE)</f>
        <v>1135</v>
      </c>
      <c r="N30" s="10">
        <f t="shared" si="3"/>
        <v>0</v>
      </c>
      <c r="O30" s="10">
        <f t="shared" si="4"/>
        <v>0</v>
      </c>
    </row>
    <row r="31" spans="1:15" x14ac:dyDescent="0.2">
      <c r="A31" s="3" t="s">
        <v>195</v>
      </c>
      <c r="B31" s="17" t="s">
        <v>27</v>
      </c>
      <c r="C31" s="9" t="str">
        <f>VLOOKUP($A31,[1]Sheet2!$I$2:$O$544,3,FALSE)</f>
        <v>KPB2</v>
      </c>
      <c r="D31" s="2" t="s">
        <v>193</v>
      </c>
      <c r="E31" s="15" t="str">
        <f>VLOOKUP($A31,[1]Sheet2!$I$2:$O$544,5,FALSE)</f>
        <v>1970-01-01</v>
      </c>
      <c r="F31" s="13" t="str">
        <f>VLOOKUP($A31,'[2]AHM-Q01-251105-2511051358'!$E$2:$H$376,4,FALSE)</f>
        <v>10/06/2025</v>
      </c>
      <c r="G31" s="15">
        <f t="shared" si="0"/>
        <v>20249</v>
      </c>
      <c r="H31" s="24">
        <f t="shared" si="1"/>
        <v>0</v>
      </c>
      <c r="I31" s="13">
        <f t="shared" si="2"/>
        <v>-20249</v>
      </c>
      <c r="J31" s="17" t="s">
        <v>117</v>
      </c>
      <c r="K31" s="9" t="str">
        <f>VLOOKUP($A31,[1]Sheet2!$I$2:$O$544,6,FALSE)</f>
        <v>2025-10-09</v>
      </c>
      <c r="L31" s="17" t="s">
        <v>196</v>
      </c>
      <c r="M31" s="9">
        <f>VLOOKUP($A31,[1]Sheet2!$I$2:$O$544,4,FALSE)</f>
        <v>3638</v>
      </c>
      <c r="N31" s="10">
        <f t="shared" si="3"/>
        <v>0</v>
      </c>
      <c r="O31" s="10">
        <f t="shared" si="4"/>
        <v>0</v>
      </c>
    </row>
    <row r="32" spans="1:15" x14ac:dyDescent="0.2">
      <c r="A32" s="3" t="s">
        <v>197</v>
      </c>
      <c r="B32" s="17" t="s">
        <v>27</v>
      </c>
      <c r="C32" s="9" t="str">
        <f>VLOOKUP($A32,[1]Sheet2!$I$2:$O$544,3,FALSE)</f>
        <v>KPB2</v>
      </c>
      <c r="D32" s="2" t="s">
        <v>198</v>
      </c>
      <c r="E32" s="15" t="str">
        <f>VLOOKUP($A32,[1]Sheet2!$I$2:$O$544,5,FALSE)</f>
        <v>2025-06-13</v>
      </c>
      <c r="F32" s="13" t="str">
        <f>VLOOKUP($A32,'[2]AHM-Q01-251105-2511051358'!$E$2:$H$376,4,FALSE)</f>
        <v>13/06/2025</v>
      </c>
      <c r="G32" s="15">
        <f t="shared" si="0"/>
        <v>0</v>
      </c>
      <c r="H32" s="24">
        <f t="shared" si="1"/>
        <v>0</v>
      </c>
      <c r="I32" s="13">
        <f t="shared" si="2"/>
        <v>0</v>
      </c>
      <c r="J32" s="17" t="s">
        <v>128</v>
      </c>
      <c r="K32" s="9" t="str">
        <f>VLOOKUP($A32,[1]Sheet2!$I$2:$O$544,6,FALSE)</f>
        <v>2025-10-11</v>
      </c>
      <c r="L32" s="17" t="s">
        <v>199</v>
      </c>
      <c r="M32" s="9">
        <f>VLOOKUP($A32,[1]Sheet2!$I$2:$O$544,4,FALSE)</f>
        <v>3420</v>
      </c>
      <c r="N32" s="10">
        <f t="shared" si="3"/>
        <v>0</v>
      </c>
      <c r="O32" s="10">
        <f t="shared" si="4"/>
        <v>0</v>
      </c>
    </row>
    <row r="33" spans="1:15" x14ac:dyDescent="0.2">
      <c r="A33" s="3" t="s">
        <v>200</v>
      </c>
      <c r="B33" s="17" t="s">
        <v>27</v>
      </c>
      <c r="C33" s="9" t="str">
        <f>VLOOKUP($A33,[1]Sheet2!$I$2:$O$544,3,FALSE)</f>
        <v>KPB2</v>
      </c>
      <c r="D33" s="2" t="s">
        <v>201</v>
      </c>
      <c r="E33" s="15" t="str">
        <f>VLOOKUP($A33,[1]Sheet2!$I$2:$O$544,5,FALSE)</f>
        <v>2025-06-17</v>
      </c>
      <c r="F33" s="13" t="str">
        <f>VLOOKUP($A33,'[2]AHM-Q01-251105-2511051358'!$E$2:$H$376,4,FALSE)</f>
        <v>17/06/2025</v>
      </c>
      <c r="G33" s="15">
        <f t="shared" si="0"/>
        <v>0</v>
      </c>
      <c r="H33" s="24">
        <f t="shared" si="1"/>
        <v>0</v>
      </c>
      <c r="I33" s="13">
        <f t="shared" si="2"/>
        <v>0</v>
      </c>
      <c r="J33" s="17" t="s">
        <v>141</v>
      </c>
      <c r="K33" s="9" t="str">
        <f>VLOOKUP($A33,[1]Sheet2!$I$2:$O$544,6,FALSE)</f>
        <v>2025-10-15</v>
      </c>
      <c r="L33" s="17" t="s">
        <v>202</v>
      </c>
      <c r="M33" s="9">
        <f>VLOOKUP($A33,[1]Sheet2!$I$2:$O$544,4,FALSE)</f>
        <v>2340</v>
      </c>
      <c r="N33" s="10">
        <f t="shared" si="3"/>
        <v>0</v>
      </c>
      <c r="O33" s="10">
        <f t="shared" si="4"/>
        <v>0</v>
      </c>
    </row>
    <row r="34" spans="1:15" x14ac:dyDescent="0.2">
      <c r="A34" s="3" t="s">
        <v>203</v>
      </c>
      <c r="B34" s="17" t="s">
        <v>27</v>
      </c>
      <c r="C34" s="9" t="str">
        <f>VLOOKUP($A34,[1]Sheet2!$I$2:$O$544,3,FALSE)</f>
        <v>KPB2</v>
      </c>
      <c r="D34" s="2" t="s">
        <v>201</v>
      </c>
      <c r="E34" s="15" t="str">
        <f>VLOOKUP($A34,[1]Sheet2!$I$2:$O$544,5,FALSE)</f>
        <v>2025-06-17</v>
      </c>
      <c r="F34" s="13" t="str">
        <f>VLOOKUP($A34,'[2]AHM-Q01-251105-2511051358'!$E$2:$H$376,4,FALSE)</f>
        <v>17/06/2025</v>
      </c>
      <c r="G34" s="15">
        <f t="shared" si="0"/>
        <v>0</v>
      </c>
      <c r="H34" s="24">
        <f t="shared" si="1"/>
        <v>0</v>
      </c>
      <c r="I34" s="13">
        <f t="shared" si="2"/>
        <v>0</v>
      </c>
      <c r="J34" s="17" t="s">
        <v>141</v>
      </c>
      <c r="K34" s="9" t="str">
        <f>VLOOKUP($A34,[1]Sheet2!$I$2:$O$544,6,FALSE)</f>
        <v>2025-10-15</v>
      </c>
      <c r="L34" s="17" t="s">
        <v>204</v>
      </c>
      <c r="M34" s="9">
        <f>VLOOKUP($A34,[1]Sheet2!$I$2:$O$544,4,FALSE)</f>
        <v>2995</v>
      </c>
      <c r="N34" s="10">
        <f t="shared" si="3"/>
        <v>0</v>
      </c>
      <c r="O34" s="10">
        <f t="shared" si="4"/>
        <v>0</v>
      </c>
    </row>
    <row r="35" spans="1:15" x14ac:dyDescent="0.2">
      <c r="A35" s="3" t="s">
        <v>205</v>
      </c>
      <c r="B35" s="17" t="s">
        <v>27</v>
      </c>
      <c r="C35" s="9" t="str">
        <f>VLOOKUP($A35,[1]Sheet2!$I$2:$O$544,3,FALSE)</f>
        <v>KPB2</v>
      </c>
      <c r="D35" s="2" t="s">
        <v>206</v>
      </c>
      <c r="E35" s="15" t="str">
        <f>VLOOKUP($A35,[1]Sheet2!$I$2:$O$544,5,FALSE)</f>
        <v>2025-06-21</v>
      </c>
      <c r="F35" s="13" t="str">
        <f>VLOOKUP($A35,'[2]AHM-Q01-251105-2511051358'!$E$2:$H$376,4,FALSE)</f>
        <v>21/06/2025</v>
      </c>
      <c r="G35" s="15">
        <f t="shared" si="0"/>
        <v>-1</v>
      </c>
      <c r="H35" s="24">
        <f t="shared" si="1"/>
        <v>-1</v>
      </c>
      <c r="I35" s="13">
        <f t="shared" si="2"/>
        <v>0</v>
      </c>
      <c r="J35" s="17" t="s">
        <v>154</v>
      </c>
      <c r="K35" s="9" t="str">
        <f>VLOOKUP($A35,[1]Sheet2!$I$2:$O$544,6,FALSE)</f>
        <v>2025-10-18</v>
      </c>
      <c r="L35" s="17" t="s">
        <v>207</v>
      </c>
      <c r="M35" s="9">
        <f>VLOOKUP($A35,[1]Sheet2!$I$2:$O$544,4,FALSE)</f>
        <v>2110</v>
      </c>
      <c r="N35" s="10">
        <f t="shared" si="3"/>
        <v>0</v>
      </c>
      <c r="O35" s="10">
        <f t="shared" si="4"/>
        <v>0</v>
      </c>
    </row>
    <row r="36" spans="1:15" x14ac:dyDescent="0.2">
      <c r="A36" s="3" t="s">
        <v>208</v>
      </c>
      <c r="B36" s="17" t="s">
        <v>27</v>
      </c>
      <c r="C36" s="9" t="str">
        <f>VLOOKUP($A36,[1]Sheet2!$I$2:$O$544,3,FALSE)</f>
        <v>KPB2</v>
      </c>
      <c r="D36" s="2" t="s">
        <v>209</v>
      </c>
      <c r="E36" s="15" t="str">
        <f>VLOOKUP($A36,[1]Sheet2!$I$2:$O$544,5,FALSE)</f>
        <v>2025-06-30</v>
      </c>
      <c r="F36" s="13" t="str">
        <f>VLOOKUP($A36,'[2]AHM-Q01-251105-2511051358'!$E$2:$H$376,4,FALSE)</f>
        <v>30/06/2025</v>
      </c>
      <c r="G36" s="15">
        <f t="shared" si="0"/>
        <v>-1</v>
      </c>
      <c r="H36" s="24">
        <f t="shared" si="1"/>
        <v>-1</v>
      </c>
      <c r="I36" s="13">
        <f t="shared" si="2"/>
        <v>0</v>
      </c>
      <c r="J36" s="17" t="s">
        <v>154</v>
      </c>
      <c r="K36" s="9" t="str">
        <f>VLOOKUP($A36,[1]Sheet2!$I$2:$O$544,6,FALSE)</f>
        <v>2025-10-18</v>
      </c>
      <c r="L36" s="17" t="s">
        <v>210</v>
      </c>
      <c r="M36" s="9">
        <f>VLOOKUP($A36,[1]Sheet2!$I$2:$O$544,4,FALSE)</f>
        <v>3696</v>
      </c>
      <c r="N36" s="10">
        <f t="shared" si="3"/>
        <v>0</v>
      </c>
      <c r="O36" s="10">
        <f t="shared" si="4"/>
        <v>0</v>
      </c>
    </row>
    <row r="37" spans="1:15" x14ac:dyDescent="0.2">
      <c r="A37" s="3" t="s">
        <v>211</v>
      </c>
      <c r="B37" s="17" t="s">
        <v>27</v>
      </c>
      <c r="C37" s="9" t="str">
        <f>VLOOKUP($A37,[1]Sheet2!$I$2:$O$544,3,FALSE)</f>
        <v>KPB2</v>
      </c>
      <c r="D37" s="2" t="s">
        <v>212</v>
      </c>
      <c r="E37" s="15" t="str">
        <f>VLOOKUP($A37,[1]Sheet2!$I$2:$O$544,5,FALSE)</f>
        <v>2025-06-22</v>
      </c>
      <c r="F37" s="13" t="str">
        <f>VLOOKUP($A37,'[2]AHM-Q01-251105-2511051358'!$E$2:$H$376,4,FALSE)</f>
        <v>22/06/2025</v>
      </c>
      <c r="G37" s="15">
        <f t="shared" si="0"/>
        <v>-1</v>
      </c>
      <c r="H37" s="24">
        <f t="shared" si="1"/>
        <v>-1</v>
      </c>
      <c r="I37" s="13">
        <f t="shared" si="2"/>
        <v>0</v>
      </c>
      <c r="J37" s="17" t="s">
        <v>154</v>
      </c>
      <c r="K37" s="9" t="str">
        <f>VLOOKUP($A37,[1]Sheet2!$I$2:$O$544,6,FALSE)</f>
        <v>2025-10-18</v>
      </c>
      <c r="L37" s="17" t="s">
        <v>213</v>
      </c>
      <c r="M37" s="9">
        <f>VLOOKUP($A37,[1]Sheet2!$I$2:$O$544,4,FALSE)</f>
        <v>3013</v>
      </c>
      <c r="N37" s="10">
        <f t="shared" si="3"/>
        <v>0</v>
      </c>
      <c r="O37" s="10">
        <f t="shared" si="4"/>
        <v>0</v>
      </c>
    </row>
    <row r="38" spans="1:15" x14ac:dyDescent="0.2">
      <c r="A38" s="3" t="s">
        <v>214</v>
      </c>
      <c r="B38" s="17" t="s">
        <v>27</v>
      </c>
      <c r="C38" s="9" t="str">
        <f>VLOOKUP($A38,[1]Sheet2!$I$2:$O$544,3,FALSE)</f>
        <v>KPB2</v>
      </c>
      <c r="D38" s="2" t="s">
        <v>215</v>
      </c>
      <c r="E38" s="15" t="str">
        <f>VLOOKUP($A38,[1]Sheet2!$I$2:$O$544,5,FALSE)</f>
        <v>2025-06-23</v>
      </c>
      <c r="F38" s="13" t="str">
        <f>VLOOKUP($A38,'[2]AHM-Q01-251105-2511051358'!$E$2:$H$376,4,FALSE)</f>
        <v>23/06/2025</v>
      </c>
      <c r="G38" s="15">
        <f t="shared" si="0"/>
        <v>-1</v>
      </c>
      <c r="H38" s="24">
        <f t="shared" si="1"/>
        <v>-1</v>
      </c>
      <c r="I38" s="13">
        <f t="shared" si="2"/>
        <v>0</v>
      </c>
      <c r="J38" s="17" t="s">
        <v>216</v>
      </c>
      <c r="K38" s="9" t="str">
        <f>VLOOKUP($A38,[1]Sheet2!$I$2:$O$544,6,FALSE)</f>
        <v>2025-10-20</v>
      </c>
      <c r="L38" s="17" t="s">
        <v>217</v>
      </c>
      <c r="M38" s="9">
        <f>VLOOKUP($A38,[1]Sheet2!$I$2:$O$544,4,FALSE)</f>
        <v>1407</v>
      </c>
      <c r="N38" s="10">
        <f t="shared" si="3"/>
        <v>0</v>
      </c>
      <c r="O38" s="10">
        <f t="shared" si="4"/>
        <v>0</v>
      </c>
    </row>
    <row r="39" spans="1:15" x14ac:dyDescent="0.2">
      <c r="A39" s="3" t="s">
        <v>218</v>
      </c>
      <c r="B39" s="17" t="s">
        <v>27</v>
      </c>
      <c r="C39" s="9" t="str">
        <f>VLOOKUP($A39,[1]Sheet2!$I$2:$O$544,3,FALSE)</f>
        <v>KPB2</v>
      </c>
      <c r="D39" s="2" t="s">
        <v>219</v>
      </c>
      <c r="E39" s="15" t="str">
        <f>VLOOKUP($A39,[1]Sheet2!$I$2:$O$544,5,FALSE)</f>
        <v>2025-06-25</v>
      </c>
      <c r="F39" s="13" t="str">
        <f>VLOOKUP($A39,'[2]AHM-Q01-251105-2511051358'!$E$2:$H$376,4,FALSE)</f>
        <v>25/06/2025</v>
      </c>
      <c r="G39" s="15">
        <f t="shared" si="0"/>
        <v>-1</v>
      </c>
      <c r="H39" s="24">
        <f t="shared" si="1"/>
        <v>-1</v>
      </c>
      <c r="I39" s="13">
        <f t="shared" si="2"/>
        <v>0</v>
      </c>
      <c r="J39" s="17" t="s">
        <v>216</v>
      </c>
      <c r="K39" s="9" t="str">
        <f>VLOOKUP($A39,[1]Sheet2!$I$2:$O$544,6,FALSE)</f>
        <v>2025-10-20</v>
      </c>
      <c r="L39" s="17" t="s">
        <v>220</v>
      </c>
      <c r="M39" s="9">
        <f>VLOOKUP($A39,[1]Sheet2!$I$2:$O$544,4,FALSE)</f>
        <v>3886</v>
      </c>
      <c r="N39" s="10">
        <f t="shared" si="3"/>
        <v>0</v>
      </c>
      <c r="O39" s="10">
        <f t="shared" si="4"/>
        <v>0</v>
      </c>
    </row>
    <row r="40" spans="1:15" x14ac:dyDescent="0.2">
      <c r="A40" s="3" t="s">
        <v>221</v>
      </c>
      <c r="B40" s="17" t="s">
        <v>27</v>
      </c>
      <c r="C40" s="9" t="str">
        <f>VLOOKUP($A40,[1]Sheet2!$I$2:$O$544,3,FALSE)</f>
        <v>KPB2</v>
      </c>
      <c r="D40" s="2" t="s">
        <v>222</v>
      </c>
      <c r="E40" s="15" t="str">
        <f>VLOOKUP($A40,[1]Sheet2!$I$2:$O$544,5,FALSE)</f>
        <v>2025-06-28</v>
      </c>
      <c r="F40" s="13" t="str">
        <f>VLOOKUP($A40,'[2]AHM-Q01-251105-2511051358'!$E$2:$H$376,4,FALSE)</f>
        <v>28/06/2025</v>
      </c>
      <c r="G40" s="15">
        <f t="shared" si="0"/>
        <v>0</v>
      </c>
      <c r="H40" s="24">
        <f t="shared" si="1"/>
        <v>0</v>
      </c>
      <c r="I40" s="13">
        <f t="shared" si="2"/>
        <v>0</v>
      </c>
      <c r="J40" s="17" t="s">
        <v>168</v>
      </c>
      <c r="K40" s="9" t="str">
        <f>VLOOKUP($A40,[1]Sheet2!$I$2:$O$544,6,FALSE)</f>
        <v>2025-10-22</v>
      </c>
      <c r="L40" s="17" t="s">
        <v>223</v>
      </c>
      <c r="M40" s="9">
        <f>VLOOKUP($A40,[1]Sheet2!$I$2:$O$544,4,FALSE)</f>
        <v>1821</v>
      </c>
      <c r="N40" s="10">
        <f t="shared" si="3"/>
        <v>0</v>
      </c>
      <c r="O40" s="10">
        <f t="shared" si="4"/>
        <v>0</v>
      </c>
    </row>
    <row r="41" spans="1:15" x14ac:dyDescent="0.2">
      <c r="A41" s="3" t="s">
        <v>224</v>
      </c>
      <c r="B41" s="17" t="s">
        <v>27</v>
      </c>
      <c r="C41" s="9" t="str">
        <f>VLOOKUP($A41,[1]Sheet2!$I$2:$O$544,3,FALSE)</f>
        <v>KPB2</v>
      </c>
      <c r="D41" s="2" t="s">
        <v>222</v>
      </c>
      <c r="E41" s="15" t="str">
        <f>VLOOKUP($A41,[1]Sheet2!$I$2:$O$544,5,FALSE)</f>
        <v>2025-06-28</v>
      </c>
      <c r="F41" s="13" t="str">
        <f>VLOOKUP($A41,'[2]AHM-Q01-251105-2511051358'!$E$2:$H$376,4,FALSE)</f>
        <v>28/06/2025</v>
      </c>
      <c r="G41" s="15">
        <f t="shared" si="0"/>
        <v>0</v>
      </c>
      <c r="H41" s="24">
        <f t="shared" si="1"/>
        <v>0</v>
      </c>
      <c r="I41" s="13">
        <f t="shared" si="2"/>
        <v>0</v>
      </c>
      <c r="J41" s="17" t="s">
        <v>225</v>
      </c>
      <c r="K41" s="9" t="str">
        <f>VLOOKUP($A41,[1]Sheet2!$I$2:$O$544,6,FALSE)</f>
        <v>2025-10-27</v>
      </c>
      <c r="L41" s="17" t="s">
        <v>226</v>
      </c>
      <c r="M41" s="9">
        <f>VLOOKUP($A41,[1]Sheet2!$I$2:$O$544,4,FALSE)</f>
        <v>1707</v>
      </c>
      <c r="N41" s="10">
        <f t="shared" si="3"/>
        <v>0</v>
      </c>
      <c r="O41" s="10">
        <f t="shared" si="4"/>
        <v>0</v>
      </c>
    </row>
    <row r="42" spans="1:15" x14ac:dyDescent="0.2">
      <c r="A42" s="3" t="s">
        <v>227</v>
      </c>
      <c r="B42" s="17" t="s">
        <v>33</v>
      </c>
      <c r="C42" s="9" t="str">
        <f>VLOOKUP($A42,[1]Sheet2!$I$2:$O$544,3,FALSE)</f>
        <v>KPB3</v>
      </c>
      <c r="D42" s="2" t="s">
        <v>228</v>
      </c>
      <c r="E42" s="15" t="str">
        <f>VLOOKUP($A42,[1]Sheet2!$I$2:$O$544,5,FALSE)</f>
        <v>2025-02-03</v>
      </c>
      <c r="F42" s="13" t="str">
        <f>VLOOKUP($A42,'[2]AHM-Q01-251105-2511051358'!$E$2:$H$376,4,FALSE)</f>
        <v>03/02/2025</v>
      </c>
      <c r="G42" s="15">
        <f t="shared" si="0"/>
        <v>0</v>
      </c>
      <c r="H42" s="24">
        <f t="shared" si="1"/>
        <v>0</v>
      </c>
      <c r="I42" s="13">
        <f t="shared" si="2"/>
        <v>0</v>
      </c>
      <c r="J42" s="17" t="s">
        <v>179</v>
      </c>
      <c r="K42" s="9" t="str">
        <f>VLOOKUP($A42,[1]Sheet2!$I$2:$O$544,6,FALSE)</f>
        <v>2025-10-04</v>
      </c>
      <c r="L42" s="17" t="s">
        <v>229</v>
      </c>
      <c r="M42" s="9">
        <f>VLOOKUP($A42,[1]Sheet2!$I$2:$O$544,4,FALSE)</f>
        <v>7362</v>
      </c>
      <c r="N42" s="10">
        <f t="shared" si="3"/>
        <v>0</v>
      </c>
      <c r="O42" s="10">
        <f t="shared" si="4"/>
        <v>0</v>
      </c>
    </row>
    <row r="43" spans="1:15" x14ac:dyDescent="0.2">
      <c r="A43" s="3" t="s">
        <v>230</v>
      </c>
      <c r="B43" s="17" t="s">
        <v>33</v>
      </c>
      <c r="C43" s="9" t="str">
        <f>VLOOKUP($A43,[1]Sheet2!$I$2:$O$544,3,FALSE)</f>
        <v>KPB3</v>
      </c>
      <c r="D43" s="2" t="s">
        <v>231</v>
      </c>
      <c r="E43" s="15" t="str">
        <f>VLOOKUP($A43,[1]Sheet2!$I$2:$O$544,5,FALSE)</f>
        <v>2025-02-06</v>
      </c>
      <c r="F43" s="13" t="str">
        <f>VLOOKUP($A43,'[2]AHM-Q01-251105-2511051358'!$E$2:$H$376,4,FALSE)</f>
        <v>06/02/2025</v>
      </c>
      <c r="G43" s="15">
        <f t="shared" si="0"/>
        <v>0</v>
      </c>
      <c r="H43" s="24">
        <f t="shared" si="1"/>
        <v>0</v>
      </c>
      <c r="I43" s="13">
        <f t="shared" si="2"/>
        <v>0</v>
      </c>
      <c r="J43" s="17" t="s">
        <v>121</v>
      </c>
      <c r="K43" s="9" t="str">
        <f>VLOOKUP($A43,[1]Sheet2!$I$2:$O$544,6,FALSE)</f>
        <v>2025-10-10</v>
      </c>
      <c r="L43" s="17" t="s">
        <v>232</v>
      </c>
      <c r="M43" s="9">
        <f>VLOOKUP($A43,[1]Sheet2!$I$2:$O$544,4,FALSE)</f>
        <v>6085</v>
      </c>
      <c r="N43" s="10">
        <f t="shared" si="3"/>
        <v>0</v>
      </c>
      <c r="O43" s="10">
        <f t="shared" si="4"/>
        <v>0</v>
      </c>
    </row>
    <row r="44" spans="1:15" x14ac:dyDescent="0.2">
      <c r="A44" s="3" t="s">
        <v>233</v>
      </c>
      <c r="B44" s="17" t="s">
        <v>33</v>
      </c>
      <c r="C44" s="9" t="str">
        <f>VLOOKUP($A44,[1]Sheet2!$I$2:$O$544,3,FALSE)</f>
        <v>KPB3</v>
      </c>
      <c r="D44" s="2" t="s">
        <v>234</v>
      </c>
      <c r="E44" s="15" t="str">
        <f>VLOOKUP($A44,[1]Sheet2!$I$2:$O$544,5,FALSE)</f>
        <v>2025-02-15</v>
      </c>
      <c r="F44" s="13" t="str">
        <f>VLOOKUP($A44,'[2]AHM-Q01-251105-2511051358'!$E$2:$H$376,4,FALSE)</f>
        <v>15/02/2025</v>
      </c>
      <c r="G44" s="15">
        <f t="shared" si="0"/>
        <v>0</v>
      </c>
      <c r="H44" s="24">
        <f t="shared" si="1"/>
        <v>0</v>
      </c>
      <c r="I44" s="13">
        <f t="shared" si="2"/>
        <v>0</v>
      </c>
      <c r="J44" s="17" t="s">
        <v>131</v>
      </c>
      <c r="K44" s="9" t="str">
        <f>VLOOKUP($A44,[1]Sheet2!$I$2:$O$544,6,FALSE)</f>
        <v>2025-10-13</v>
      </c>
      <c r="L44" s="17" t="s">
        <v>235</v>
      </c>
      <c r="M44" s="9">
        <f>VLOOKUP($A44,[1]Sheet2!$I$2:$O$544,4,FALSE)</f>
        <v>5094</v>
      </c>
      <c r="N44" s="10">
        <f t="shared" si="3"/>
        <v>0</v>
      </c>
      <c r="O44" s="10">
        <f t="shared" si="4"/>
        <v>0</v>
      </c>
    </row>
    <row r="45" spans="1:15" x14ac:dyDescent="0.2">
      <c r="A45" s="3" t="s">
        <v>236</v>
      </c>
      <c r="B45" s="17" t="s">
        <v>33</v>
      </c>
      <c r="C45" s="9" t="str">
        <f>VLOOKUP($A45,[1]Sheet2!$I$2:$O$544,3,FALSE)</f>
        <v>KPB3</v>
      </c>
      <c r="D45" s="2" t="s">
        <v>237</v>
      </c>
      <c r="E45" s="15" t="str">
        <f>VLOOKUP($A45,[1]Sheet2!$I$2:$O$544,5,FALSE)</f>
        <v>2025-02-17</v>
      </c>
      <c r="F45" s="13" t="str">
        <f>VLOOKUP($A45,'[2]AHM-Q01-251105-2511051358'!$E$2:$H$376,4,FALSE)</f>
        <v>17/02/2025</v>
      </c>
      <c r="G45" s="15">
        <f t="shared" si="0"/>
        <v>0</v>
      </c>
      <c r="H45" s="24">
        <f t="shared" si="1"/>
        <v>0</v>
      </c>
      <c r="I45" s="13">
        <f t="shared" si="2"/>
        <v>0</v>
      </c>
      <c r="J45" s="17" t="s">
        <v>141</v>
      </c>
      <c r="K45" s="9" t="str">
        <f>VLOOKUP($A45,[1]Sheet2!$I$2:$O$544,6,FALSE)</f>
        <v>2025-10-15</v>
      </c>
      <c r="L45" s="17" t="s">
        <v>238</v>
      </c>
      <c r="M45" s="9">
        <f>VLOOKUP($A45,[1]Sheet2!$I$2:$O$544,4,FALSE)</f>
        <v>6472</v>
      </c>
      <c r="N45" s="10">
        <f t="shared" si="3"/>
        <v>0</v>
      </c>
      <c r="O45" s="10">
        <f t="shared" si="4"/>
        <v>0</v>
      </c>
    </row>
    <row r="46" spans="1:15" x14ac:dyDescent="0.2">
      <c r="A46" s="3" t="s">
        <v>239</v>
      </c>
      <c r="B46" s="17" t="s">
        <v>33</v>
      </c>
      <c r="C46" s="9" t="str">
        <f>VLOOKUP($A46,[1]Sheet2!$I$2:$O$544,3,FALSE)</f>
        <v>KPB3</v>
      </c>
      <c r="D46" s="2" t="s">
        <v>240</v>
      </c>
      <c r="E46" s="15" t="str">
        <f>VLOOKUP($A46,[1]Sheet2!$I$2:$O$544,5,FALSE)</f>
        <v>2025-02-23</v>
      </c>
      <c r="F46" s="13" t="str">
        <f>VLOOKUP($A46,'[2]AHM-Q01-251105-2511051358'!$E$2:$H$376,4,FALSE)</f>
        <v>23/02/2025</v>
      </c>
      <c r="G46" s="15">
        <f t="shared" si="0"/>
        <v>-1</v>
      </c>
      <c r="H46" s="24">
        <f t="shared" si="1"/>
        <v>-1</v>
      </c>
      <c r="I46" s="13">
        <f t="shared" si="2"/>
        <v>0</v>
      </c>
      <c r="J46" s="17" t="s">
        <v>216</v>
      </c>
      <c r="K46" s="9" t="str">
        <f>VLOOKUP($A46,[1]Sheet2!$I$2:$O$544,6,FALSE)</f>
        <v>2025-10-20</v>
      </c>
      <c r="L46" s="17" t="s">
        <v>241</v>
      </c>
      <c r="M46" s="9">
        <f>VLOOKUP($A46,[1]Sheet2!$I$2:$O$544,4,FALSE)</f>
        <v>7628</v>
      </c>
      <c r="N46" s="10">
        <f t="shared" si="3"/>
        <v>0</v>
      </c>
      <c r="O46" s="10">
        <f t="shared" si="4"/>
        <v>0</v>
      </c>
    </row>
    <row r="47" spans="1:15" x14ac:dyDescent="0.2">
      <c r="A47" s="3" t="s">
        <v>242</v>
      </c>
      <c r="B47" s="17" t="s">
        <v>38</v>
      </c>
      <c r="C47" s="9" t="str">
        <f>VLOOKUP($A47,[1]Sheet2!$I$2:$O$544,3,FALSE)</f>
        <v>KPB4</v>
      </c>
      <c r="D47" s="2" t="s">
        <v>243</v>
      </c>
      <c r="E47" s="15" t="str">
        <f>VLOOKUP($A47,[1]Sheet2!$I$2:$O$544,5,FALSE)</f>
        <v>2024-10-02</v>
      </c>
      <c r="F47" s="13" t="str">
        <f>VLOOKUP($A47,'[2]AHM-Q01-251105-2511051358'!$E$2:$H$376,4,FALSE)</f>
        <v>02/10/2024</v>
      </c>
      <c r="G47" s="15">
        <f t="shared" si="0"/>
        <v>-1</v>
      </c>
      <c r="H47" s="24">
        <f t="shared" si="1"/>
        <v>-1</v>
      </c>
      <c r="I47" s="13">
        <f t="shared" si="2"/>
        <v>0</v>
      </c>
      <c r="J47" s="17" t="s">
        <v>179</v>
      </c>
      <c r="K47" s="9" t="str">
        <f>VLOOKUP($A47,[1]Sheet2!$I$2:$O$544,6,FALSE)</f>
        <v>2025-10-04</v>
      </c>
      <c r="L47" s="17" t="s">
        <v>244</v>
      </c>
      <c r="M47" s="9">
        <f>VLOOKUP($A47,[1]Sheet2!$I$2:$O$544,4,FALSE)</f>
        <v>10975</v>
      </c>
      <c r="N47" s="10">
        <f t="shared" si="3"/>
        <v>0</v>
      </c>
      <c r="O47" s="10">
        <f t="shared" si="4"/>
        <v>0</v>
      </c>
    </row>
    <row r="48" spans="1:15" x14ac:dyDescent="0.2">
      <c r="A48" s="3" t="s">
        <v>245</v>
      </c>
      <c r="B48" s="17" t="s">
        <v>38</v>
      </c>
      <c r="C48" s="9" t="str">
        <f>VLOOKUP($A48,[1]Sheet2!$I$2:$O$544,3,FALSE)</f>
        <v>KPB4</v>
      </c>
      <c r="D48" s="2" t="s">
        <v>246</v>
      </c>
      <c r="E48" s="15" t="str">
        <f>VLOOKUP($A48,[1]Sheet2!$I$2:$O$544,5,FALSE)</f>
        <v>1970-01-01</v>
      </c>
      <c r="F48" s="13" t="str">
        <f>VLOOKUP($A48,'[2]AHM-Q01-251105-2511051358'!$E$2:$H$376,4,FALSE)</f>
        <v>07/10/2024</v>
      </c>
      <c r="G48" s="15">
        <f t="shared" si="0"/>
        <v>20000</v>
      </c>
      <c r="H48" s="24">
        <f t="shared" si="1"/>
        <v>-3</v>
      </c>
      <c r="I48" s="13">
        <f t="shared" si="2"/>
        <v>-20003</v>
      </c>
      <c r="J48" s="17" t="s">
        <v>104</v>
      </c>
      <c r="K48" s="9" t="str">
        <f>VLOOKUP($A48,[1]Sheet2!$I$2:$O$544,6,FALSE)</f>
        <v>2025-10-06</v>
      </c>
      <c r="L48" s="17" t="s">
        <v>247</v>
      </c>
      <c r="M48" s="9">
        <f>VLOOKUP($A48,[1]Sheet2!$I$2:$O$544,4,FALSE)</f>
        <v>9149</v>
      </c>
      <c r="N48" s="10">
        <f t="shared" si="3"/>
        <v>0</v>
      </c>
      <c r="O48" s="10">
        <f t="shared" si="4"/>
        <v>0</v>
      </c>
    </row>
    <row r="49" spans="1:15" x14ac:dyDescent="0.2">
      <c r="A49" s="3" t="s">
        <v>248</v>
      </c>
      <c r="B49" s="17" t="s">
        <v>38</v>
      </c>
      <c r="C49" s="9" t="str">
        <f>VLOOKUP($A49,[1]Sheet2!$I$2:$O$544,3,FALSE)</f>
        <v>KPB4</v>
      </c>
      <c r="D49" s="2" t="s">
        <v>249</v>
      </c>
      <c r="E49" s="15" t="str">
        <f>VLOOKUP($A49,[1]Sheet2!$I$2:$O$544,5,FALSE)</f>
        <v>2024-10-08</v>
      </c>
      <c r="F49" s="13" t="str">
        <f>VLOOKUP($A49,'[2]AHM-Q01-251105-2511051358'!$E$2:$H$376,4,FALSE)</f>
        <v>08/10/2024</v>
      </c>
      <c r="G49" s="15">
        <f t="shared" si="0"/>
        <v>0</v>
      </c>
      <c r="H49" s="24">
        <f t="shared" si="1"/>
        <v>0</v>
      </c>
      <c r="I49" s="13">
        <f t="shared" si="2"/>
        <v>0</v>
      </c>
      <c r="J49" s="17" t="s">
        <v>250</v>
      </c>
      <c r="K49" s="9" t="str">
        <f>VLOOKUP($A49,[1]Sheet2!$I$2:$O$544,6,FALSE)</f>
        <v>2025-10-08</v>
      </c>
      <c r="L49" s="17" t="s">
        <v>251</v>
      </c>
      <c r="M49" s="9">
        <f>VLOOKUP($A49,[1]Sheet2!$I$2:$O$544,4,FALSE)</f>
        <v>8457</v>
      </c>
      <c r="N49" s="10">
        <f t="shared" si="3"/>
        <v>0</v>
      </c>
      <c r="O49" s="10">
        <f t="shared" si="4"/>
        <v>0</v>
      </c>
    </row>
    <row r="50" spans="1:15" x14ac:dyDescent="0.2">
      <c r="A50" s="3" t="s">
        <v>252</v>
      </c>
      <c r="B50" s="17" t="s">
        <v>38</v>
      </c>
      <c r="C50" s="9" t="str">
        <f>VLOOKUP($A50,[1]Sheet2!$I$2:$O$544,3,FALSE)</f>
        <v>KPB4</v>
      </c>
      <c r="D50" s="2" t="s">
        <v>253</v>
      </c>
      <c r="E50" s="15" t="str">
        <f>VLOOKUP($A50,[1]Sheet2!$I$2:$O$544,5,FALSE)</f>
        <v>2024-10-14</v>
      </c>
      <c r="F50" s="13" t="str">
        <f>VLOOKUP($A50,'[2]AHM-Q01-251105-2511051358'!$E$2:$H$376,4,FALSE)</f>
        <v>14/10/2024</v>
      </c>
      <c r="G50" s="15">
        <f t="shared" si="0"/>
        <v>-2</v>
      </c>
      <c r="H50" s="24">
        <f t="shared" si="1"/>
        <v>-2</v>
      </c>
      <c r="I50" s="13">
        <f t="shared" si="2"/>
        <v>0</v>
      </c>
      <c r="J50" s="17" t="s">
        <v>121</v>
      </c>
      <c r="K50" s="9" t="str">
        <f>VLOOKUP($A50,[1]Sheet2!$I$2:$O$544,6,FALSE)</f>
        <v>2025-10-10</v>
      </c>
      <c r="L50" s="17" t="s">
        <v>254</v>
      </c>
      <c r="M50" s="9">
        <f>VLOOKUP($A50,[1]Sheet2!$I$2:$O$544,4,FALSE)</f>
        <v>10678</v>
      </c>
      <c r="N50" s="10">
        <f t="shared" si="3"/>
        <v>0</v>
      </c>
      <c r="O50" s="10">
        <f t="shared" si="4"/>
        <v>0</v>
      </c>
    </row>
    <row r="51" spans="1:15" x14ac:dyDescent="0.2">
      <c r="A51" s="3" t="s">
        <v>255</v>
      </c>
      <c r="B51" s="17" t="s">
        <v>38</v>
      </c>
      <c r="C51" s="9" t="str">
        <f>VLOOKUP($A51,[1]Sheet2!$I$2:$O$544,3,FALSE)</f>
        <v>KPB4</v>
      </c>
      <c r="D51" s="2" t="s">
        <v>256</v>
      </c>
      <c r="E51" s="15" t="str">
        <f>VLOOKUP($A51,[1]Sheet2!$I$2:$O$544,5,FALSE)</f>
        <v>2024-10-15</v>
      </c>
      <c r="F51" s="13" t="str">
        <f>VLOOKUP($A51,'[2]AHM-Q01-251105-2511051358'!$E$2:$H$376,4,FALSE)</f>
        <v>15/10/2024</v>
      </c>
      <c r="G51" s="15">
        <f t="shared" si="0"/>
        <v>-1</v>
      </c>
      <c r="H51" s="24">
        <f t="shared" si="1"/>
        <v>-1</v>
      </c>
      <c r="I51" s="13">
        <f t="shared" si="2"/>
        <v>0</v>
      </c>
      <c r="J51" s="17" t="s">
        <v>128</v>
      </c>
      <c r="K51" s="9" t="str">
        <f>VLOOKUP($A51,[1]Sheet2!$I$2:$O$544,6,FALSE)</f>
        <v>2025-10-11</v>
      </c>
      <c r="L51" s="17" t="s">
        <v>257</v>
      </c>
      <c r="M51" s="9">
        <f>VLOOKUP($A51,[1]Sheet2!$I$2:$O$544,4,FALSE)</f>
        <v>11290</v>
      </c>
      <c r="N51" s="10">
        <f t="shared" si="3"/>
        <v>0</v>
      </c>
      <c r="O51" s="10">
        <f t="shared" si="4"/>
        <v>0</v>
      </c>
    </row>
    <row r="52" spans="1:15" x14ac:dyDescent="0.2">
      <c r="A52" s="3" t="s">
        <v>258</v>
      </c>
      <c r="B52" s="17" t="s">
        <v>38</v>
      </c>
      <c r="C52" s="9" t="str">
        <f>VLOOKUP($A52,[1]Sheet2!$I$2:$O$544,3,FALSE)</f>
        <v>KPB4</v>
      </c>
      <c r="D52" s="2" t="s">
        <v>259</v>
      </c>
      <c r="E52" s="15" t="str">
        <f>VLOOKUP($A52,[1]Sheet2!$I$2:$O$544,5,FALSE)</f>
        <v>2024-10-17</v>
      </c>
      <c r="F52" s="13" t="str">
        <f>VLOOKUP($A52,'[2]AHM-Q01-251105-2511051358'!$E$2:$H$376,4,FALSE)</f>
        <v>17/10/2024</v>
      </c>
      <c r="G52" s="15">
        <f t="shared" si="0"/>
        <v>0</v>
      </c>
      <c r="H52" s="24">
        <f t="shared" si="1"/>
        <v>0</v>
      </c>
      <c r="I52" s="13">
        <f t="shared" si="2"/>
        <v>0</v>
      </c>
      <c r="J52" s="17" t="s">
        <v>141</v>
      </c>
      <c r="K52" s="9" t="str">
        <f>VLOOKUP($A52,[1]Sheet2!$I$2:$O$544,6,FALSE)</f>
        <v>2025-10-15</v>
      </c>
      <c r="L52" s="17" t="s">
        <v>260</v>
      </c>
      <c r="M52" s="9">
        <f>VLOOKUP($A52,[1]Sheet2!$I$2:$O$544,4,FALSE)</f>
        <v>11092</v>
      </c>
      <c r="N52" s="10">
        <f t="shared" si="3"/>
        <v>0</v>
      </c>
      <c r="O52" s="10">
        <f t="shared" si="4"/>
        <v>0</v>
      </c>
    </row>
    <row r="53" spans="1:15" x14ac:dyDescent="0.2">
      <c r="A53" s="3" t="s">
        <v>261</v>
      </c>
      <c r="B53" s="17" t="s">
        <v>15</v>
      </c>
      <c r="C53" s="9" t="str">
        <f>VLOOKUP($A53,[1]Sheet2!$I$2:$O$544,3,FALSE)</f>
        <v>KPB1</v>
      </c>
      <c r="D53" s="2" t="s">
        <v>262</v>
      </c>
      <c r="E53" s="15" t="str">
        <f>VLOOKUP($A53,[1]Sheet2!$I$2:$O$544,5,FALSE)</f>
        <v>2025-08-11</v>
      </c>
      <c r="F53" s="13" t="str">
        <f>VLOOKUP($A53,'[2]AHM-Q01-251105-2511051358'!$E$2:$H$376,4,FALSE)</f>
        <v>11/08/2025</v>
      </c>
      <c r="G53" s="15">
        <f t="shared" si="0"/>
        <v>-1</v>
      </c>
      <c r="H53" s="24">
        <f t="shared" si="1"/>
        <v>-1</v>
      </c>
      <c r="I53" s="13">
        <f t="shared" si="2"/>
        <v>0</v>
      </c>
      <c r="J53" s="17" t="s">
        <v>117</v>
      </c>
      <c r="K53" s="9" t="str">
        <f>VLOOKUP($A53,[1]Sheet2!$I$2:$O$544,6,FALSE)</f>
        <v>2025-10-09</v>
      </c>
      <c r="L53" s="17" t="s">
        <v>263</v>
      </c>
      <c r="M53" s="9">
        <f>VLOOKUP($A53,[1]Sheet2!$I$2:$O$544,4,FALSE)</f>
        <v>835</v>
      </c>
      <c r="N53" s="10">
        <f t="shared" si="3"/>
        <v>0</v>
      </c>
      <c r="O53" s="10">
        <f t="shared" si="4"/>
        <v>0</v>
      </c>
    </row>
    <row r="54" spans="1:15" x14ac:dyDescent="0.2">
      <c r="A54" s="3" t="s">
        <v>264</v>
      </c>
      <c r="B54" s="17" t="s">
        <v>15</v>
      </c>
      <c r="C54" s="9" t="str">
        <f>VLOOKUP($A54,[1]Sheet2!$I$2:$O$544,3,FALSE)</f>
        <v>KPB1</v>
      </c>
      <c r="D54" s="2" t="s">
        <v>171</v>
      </c>
      <c r="E54" s="15" t="str">
        <f>VLOOKUP($A54,[1]Sheet2!$I$2:$O$544,5,FALSE)</f>
        <v>2025-08-31</v>
      </c>
      <c r="F54" s="13" t="str">
        <f>VLOOKUP($A54,'[2]AHM-Q01-251105-2511051358'!$E$2:$H$376,4,FALSE)</f>
        <v>31/08/2025</v>
      </c>
      <c r="G54" s="15">
        <f t="shared" si="0"/>
        <v>0</v>
      </c>
      <c r="H54" s="24">
        <f t="shared" si="1"/>
        <v>0</v>
      </c>
      <c r="I54" s="13">
        <f t="shared" si="2"/>
        <v>0</v>
      </c>
      <c r="J54" s="17" t="s">
        <v>265</v>
      </c>
      <c r="K54" s="9" t="str">
        <f>VLOOKUP($A54,[1]Sheet2!$I$2:$O$544,6,FALSE)</f>
        <v>2025-10-23</v>
      </c>
      <c r="L54" s="17" t="s">
        <v>266</v>
      </c>
      <c r="M54" s="9">
        <f>VLOOKUP($A54,[1]Sheet2!$I$2:$O$544,4,FALSE)</f>
        <v>1081</v>
      </c>
      <c r="N54" s="10">
        <f t="shared" si="3"/>
        <v>0</v>
      </c>
      <c r="O54" s="10">
        <f t="shared" si="4"/>
        <v>0</v>
      </c>
    </row>
    <row r="55" spans="1:15" x14ac:dyDescent="0.2">
      <c r="A55" s="3" t="s">
        <v>267</v>
      </c>
      <c r="B55" s="17" t="s">
        <v>27</v>
      </c>
      <c r="C55" s="9" t="str">
        <f>VLOOKUP($A55,[1]Sheet2!$I$2:$O$544,3,FALSE)</f>
        <v>KPB2</v>
      </c>
      <c r="D55" s="2" t="s">
        <v>193</v>
      </c>
      <c r="E55" s="15" t="str">
        <f>VLOOKUP($A55,[1]Sheet2!$I$2:$O$544,5,FALSE)</f>
        <v>2025-06-10</v>
      </c>
      <c r="F55" s="13" t="str">
        <f>VLOOKUP($A55,'[2]AHM-Q01-251105-2511051358'!$E$2:$H$376,4,FALSE)</f>
        <v>10/06/2025</v>
      </c>
      <c r="G55" s="15">
        <f t="shared" si="0"/>
        <v>0</v>
      </c>
      <c r="H55" s="24">
        <f t="shared" si="1"/>
        <v>0</v>
      </c>
      <c r="I55" s="13">
        <f t="shared" si="2"/>
        <v>0</v>
      </c>
      <c r="J55" s="17" t="s">
        <v>117</v>
      </c>
      <c r="K55" s="9" t="str">
        <f>VLOOKUP($A55,[1]Sheet2!$I$2:$O$544,6,FALSE)</f>
        <v>2025-10-09</v>
      </c>
      <c r="L55" s="17" t="s">
        <v>268</v>
      </c>
      <c r="M55" s="9">
        <f>VLOOKUP($A55,[1]Sheet2!$I$2:$O$544,4,FALSE)</f>
        <v>2790</v>
      </c>
      <c r="N55" s="10">
        <f t="shared" si="3"/>
        <v>0</v>
      </c>
      <c r="O55" s="10">
        <f t="shared" si="4"/>
        <v>0</v>
      </c>
    </row>
    <row r="56" spans="1:15" x14ac:dyDescent="0.2">
      <c r="A56" s="3" t="s">
        <v>269</v>
      </c>
      <c r="B56" s="17" t="s">
        <v>27</v>
      </c>
      <c r="C56" s="9" t="str">
        <f>VLOOKUP($A56,[1]Sheet2!$I$2:$O$544,3,FALSE)</f>
        <v>KPB2</v>
      </c>
      <c r="D56" s="2" t="s">
        <v>270</v>
      </c>
      <c r="E56" s="15" t="str">
        <f>VLOOKUP($A56,[1]Sheet2!$I$2:$O$544,5,FALSE)</f>
        <v>2025-06-17</v>
      </c>
      <c r="F56" s="13" t="str">
        <f>VLOOKUP($A56,'[2]AHM-Q01-251105-2511051358'!$E$2:$H$376,4,FALSE)</f>
        <v>17/06/2025</v>
      </c>
      <c r="G56" s="15">
        <f t="shared" si="0"/>
        <v>-3</v>
      </c>
      <c r="H56" s="24">
        <f t="shared" si="1"/>
        <v>-3</v>
      </c>
      <c r="I56" s="13">
        <f t="shared" si="2"/>
        <v>0</v>
      </c>
      <c r="J56" s="17" t="s">
        <v>128</v>
      </c>
      <c r="K56" s="9" t="str">
        <f>VLOOKUP($A56,[1]Sheet2!$I$2:$O$544,6,FALSE)</f>
        <v>2025-10-11</v>
      </c>
      <c r="L56" s="17" t="s">
        <v>271</v>
      </c>
      <c r="M56" s="9">
        <f>VLOOKUP($A56,[1]Sheet2!$I$2:$O$544,4,FALSE)</f>
        <v>2894</v>
      </c>
      <c r="N56" s="10">
        <f t="shared" si="3"/>
        <v>0</v>
      </c>
      <c r="O56" s="10">
        <f t="shared" si="4"/>
        <v>0</v>
      </c>
    </row>
    <row r="57" spans="1:15" x14ac:dyDescent="0.2">
      <c r="A57" s="3" t="s">
        <v>272</v>
      </c>
      <c r="B57" s="17" t="s">
        <v>38</v>
      </c>
      <c r="C57" s="9" t="str">
        <f>VLOOKUP($A57,[1]Sheet2!$I$2:$O$544,3,FALSE)</f>
        <v>KPB4</v>
      </c>
      <c r="D57" s="2" t="s">
        <v>273</v>
      </c>
      <c r="E57" s="15" t="str">
        <f>VLOOKUP($A57,[1]Sheet2!$I$2:$O$544,5,FALSE)</f>
        <v>2024-10-24</v>
      </c>
      <c r="F57" s="13" t="str">
        <f>VLOOKUP($A57,'[2]AHM-Q01-251105-2511051358'!$E$2:$H$376,4,FALSE)</f>
        <v>24/10/2024</v>
      </c>
      <c r="G57" s="15">
        <f t="shared" si="0"/>
        <v>0</v>
      </c>
      <c r="H57" s="24">
        <f t="shared" si="1"/>
        <v>0</v>
      </c>
      <c r="I57" s="13">
        <f t="shared" si="2"/>
        <v>0</v>
      </c>
      <c r="J57" s="17" t="s">
        <v>216</v>
      </c>
      <c r="K57" s="9" t="str">
        <f>VLOOKUP($A57,[1]Sheet2!$I$2:$O$544,6,FALSE)</f>
        <v>2025-10-20</v>
      </c>
      <c r="L57" s="17" t="s">
        <v>274</v>
      </c>
      <c r="M57" s="9">
        <f>VLOOKUP($A57,[1]Sheet2!$I$2:$O$544,4,FALSE)</f>
        <v>11291</v>
      </c>
      <c r="N57" s="10">
        <f t="shared" si="3"/>
        <v>0</v>
      </c>
      <c r="O57" s="10">
        <f t="shared" si="4"/>
        <v>0</v>
      </c>
    </row>
    <row r="58" spans="1:15" x14ac:dyDescent="0.2">
      <c r="A58" s="3" t="s">
        <v>275</v>
      </c>
      <c r="B58" s="17" t="s">
        <v>15</v>
      </c>
      <c r="C58" s="9" t="str">
        <f>VLOOKUP($A58,[1]Sheet2!$I$2:$O$544,3,FALSE)</f>
        <v>KPB1</v>
      </c>
      <c r="D58" s="2" t="s">
        <v>103</v>
      </c>
      <c r="E58" s="15" t="str">
        <f>VLOOKUP($A58,[1]Sheet2!$I$2:$O$544,5,FALSE)</f>
        <v>2025-08-06</v>
      </c>
      <c r="F58" s="13" t="str">
        <f>VLOOKUP($A58,'[2]AHM-Q01-251105-2511051358'!$E$2:$H$376,4,FALSE)</f>
        <v>06/08/2025</v>
      </c>
      <c r="G58" s="15">
        <f t="shared" si="0"/>
        <v>-2</v>
      </c>
      <c r="H58" s="24">
        <f t="shared" si="1"/>
        <v>-2</v>
      </c>
      <c r="I58" s="13">
        <f t="shared" si="2"/>
        <v>0</v>
      </c>
      <c r="J58" s="17" t="s">
        <v>104</v>
      </c>
      <c r="K58" s="9" t="str">
        <f>VLOOKUP($A58,[1]Sheet2!$I$2:$O$544,6,FALSE)</f>
        <v>2025-10-06</v>
      </c>
      <c r="L58" s="17" t="s">
        <v>276</v>
      </c>
      <c r="M58" s="9">
        <f>VLOOKUP($A58,[1]Sheet2!$I$2:$O$544,4,FALSE)</f>
        <v>521</v>
      </c>
      <c r="N58" s="10">
        <f t="shared" si="3"/>
        <v>0</v>
      </c>
      <c r="O58" s="10">
        <f t="shared" si="4"/>
        <v>0</v>
      </c>
    </row>
    <row r="59" spans="1:15" x14ac:dyDescent="0.2">
      <c r="A59" s="3" t="s">
        <v>277</v>
      </c>
      <c r="B59" s="17" t="s">
        <v>15</v>
      </c>
      <c r="C59" s="9" t="str">
        <f>VLOOKUP($A59,[1]Sheet2!$I$2:$O$544,3,FALSE)</f>
        <v>KPB1</v>
      </c>
      <c r="D59" s="2" t="s">
        <v>262</v>
      </c>
      <c r="E59" s="15" t="str">
        <f>VLOOKUP($A59,[1]Sheet2!$I$2:$O$544,5,FALSE)</f>
        <v>2025-08-11</v>
      </c>
      <c r="F59" s="13" t="str">
        <f>VLOOKUP($A59,'[2]AHM-Q01-251105-2511051358'!$E$2:$H$376,4,FALSE)</f>
        <v>11/08/2025</v>
      </c>
      <c r="G59" s="15">
        <f t="shared" si="0"/>
        <v>-1</v>
      </c>
      <c r="H59" s="24">
        <f t="shared" si="1"/>
        <v>-1</v>
      </c>
      <c r="I59" s="13">
        <f t="shared" si="2"/>
        <v>0</v>
      </c>
      <c r="J59" s="17" t="s">
        <v>117</v>
      </c>
      <c r="K59" s="9" t="str">
        <f>VLOOKUP($A59,[1]Sheet2!$I$2:$O$544,6,FALSE)</f>
        <v>2025-10-09</v>
      </c>
      <c r="L59" s="17" t="s">
        <v>278</v>
      </c>
      <c r="M59" s="9">
        <f>VLOOKUP($A59,[1]Sheet2!$I$2:$O$544,4,FALSE)</f>
        <v>342</v>
      </c>
      <c r="N59" s="10">
        <f t="shared" si="3"/>
        <v>0</v>
      </c>
      <c r="O59" s="10">
        <f t="shared" si="4"/>
        <v>0</v>
      </c>
    </row>
    <row r="60" spans="1:15" x14ac:dyDescent="0.2">
      <c r="A60" s="3" t="s">
        <v>279</v>
      </c>
      <c r="B60" s="17" t="s">
        <v>15</v>
      </c>
      <c r="C60" s="9" t="str">
        <f>VLOOKUP($A60,[1]Sheet2!$I$2:$O$544,3,FALSE)</f>
        <v>KPB1</v>
      </c>
      <c r="D60" s="2" t="s">
        <v>280</v>
      </c>
      <c r="E60" s="15" t="str">
        <f>VLOOKUP($A60,[1]Sheet2!$I$2:$O$544,5,FALSE)</f>
        <v>2025-08-13</v>
      </c>
      <c r="F60" s="13" t="str">
        <f>VLOOKUP($A60,'[2]AHM-Q01-251105-2511051358'!$E$2:$H$376,4,FALSE)</f>
        <v>13/08/2025</v>
      </c>
      <c r="G60" s="15">
        <f t="shared" si="0"/>
        <v>0</v>
      </c>
      <c r="H60" s="24">
        <f t="shared" si="1"/>
        <v>0</v>
      </c>
      <c r="I60" s="13">
        <f t="shared" si="2"/>
        <v>0</v>
      </c>
      <c r="J60" s="17" t="s">
        <v>147</v>
      </c>
      <c r="K60" s="9" t="str">
        <f>VLOOKUP($A60,[1]Sheet2!$I$2:$O$544,6,FALSE)</f>
        <v>2025-10-17</v>
      </c>
      <c r="L60" s="17" t="s">
        <v>281</v>
      </c>
      <c r="M60" s="9">
        <f>VLOOKUP($A60,[1]Sheet2!$I$2:$O$544,4,FALSE)</f>
        <v>735</v>
      </c>
      <c r="N60" s="10">
        <f t="shared" si="3"/>
        <v>0</v>
      </c>
      <c r="O60" s="10">
        <f t="shared" si="4"/>
        <v>0</v>
      </c>
    </row>
    <row r="61" spans="1:15" x14ac:dyDescent="0.2">
      <c r="A61" s="3" t="s">
        <v>282</v>
      </c>
      <c r="B61" s="17" t="s">
        <v>15</v>
      </c>
      <c r="C61" s="9" t="str">
        <f>VLOOKUP($A61,[1]Sheet2!$I$2:$O$544,3,FALSE)</f>
        <v>KPB1</v>
      </c>
      <c r="D61" s="2" t="s">
        <v>146</v>
      </c>
      <c r="E61" s="15" t="str">
        <f>VLOOKUP($A61,[1]Sheet2!$I$2:$O$544,5,FALSE)</f>
        <v>2025-08-20</v>
      </c>
      <c r="F61" s="13" t="str">
        <f>VLOOKUP($A61,'[2]AHM-Q01-251105-2511051358'!$E$2:$H$376,4,FALSE)</f>
        <v>20/08/2025</v>
      </c>
      <c r="G61" s="15">
        <f t="shared" si="0"/>
        <v>0</v>
      </c>
      <c r="H61" s="24">
        <f t="shared" si="1"/>
        <v>0</v>
      </c>
      <c r="I61" s="13">
        <f t="shared" si="2"/>
        <v>0</v>
      </c>
      <c r="J61" s="17" t="s">
        <v>154</v>
      </c>
      <c r="K61" s="9" t="str">
        <f>VLOOKUP($A61,[1]Sheet2!$I$2:$O$544,6,FALSE)</f>
        <v>2025-10-18</v>
      </c>
      <c r="L61" s="17" t="s">
        <v>283</v>
      </c>
      <c r="M61" s="9">
        <f>VLOOKUP($A61,[1]Sheet2!$I$2:$O$544,4,FALSE)</f>
        <v>295</v>
      </c>
      <c r="N61" s="10">
        <f t="shared" si="3"/>
        <v>0</v>
      </c>
      <c r="O61" s="10">
        <f t="shared" si="4"/>
        <v>0</v>
      </c>
    </row>
    <row r="62" spans="1:15" x14ac:dyDescent="0.2">
      <c r="A62" s="3" t="s">
        <v>284</v>
      </c>
      <c r="B62" s="17" t="s">
        <v>15</v>
      </c>
      <c r="C62" s="9" t="str">
        <f>VLOOKUP($A62,[1]Sheet2!$I$2:$O$544,3,FALSE)</f>
        <v>KPB1</v>
      </c>
      <c r="D62" s="2" t="s">
        <v>285</v>
      </c>
      <c r="E62" s="15" t="str">
        <f>VLOOKUP($A62,[1]Sheet2!$I$2:$O$544,5,FALSE)</f>
        <v>2025-08-28</v>
      </c>
      <c r="F62" s="13" t="str">
        <f>VLOOKUP($A62,'[2]AHM-Q01-251105-2511051358'!$E$2:$H$376,4,FALSE)</f>
        <v>28/08/2025</v>
      </c>
      <c r="G62" s="15">
        <f t="shared" si="0"/>
        <v>0</v>
      </c>
      <c r="H62" s="24">
        <f t="shared" si="1"/>
        <v>0</v>
      </c>
      <c r="I62" s="13">
        <f t="shared" si="2"/>
        <v>0</v>
      </c>
      <c r="J62" s="17" t="s">
        <v>168</v>
      </c>
      <c r="K62" s="9" t="str">
        <f>VLOOKUP($A62,[1]Sheet2!$I$2:$O$544,6,FALSE)</f>
        <v>2025-10-22</v>
      </c>
      <c r="L62" s="17" t="s">
        <v>286</v>
      </c>
      <c r="M62" s="9">
        <f>VLOOKUP($A62,[1]Sheet2!$I$2:$O$544,4,FALSE)</f>
        <v>218</v>
      </c>
      <c r="N62" s="10">
        <f t="shared" si="3"/>
        <v>0</v>
      </c>
      <c r="O62" s="10">
        <f t="shared" si="4"/>
        <v>0</v>
      </c>
    </row>
    <row r="63" spans="1:15" x14ac:dyDescent="0.2">
      <c r="A63" s="3" t="s">
        <v>691</v>
      </c>
      <c r="B63" s="17" t="s">
        <v>15</v>
      </c>
      <c r="C63" s="9" t="str">
        <f>VLOOKUP($A63,[1]Sheet2!$I$2:$O$544,3,FALSE)</f>
        <v>KPB1</v>
      </c>
      <c r="D63" s="2" t="s">
        <v>167</v>
      </c>
      <c r="E63" s="15" t="str">
        <f>VLOOKUP($A63,[1]Sheet2!$I$2:$O$544,5,FALSE)</f>
        <v>2025-08-31</v>
      </c>
      <c r="F63" s="13" t="str">
        <f>VLOOKUP($A63,'[2]AHM-Q01-251105-2511051358'!$E$2:$H$376,4,FALSE)</f>
        <v>31/08/2025</v>
      </c>
      <c r="G63" s="15">
        <f t="shared" si="0"/>
        <v>-1</v>
      </c>
      <c r="H63" s="24">
        <f t="shared" si="1"/>
        <v>-1</v>
      </c>
      <c r="I63" s="13">
        <f t="shared" si="2"/>
        <v>0</v>
      </c>
      <c r="J63" s="17" t="s">
        <v>168</v>
      </c>
      <c r="K63" s="9" t="str">
        <f>VLOOKUP($A63,[1]Sheet2!$I$2:$O$544,6,FALSE)</f>
        <v>2025-10-22</v>
      </c>
      <c r="L63" s="17" t="s">
        <v>692</v>
      </c>
      <c r="M63" s="9">
        <f>VLOOKUP($A63,[1]Sheet2!$I$2:$O$544,4,FALSE)</f>
        <v>544</v>
      </c>
      <c r="N63" s="10">
        <f t="shared" si="3"/>
        <v>0</v>
      </c>
      <c r="O63" s="10">
        <f t="shared" si="4"/>
        <v>0</v>
      </c>
    </row>
    <row r="64" spans="1:15" x14ac:dyDescent="0.2">
      <c r="A64" s="3" t="s">
        <v>115</v>
      </c>
      <c r="B64" s="17" t="s">
        <v>15</v>
      </c>
      <c r="C64" s="9" t="str">
        <f>VLOOKUP($A64,[1]Sheet2!$I$2:$O$544,3,FALSE)</f>
        <v>KPB1</v>
      </c>
      <c r="D64" s="2" t="s">
        <v>116</v>
      </c>
      <c r="E64" s="15" t="str">
        <f>VLOOKUP($A64,[1]Sheet2!$I$2:$O$544,5,FALSE)</f>
        <v>2025-08-09</v>
      </c>
      <c r="F64" s="13" t="str">
        <f>VLOOKUP($A64,'[2]AHM-Q01-251105-2511051358'!$E$2:$H$376,4,FALSE)</f>
        <v>09/08/2025</v>
      </c>
      <c r="G64" s="15">
        <f t="shared" si="0"/>
        <v>0</v>
      </c>
      <c r="H64" s="24">
        <f t="shared" si="1"/>
        <v>0</v>
      </c>
      <c r="I64" s="13">
        <f t="shared" si="2"/>
        <v>0</v>
      </c>
      <c r="J64" s="17" t="s">
        <v>117</v>
      </c>
      <c r="K64" s="9" t="str">
        <f>VLOOKUP($A64,[1]Sheet2!$I$2:$O$544,6,FALSE)</f>
        <v>2025-10-09</v>
      </c>
      <c r="L64" s="17" t="s">
        <v>118</v>
      </c>
      <c r="M64" s="9">
        <f>VLOOKUP($A64,[1]Sheet2!$I$2:$O$544,4,FALSE)</f>
        <v>399</v>
      </c>
      <c r="N64" s="10">
        <f t="shared" si="3"/>
        <v>0</v>
      </c>
      <c r="O64" s="10">
        <f t="shared" si="4"/>
        <v>0</v>
      </c>
    </row>
    <row r="65" spans="1:15" x14ac:dyDescent="0.2">
      <c r="A65" s="3" t="s">
        <v>292</v>
      </c>
      <c r="B65" s="17" t="s">
        <v>15</v>
      </c>
      <c r="C65" s="9" t="str">
        <f>VLOOKUP($A65,[1]Sheet2!$I$2:$O$544,3,FALSE)</f>
        <v>KPB1</v>
      </c>
      <c r="D65" s="2" t="s">
        <v>112</v>
      </c>
      <c r="E65" s="15" t="str">
        <f>VLOOKUP($A65,[1]Sheet2!$I$2:$O$544,5,FALSE)</f>
        <v>2025-08-08</v>
      </c>
      <c r="F65" s="13" t="str">
        <f>VLOOKUP($A65,'[2]AHM-Q01-251105-2511051358'!$E$2:$H$376,4,FALSE)</f>
        <v>08/08/2025</v>
      </c>
      <c r="G65" s="15">
        <f t="shared" si="0"/>
        <v>-1</v>
      </c>
      <c r="H65" s="24">
        <f t="shared" si="1"/>
        <v>-1</v>
      </c>
      <c r="I65" s="13">
        <f t="shared" si="2"/>
        <v>0</v>
      </c>
      <c r="J65" s="17" t="s">
        <v>113</v>
      </c>
      <c r="K65" s="9" t="str">
        <f>VLOOKUP($A65,[1]Sheet2!$I$2:$O$544,6,FALSE)</f>
        <v>2025-10-07</v>
      </c>
      <c r="L65" s="17" t="s">
        <v>293</v>
      </c>
      <c r="M65" s="9">
        <f>VLOOKUP($A65,[1]Sheet2!$I$2:$O$544,4,FALSE)</f>
        <v>566</v>
      </c>
      <c r="N65" s="10">
        <f t="shared" si="3"/>
        <v>0</v>
      </c>
      <c r="O65" s="10">
        <f t="shared" si="4"/>
        <v>0</v>
      </c>
    </row>
    <row r="66" spans="1:15" x14ac:dyDescent="0.2">
      <c r="A66" s="3" t="s">
        <v>294</v>
      </c>
      <c r="B66" s="17" t="s">
        <v>15</v>
      </c>
      <c r="C66" s="9" t="str">
        <f>VLOOKUP($A66,[1]Sheet2!$I$2:$O$544,3,FALSE)</f>
        <v>KPB1</v>
      </c>
      <c r="D66" s="2" t="s">
        <v>295</v>
      </c>
      <c r="E66" s="15" t="str">
        <f>VLOOKUP($A66,[1]Sheet2!$I$2:$O$544,5,FALSE)</f>
        <v>2025-08-08</v>
      </c>
      <c r="F66" s="13" t="str">
        <f>VLOOKUP($A66,'[2]AHM-Q01-251105-2511051358'!$E$2:$H$376,4,FALSE)</f>
        <v>08/08/2025</v>
      </c>
      <c r="G66" s="15">
        <f t="shared" ref="G66:G129" si="5">D66-E66</f>
        <v>0</v>
      </c>
      <c r="H66" s="24">
        <f t="shared" ref="H66:H129" si="6">D66-F66</f>
        <v>0</v>
      </c>
      <c r="I66" s="13">
        <f t="shared" ref="I66:I129" si="7">E66-F66</f>
        <v>0</v>
      </c>
      <c r="J66" s="17" t="s">
        <v>113</v>
      </c>
      <c r="K66" s="9" t="str">
        <f>VLOOKUP($A66,[1]Sheet2!$I$2:$O$544,6,FALSE)</f>
        <v>2025-10-07</v>
      </c>
      <c r="L66" s="17" t="s">
        <v>296</v>
      </c>
      <c r="M66" s="9">
        <f>VLOOKUP($A66,[1]Sheet2!$I$2:$O$544,4,FALSE)</f>
        <v>397</v>
      </c>
      <c r="N66" s="10">
        <f t="shared" ref="N66:N129" si="8">K66-J66</f>
        <v>0</v>
      </c>
      <c r="O66" s="10">
        <f t="shared" ref="O66:O129" si="9">M66-L66</f>
        <v>0</v>
      </c>
    </row>
    <row r="67" spans="1:15" x14ac:dyDescent="0.2">
      <c r="A67" s="3" t="s">
        <v>297</v>
      </c>
      <c r="B67" s="17" t="s">
        <v>15</v>
      </c>
      <c r="C67" s="9" t="str">
        <f>VLOOKUP($A67,[1]Sheet2!$I$2:$O$544,3,FALSE)</f>
        <v>KPB1</v>
      </c>
      <c r="D67" s="2" t="s">
        <v>295</v>
      </c>
      <c r="E67" s="15" t="str">
        <f>VLOOKUP($A67,[1]Sheet2!$I$2:$O$544,5,FALSE)</f>
        <v>2025-08-08</v>
      </c>
      <c r="F67" s="13" t="str">
        <f>VLOOKUP($A67,'[2]AHM-Q01-251105-2511051358'!$E$2:$H$376,4,FALSE)</f>
        <v>08/08/2025</v>
      </c>
      <c r="G67" s="15">
        <f t="shared" si="5"/>
        <v>0</v>
      </c>
      <c r="H67" s="24">
        <f t="shared" si="6"/>
        <v>0</v>
      </c>
      <c r="I67" s="13">
        <f t="shared" si="7"/>
        <v>0</v>
      </c>
      <c r="J67" s="17" t="s">
        <v>113</v>
      </c>
      <c r="K67" s="9" t="str">
        <f>VLOOKUP($A67,[1]Sheet2!$I$2:$O$544,6,FALSE)</f>
        <v>2025-10-07</v>
      </c>
      <c r="L67" s="17" t="s">
        <v>298</v>
      </c>
      <c r="M67" s="9">
        <f>VLOOKUP($A67,[1]Sheet2!$I$2:$O$544,4,FALSE)</f>
        <v>944</v>
      </c>
      <c r="N67" s="10">
        <f t="shared" si="8"/>
        <v>0</v>
      </c>
      <c r="O67" s="10">
        <f t="shared" si="9"/>
        <v>0</v>
      </c>
    </row>
    <row r="68" spans="1:15" x14ac:dyDescent="0.2">
      <c r="A68" s="3" t="s">
        <v>299</v>
      </c>
      <c r="B68" s="17" t="s">
        <v>15</v>
      </c>
      <c r="C68" s="9" t="str">
        <f>VLOOKUP($A68,[1]Sheet2!$I$2:$O$544,3,FALSE)</f>
        <v>KPB1</v>
      </c>
      <c r="D68" s="2" t="s">
        <v>295</v>
      </c>
      <c r="E68" s="15" t="str">
        <f>VLOOKUP($A68,[1]Sheet2!$I$2:$O$544,5,FALSE)</f>
        <v>2025-08-08</v>
      </c>
      <c r="F68" s="13" t="str">
        <f>VLOOKUP($A68,'[2]AHM-Q01-251105-2511051358'!$E$2:$H$376,4,FALSE)</f>
        <v>08/08/2025</v>
      </c>
      <c r="G68" s="15">
        <f t="shared" si="5"/>
        <v>0</v>
      </c>
      <c r="H68" s="24">
        <f t="shared" si="6"/>
        <v>0</v>
      </c>
      <c r="I68" s="13">
        <f t="shared" si="7"/>
        <v>0</v>
      </c>
      <c r="J68" s="17" t="s">
        <v>117</v>
      </c>
      <c r="K68" s="9" t="str">
        <f>VLOOKUP($A68,[1]Sheet2!$I$2:$O$544,6,FALSE)</f>
        <v>2025-10-09</v>
      </c>
      <c r="L68" s="17" t="s">
        <v>300</v>
      </c>
      <c r="M68" s="9">
        <f>VLOOKUP($A68,[1]Sheet2!$I$2:$O$544,4,FALSE)</f>
        <v>161</v>
      </c>
      <c r="N68" s="10">
        <f t="shared" si="8"/>
        <v>0</v>
      </c>
      <c r="O68" s="10">
        <f t="shared" si="9"/>
        <v>0</v>
      </c>
    </row>
    <row r="69" spans="1:15" x14ac:dyDescent="0.2">
      <c r="A69" s="3" t="s">
        <v>301</v>
      </c>
      <c r="B69" s="17" t="s">
        <v>15</v>
      </c>
      <c r="C69" s="9" t="str">
        <f>VLOOKUP($A69,[1]Sheet2!$I$2:$O$544,3,FALSE)</f>
        <v>KPB1</v>
      </c>
      <c r="D69" s="2" t="s">
        <v>280</v>
      </c>
      <c r="E69" s="15" t="str">
        <f>VLOOKUP($A69,[1]Sheet2!$I$2:$O$544,5,FALSE)</f>
        <v>2025-08-14</v>
      </c>
      <c r="F69" s="13" t="str">
        <f>VLOOKUP($A69,'[2]AHM-Q01-251105-2511051358'!$E$2:$H$376,4,FALSE)</f>
        <v>14/08/2025</v>
      </c>
      <c r="G69" s="15">
        <f t="shared" si="5"/>
        <v>-1</v>
      </c>
      <c r="H69" s="24">
        <f t="shared" si="6"/>
        <v>-1</v>
      </c>
      <c r="I69" s="13">
        <f t="shared" si="7"/>
        <v>0</v>
      </c>
      <c r="J69" s="17" t="s">
        <v>154</v>
      </c>
      <c r="K69" s="9" t="str">
        <f>VLOOKUP($A69,[1]Sheet2!$I$2:$O$544,6,FALSE)</f>
        <v>2025-10-18</v>
      </c>
      <c r="L69" s="17" t="s">
        <v>302</v>
      </c>
      <c r="M69" s="9">
        <f>VLOOKUP($A69,[1]Sheet2!$I$2:$O$544,4,FALSE)</f>
        <v>851</v>
      </c>
      <c r="N69" s="10">
        <f t="shared" si="8"/>
        <v>0</v>
      </c>
      <c r="O69" s="10">
        <f t="shared" si="9"/>
        <v>0</v>
      </c>
    </row>
    <row r="70" spans="1:15" x14ac:dyDescent="0.2">
      <c r="A70" s="3" t="s">
        <v>303</v>
      </c>
      <c r="B70" s="17" t="s">
        <v>15</v>
      </c>
      <c r="C70" s="9" t="str">
        <f>VLOOKUP($A70,[1]Sheet2!$I$2:$O$544,3,FALSE)</f>
        <v>KPB1</v>
      </c>
      <c r="D70" s="2" t="s">
        <v>304</v>
      </c>
      <c r="E70" s="15" t="str">
        <f>VLOOKUP($A70,[1]Sheet2!$I$2:$O$544,5,FALSE)</f>
        <v>2025-08-22</v>
      </c>
      <c r="F70" s="13" t="str">
        <f>VLOOKUP($A70,'[2]AHM-Q01-251105-2511051358'!$E$2:$H$376,4,FALSE)</f>
        <v>22/08/2025</v>
      </c>
      <c r="G70" s="15">
        <f t="shared" si="5"/>
        <v>-1</v>
      </c>
      <c r="H70" s="24">
        <f t="shared" si="6"/>
        <v>-1</v>
      </c>
      <c r="I70" s="13">
        <f t="shared" si="7"/>
        <v>0</v>
      </c>
      <c r="J70" s="17" t="s">
        <v>154</v>
      </c>
      <c r="K70" s="9" t="str">
        <f>VLOOKUP($A70,[1]Sheet2!$I$2:$O$544,6,FALSE)</f>
        <v>2025-10-18</v>
      </c>
      <c r="L70" s="17" t="s">
        <v>305</v>
      </c>
      <c r="M70" s="9">
        <f>VLOOKUP($A70,[1]Sheet2!$I$2:$O$544,4,FALSE)</f>
        <v>689</v>
      </c>
      <c r="N70" s="10">
        <f t="shared" si="8"/>
        <v>0</v>
      </c>
      <c r="O70" s="10">
        <f t="shared" si="9"/>
        <v>0</v>
      </c>
    </row>
    <row r="71" spans="1:15" x14ac:dyDescent="0.2">
      <c r="A71" s="3" t="s">
        <v>306</v>
      </c>
      <c r="B71" s="17" t="s">
        <v>15</v>
      </c>
      <c r="C71" s="9" t="str">
        <f>VLOOKUP($A71,[1]Sheet2!$I$2:$O$544,3,FALSE)</f>
        <v>KPB1</v>
      </c>
      <c r="D71" s="2" t="s">
        <v>304</v>
      </c>
      <c r="E71" s="15" t="str">
        <f>VLOOKUP($A71,[1]Sheet2!$I$2:$O$544,5,FALSE)</f>
        <v>2025-08-22</v>
      </c>
      <c r="F71" s="13" t="str">
        <f>VLOOKUP($A71,'[2]AHM-Q01-251105-2511051358'!$E$2:$H$376,4,FALSE)</f>
        <v>22/08/2025</v>
      </c>
      <c r="G71" s="15">
        <f t="shared" si="5"/>
        <v>-1</v>
      </c>
      <c r="H71" s="24">
        <f t="shared" si="6"/>
        <v>-1</v>
      </c>
      <c r="I71" s="13">
        <f t="shared" si="7"/>
        <v>0</v>
      </c>
      <c r="J71" s="17" t="s">
        <v>154</v>
      </c>
      <c r="K71" s="9" t="str">
        <f>VLOOKUP($A71,[1]Sheet2!$I$2:$O$544,6,FALSE)</f>
        <v>2025-10-18</v>
      </c>
      <c r="L71" s="17" t="s">
        <v>307</v>
      </c>
      <c r="M71" s="9">
        <f>VLOOKUP($A71,[1]Sheet2!$I$2:$O$544,4,FALSE)</f>
        <v>947</v>
      </c>
      <c r="N71" s="10">
        <f t="shared" si="8"/>
        <v>0</v>
      </c>
      <c r="O71" s="10">
        <f t="shared" si="9"/>
        <v>0</v>
      </c>
    </row>
    <row r="72" spans="1:15" x14ac:dyDescent="0.2">
      <c r="A72" s="3" t="s">
        <v>308</v>
      </c>
      <c r="B72" s="17" t="s">
        <v>15</v>
      </c>
      <c r="C72" s="9" t="str">
        <f>VLOOKUP($A72,[1]Sheet2!$I$2:$O$544,3,FALSE)</f>
        <v>KPB1</v>
      </c>
      <c r="D72" s="2" t="s">
        <v>309</v>
      </c>
      <c r="E72" s="15" t="str">
        <f>VLOOKUP($A72,[1]Sheet2!$I$2:$O$544,5,FALSE)</f>
        <v>2025-08-23</v>
      </c>
      <c r="F72" s="13" t="str">
        <f>VLOOKUP($A72,'[2]AHM-Q01-251105-2511051358'!$E$2:$H$376,4,FALSE)</f>
        <v>23/08/2025</v>
      </c>
      <c r="G72" s="15">
        <f t="shared" si="5"/>
        <v>0</v>
      </c>
      <c r="H72" s="24">
        <f t="shared" si="6"/>
        <v>0</v>
      </c>
      <c r="I72" s="13">
        <f t="shared" si="7"/>
        <v>0</v>
      </c>
      <c r="J72" s="17" t="s">
        <v>216</v>
      </c>
      <c r="K72" s="9" t="str">
        <f>VLOOKUP($A72,[1]Sheet2!$I$2:$O$544,6,FALSE)</f>
        <v>2025-10-20</v>
      </c>
      <c r="L72" s="17" t="s">
        <v>310</v>
      </c>
      <c r="M72" s="9">
        <f>VLOOKUP($A72,[1]Sheet2!$I$2:$O$544,4,FALSE)</f>
        <v>272</v>
      </c>
      <c r="N72" s="10">
        <f t="shared" si="8"/>
        <v>0</v>
      </c>
      <c r="O72" s="10">
        <f t="shared" si="9"/>
        <v>0</v>
      </c>
    </row>
    <row r="73" spans="1:15" x14ac:dyDescent="0.2">
      <c r="A73" s="3" t="s">
        <v>311</v>
      </c>
      <c r="B73" s="17" t="s">
        <v>15</v>
      </c>
      <c r="C73" s="9" t="str">
        <f>VLOOKUP($A73,[1]Sheet2!$I$2:$O$544,3,FALSE)</f>
        <v>KPB1</v>
      </c>
      <c r="D73" s="2" t="s">
        <v>163</v>
      </c>
      <c r="E73" s="15" t="str">
        <f>VLOOKUP($A73,[1]Sheet2!$I$2:$O$544,5,FALSE)</f>
        <v>2025-08-25</v>
      </c>
      <c r="F73" s="13" t="str">
        <f>VLOOKUP($A73,'[2]AHM-Q01-251105-2511051358'!$E$2:$H$376,4,FALSE)</f>
        <v>25/08/2025</v>
      </c>
      <c r="G73" s="15">
        <f t="shared" si="5"/>
        <v>0</v>
      </c>
      <c r="H73" s="24">
        <f t="shared" si="6"/>
        <v>0</v>
      </c>
      <c r="I73" s="13">
        <f t="shared" si="7"/>
        <v>0</v>
      </c>
      <c r="J73" s="17" t="s">
        <v>164</v>
      </c>
      <c r="K73" s="9" t="str">
        <f>VLOOKUP($A73,[1]Sheet2!$I$2:$O$544,6,FALSE)</f>
        <v>2025-10-21</v>
      </c>
      <c r="L73" s="17" t="s">
        <v>312</v>
      </c>
      <c r="M73" s="9">
        <f>VLOOKUP($A73,[1]Sheet2!$I$2:$O$544,4,FALSE)</f>
        <v>383</v>
      </c>
      <c r="N73" s="10">
        <f t="shared" si="8"/>
        <v>0</v>
      </c>
      <c r="O73" s="10">
        <f t="shared" si="9"/>
        <v>0</v>
      </c>
    </row>
    <row r="74" spans="1:15" x14ac:dyDescent="0.2">
      <c r="A74" s="3" t="s">
        <v>313</v>
      </c>
      <c r="B74" s="17" t="s">
        <v>15</v>
      </c>
      <c r="C74" s="9" t="str">
        <f>VLOOKUP($A74,[1]Sheet2!$I$2:$O$544,3,FALSE)</f>
        <v>KPB1</v>
      </c>
      <c r="D74" s="2" t="s">
        <v>171</v>
      </c>
      <c r="E74" s="15" t="str">
        <f>VLOOKUP($A74,[1]Sheet2!$I$2:$O$544,5,FALSE)</f>
        <v>2025-08-31</v>
      </c>
      <c r="F74" s="13" t="str">
        <f>VLOOKUP($A74,'[2]AHM-Q01-251105-2511051358'!$E$2:$H$376,4,FALSE)</f>
        <v>31/08/2025</v>
      </c>
      <c r="G74" s="15">
        <f t="shared" si="5"/>
        <v>0</v>
      </c>
      <c r="H74" s="24">
        <f t="shared" si="6"/>
        <v>0</v>
      </c>
      <c r="I74" s="13">
        <f t="shared" si="7"/>
        <v>0</v>
      </c>
      <c r="J74" s="17" t="s">
        <v>265</v>
      </c>
      <c r="K74" s="9" t="str">
        <f>VLOOKUP($A74,[1]Sheet2!$I$2:$O$544,6,FALSE)</f>
        <v>2025-10-23</v>
      </c>
      <c r="L74" s="17" t="s">
        <v>76</v>
      </c>
      <c r="M74" s="9">
        <f>VLOOKUP($A74,[1]Sheet2!$I$2:$O$544,4,FALSE)</f>
        <v>119</v>
      </c>
      <c r="N74" s="10">
        <f t="shared" si="8"/>
        <v>0</v>
      </c>
      <c r="O74" s="10">
        <f t="shared" si="9"/>
        <v>0</v>
      </c>
    </row>
    <row r="75" spans="1:15" x14ac:dyDescent="0.2">
      <c r="A75" s="3" t="s">
        <v>314</v>
      </c>
      <c r="B75" s="17" t="s">
        <v>27</v>
      </c>
      <c r="C75" s="9" t="str">
        <f>VLOOKUP($A75,[1]Sheet2!$I$2:$O$544,3,FALSE)</f>
        <v>KPB2</v>
      </c>
      <c r="D75" s="2" t="s">
        <v>193</v>
      </c>
      <c r="E75" s="15" t="str">
        <f>VLOOKUP($A75,[1]Sheet2!$I$2:$O$544,5,FALSE)</f>
        <v>1970-01-01</v>
      </c>
      <c r="F75" s="13" t="str">
        <f>VLOOKUP($A75,'[2]AHM-Q01-251105-2511051358'!$E$2:$H$376,4,FALSE)</f>
        <v>10/06/2025</v>
      </c>
      <c r="G75" s="15">
        <f t="shared" si="5"/>
        <v>20249</v>
      </c>
      <c r="H75" s="24">
        <f t="shared" si="6"/>
        <v>0</v>
      </c>
      <c r="I75" s="13">
        <f t="shared" si="7"/>
        <v>-20249</v>
      </c>
      <c r="J75" s="17" t="s">
        <v>117</v>
      </c>
      <c r="K75" s="9" t="str">
        <f>VLOOKUP($A75,[1]Sheet2!$I$2:$O$544,6,FALSE)</f>
        <v>2025-10-09</v>
      </c>
      <c r="L75" s="17" t="s">
        <v>315</v>
      </c>
      <c r="M75" s="9">
        <f>VLOOKUP($A75,[1]Sheet2!$I$2:$O$544,4,FALSE)</f>
        <v>3380</v>
      </c>
      <c r="N75" s="10">
        <f t="shared" si="8"/>
        <v>0</v>
      </c>
      <c r="O75" s="10">
        <f t="shared" si="9"/>
        <v>0</v>
      </c>
    </row>
    <row r="76" spans="1:15" x14ac:dyDescent="0.2">
      <c r="A76" s="3" t="s">
        <v>316</v>
      </c>
      <c r="B76" s="17" t="s">
        <v>27</v>
      </c>
      <c r="C76" s="9" t="str">
        <f>VLOOKUP($A76,[1]Sheet2!$I$2:$O$544,3,FALSE)</f>
        <v>KPB2</v>
      </c>
      <c r="D76" s="2" t="s">
        <v>317</v>
      </c>
      <c r="E76" s="15" t="str">
        <f>VLOOKUP($A76,[1]Sheet2!$I$2:$O$544,5,FALSE)</f>
        <v>2025-04-17</v>
      </c>
      <c r="F76" s="13" t="str">
        <f>VLOOKUP($A76,'[2]AHM-Q01-251105-2511051358'!$E$2:$H$376,4,FALSE)</f>
        <v>17/04/2025</v>
      </c>
      <c r="G76" s="15">
        <f t="shared" si="5"/>
        <v>0</v>
      </c>
      <c r="H76" s="24">
        <f t="shared" si="6"/>
        <v>0</v>
      </c>
      <c r="I76" s="13">
        <f t="shared" si="7"/>
        <v>0</v>
      </c>
      <c r="J76" s="17" t="s">
        <v>128</v>
      </c>
      <c r="K76" s="9" t="str">
        <f>VLOOKUP($A76,[1]Sheet2!$I$2:$O$544,6,FALSE)</f>
        <v>2025-10-11</v>
      </c>
      <c r="L76" s="17" t="s">
        <v>210</v>
      </c>
      <c r="M76" s="9">
        <f>VLOOKUP($A76,[1]Sheet2!$I$2:$O$544,4,FALSE)</f>
        <v>3696</v>
      </c>
      <c r="N76" s="10">
        <f t="shared" si="8"/>
        <v>0</v>
      </c>
      <c r="O76" s="10">
        <f t="shared" si="9"/>
        <v>0</v>
      </c>
    </row>
    <row r="77" spans="1:15" x14ac:dyDescent="0.2">
      <c r="A77" s="3" t="s">
        <v>319</v>
      </c>
      <c r="B77" s="17" t="s">
        <v>27</v>
      </c>
      <c r="C77" s="9" t="str">
        <f>VLOOKUP($A77,[1]Sheet2!$I$2:$O$544,3,FALSE)</f>
        <v>KPB2</v>
      </c>
      <c r="D77" s="2" t="s">
        <v>201</v>
      </c>
      <c r="E77" s="15" t="str">
        <f>VLOOKUP($A77,[1]Sheet2!$I$2:$O$544,5,FALSE)</f>
        <v>2025-06-17</v>
      </c>
      <c r="F77" s="13" t="str">
        <f>VLOOKUP($A77,'[2]AHM-Q01-251105-2511051358'!$E$2:$H$376,4,FALSE)</f>
        <v>17/06/2025</v>
      </c>
      <c r="G77" s="15">
        <f t="shared" si="5"/>
        <v>0</v>
      </c>
      <c r="H77" s="24">
        <f t="shared" si="6"/>
        <v>0</v>
      </c>
      <c r="I77" s="13">
        <f t="shared" si="7"/>
        <v>0</v>
      </c>
      <c r="J77" s="17" t="s">
        <v>141</v>
      </c>
      <c r="K77" s="9" t="str">
        <f>VLOOKUP($A77,[1]Sheet2!$I$2:$O$544,6,FALSE)</f>
        <v>2025-10-15</v>
      </c>
      <c r="L77" s="17" t="s">
        <v>320</v>
      </c>
      <c r="M77" s="9">
        <f>VLOOKUP($A77,[1]Sheet2!$I$2:$O$544,4,FALSE)</f>
        <v>1602</v>
      </c>
      <c r="N77" s="10">
        <f t="shared" si="8"/>
        <v>0</v>
      </c>
      <c r="O77" s="10">
        <f t="shared" si="9"/>
        <v>0</v>
      </c>
    </row>
    <row r="78" spans="1:15" x14ac:dyDescent="0.2">
      <c r="A78" s="3" t="s">
        <v>321</v>
      </c>
      <c r="B78" s="17" t="s">
        <v>27</v>
      </c>
      <c r="C78" s="9" t="str">
        <f>VLOOKUP($A78,[1]Sheet2!$I$2:$O$544,3,FALSE)</f>
        <v>KPB2</v>
      </c>
      <c r="D78" s="2" t="s">
        <v>322</v>
      </c>
      <c r="E78" s="15" t="str">
        <f>VLOOKUP($A78,[1]Sheet2!$I$2:$O$544,5,FALSE)</f>
        <v>2025-06-30</v>
      </c>
      <c r="F78" s="13" t="str">
        <f>VLOOKUP($A78,'[2]AHM-Q01-251105-2511051358'!$E$2:$H$376,4,FALSE)</f>
        <v>30/06/2025</v>
      </c>
      <c r="G78" s="15">
        <f t="shared" si="5"/>
        <v>0</v>
      </c>
      <c r="H78" s="24">
        <f t="shared" si="6"/>
        <v>0</v>
      </c>
      <c r="I78" s="13">
        <f t="shared" si="7"/>
        <v>0</v>
      </c>
      <c r="J78" s="17" t="s">
        <v>168</v>
      </c>
      <c r="K78" s="9" t="str">
        <f>VLOOKUP($A78,[1]Sheet2!$I$2:$O$544,6,FALSE)</f>
        <v>2025-10-22</v>
      </c>
      <c r="L78" s="17" t="s">
        <v>323</v>
      </c>
      <c r="M78" s="9">
        <f>VLOOKUP($A78,[1]Sheet2!$I$2:$O$544,4,FALSE)</f>
        <v>1191</v>
      </c>
      <c r="N78" s="10">
        <f t="shared" si="8"/>
        <v>0</v>
      </c>
      <c r="O78" s="10">
        <f t="shared" si="9"/>
        <v>0</v>
      </c>
    </row>
    <row r="79" spans="1:15" x14ac:dyDescent="0.2">
      <c r="A79" s="3" t="s">
        <v>324</v>
      </c>
      <c r="B79" s="17" t="s">
        <v>33</v>
      </c>
      <c r="C79" s="9" t="str">
        <f>VLOOKUP($A79,[1]Sheet2!$I$2:$O$544,3,FALSE)</f>
        <v>KPB3</v>
      </c>
      <c r="D79" s="2" t="s">
        <v>325</v>
      </c>
      <c r="E79" s="15" t="str">
        <f>VLOOKUP($A79,[1]Sheet2!$I$2:$O$544,5,FALSE)</f>
        <v>2024-10-10</v>
      </c>
      <c r="F79" s="13" t="str">
        <f>VLOOKUP($A79,'[2]AHM-Q01-251105-2511051358'!$E$2:$H$376,4,FALSE)</f>
        <v>10/10/2024</v>
      </c>
      <c r="G79" s="15">
        <f t="shared" si="5"/>
        <v>-1</v>
      </c>
      <c r="H79" s="24">
        <f t="shared" si="6"/>
        <v>-1</v>
      </c>
      <c r="I79" s="13">
        <f t="shared" si="7"/>
        <v>0</v>
      </c>
      <c r="J79" s="17" t="s">
        <v>117</v>
      </c>
      <c r="K79" s="9" t="str">
        <f>VLOOKUP($A79,[1]Sheet2!$I$2:$O$544,6,FALSE)</f>
        <v>2025-10-09</v>
      </c>
      <c r="L79" s="17" t="s">
        <v>326</v>
      </c>
      <c r="M79" s="9">
        <f>VLOOKUP($A79,[1]Sheet2!$I$2:$O$544,4,FALSE)</f>
        <v>9303</v>
      </c>
      <c r="N79" s="10">
        <f t="shared" si="8"/>
        <v>0</v>
      </c>
      <c r="O79" s="10">
        <f t="shared" si="9"/>
        <v>0</v>
      </c>
    </row>
    <row r="80" spans="1:15" x14ac:dyDescent="0.2">
      <c r="A80" s="3" t="s">
        <v>327</v>
      </c>
      <c r="B80" s="17" t="s">
        <v>33</v>
      </c>
      <c r="C80" s="9" t="str">
        <f>VLOOKUP($A80,[1]Sheet2!$I$2:$O$544,3,FALSE)</f>
        <v>KPB3</v>
      </c>
      <c r="D80" s="2" t="s">
        <v>328</v>
      </c>
      <c r="E80" s="15" t="str">
        <f>VLOOKUP($A80,[1]Sheet2!$I$2:$O$544,5,FALSE)</f>
        <v>2024-10-31</v>
      </c>
      <c r="F80" s="13" t="str">
        <f>VLOOKUP($A80,'[2]AHM-Q01-251105-2511051358'!$E$2:$H$376,4,FALSE)</f>
        <v>31/10/2024</v>
      </c>
      <c r="G80" s="15">
        <f t="shared" si="5"/>
        <v>-1</v>
      </c>
      <c r="H80" s="24">
        <f t="shared" si="6"/>
        <v>-1</v>
      </c>
      <c r="I80" s="13">
        <f t="shared" si="7"/>
        <v>0</v>
      </c>
      <c r="J80" s="17" t="s">
        <v>168</v>
      </c>
      <c r="K80" s="9" t="str">
        <f>VLOOKUP($A80,[1]Sheet2!$I$2:$O$544,6,FALSE)</f>
        <v>2025-10-22</v>
      </c>
      <c r="L80" s="17" t="s">
        <v>329</v>
      </c>
      <c r="M80" s="9">
        <f>VLOOKUP($A80,[1]Sheet2!$I$2:$O$544,4,FALSE)</f>
        <v>8981</v>
      </c>
      <c r="N80" s="10">
        <f t="shared" si="8"/>
        <v>0</v>
      </c>
      <c r="O80" s="10">
        <f t="shared" si="9"/>
        <v>0</v>
      </c>
    </row>
    <row r="81" spans="1:15" x14ac:dyDescent="0.2">
      <c r="A81" s="3" t="s">
        <v>330</v>
      </c>
      <c r="B81" s="17" t="s">
        <v>15</v>
      </c>
      <c r="C81" s="9" t="str">
        <f>VLOOKUP($A81,[1]Sheet2!$I$2:$O$544,3,FALSE)</f>
        <v>KPB1</v>
      </c>
      <c r="D81" s="2" t="s">
        <v>99</v>
      </c>
      <c r="E81" s="15" t="str">
        <f>VLOOKUP($A81,[1]Sheet2!$I$2:$O$544,5,FALSE)</f>
        <v>2025-08-01</v>
      </c>
      <c r="F81" s="13" t="str">
        <f>VLOOKUP($A81,'[2]AHM-Q01-251105-2511051358'!$E$2:$H$376,4,FALSE)</f>
        <v>01/08/2025</v>
      </c>
      <c r="G81" s="15">
        <f t="shared" si="5"/>
        <v>0</v>
      </c>
      <c r="H81" s="24">
        <f t="shared" si="6"/>
        <v>0</v>
      </c>
      <c r="I81" s="13">
        <f t="shared" si="7"/>
        <v>0</v>
      </c>
      <c r="J81" s="17" t="s">
        <v>100</v>
      </c>
      <c r="K81" s="9" t="str">
        <f>VLOOKUP($A81,[1]Sheet2!$I$2:$O$544,6,FALSE)</f>
        <v>2025-10-03</v>
      </c>
      <c r="L81" s="17" t="s">
        <v>331</v>
      </c>
      <c r="M81" s="9">
        <f>VLOOKUP($A81,[1]Sheet2!$I$2:$O$544,4,FALSE)</f>
        <v>724</v>
      </c>
      <c r="N81" s="10">
        <f t="shared" si="8"/>
        <v>0</v>
      </c>
      <c r="O81" s="10">
        <f t="shared" si="9"/>
        <v>0</v>
      </c>
    </row>
    <row r="82" spans="1:15" x14ac:dyDescent="0.2">
      <c r="A82" s="3" t="s">
        <v>332</v>
      </c>
      <c r="B82" s="17" t="s">
        <v>15</v>
      </c>
      <c r="C82" s="9" t="str">
        <f>VLOOKUP($A82,[1]Sheet2!$I$2:$O$544,3,FALSE)</f>
        <v>KPB1</v>
      </c>
      <c r="D82" s="2" t="s">
        <v>103</v>
      </c>
      <c r="E82" s="15" t="str">
        <f>VLOOKUP($A82,[1]Sheet2!$I$2:$O$544,5,FALSE)</f>
        <v>2025-08-05</v>
      </c>
      <c r="F82" s="13" t="str">
        <f>VLOOKUP($A82,'[2]AHM-Q01-251105-2511051358'!$E$2:$H$376,4,FALSE)</f>
        <v>05/08/2025</v>
      </c>
      <c r="G82" s="15">
        <f t="shared" si="5"/>
        <v>-1</v>
      </c>
      <c r="H82" s="24">
        <f t="shared" si="6"/>
        <v>-1</v>
      </c>
      <c r="I82" s="13">
        <f t="shared" si="7"/>
        <v>0</v>
      </c>
      <c r="J82" s="17" t="s">
        <v>131</v>
      </c>
      <c r="K82" s="9" t="str">
        <f>VLOOKUP($A82,[1]Sheet2!$I$2:$O$544,6,FALSE)</f>
        <v>2025-10-13</v>
      </c>
      <c r="L82" s="17" t="s">
        <v>333</v>
      </c>
      <c r="M82" s="9">
        <f>VLOOKUP($A82,[1]Sheet2!$I$2:$O$544,4,FALSE)</f>
        <v>850</v>
      </c>
      <c r="N82" s="10">
        <f t="shared" si="8"/>
        <v>0</v>
      </c>
      <c r="O82" s="10">
        <f t="shared" si="9"/>
        <v>0</v>
      </c>
    </row>
    <row r="83" spans="1:15" x14ac:dyDescent="0.2">
      <c r="A83" s="3" t="s">
        <v>334</v>
      </c>
      <c r="B83" s="17" t="s">
        <v>15</v>
      </c>
      <c r="C83" s="9" t="str">
        <f>VLOOKUP($A83,[1]Sheet2!$I$2:$O$544,3,FALSE)</f>
        <v>KPB1</v>
      </c>
      <c r="D83" s="2" t="s">
        <v>127</v>
      </c>
      <c r="E83" s="15" t="str">
        <f>VLOOKUP($A83,[1]Sheet2!$I$2:$O$544,5,FALSE)</f>
        <v>2025-08-14</v>
      </c>
      <c r="F83" s="13" t="str">
        <f>VLOOKUP($A83,'[2]AHM-Q01-251105-2511051358'!$E$2:$H$376,4,FALSE)</f>
        <v>14/08/2025</v>
      </c>
      <c r="G83" s="15">
        <f t="shared" si="5"/>
        <v>0</v>
      </c>
      <c r="H83" s="24">
        <f t="shared" si="6"/>
        <v>0</v>
      </c>
      <c r="I83" s="13">
        <f t="shared" si="7"/>
        <v>0</v>
      </c>
      <c r="J83" s="17" t="s">
        <v>131</v>
      </c>
      <c r="K83" s="9" t="str">
        <f>VLOOKUP($A83,[1]Sheet2!$I$2:$O$544,6,FALSE)</f>
        <v>2025-10-13</v>
      </c>
      <c r="L83" s="17" t="s">
        <v>335</v>
      </c>
      <c r="M83" s="9">
        <f>VLOOKUP($A83,[1]Sheet2!$I$2:$O$544,4,FALSE)</f>
        <v>809</v>
      </c>
      <c r="N83" s="10">
        <f t="shared" si="8"/>
        <v>0</v>
      </c>
      <c r="O83" s="10">
        <f t="shared" si="9"/>
        <v>0</v>
      </c>
    </row>
    <row r="84" spans="1:15" x14ac:dyDescent="0.2">
      <c r="A84" s="3" t="s">
        <v>336</v>
      </c>
      <c r="B84" s="17" t="s">
        <v>15</v>
      </c>
      <c r="C84" s="9" t="str">
        <f>VLOOKUP($A84,[1]Sheet2!$I$2:$O$544,3,FALSE)</f>
        <v>KPB1</v>
      </c>
      <c r="D84" s="2" t="s">
        <v>337</v>
      </c>
      <c r="E84" s="15" t="str">
        <f>VLOOKUP($A84,[1]Sheet2!$I$2:$O$544,5,FALSE)</f>
        <v>2025-08-16</v>
      </c>
      <c r="F84" s="13" t="str">
        <f>VLOOKUP($A84,'[2]AHM-Q01-251105-2511051358'!$E$2:$H$376,4,FALSE)</f>
        <v>16/08/2025</v>
      </c>
      <c r="G84" s="15">
        <f t="shared" si="5"/>
        <v>0</v>
      </c>
      <c r="H84" s="24">
        <f t="shared" si="6"/>
        <v>0</v>
      </c>
      <c r="I84" s="13">
        <f t="shared" si="7"/>
        <v>0</v>
      </c>
      <c r="J84" s="17" t="s">
        <v>141</v>
      </c>
      <c r="K84" s="9" t="str">
        <f>VLOOKUP($A84,[1]Sheet2!$I$2:$O$544,6,FALSE)</f>
        <v>2025-10-15</v>
      </c>
      <c r="L84" s="17" t="s">
        <v>338</v>
      </c>
      <c r="M84" s="9">
        <f>VLOOKUP($A84,[1]Sheet2!$I$2:$O$544,4,FALSE)</f>
        <v>943</v>
      </c>
      <c r="N84" s="10">
        <f t="shared" si="8"/>
        <v>0</v>
      </c>
      <c r="O84" s="10">
        <f t="shared" si="9"/>
        <v>0</v>
      </c>
    </row>
    <row r="85" spans="1:15" x14ac:dyDescent="0.2">
      <c r="A85" s="3" t="s">
        <v>340</v>
      </c>
      <c r="B85" s="17" t="s">
        <v>15</v>
      </c>
      <c r="C85" s="9" t="str">
        <f>VLOOKUP($A85,[1]Sheet2!$I$2:$O$544,3,FALSE)</f>
        <v>KPB1</v>
      </c>
      <c r="D85" s="2" t="s">
        <v>146</v>
      </c>
      <c r="E85" s="15" t="str">
        <f>VLOOKUP($A85,[1]Sheet2!$I$2:$O$544,5,FALSE)</f>
        <v>2025-08-20</v>
      </c>
      <c r="F85" s="13" t="str">
        <f>VLOOKUP($A85,'[2]AHM-Q01-251105-2511051358'!$E$2:$H$376,4,FALSE)</f>
        <v>20/08/2025</v>
      </c>
      <c r="G85" s="15">
        <f t="shared" si="5"/>
        <v>0</v>
      </c>
      <c r="H85" s="24">
        <f t="shared" si="6"/>
        <v>0</v>
      </c>
      <c r="I85" s="13">
        <f t="shared" si="7"/>
        <v>0</v>
      </c>
      <c r="J85" s="17" t="s">
        <v>147</v>
      </c>
      <c r="K85" s="9" t="str">
        <f>VLOOKUP($A85,[1]Sheet2!$I$2:$O$544,6,FALSE)</f>
        <v>2025-10-17</v>
      </c>
      <c r="L85" s="17" t="s">
        <v>341</v>
      </c>
      <c r="M85" s="9">
        <f>VLOOKUP($A85,[1]Sheet2!$I$2:$O$544,4,FALSE)</f>
        <v>1060</v>
      </c>
      <c r="N85" s="10">
        <f t="shared" si="8"/>
        <v>0</v>
      </c>
      <c r="O85" s="10">
        <f t="shared" si="9"/>
        <v>0</v>
      </c>
    </row>
    <row r="86" spans="1:15" x14ac:dyDescent="0.2">
      <c r="A86" s="3" t="s">
        <v>342</v>
      </c>
      <c r="B86" s="17" t="s">
        <v>15</v>
      </c>
      <c r="C86" s="9" t="str">
        <f>VLOOKUP($A86,[1]Sheet2!$I$2:$O$544,3,FALSE)</f>
        <v>KPB1</v>
      </c>
      <c r="D86" s="2" t="s">
        <v>285</v>
      </c>
      <c r="E86" s="15" t="str">
        <f>VLOOKUP($A86,[1]Sheet2!$I$2:$O$544,5,FALSE)</f>
        <v>2025-08-28</v>
      </c>
      <c r="F86" s="13" t="str">
        <f>VLOOKUP($A86,'[2]AHM-Q01-251105-2511051358'!$E$2:$H$376,4,FALSE)</f>
        <v>28/08/2025</v>
      </c>
      <c r="G86" s="15">
        <f t="shared" si="5"/>
        <v>0</v>
      </c>
      <c r="H86" s="24">
        <f t="shared" si="6"/>
        <v>0</v>
      </c>
      <c r="I86" s="13">
        <f t="shared" si="7"/>
        <v>0</v>
      </c>
      <c r="J86" s="17" t="s">
        <v>154</v>
      </c>
      <c r="K86" s="9" t="str">
        <f>VLOOKUP($A86,[1]Sheet2!$I$2:$O$544,6,FALSE)</f>
        <v>2025-10-18</v>
      </c>
      <c r="L86" s="17" t="s">
        <v>343</v>
      </c>
      <c r="M86" s="9">
        <f>VLOOKUP($A86,[1]Sheet2!$I$2:$O$544,4,FALSE)</f>
        <v>496</v>
      </c>
      <c r="N86" s="10">
        <f t="shared" si="8"/>
        <v>0</v>
      </c>
      <c r="O86" s="10">
        <f t="shared" si="9"/>
        <v>0</v>
      </c>
    </row>
    <row r="87" spans="1:15" x14ac:dyDescent="0.2">
      <c r="A87" s="3" t="s">
        <v>344</v>
      </c>
      <c r="B87" s="17" t="s">
        <v>15</v>
      </c>
      <c r="C87" s="9" t="str">
        <f>VLOOKUP($A87,[1]Sheet2!$I$2:$O$544,3,FALSE)</f>
        <v>KPB1</v>
      </c>
      <c r="D87" s="2" t="s">
        <v>167</v>
      </c>
      <c r="E87" s="15" t="str">
        <f>VLOOKUP($A87,[1]Sheet2!$I$2:$O$544,5,FALSE)</f>
        <v>2025-08-30</v>
      </c>
      <c r="F87" s="13" t="str">
        <f>VLOOKUP($A87,'[2]AHM-Q01-251105-2511051358'!$E$2:$H$376,4,FALSE)</f>
        <v>30/08/2025</v>
      </c>
      <c r="G87" s="15">
        <f t="shared" si="5"/>
        <v>0</v>
      </c>
      <c r="H87" s="24">
        <f t="shared" si="6"/>
        <v>0</v>
      </c>
      <c r="I87" s="13">
        <f t="shared" si="7"/>
        <v>0</v>
      </c>
      <c r="J87" s="17" t="s">
        <v>154</v>
      </c>
      <c r="K87" s="9" t="str">
        <f>VLOOKUP($A87,[1]Sheet2!$I$2:$O$544,6,FALSE)</f>
        <v>2025-10-18</v>
      </c>
      <c r="L87" s="17" t="s">
        <v>345</v>
      </c>
      <c r="M87" s="9">
        <f>VLOOKUP($A87,[1]Sheet2!$I$2:$O$544,4,FALSE)</f>
        <v>452</v>
      </c>
      <c r="N87" s="10">
        <f t="shared" si="8"/>
        <v>0</v>
      </c>
      <c r="O87" s="10">
        <f t="shared" si="9"/>
        <v>0</v>
      </c>
    </row>
    <row r="88" spans="1:15" x14ac:dyDescent="0.2">
      <c r="A88" s="3" t="s">
        <v>346</v>
      </c>
      <c r="B88" s="17" t="s">
        <v>15</v>
      </c>
      <c r="C88" s="9" t="str">
        <f>VLOOKUP($A88,[1]Sheet2!$I$2:$O$544,3,FALSE)</f>
        <v>KPB1</v>
      </c>
      <c r="D88" s="2" t="s">
        <v>163</v>
      </c>
      <c r="E88" s="15" t="str">
        <f>VLOOKUP($A88,[1]Sheet2!$I$2:$O$544,5,FALSE)</f>
        <v>2025-08-25</v>
      </c>
      <c r="F88" s="13" t="str">
        <f>VLOOKUP($A88,'[2]AHM-Q01-251105-2511051358'!$E$2:$H$376,4,FALSE)</f>
        <v>25/08/2025</v>
      </c>
      <c r="G88" s="15">
        <f t="shared" si="5"/>
        <v>0</v>
      </c>
      <c r="H88" s="24">
        <f t="shared" si="6"/>
        <v>0</v>
      </c>
      <c r="I88" s="13">
        <f t="shared" si="7"/>
        <v>0</v>
      </c>
      <c r="J88" s="17" t="s">
        <v>164</v>
      </c>
      <c r="K88" s="9" t="str">
        <f>VLOOKUP($A88,[1]Sheet2!$I$2:$O$544,6,FALSE)</f>
        <v>2025-10-21</v>
      </c>
      <c r="L88" s="17" t="s">
        <v>347</v>
      </c>
      <c r="M88" s="9">
        <f>VLOOKUP($A88,[1]Sheet2!$I$2:$O$544,4,FALSE)</f>
        <v>748</v>
      </c>
      <c r="N88" s="10">
        <f t="shared" si="8"/>
        <v>0</v>
      </c>
      <c r="O88" s="10">
        <f t="shared" si="9"/>
        <v>0</v>
      </c>
    </row>
    <row r="89" spans="1:15" x14ac:dyDescent="0.2">
      <c r="A89" s="3" t="s">
        <v>348</v>
      </c>
      <c r="B89" s="17" t="s">
        <v>15</v>
      </c>
      <c r="C89" s="9" t="str">
        <f>VLOOKUP($A89,[1]Sheet2!$I$2:$O$544,3,FALSE)</f>
        <v>KPB1</v>
      </c>
      <c r="D89" s="2" t="s">
        <v>285</v>
      </c>
      <c r="E89" s="15" t="str">
        <f>VLOOKUP($A89,[1]Sheet2!$I$2:$O$544,5,FALSE)</f>
        <v>2025-08-28</v>
      </c>
      <c r="F89" s="13" t="str">
        <f>VLOOKUP($A89,'[2]AHM-Q01-251105-2511051358'!$E$2:$H$376,4,FALSE)</f>
        <v>28/08/2025</v>
      </c>
      <c r="G89" s="15">
        <f t="shared" si="5"/>
        <v>0</v>
      </c>
      <c r="H89" s="24">
        <f t="shared" si="6"/>
        <v>0</v>
      </c>
      <c r="I89" s="13">
        <f t="shared" si="7"/>
        <v>0</v>
      </c>
      <c r="J89" s="17" t="s">
        <v>168</v>
      </c>
      <c r="K89" s="9" t="str">
        <f>VLOOKUP($A89,[1]Sheet2!$I$2:$O$544,6,FALSE)</f>
        <v>2025-10-22</v>
      </c>
      <c r="L89" s="17" t="s">
        <v>318</v>
      </c>
      <c r="M89" s="9">
        <f>VLOOKUP($A89,[1]Sheet2!$I$2:$O$544,4,FALSE)</f>
        <v>76</v>
      </c>
      <c r="N89" s="10">
        <f t="shared" si="8"/>
        <v>0</v>
      </c>
      <c r="O89" s="10">
        <f t="shared" si="9"/>
        <v>0</v>
      </c>
    </row>
    <row r="90" spans="1:15" x14ac:dyDescent="0.2">
      <c r="A90" s="3" t="s">
        <v>349</v>
      </c>
      <c r="B90" s="17" t="s">
        <v>15</v>
      </c>
      <c r="C90" s="9" t="str">
        <f>VLOOKUP($A90,[1]Sheet2!$I$2:$O$544,3,FALSE)</f>
        <v>KPB1</v>
      </c>
      <c r="D90" s="2" t="s">
        <v>160</v>
      </c>
      <c r="E90" s="15" t="str">
        <f>VLOOKUP($A90,[1]Sheet2!$I$2:$O$544,5,FALSE)</f>
        <v>2025-08-29</v>
      </c>
      <c r="F90" s="13" t="str">
        <f>VLOOKUP($A90,'[2]AHM-Q01-251105-2511051358'!$E$2:$H$376,4,FALSE)</f>
        <v>29/08/2025</v>
      </c>
      <c r="G90" s="15">
        <f t="shared" si="5"/>
        <v>0</v>
      </c>
      <c r="H90" s="24">
        <f t="shared" si="6"/>
        <v>0</v>
      </c>
      <c r="I90" s="13">
        <f t="shared" si="7"/>
        <v>0</v>
      </c>
      <c r="J90" s="17" t="s">
        <v>350</v>
      </c>
      <c r="K90" s="9" t="str">
        <f>VLOOKUP($A90,[1]Sheet2!$I$2:$O$544,6,FALSE)</f>
        <v>2025-10-28</v>
      </c>
      <c r="L90" s="17" t="s">
        <v>351</v>
      </c>
      <c r="M90" s="9">
        <f>VLOOKUP($A90,[1]Sheet2!$I$2:$O$544,4,FALSE)</f>
        <v>100</v>
      </c>
      <c r="N90" s="10">
        <f t="shared" si="8"/>
        <v>0</v>
      </c>
      <c r="O90" s="10">
        <f t="shared" si="9"/>
        <v>0</v>
      </c>
    </row>
    <row r="91" spans="1:15" x14ac:dyDescent="0.2">
      <c r="A91" s="3" t="s">
        <v>352</v>
      </c>
      <c r="B91" s="17" t="s">
        <v>27</v>
      </c>
      <c r="C91" s="9" t="str">
        <f>VLOOKUP($A91,[1]Sheet2!$I$2:$O$544,3,FALSE)</f>
        <v>KPB2</v>
      </c>
      <c r="D91" s="2" t="s">
        <v>353</v>
      </c>
      <c r="E91" s="15" t="str">
        <f>VLOOKUP($A91,[1]Sheet2!$I$2:$O$544,5,FALSE)</f>
        <v>2025-06-08</v>
      </c>
      <c r="F91" s="13" t="str">
        <f>VLOOKUP($A91,'[2]AHM-Q01-251105-2511051358'!$E$2:$H$376,4,FALSE)</f>
        <v>08/06/2025</v>
      </c>
      <c r="G91" s="15">
        <f t="shared" si="5"/>
        <v>0</v>
      </c>
      <c r="H91" s="24">
        <f t="shared" si="6"/>
        <v>0</v>
      </c>
      <c r="I91" s="13">
        <f t="shared" si="7"/>
        <v>0</v>
      </c>
      <c r="J91" s="17" t="s">
        <v>113</v>
      </c>
      <c r="K91" s="9" t="str">
        <f>VLOOKUP($A91,[1]Sheet2!$I$2:$O$544,6,FALSE)</f>
        <v>2025-10-07</v>
      </c>
      <c r="L91" s="17" t="s">
        <v>354</v>
      </c>
      <c r="M91" s="9">
        <f>VLOOKUP($A91,[1]Sheet2!$I$2:$O$544,4,FALSE)</f>
        <v>3623</v>
      </c>
      <c r="N91" s="10">
        <f t="shared" si="8"/>
        <v>0</v>
      </c>
      <c r="O91" s="10">
        <f t="shared" si="9"/>
        <v>0</v>
      </c>
    </row>
    <row r="92" spans="1:15" x14ac:dyDescent="0.2">
      <c r="A92" s="3" t="s">
        <v>355</v>
      </c>
      <c r="B92" s="17" t="s">
        <v>27</v>
      </c>
      <c r="C92" s="9" t="str">
        <f>VLOOKUP($A92,[1]Sheet2!$I$2:$O$544,3,FALSE)</f>
        <v>KPB2</v>
      </c>
      <c r="D92" s="2" t="s">
        <v>188</v>
      </c>
      <c r="E92" s="15" t="str">
        <f>VLOOKUP($A92,[1]Sheet2!$I$2:$O$544,5,FALSE)</f>
        <v>1970-01-01</v>
      </c>
      <c r="F92" s="13" t="str">
        <f>VLOOKUP($A92,'[2]AHM-Q01-251105-2511051358'!$E$2:$H$376,4,FALSE)</f>
        <v>10/06/2025</v>
      </c>
      <c r="G92" s="15">
        <f t="shared" si="5"/>
        <v>20248</v>
      </c>
      <c r="H92" s="24">
        <f t="shared" si="6"/>
        <v>-1</v>
      </c>
      <c r="I92" s="13">
        <f t="shared" si="7"/>
        <v>-20249</v>
      </c>
      <c r="J92" s="17" t="s">
        <v>117</v>
      </c>
      <c r="K92" s="9" t="str">
        <f>VLOOKUP($A92,[1]Sheet2!$I$2:$O$544,6,FALSE)</f>
        <v>2025-10-09</v>
      </c>
      <c r="L92" s="17" t="s">
        <v>356</v>
      </c>
      <c r="M92" s="9">
        <f>VLOOKUP($A92,[1]Sheet2!$I$2:$O$544,4,FALSE)</f>
        <v>1748</v>
      </c>
      <c r="N92" s="10">
        <f t="shared" si="8"/>
        <v>0</v>
      </c>
      <c r="O92" s="10">
        <f t="shared" si="9"/>
        <v>0</v>
      </c>
    </row>
    <row r="93" spans="1:15" x14ac:dyDescent="0.2">
      <c r="A93" s="3" t="s">
        <v>357</v>
      </c>
      <c r="B93" s="17" t="s">
        <v>27</v>
      </c>
      <c r="C93" s="9" t="str">
        <f>VLOOKUP($A93,[1]Sheet2!$I$2:$O$544,3,FALSE)</f>
        <v>KPB2</v>
      </c>
      <c r="D93" s="2" t="s">
        <v>358</v>
      </c>
      <c r="E93" s="15" t="str">
        <f>VLOOKUP($A93,[1]Sheet2!$I$2:$O$544,5,FALSE)</f>
        <v>2025-06-03</v>
      </c>
      <c r="F93" s="13" t="str">
        <f>VLOOKUP($A93,'[2]AHM-Q01-251105-2511051358'!$E$2:$H$376,4,FALSE)</f>
        <v>03/06/2025</v>
      </c>
      <c r="G93" s="15">
        <f t="shared" si="5"/>
        <v>-2</v>
      </c>
      <c r="H93" s="24">
        <f t="shared" si="6"/>
        <v>-2</v>
      </c>
      <c r="I93" s="13">
        <f t="shared" si="7"/>
        <v>0</v>
      </c>
      <c r="J93" s="17" t="s">
        <v>121</v>
      </c>
      <c r="K93" s="9" t="str">
        <f>VLOOKUP($A93,[1]Sheet2!$I$2:$O$544,6,FALSE)</f>
        <v>2025-10-10</v>
      </c>
      <c r="L93" s="17" t="s">
        <v>359</v>
      </c>
      <c r="M93" s="9">
        <f>VLOOKUP($A93,[1]Sheet2!$I$2:$O$544,4,FALSE)</f>
        <v>2238</v>
      </c>
      <c r="N93" s="10">
        <f t="shared" si="8"/>
        <v>0</v>
      </c>
      <c r="O93" s="10">
        <f t="shared" si="9"/>
        <v>0</v>
      </c>
    </row>
    <row r="94" spans="1:15" x14ac:dyDescent="0.2">
      <c r="A94" s="3" t="s">
        <v>360</v>
      </c>
      <c r="B94" s="17" t="s">
        <v>27</v>
      </c>
      <c r="C94" s="9" t="str">
        <f>VLOOKUP($A94,[1]Sheet2!$I$2:$O$544,3,FALSE)</f>
        <v>KPB2</v>
      </c>
      <c r="D94" s="2" t="s">
        <v>193</v>
      </c>
      <c r="E94" s="15" t="str">
        <f>VLOOKUP($A94,[1]Sheet2!$I$2:$O$544,5,FALSE)</f>
        <v>2025-06-10</v>
      </c>
      <c r="F94" s="13" t="str">
        <f>VLOOKUP($A94,'[2]AHM-Q01-251105-2511051358'!$E$2:$H$376,4,FALSE)</f>
        <v>10/06/2025</v>
      </c>
      <c r="G94" s="15">
        <f t="shared" si="5"/>
        <v>0</v>
      </c>
      <c r="H94" s="24">
        <f t="shared" si="6"/>
        <v>0</v>
      </c>
      <c r="I94" s="13">
        <f t="shared" si="7"/>
        <v>0</v>
      </c>
      <c r="J94" s="17" t="s">
        <v>154</v>
      </c>
      <c r="K94" s="9" t="str">
        <f>VLOOKUP($A94,[1]Sheet2!$I$2:$O$544,6,FALSE)</f>
        <v>2025-10-18</v>
      </c>
      <c r="L94" s="17" t="s">
        <v>361</v>
      </c>
      <c r="M94" s="9">
        <f>VLOOKUP($A94,[1]Sheet2!$I$2:$O$544,4,FALSE)</f>
        <v>1906</v>
      </c>
      <c r="N94" s="10">
        <f t="shared" si="8"/>
        <v>0</v>
      </c>
      <c r="O94" s="10">
        <f t="shared" si="9"/>
        <v>0</v>
      </c>
    </row>
    <row r="95" spans="1:15" x14ac:dyDescent="0.2">
      <c r="A95" s="3" t="s">
        <v>362</v>
      </c>
      <c r="B95" s="17" t="s">
        <v>27</v>
      </c>
      <c r="C95" s="9" t="str">
        <f>VLOOKUP($A95,[1]Sheet2!$I$2:$O$544,3,FALSE)</f>
        <v>KPB2</v>
      </c>
      <c r="D95" s="2" t="s">
        <v>198</v>
      </c>
      <c r="E95" s="15" t="str">
        <f>VLOOKUP($A95,[1]Sheet2!$I$2:$O$544,5,FALSE)</f>
        <v>2025-06-13</v>
      </c>
      <c r="F95" s="13" t="str">
        <f>VLOOKUP($A95,'[2]AHM-Q01-251105-2511051358'!$E$2:$H$376,4,FALSE)</f>
        <v>13/06/2025</v>
      </c>
      <c r="G95" s="15">
        <f t="shared" si="5"/>
        <v>0</v>
      </c>
      <c r="H95" s="24">
        <f t="shared" si="6"/>
        <v>0</v>
      </c>
      <c r="I95" s="13">
        <f t="shared" si="7"/>
        <v>0</v>
      </c>
      <c r="J95" s="17" t="s">
        <v>265</v>
      </c>
      <c r="K95" s="9" t="str">
        <f>VLOOKUP($A95,[1]Sheet2!$I$2:$O$544,6,FALSE)</f>
        <v>2025-10-23</v>
      </c>
      <c r="L95" s="17" t="s">
        <v>363</v>
      </c>
      <c r="M95" s="9">
        <f>VLOOKUP($A95,[1]Sheet2!$I$2:$O$544,4,FALSE)</f>
        <v>1692</v>
      </c>
      <c r="N95" s="10">
        <f t="shared" si="8"/>
        <v>0</v>
      </c>
      <c r="O95" s="10">
        <f t="shared" si="9"/>
        <v>0</v>
      </c>
    </row>
    <row r="96" spans="1:15" x14ac:dyDescent="0.2">
      <c r="A96" s="3" t="s">
        <v>364</v>
      </c>
      <c r="B96" s="17" t="s">
        <v>27</v>
      </c>
      <c r="C96" s="9" t="str">
        <f>VLOOKUP($A96,[1]Sheet2!$I$2:$O$544,3,FALSE)</f>
        <v>KPB2</v>
      </c>
      <c r="D96" s="2" t="s">
        <v>365</v>
      </c>
      <c r="E96" s="15" t="str">
        <f>VLOOKUP($A96,[1]Sheet2!$I$2:$O$544,5,FALSE)</f>
        <v>2025-06-16</v>
      </c>
      <c r="F96" s="13" t="str">
        <f>VLOOKUP($A96,'[2]AHM-Q01-251105-2511051358'!$E$2:$H$376,4,FALSE)</f>
        <v>16/06/2025</v>
      </c>
      <c r="G96" s="15">
        <f t="shared" si="5"/>
        <v>-1</v>
      </c>
      <c r="H96" s="24">
        <f t="shared" si="6"/>
        <v>-1</v>
      </c>
      <c r="I96" s="13">
        <f t="shared" si="7"/>
        <v>0</v>
      </c>
      <c r="J96" s="17" t="s">
        <v>265</v>
      </c>
      <c r="K96" s="9" t="str">
        <f>VLOOKUP($A96,[1]Sheet2!$I$2:$O$544,6,FALSE)</f>
        <v>2025-10-23</v>
      </c>
      <c r="L96" s="17" t="s">
        <v>366</v>
      </c>
      <c r="M96" s="9">
        <f>VLOOKUP($A96,[1]Sheet2!$I$2:$O$544,4,FALSE)</f>
        <v>1439</v>
      </c>
      <c r="N96" s="10">
        <f t="shared" si="8"/>
        <v>0</v>
      </c>
      <c r="O96" s="10">
        <f t="shared" si="9"/>
        <v>0</v>
      </c>
    </row>
    <row r="97" spans="1:15" x14ac:dyDescent="0.2">
      <c r="A97" s="3" t="s">
        <v>367</v>
      </c>
      <c r="B97" s="17" t="s">
        <v>33</v>
      </c>
      <c r="C97" s="9" t="str">
        <f>VLOOKUP($A97,[1]Sheet2!$I$2:$O$544,3,FALSE)</f>
        <v>KPB3</v>
      </c>
      <c r="D97" s="2" t="s">
        <v>368</v>
      </c>
      <c r="E97" s="15" t="str">
        <f>VLOOKUP($A97,[1]Sheet2!$I$2:$O$544,5,FALSE)</f>
        <v>2025-02-08</v>
      </c>
      <c r="F97" s="13" t="str">
        <f>VLOOKUP($A97,'[2]AHM-Q01-251105-2511051358'!$E$2:$H$376,4,FALSE)</f>
        <v>08/02/2025</v>
      </c>
      <c r="G97" s="15">
        <f t="shared" si="5"/>
        <v>-1</v>
      </c>
      <c r="H97" s="24">
        <f t="shared" si="6"/>
        <v>-1</v>
      </c>
      <c r="I97" s="13">
        <f t="shared" si="7"/>
        <v>0</v>
      </c>
      <c r="J97" s="17" t="s">
        <v>113</v>
      </c>
      <c r="K97" s="9" t="str">
        <f>VLOOKUP($A97,[1]Sheet2!$I$2:$O$544,6,FALSE)</f>
        <v>2025-10-07</v>
      </c>
      <c r="L97" s="17" t="s">
        <v>369</v>
      </c>
      <c r="M97" s="9">
        <f>VLOOKUP($A97,[1]Sheet2!$I$2:$O$544,4,FALSE)</f>
        <v>4957</v>
      </c>
      <c r="N97" s="10">
        <f t="shared" si="8"/>
        <v>0</v>
      </c>
      <c r="O97" s="10">
        <f t="shared" si="9"/>
        <v>0</v>
      </c>
    </row>
    <row r="98" spans="1:15" x14ac:dyDescent="0.2">
      <c r="A98" s="3" t="s">
        <v>370</v>
      </c>
      <c r="B98" s="17" t="s">
        <v>33</v>
      </c>
      <c r="C98" s="9" t="str">
        <f>VLOOKUP($A98,[1]Sheet2!$I$2:$O$544,3,FALSE)</f>
        <v>KPB3</v>
      </c>
      <c r="D98" s="2" t="s">
        <v>371</v>
      </c>
      <c r="E98" s="15" t="str">
        <f>VLOOKUP($A98,[1]Sheet2!$I$2:$O$544,5,FALSE)</f>
        <v>2025-02-08</v>
      </c>
      <c r="F98" s="13" t="str">
        <f>VLOOKUP($A98,'[2]AHM-Q01-251105-2511051358'!$E$2:$H$376,4,FALSE)</f>
        <v>08/02/2025</v>
      </c>
      <c r="G98" s="15">
        <f t="shared" si="5"/>
        <v>0</v>
      </c>
      <c r="H98" s="24">
        <f t="shared" si="6"/>
        <v>0</v>
      </c>
      <c r="I98" s="13">
        <f t="shared" si="7"/>
        <v>0</v>
      </c>
      <c r="J98" s="17" t="s">
        <v>250</v>
      </c>
      <c r="K98" s="9" t="str">
        <f>VLOOKUP($A98,[1]Sheet2!$I$2:$O$544,6,FALSE)</f>
        <v>2025-10-08</v>
      </c>
      <c r="L98" s="17" t="s">
        <v>372</v>
      </c>
      <c r="M98" s="9">
        <f>VLOOKUP($A98,[1]Sheet2!$I$2:$O$544,4,FALSE)</f>
        <v>4232</v>
      </c>
      <c r="N98" s="10">
        <f t="shared" si="8"/>
        <v>0</v>
      </c>
      <c r="O98" s="10">
        <f t="shared" si="9"/>
        <v>0</v>
      </c>
    </row>
    <row r="99" spans="1:15" x14ac:dyDescent="0.2">
      <c r="A99" s="3" t="s">
        <v>373</v>
      </c>
      <c r="B99" s="17" t="s">
        <v>33</v>
      </c>
      <c r="C99" s="9" t="str">
        <f>VLOOKUP($A99,[1]Sheet2!$I$2:$O$544,3,FALSE)</f>
        <v>KPB3</v>
      </c>
      <c r="D99" s="2" t="s">
        <v>374</v>
      </c>
      <c r="E99" s="15" t="str">
        <f>VLOOKUP($A99,[1]Sheet2!$I$2:$O$544,5,FALSE)</f>
        <v>1970-01-01</v>
      </c>
      <c r="F99" s="13" t="str">
        <f>VLOOKUP($A99,'[2]AHM-Q01-251105-2511051358'!$E$2:$H$376,4,FALSE)</f>
        <v>10/02/2025</v>
      </c>
      <c r="G99" s="15">
        <f t="shared" si="5"/>
        <v>20129</v>
      </c>
      <c r="H99" s="24">
        <f t="shared" si="6"/>
        <v>0</v>
      </c>
      <c r="I99" s="13">
        <f t="shared" si="7"/>
        <v>-20129</v>
      </c>
      <c r="J99" s="17" t="s">
        <v>117</v>
      </c>
      <c r="K99" s="9" t="str">
        <f>VLOOKUP($A99,[1]Sheet2!$I$2:$O$544,6,FALSE)</f>
        <v>2025-10-09</v>
      </c>
      <c r="L99" s="17" t="s">
        <v>375</v>
      </c>
      <c r="M99" s="9">
        <f>VLOOKUP($A99,[1]Sheet2!$I$2:$O$544,4,FALSE)</f>
        <v>4518</v>
      </c>
      <c r="N99" s="10">
        <f t="shared" si="8"/>
        <v>0</v>
      </c>
      <c r="O99" s="10">
        <f t="shared" si="9"/>
        <v>0</v>
      </c>
    </row>
    <row r="100" spans="1:15" x14ac:dyDescent="0.2">
      <c r="A100" s="3" t="s">
        <v>376</v>
      </c>
      <c r="B100" s="17" t="s">
        <v>33</v>
      </c>
      <c r="C100" s="9" t="str">
        <f>VLOOKUP($A100,[1]Sheet2!$I$2:$O$544,3,FALSE)</f>
        <v>KPB3</v>
      </c>
      <c r="D100" s="2" t="s">
        <v>377</v>
      </c>
      <c r="E100" s="15" t="str">
        <f>VLOOKUP($A100,[1]Sheet2!$I$2:$O$544,5,FALSE)</f>
        <v>2025-02-21</v>
      </c>
      <c r="F100" s="13" t="str">
        <f>VLOOKUP($A100,'[2]AHM-Q01-251105-2511051358'!$E$2:$H$376,4,FALSE)</f>
        <v>21/02/2025</v>
      </c>
      <c r="G100" s="15">
        <f t="shared" si="5"/>
        <v>0</v>
      </c>
      <c r="H100" s="24">
        <f t="shared" si="6"/>
        <v>0</v>
      </c>
      <c r="I100" s="13">
        <f t="shared" si="7"/>
        <v>0</v>
      </c>
      <c r="J100" s="17" t="s">
        <v>154</v>
      </c>
      <c r="K100" s="9" t="str">
        <f>VLOOKUP($A100,[1]Sheet2!$I$2:$O$544,6,FALSE)</f>
        <v>2025-10-18</v>
      </c>
      <c r="L100" s="17" t="s">
        <v>378</v>
      </c>
      <c r="M100" s="9">
        <f>VLOOKUP($A100,[1]Sheet2!$I$2:$O$544,4,FALSE)</f>
        <v>6466</v>
      </c>
      <c r="N100" s="10">
        <f t="shared" si="8"/>
        <v>0</v>
      </c>
      <c r="O100" s="10">
        <f t="shared" si="9"/>
        <v>0</v>
      </c>
    </row>
    <row r="101" spans="1:15" x14ac:dyDescent="0.2">
      <c r="A101" s="3" t="s">
        <v>379</v>
      </c>
      <c r="B101" s="17" t="s">
        <v>38</v>
      </c>
      <c r="C101" s="9" t="str">
        <f>VLOOKUP($A101,[1]Sheet2!$I$2:$O$544,3,FALSE)</f>
        <v>KPB4</v>
      </c>
      <c r="D101" s="2" t="s">
        <v>325</v>
      </c>
      <c r="E101" s="15" t="str">
        <f>VLOOKUP($A101,[1]Sheet2!$I$2:$O$544,5,FALSE)</f>
        <v>2024-10-10</v>
      </c>
      <c r="F101" s="13" t="str">
        <f>VLOOKUP($A101,'[2]AHM-Q01-251105-2511051358'!$E$2:$H$376,4,FALSE)</f>
        <v>10/10/2024</v>
      </c>
      <c r="G101" s="15">
        <f t="shared" si="5"/>
        <v>-1</v>
      </c>
      <c r="H101" s="24">
        <f t="shared" si="6"/>
        <v>-1</v>
      </c>
      <c r="I101" s="13">
        <f t="shared" si="7"/>
        <v>0</v>
      </c>
      <c r="J101" s="17" t="s">
        <v>117</v>
      </c>
      <c r="K101" s="9" t="str">
        <f>VLOOKUP($A101,[1]Sheet2!$I$2:$O$544,6,FALSE)</f>
        <v>2025-10-09</v>
      </c>
      <c r="L101" s="17" t="s">
        <v>380</v>
      </c>
      <c r="M101" s="9">
        <f>VLOOKUP($A101,[1]Sheet2!$I$2:$O$544,4,FALSE)</f>
        <v>9315</v>
      </c>
      <c r="N101" s="10">
        <f t="shared" si="8"/>
        <v>0</v>
      </c>
      <c r="O101" s="10">
        <f t="shared" si="9"/>
        <v>0</v>
      </c>
    </row>
    <row r="102" spans="1:15" x14ac:dyDescent="0.2">
      <c r="A102" s="3" t="s">
        <v>381</v>
      </c>
      <c r="B102" s="17" t="s">
        <v>38</v>
      </c>
      <c r="C102" s="9" t="str">
        <f>VLOOKUP($A102,[1]Sheet2!$I$2:$O$544,3,FALSE)</f>
        <v>KPB4</v>
      </c>
      <c r="D102" s="2" t="s">
        <v>382</v>
      </c>
      <c r="E102" s="15" t="str">
        <f>VLOOKUP($A102,[1]Sheet2!$I$2:$O$544,5,FALSE)</f>
        <v>2024-10-10</v>
      </c>
      <c r="F102" s="13" t="str">
        <f>VLOOKUP($A102,'[2]AHM-Q01-251105-2511051358'!$E$2:$H$376,4,FALSE)</f>
        <v>10/10/2024</v>
      </c>
      <c r="G102" s="15">
        <f t="shared" si="5"/>
        <v>0</v>
      </c>
      <c r="H102" s="24">
        <f t="shared" si="6"/>
        <v>0</v>
      </c>
      <c r="I102" s="13">
        <f t="shared" si="7"/>
        <v>0</v>
      </c>
      <c r="J102" s="17" t="s">
        <v>121</v>
      </c>
      <c r="K102" s="9" t="str">
        <f>VLOOKUP($A102,[1]Sheet2!$I$2:$O$544,6,FALSE)</f>
        <v>2025-10-10</v>
      </c>
      <c r="L102" s="17" t="s">
        <v>383</v>
      </c>
      <c r="M102" s="9">
        <f>VLOOKUP($A102,[1]Sheet2!$I$2:$O$544,4,FALSE)</f>
        <v>8355</v>
      </c>
      <c r="N102" s="10">
        <f t="shared" si="8"/>
        <v>0</v>
      </c>
      <c r="O102" s="10">
        <f t="shared" si="9"/>
        <v>0</v>
      </c>
    </row>
    <row r="103" spans="1:15" x14ac:dyDescent="0.2">
      <c r="A103" s="3" t="s">
        <v>123</v>
      </c>
      <c r="B103" s="17" t="s">
        <v>15</v>
      </c>
      <c r="C103" s="9" t="str">
        <f>VLOOKUP($A103,[1]Sheet2!$I$2:$O$544,3,FALSE)</f>
        <v>KPB1</v>
      </c>
      <c r="D103" s="2" t="s">
        <v>124</v>
      </c>
      <c r="E103" s="15" t="str">
        <f>VLOOKUP($A103,[1]Sheet2!$I$2:$O$544,5,FALSE)</f>
        <v>2025-08-07</v>
      </c>
      <c r="F103" s="13" t="str">
        <f>VLOOKUP($A103,'[2]AHM-Q01-251105-2511051358'!$E$2:$H$376,4,FALSE)</f>
        <v>07/08/2025</v>
      </c>
      <c r="G103" s="15">
        <f t="shared" si="5"/>
        <v>-5</v>
      </c>
      <c r="H103" s="24">
        <f t="shared" si="6"/>
        <v>-5</v>
      </c>
      <c r="I103" s="13">
        <f t="shared" si="7"/>
        <v>0</v>
      </c>
      <c r="J103" s="17" t="s">
        <v>121</v>
      </c>
      <c r="K103" s="9" t="str">
        <f>VLOOKUP($A103,[1]Sheet2!$I$2:$O$544,6,FALSE)</f>
        <v>2025-10-10</v>
      </c>
      <c r="L103" s="17" t="s">
        <v>125</v>
      </c>
      <c r="M103" s="9">
        <f>VLOOKUP($A103,[1]Sheet2!$I$2:$O$544,4,FALSE)</f>
        <v>357</v>
      </c>
      <c r="N103" s="10">
        <f t="shared" si="8"/>
        <v>0</v>
      </c>
      <c r="O103" s="10">
        <f t="shared" si="9"/>
        <v>0</v>
      </c>
    </row>
    <row r="104" spans="1:15" x14ac:dyDescent="0.2">
      <c r="A104" s="3" t="s">
        <v>386</v>
      </c>
      <c r="B104" s="17" t="s">
        <v>15</v>
      </c>
      <c r="C104" s="9" t="str">
        <f>VLOOKUP($A104,[1]Sheet2!$I$2:$O$544,3,FALSE)</f>
        <v>KPB1</v>
      </c>
      <c r="D104" s="2" t="s">
        <v>120</v>
      </c>
      <c r="E104" s="15" t="str">
        <f>VLOOKUP($A104,[1]Sheet2!$I$2:$O$544,5,FALSE)</f>
        <v>2025-08-12</v>
      </c>
      <c r="F104" s="13" t="str">
        <f>VLOOKUP($A104,'[2]AHM-Q01-251105-2511051358'!$E$2:$H$376,4,FALSE)</f>
        <v>12/08/2025</v>
      </c>
      <c r="G104" s="15">
        <f t="shared" si="5"/>
        <v>-1</v>
      </c>
      <c r="H104" s="24">
        <f t="shared" si="6"/>
        <v>-1</v>
      </c>
      <c r="I104" s="13">
        <f t="shared" si="7"/>
        <v>0</v>
      </c>
      <c r="J104" s="17" t="s">
        <v>179</v>
      </c>
      <c r="K104" s="9" t="str">
        <f>VLOOKUP($A104,[1]Sheet2!$I$2:$O$544,6,FALSE)</f>
        <v>2025-10-04</v>
      </c>
      <c r="L104" s="17" t="s">
        <v>387</v>
      </c>
      <c r="M104" s="9">
        <f>VLOOKUP($A104,[1]Sheet2!$I$2:$O$544,4,FALSE)</f>
        <v>524</v>
      </c>
      <c r="N104" s="10">
        <f t="shared" si="8"/>
        <v>0</v>
      </c>
      <c r="O104" s="10">
        <f t="shared" si="9"/>
        <v>0</v>
      </c>
    </row>
    <row r="105" spans="1:15" x14ac:dyDescent="0.2">
      <c r="A105" s="3" t="s">
        <v>156</v>
      </c>
      <c r="B105" s="17" t="s">
        <v>15</v>
      </c>
      <c r="C105" s="9" t="str">
        <f>VLOOKUP($A105,[1]Sheet2!$I$2:$O$544,3,FALSE)</f>
        <v>KPB1</v>
      </c>
      <c r="D105" s="2" t="s">
        <v>157</v>
      </c>
      <c r="E105" s="15" t="str">
        <f>VLOOKUP($A105,[1]Sheet2!$I$2:$O$544,5,FALSE)</f>
        <v>2025-08-27</v>
      </c>
      <c r="F105" s="13" t="str">
        <f>VLOOKUP($A105,'[2]AHM-Q01-251105-2511051358'!$E$2:$H$376,4,FALSE)</f>
        <v>27/08/2025</v>
      </c>
      <c r="G105" s="15">
        <f t="shared" si="5"/>
        <v>0</v>
      </c>
      <c r="H105" s="24">
        <f t="shared" si="6"/>
        <v>0</v>
      </c>
      <c r="I105" s="13">
        <f t="shared" si="7"/>
        <v>0</v>
      </c>
      <c r="J105" s="17" t="s">
        <v>154</v>
      </c>
      <c r="K105" s="9" t="str">
        <f>VLOOKUP($A105,[1]Sheet2!$I$2:$O$544,6,FALSE)</f>
        <v>2025-10-18</v>
      </c>
      <c r="L105" s="17" t="s">
        <v>158</v>
      </c>
      <c r="M105" s="9">
        <f>VLOOKUP($A105,[1]Sheet2!$I$2:$O$544,4,FALSE)</f>
        <v>997</v>
      </c>
      <c r="N105" s="10">
        <f t="shared" si="8"/>
        <v>0</v>
      </c>
      <c r="O105" s="10">
        <f t="shared" si="9"/>
        <v>0</v>
      </c>
    </row>
    <row r="106" spans="1:15" x14ac:dyDescent="0.2">
      <c r="A106" s="3" t="s">
        <v>98</v>
      </c>
      <c r="B106" s="17" t="s">
        <v>15</v>
      </c>
      <c r="C106" s="9" t="str">
        <f>VLOOKUP($A106,[1]Sheet2!$I$2:$O$544,3,FALSE)</f>
        <v>KPB1</v>
      </c>
      <c r="D106" s="2" t="s">
        <v>99</v>
      </c>
      <c r="E106" s="15" t="str">
        <f>VLOOKUP($A106,[1]Sheet2!$I$2:$O$544,5,FALSE)</f>
        <v>2025-08-07</v>
      </c>
      <c r="F106" s="13" t="str">
        <f>VLOOKUP($A106,'[2]AHM-Q01-251105-2511051358'!$E$2:$H$376,4,FALSE)</f>
        <v>07/08/2025</v>
      </c>
      <c r="G106" s="15">
        <f t="shared" si="5"/>
        <v>-6</v>
      </c>
      <c r="H106" s="24">
        <f t="shared" si="6"/>
        <v>-6</v>
      </c>
      <c r="I106" s="13">
        <f t="shared" si="7"/>
        <v>0</v>
      </c>
      <c r="J106" s="17" t="s">
        <v>100</v>
      </c>
      <c r="K106" s="9" t="str">
        <f>VLOOKUP($A106,[1]Sheet2!$I$2:$O$544,6,FALSE)</f>
        <v>2025-10-03</v>
      </c>
      <c r="L106" s="17" t="s">
        <v>101</v>
      </c>
      <c r="M106" s="9">
        <f>VLOOKUP($A106,[1]Sheet2!$I$2:$O$544,4,FALSE)</f>
        <v>127</v>
      </c>
      <c r="N106" s="10">
        <f t="shared" si="8"/>
        <v>0</v>
      </c>
      <c r="O106" s="10">
        <f t="shared" si="9"/>
        <v>0</v>
      </c>
    </row>
    <row r="107" spans="1:15" x14ac:dyDescent="0.2">
      <c r="A107" s="3" t="s">
        <v>392</v>
      </c>
      <c r="B107" s="17" t="s">
        <v>15</v>
      </c>
      <c r="C107" s="9" t="str">
        <f>VLOOKUP($A107,[1]Sheet2!$I$2:$O$544,3,FALSE)</f>
        <v>KPB1</v>
      </c>
      <c r="D107" s="2" t="s">
        <v>107</v>
      </c>
      <c r="E107" s="15" t="str">
        <f>VLOOKUP($A107,[1]Sheet2!$I$2:$O$544,5,FALSE)</f>
        <v>2025-08-07</v>
      </c>
      <c r="F107" s="13" t="str">
        <f>VLOOKUP($A107,'[2]AHM-Q01-251105-2511051358'!$E$2:$H$376,4,FALSE)</f>
        <v>07/08/2025</v>
      </c>
      <c r="G107" s="15">
        <f t="shared" si="5"/>
        <v>-1</v>
      </c>
      <c r="H107" s="24">
        <f t="shared" si="6"/>
        <v>-1</v>
      </c>
      <c r="I107" s="13">
        <f t="shared" si="7"/>
        <v>0</v>
      </c>
      <c r="J107" s="17" t="s">
        <v>104</v>
      </c>
      <c r="K107" s="9" t="str">
        <f>VLOOKUP($A107,[1]Sheet2!$I$2:$O$544,6,FALSE)</f>
        <v>2025-10-06</v>
      </c>
      <c r="L107" s="17" t="s">
        <v>393</v>
      </c>
      <c r="M107" s="9">
        <f>VLOOKUP($A107,[1]Sheet2!$I$2:$O$544,4,FALSE)</f>
        <v>618</v>
      </c>
      <c r="N107" s="10">
        <f t="shared" si="8"/>
        <v>0</v>
      </c>
      <c r="O107" s="10">
        <f t="shared" si="9"/>
        <v>0</v>
      </c>
    </row>
    <row r="108" spans="1:15" x14ac:dyDescent="0.2">
      <c r="A108" s="3" t="s">
        <v>394</v>
      </c>
      <c r="B108" s="17" t="s">
        <v>15</v>
      </c>
      <c r="C108" s="9" t="str">
        <f>VLOOKUP($A108,[1]Sheet2!$I$2:$O$544,3,FALSE)</f>
        <v>KPB1</v>
      </c>
      <c r="D108" s="2" t="s">
        <v>107</v>
      </c>
      <c r="E108" s="15" t="str">
        <f>VLOOKUP($A108,[1]Sheet2!$I$2:$O$544,5,FALSE)</f>
        <v>2025-08-08</v>
      </c>
      <c r="F108" s="13" t="str">
        <f>VLOOKUP($A108,'[2]AHM-Q01-251105-2511051358'!$E$2:$H$376,4,FALSE)</f>
        <v>08/08/2025</v>
      </c>
      <c r="G108" s="15">
        <f t="shared" si="5"/>
        <v>-2</v>
      </c>
      <c r="H108" s="24">
        <f t="shared" si="6"/>
        <v>-2</v>
      </c>
      <c r="I108" s="13">
        <f t="shared" si="7"/>
        <v>0</v>
      </c>
      <c r="J108" s="17" t="s">
        <v>104</v>
      </c>
      <c r="K108" s="9" t="str">
        <f>VLOOKUP($A108,[1]Sheet2!$I$2:$O$544,6,FALSE)</f>
        <v>2025-10-06</v>
      </c>
      <c r="L108" s="17" t="s">
        <v>395</v>
      </c>
      <c r="M108" s="9">
        <f>VLOOKUP($A108,[1]Sheet2!$I$2:$O$544,4,FALSE)</f>
        <v>999</v>
      </c>
      <c r="N108" s="10">
        <f t="shared" si="8"/>
        <v>0</v>
      </c>
      <c r="O108" s="10">
        <f t="shared" si="9"/>
        <v>0</v>
      </c>
    </row>
    <row r="109" spans="1:15" x14ac:dyDescent="0.2">
      <c r="A109" s="3" t="s">
        <v>396</v>
      </c>
      <c r="B109" s="17" t="s">
        <v>15</v>
      </c>
      <c r="C109" s="9" t="str">
        <f>VLOOKUP($A109,[1]Sheet2!$I$2:$O$544,3,FALSE)</f>
        <v>KPB1</v>
      </c>
      <c r="D109" s="2" t="s">
        <v>107</v>
      </c>
      <c r="E109" s="15" t="str">
        <f>VLOOKUP($A109,[1]Sheet2!$I$2:$O$544,5,FALSE)</f>
        <v>2025-08-06</v>
      </c>
      <c r="F109" s="13" t="str">
        <f>VLOOKUP($A109,'[2]AHM-Q01-251105-2511051358'!$E$2:$H$376,4,FALSE)</f>
        <v>06/08/2025</v>
      </c>
      <c r="G109" s="15">
        <f t="shared" si="5"/>
        <v>0</v>
      </c>
      <c r="H109" s="24">
        <f t="shared" si="6"/>
        <v>0</v>
      </c>
      <c r="I109" s="13">
        <f t="shared" si="7"/>
        <v>0</v>
      </c>
      <c r="J109" s="17" t="s">
        <v>104</v>
      </c>
      <c r="K109" s="9" t="str">
        <f>VLOOKUP($A109,[1]Sheet2!$I$2:$O$544,6,FALSE)</f>
        <v>2025-10-06</v>
      </c>
      <c r="L109" s="17" t="s">
        <v>397</v>
      </c>
      <c r="M109" s="9">
        <f>VLOOKUP($A109,[1]Sheet2!$I$2:$O$544,4,FALSE)</f>
        <v>575</v>
      </c>
      <c r="N109" s="10">
        <f t="shared" si="8"/>
        <v>0</v>
      </c>
      <c r="O109" s="10">
        <f t="shared" si="9"/>
        <v>0</v>
      </c>
    </row>
    <row r="110" spans="1:15" x14ac:dyDescent="0.2">
      <c r="A110" s="3" t="s">
        <v>398</v>
      </c>
      <c r="B110" s="17" t="s">
        <v>15</v>
      </c>
      <c r="C110" s="9" t="str">
        <f>VLOOKUP($A110,[1]Sheet2!$I$2:$O$544,3,FALSE)</f>
        <v>KPB1</v>
      </c>
      <c r="D110" s="2" t="s">
        <v>107</v>
      </c>
      <c r="E110" s="15" t="str">
        <f>VLOOKUP($A110,[1]Sheet2!$I$2:$O$544,5,FALSE)</f>
        <v>2025-08-08</v>
      </c>
      <c r="F110" s="13" t="str">
        <f>VLOOKUP($A110,'[2]AHM-Q01-251105-2511051358'!$E$2:$H$376,4,FALSE)</f>
        <v>08/08/2025</v>
      </c>
      <c r="G110" s="15">
        <f t="shared" si="5"/>
        <v>-2</v>
      </c>
      <c r="H110" s="24">
        <f t="shared" si="6"/>
        <v>-2</v>
      </c>
      <c r="I110" s="13">
        <f t="shared" si="7"/>
        <v>0</v>
      </c>
      <c r="J110" s="17" t="s">
        <v>104</v>
      </c>
      <c r="K110" s="9" t="str">
        <f>VLOOKUP($A110,[1]Sheet2!$I$2:$O$544,6,FALSE)</f>
        <v>2025-10-06</v>
      </c>
      <c r="L110" s="17" t="s">
        <v>399</v>
      </c>
      <c r="M110" s="9">
        <f>VLOOKUP($A110,[1]Sheet2!$I$2:$O$544,4,FALSE)</f>
        <v>669</v>
      </c>
      <c r="N110" s="10">
        <f t="shared" si="8"/>
        <v>0</v>
      </c>
      <c r="O110" s="10">
        <f t="shared" si="9"/>
        <v>0</v>
      </c>
    </row>
    <row r="111" spans="1:15" x14ac:dyDescent="0.2">
      <c r="A111" s="3" t="s">
        <v>401</v>
      </c>
      <c r="B111" s="17" t="s">
        <v>15</v>
      </c>
      <c r="C111" s="9" t="str">
        <f>VLOOKUP($A111,[1]Sheet2!$I$2:$O$544,3,FALSE)</f>
        <v>KPB1</v>
      </c>
      <c r="D111" s="2" t="s">
        <v>107</v>
      </c>
      <c r="E111" s="15" t="str">
        <f>VLOOKUP($A111,[1]Sheet2!$I$2:$O$544,5,FALSE)</f>
        <v>2025-08-08</v>
      </c>
      <c r="F111" s="13" t="str">
        <f>VLOOKUP($A111,'[2]AHM-Q01-251105-2511051358'!$E$2:$H$376,4,FALSE)</f>
        <v>08/08/2025</v>
      </c>
      <c r="G111" s="15">
        <f t="shared" si="5"/>
        <v>-2</v>
      </c>
      <c r="H111" s="24">
        <f t="shared" si="6"/>
        <v>-2</v>
      </c>
      <c r="I111" s="13">
        <f t="shared" si="7"/>
        <v>0</v>
      </c>
      <c r="J111" s="17" t="s">
        <v>104</v>
      </c>
      <c r="K111" s="9" t="str">
        <f>VLOOKUP($A111,[1]Sheet2!$I$2:$O$544,6,FALSE)</f>
        <v>2025-10-06</v>
      </c>
      <c r="L111" s="17" t="s">
        <v>402</v>
      </c>
      <c r="M111" s="9">
        <f>VLOOKUP($A111,[1]Sheet2!$I$2:$O$544,4,FALSE)</f>
        <v>153</v>
      </c>
      <c r="N111" s="10">
        <f t="shared" si="8"/>
        <v>0</v>
      </c>
      <c r="O111" s="10">
        <f t="shared" si="9"/>
        <v>0</v>
      </c>
    </row>
    <row r="112" spans="1:15" x14ac:dyDescent="0.2">
      <c r="A112" s="3" t="s">
        <v>403</v>
      </c>
      <c r="B112" s="17" t="s">
        <v>15</v>
      </c>
      <c r="C112" s="9" t="str">
        <f>VLOOKUP($A112,[1]Sheet2!$I$2:$O$544,3,FALSE)</f>
        <v>KPB1</v>
      </c>
      <c r="D112" s="2" t="s">
        <v>107</v>
      </c>
      <c r="E112" s="15" t="str">
        <f>VLOOKUP($A112,[1]Sheet2!$I$2:$O$544,5,FALSE)</f>
        <v>2025-08-07</v>
      </c>
      <c r="F112" s="13" t="str">
        <f>VLOOKUP($A112,'[2]AHM-Q01-251105-2511051358'!$E$2:$H$376,4,FALSE)</f>
        <v>07/08/2025</v>
      </c>
      <c r="G112" s="15">
        <f t="shared" si="5"/>
        <v>-1</v>
      </c>
      <c r="H112" s="24">
        <f t="shared" si="6"/>
        <v>-1</v>
      </c>
      <c r="I112" s="13">
        <f t="shared" si="7"/>
        <v>0</v>
      </c>
      <c r="J112" s="17" t="s">
        <v>113</v>
      </c>
      <c r="K112" s="9" t="str">
        <f>VLOOKUP($A112,[1]Sheet2!$I$2:$O$544,6,FALSE)</f>
        <v>2025-10-07</v>
      </c>
      <c r="L112" s="17" t="s">
        <v>404</v>
      </c>
      <c r="M112" s="9">
        <f>VLOOKUP($A112,[1]Sheet2!$I$2:$O$544,4,FALSE)</f>
        <v>296</v>
      </c>
      <c r="N112" s="10">
        <f t="shared" si="8"/>
        <v>0</v>
      </c>
      <c r="O112" s="10">
        <f t="shared" si="9"/>
        <v>0</v>
      </c>
    </row>
    <row r="113" spans="1:15" x14ac:dyDescent="0.2">
      <c r="A113" s="3" t="s">
        <v>406</v>
      </c>
      <c r="B113" s="17" t="s">
        <v>15</v>
      </c>
      <c r="C113" s="9" t="str">
        <f>VLOOKUP($A113,[1]Sheet2!$I$2:$O$544,3,FALSE)</f>
        <v>KPB1</v>
      </c>
      <c r="D113" s="2" t="s">
        <v>112</v>
      </c>
      <c r="E113" s="15" t="str">
        <f>VLOOKUP($A113,[1]Sheet2!$I$2:$O$544,5,FALSE)</f>
        <v>2025-08-08</v>
      </c>
      <c r="F113" s="13" t="str">
        <f>VLOOKUP($A113,'[2]AHM-Q01-251105-2511051358'!$E$2:$H$376,4,FALSE)</f>
        <v>08/08/2025</v>
      </c>
      <c r="G113" s="15">
        <f t="shared" si="5"/>
        <v>-1</v>
      </c>
      <c r="H113" s="24">
        <f t="shared" si="6"/>
        <v>-1</v>
      </c>
      <c r="I113" s="13">
        <f t="shared" si="7"/>
        <v>0</v>
      </c>
      <c r="J113" s="17" t="s">
        <v>113</v>
      </c>
      <c r="K113" s="9" t="str">
        <f>VLOOKUP($A113,[1]Sheet2!$I$2:$O$544,6,FALSE)</f>
        <v>2025-10-07</v>
      </c>
      <c r="L113" s="17" t="s">
        <v>407</v>
      </c>
      <c r="M113" s="9">
        <f>VLOOKUP($A113,[1]Sheet2!$I$2:$O$544,4,FALSE)</f>
        <v>271</v>
      </c>
      <c r="N113" s="10">
        <f t="shared" si="8"/>
        <v>0</v>
      </c>
      <c r="O113" s="10">
        <f t="shared" si="9"/>
        <v>0</v>
      </c>
    </row>
    <row r="114" spans="1:15" x14ac:dyDescent="0.2">
      <c r="A114" s="3" t="s">
        <v>408</v>
      </c>
      <c r="B114" s="17" t="s">
        <v>15</v>
      </c>
      <c r="C114" s="9" t="str">
        <f>VLOOKUP($A114,[1]Sheet2!$I$2:$O$544,3,FALSE)</f>
        <v>KPB1</v>
      </c>
      <c r="D114" s="2" t="s">
        <v>295</v>
      </c>
      <c r="E114" s="15" t="str">
        <f>VLOOKUP($A114,[1]Sheet2!$I$2:$O$544,5,FALSE)</f>
        <v>2025-08-08</v>
      </c>
      <c r="F114" s="13" t="str">
        <f>VLOOKUP($A114,'[2]AHM-Q01-251105-2511051358'!$E$2:$H$376,4,FALSE)</f>
        <v>08/08/2025</v>
      </c>
      <c r="G114" s="15">
        <f t="shared" si="5"/>
        <v>0</v>
      </c>
      <c r="H114" s="24">
        <f t="shared" si="6"/>
        <v>0</v>
      </c>
      <c r="I114" s="13">
        <f t="shared" si="7"/>
        <v>0</v>
      </c>
      <c r="J114" s="17" t="s">
        <v>117</v>
      </c>
      <c r="K114" s="9" t="str">
        <f>VLOOKUP($A114,[1]Sheet2!$I$2:$O$544,6,FALSE)</f>
        <v>2025-10-09</v>
      </c>
      <c r="L114" s="17" t="s">
        <v>409</v>
      </c>
      <c r="M114" s="9">
        <f>VLOOKUP($A114,[1]Sheet2!$I$2:$O$544,4,FALSE)</f>
        <v>717</v>
      </c>
      <c r="N114" s="10">
        <f t="shared" si="8"/>
        <v>0</v>
      </c>
      <c r="O114" s="10">
        <f t="shared" si="9"/>
        <v>0</v>
      </c>
    </row>
    <row r="115" spans="1:15" x14ac:dyDescent="0.2">
      <c r="A115" s="3" t="s">
        <v>410</v>
      </c>
      <c r="B115" s="17" t="s">
        <v>15</v>
      </c>
      <c r="C115" s="9" t="str">
        <f>VLOOKUP($A115,[1]Sheet2!$I$2:$O$544,3,FALSE)</f>
        <v>KPB1</v>
      </c>
      <c r="D115" s="2" t="s">
        <v>116</v>
      </c>
      <c r="E115" s="15" t="str">
        <f>VLOOKUP($A115,[1]Sheet2!$I$2:$O$544,5,FALSE)</f>
        <v>2025-08-10</v>
      </c>
      <c r="F115" s="13" t="str">
        <f>VLOOKUP($A115,'[2]AHM-Q01-251105-2511051358'!$E$2:$H$376,4,FALSE)</f>
        <v>10/08/2025</v>
      </c>
      <c r="G115" s="15">
        <f t="shared" si="5"/>
        <v>-1</v>
      </c>
      <c r="H115" s="24">
        <f t="shared" si="6"/>
        <v>-1</v>
      </c>
      <c r="I115" s="13">
        <f t="shared" si="7"/>
        <v>0</v>
      </c>
      <c r="J115" s="17" t="s">
        <v>117</v>
      </c>
      <c r="K115" s="9" t="str">
        <f>VLOOKUP($A115,[1]Sheet2!$I$2:$O$544,6,FALSE)</f>
        <v>2025-10-09</v>
      </c>
      <c r="L115" s="17" t="s">
        <v>411</v>
      </c>
      <c r="M115" s="9">
        <f>VLOOKUP($A115,[1]Sheet2!$I$2:$O$544,4,FALSE)</f>
        <v>226</v>
      </c>
      <c r="N115" s="10">
        <f t="shared" si="8"/>
        <v>0</v>
      </c>
      <c r="O115" s="10">
        <f t="shared" si="9"/>
        <v>0</v>
      </c>
    </row>
    <row r="116" spans="1:15" x14ac:dyDescent="0.2">
      <c r="A116" s="3" t="s">
        <v>412</v>
      </c>
      <c r="B116" s="17" t="s">
        <v>15</v>
      </c>
      <c r="C116" s="9" t="str">
        <f>VLOOKUP($A116,[1]Sheet2!$I$2:$O$544,3,FALSE)</f>
        <v>KPB1</v>
      </c>
      <c r="D116" s="2" t="s">
        <v>116</v>
      </c>
      <c r="E116" s="15" t="str">
        <f>VLOOKUP($A116,[1]Sheet2!$I$2:$O$544,5,FALSE)</f>
        <v>2025-08-11</v>
      </c>
      <c r="F116" s="13" t="str">
        <f>VLOOKUP($A116,'[2]AHM-Q01-251105-2511051358'!$E$2:$H$376,4,FALSE)</f>
        <v>11/08/2025</v>
      </c>
      <c r="G116" s="15">
        <f t="shared" si="5"/>
        <v>-2</v>
      </c>
      <c r="H116" s="24">
        <f t="shared" si="6"/>
        <v>-2</v>
      </c>
      <c r="I116" s="13">
        <f t="shared" si="7"/>
        <v>0</v>
      </c>
      <c r="J116" s="17" t="s">
        <v>117</v>
      </c>
      <c r="K116" s="9" t="str">
        <f>VLOOKUP($A116,[1]Sheet2!$I$2:$O$544,6,FALSE)</f>
        <v>2025-10-09</v>
      </c>
      <c r="L116" s="17" t="s">
        <v>413</v>
      </c>
      <c r="M116" s="9">
        <f>VLOOKUP($A116,[1]Sheet2!$I$2:$O$544,4,FALSE)</f>
        <v>251</v>
      </c>
      <c r="N116" s="10">
        <f t="shared" si="8"/>
        <v>0</v>
      </c>
      <c r="O116" s="10">
        <f t="shared" si="9"/>
        <v>0</v>
      </c>
    </row>
    <row r="117" spans="1:15" x14ac:dyDescent="0.2">
      <c r="A117" s="3" t="s">
        <v>414</v>
      </c>
      <c r="B117" s="17" t="s">
        <v>15</v>
      </c>
      <c r="C117" s="9" t="str">
        <f>VLOOKUP($A117,[1]Sheet2!$I$2:$O$544,3,FALSE)</f>
        <v>KPB1</v>
      </c>
      <c r="D117" s="2" t="s">
        <v>107</v>
      </c>
      <c r="E117" s="15" t="str">
        <f>VLOOKUP($A117,[1]Sheet2!$I$2:$O$544,5,FALSE)</f>
        <v>2025-08-06</v>
      </c>
      <c r="F117" s="13" t="str">
        <f>VLOOKUP($A117,'[2]AHM-Q01-251105-2511051358'!$E$2:$H$376,4,FALSE)</f>
        <v>06/08/2025</v>
      </c>
      <c r="G117" s="15">
        <f t="shared" si="5"/>
        <v>0</v>
      </c>
      <c r="H117" s="24">
        <f t="shared" si="6"/>
        <v>0</v>
      </c>
      <c r="I117" s="13">
        <f t="shared" si="7"/>
        <v>0</v>
      </c>
      <c r="J117" s="17" t="s">
        <v>121</v>
      </c>
      <c r="K117" s="9" t="str">
        <f>VLOOKUP($A117,[1]Sheet2!$I$2:$O$544,6,FALSE)</f>
        <v>2025-10-10</v>
      </c>
      <c r="L117" s="17" t="s">
        <v>122</v>
      </c>
      <c r="M117" s="9">
        <f>VLOOKUP($A117,[1]Sheet2!$I$2:$O$544,4,FALSE)</f>
        <v>456</v>
      </c>
      <c r="N117" s="10">
        <f t="shared" si="8"/>
        <v>0</v>
      </c>
      <c r="O117" s="10">
        <f t="shared" si="9"/>
        <v>0</v>
      </c>
    </row>
    <row r="118" spans="1:15" x14ac:dyDescent="0.2">
      <c r="A118" s="3" t="s">
        <v>415</v>
      </c>
      <c r="B118" s="17" t="s">
        <v>15</v>
      </c>
      <c r="C118" s="9" t="str">
        <f>VLOOKUP($A118,[1]Sheet2!$I$2:$O$544,3,FALSE)</f>
        <v>KPB1</v>
      </c>
      <c r="D118" s="2" t="s">
        <v>416</v>
      </c>
      <c r="E118" s="15" t="str">
        <f>VLOOKUP($A118,[1]Sheet2!$I$2:$O$544,5,FALSE)</f>
        <v>2025-08-07</v>
      </c>
      <c r="F118" s="13" t="str">
        <f>VLOOKUP($A118,'[2]AHM-Q01-251105-2511051358'!$E$2:$H$376,4,FALSE)</f>
        <v>07/08/2025</v>
      </c>
      <c r="G118" s="15">
        <f t="shared" si="5"/>
        <v>-2</v>
      </c>
      <c r="H118" s="24">
        <f t="shared" si="6"/>
        <v>-2</v>
      </c>
      <c r="I118" s="13">
        <f t="shared" si="7"/>
        <v>0</v>
      </c>
      <c r="J118" s="17" t="s">
        <v>138</v>
      </c>
      <c r="K118" s="9" t="str">
        <f>VLOOKUP($A118,[1]Sheet2!$I$2:$O$544,6,FALSE)</f>
        <v>2025-10-14</v>
      </c>
      <c r="L118" s="17" t="s">
        <v>417</v>
      </c>
      <c r="M118" s="9">
        <f>VLOOKUP($A118,[1]Sheet2!$I$2:$O$544,4,FALSE)</f>
        <v>1032</v>
      </c>
      <c r="N118" s="10">
        <f t="shared" si="8"/>
        <v>0</v>
      </c>
      <c r="O118" s="10">
        <f t="shared" si="9"/>
        <v>0</v>
      </c>
    </row>
    <row r="119" spans="1:15" x14ac:dyDescent="0.2">
      <c r="A119" s="3" t="s">
        <v>418</v>
      </c>
      <c r="B119" s="17" t="s">
        <v>15</v>
      </c>
      <c r="C119" s="9" t="str">
        <f>VLOOKUP($A119,[1]Sheet2!$I$2:$O$544,3,FALSE)</f>
        <v>KPB1</v>
      </c>
      <c r="D119" s="2" t="s">
        <v>116</v>
      </c>
      <c r="E119" s="15" t="str">
        <f>VLOOKUP($A119,[1]Sheet2!$I$2:$O$544,5,FALSE)</f>
        <v>2025-08-11</v>
      </c>
      <c r="F119" s="13" t="str">
        <f>VLOOKUP($A119,'[2]AHM-Q01-251105-2511051358'!$E$2:$H$376,4,FALSE)</f>
        <v>11/08/2025</v>
      </c>
      <c r="G119" s="15">
        <f t="shared" si="5"/>
        <v>-2</v>
      </c>
      <c r="H119" s="24">
        <f t="shared" si="6"/>
        <v>-2</v>
      </c>
      <c r="I119" s="13">
        <f t="shared" si="7"/>
        <v>0</v>
      </c>
      <c r="J119" s="17" t="s">
        <v>141</v>
      </c>
      <c r="K119" s="9" t="str">
        <f>VLOOKUP($A119,[1]Sheet2!$I$2:$O$544,6,FALSE)</f>
        <v>2025-10-15</v>
      </c>
      <c r="L119" s="17" t="s">
        <v>419</v>
      </c>
      <c r="M119" s="9">
        <f>VLOOKUP($A119,[1]Sheet2!$I$2:$O$544,4,FALSE)</f>
        <v>755</v>
      </c>
      <c r="N119" s="10">
        <f t="shared" si="8"/>
        <v>0</v>
      </c>
      <c r="O119" s="10">
        <f t="shared" si="9"/>
        <v>0</v>
      </c>
    </row>
    <row r="120" spans="1:15" x14ac:dyDescent="0.2">
      <c r="A120" s="3" t="s">
        <v>420</v>
      </c>
      <c r="B120" s="17" t="s">
        <v>15</v>
      </c>
      <c r="C120" s="9" t="str">
        <f>VLOOKUP($A120,[1]Sheet2!$I$2:$O$544,3,FALSE)</f>
        <v>KPB1</v>
      </c>
      <c r="D120" s="2" t="s">
        <v>280</v>
      </c>
      <c r="E120" s="15" t="str">
        <f>VLOOKUP($A120,[1]Sheet2!$I$2:$O$544,5,FALSE)</f>
        <v>2025-08-14</v>
      </c>
      <c r="F120" s="13" t="str">
        <f>VLOOKUP($A120,'[2]AHM-Q01-251105-2511051358'!$E$2:$H$376,4,FALSE)</f>
        <v>14/08/2025</v>
      </c>
      <c r="G120" s="15">
        <f t="shared" si="5"/>
        <v>-1</v>
      </c>
      <c r="H120" s="24">
        <f t="shared" si="6"/>
        <v>-1</v>
      </c>
      <c r="I120" s="13">
        <f t="shared" si="7"/>
        <v>0</v>
      </c>
      <c r="J120" s="17" t="s">
        <v>141</v>
      </c>
      <c r="K120" s="9" t="str">
        <f>VLOOKUP($A120,[1]Sheet2!$I$2:$O$544,6,FALSE)</f>
        <v>2025-10-15</v>
      </c>
      <c r="L120" s="17" t="s">
        <v>421</v>
      </c>
      <c r="M120" s="9">
        <f>VLOOKUP($A120,[1]Sheet2!$I$2:$O$544,4,FALSE)</f>
        <v>1059</v>
      </c>
      <c r="N120" s="10">
        <f t="shared" si="8"/>
        <v>0</v>
      </c>
      <c r="O120" s="10">
        <f t="shared" si="9"/>
        <v>0</v>
      </c>
    </row>
    <row r="121" spans="1:15" x14ac:dyDescent="0.2">
      <c r="A121" s="3" t="s">
        <v>422</v>
      </c>
      <c r="B121" s="17" t="s">
        <v>15</v>
      </c>
      <c r="C121" s="9" t="str">
        <f>VLOOKUP($A121,[1]Sheet2!$I$2:$O$544,3,FALSE)</f>
        <v>KPB1</v>
      </c>
      <c r="D121" s="2" t="s">
        <v>134</v>
      </c>
      <c r="E121" s="15" t="str">
        <f>VLOOKUP($A121,[1]Sheet2!$I$2:$O$544,5,FALSE)</f>
        <v>2025-08-15</v>
      </c>
      <c r="F121" s="13" t="str">
        <f>VLOOKUP($A121,'[2]AHM-Q01-251105-2511051358'!$E$2:$H$376,4,FALSE)</f>
        <v>15/08/2025</v>
      </c>
      <c r="G121" s="15">
        <f t="shared" si="5"/>
        <v>0</v>
      </c>
      <c r="H121" s="24">
        <f t="shared" si="6"/>
        <v>0</v>
      </c>
      <c r="I121" s="13">
        <f t="shared" si="7"/>
        <v>0</v>
      </c>
      <c r="J121" s="17" t="s">
        <v>141</v>
      </c>
      <c r="K121" s="9" t="str">
        <f>VLOOKUP($A121,[1]Sheet2!$I$2:$O$544,6,FALSE)</f>
        <v>2025-10-15</v>
      </c>
      <c r="L121" s="17" t="s">
        <v>423</v>
      </c>
      <c r="M121" s="9">
        <f>VLOOKUP($A121,[1]Sheet2!$I$2:$O$544,4,FALSE)</f>
        <v>1075</v>
      </c>
      <c r="N121" s="10">
        <f t="shared" si="8"/>
        <v>0</v>
      </c>
      <c r="O121" s="10">
        <f t="shared" si="9"/>
        <v>0</v>
      </c>
    </row>
    <row r="122" spans="1:15" x14ac:dyDescent="0.2">
      <c r="A122" s="3" t="s">
        <v>424</v>
      </c>
      <c r="B122" s="17" t="s">
        <v>15</v>
      </c>
      <c r="C122" s="9" t="str">
        <f>VLOOKUP($A122,[1]Sheet2!$I$2:$O$544,3,FALSE)</f>
        <v>KPB1</v>
      </c>
      <c r="D122" s="2" t="s">
        <v>337</v>
      </c>
      <c r="E122" s="15" t="str">
        <f>VLOOKUP($A122,[1]Sheet2!$I$2:$O$544,5,FALSE)</f>
        <v>2025-08-18</v>
      </c>
      <c r="F122" s="13" t="str">
        <f>VLOOKUP($A122,'[2]AHM-Q01-251105-2511051358'!$E$2:$H$376,4,FALSE)</f>
        <v>18/08/2025</v>
      </c>
      <c r="G122" s="15">
        <f t="shared" si="5"/>
        <v>-2</v>
      </c>
      <c r="H122" s="24">
        <f t="shared" si="6"/>
        <v>-2</v>
      </c>
      <c r="I122" s="13">
        <f t="shared" si="7"/>
        <v>0</v>
      </c>
      <c r="J122" s="17" t="s">
        <v>147</v>
      </c>
      <c r="K122" s="9" t="str">
        <f>VLOOKUP($A122,[1]Sheet2!$I$2:$O$544,6,FALSE)</f>
        <v>2025-10-17</v>
      </c>
      <c r="L122" s="17" t="s">
        <v>425</v>
      </c>
      <c r="M122" s="9">
        <f>VLOOKUP($A122,[1]Sheet2!$I$2:$O$544,4,FALSE)</f>
        <v>675</v>
      </c>
      <c r="N122" s="10">
        <f t="shared" si="8"/>
        <v>0</v>
      </c>
      <c r="O122" s="10">
        <f t="shared" si="9"/>
        <v>0</v>
      </c>
    </row>
    <row r="123" spans="1:15" x14ac:dyDescent="0.2">
      <c r="A123" s="3" t="s">
        <v>426</v>
      </c>
      <c r="B123" s="17" t="s">
        <v>15</v>
      </c>
      <c r="C123" s="9" t="str">
        <f>VLOOKUP($A123,[1]Sheet2!$I$2:$O$544,3,FALSE)</f>
        <v>KPB1</v>
      </c>
      <c r="D123" s="2" t="s">
        <v>167</v>
      </c>
      <c r="E123" s="15" t="str">
        <f>VLOOKUP($A123,[1]Sheet2!$I$2:$O$544,5,FALSE)</f>
        <v>2025-08-30</v>
      </c>
      <c r="F123" s="13" t="str">
        <f>VLOOKUP($A123,'[2]AHM-Q01-251105-2511051358'!$E$2:$H$376,4,FALSE)</f>
        <v>30/08/2025</v>
      </c>
      <c r="G123" s="15">
        <f t="shared" si="5"/>
        <v>0</v>
      </c>
      <c r="H123" s="24">
        <f t="shared" si="6"/>
        <v>0</v>
      </c>
      <c r="I123" s="13">
        <f t="shared" si="7"/>
        <v>0</v>
      </c>
      <c r="J123" s="17" t="s">
        <v>154</v>
      </c>
      <c r="K123" s="9" t="str">
        <f>VLOOKUP($A123,[1]Sheet2!$I$2:$O$544,6,FALSE)</f>
        <v>2025-10-18</v>
      </c>
      <c r="L123" s="17" t="s">
        <v>427</v>
      </c>
      <c r="M123" s="9">
        <f>VLOOKUP($A123,[1]Sheet2!$I$2:$O$544,4,FALSE)</f>
        <v>449</v>
      </c>
      <c r="N123" s="10">
        <f t="shared" si="8"/>
        <v>0</v>
      </c>
      <c r="O123" s="10">
        <f t="shared" si="9"/>
        <v>0</v>
      </c>
    </row>
    <row r="124" spans="1:15" x14ac:dyDescent="0.2">
      <c r="A124" s="3" t="s">
        <v>429</v>
      </c>
      <c r="B124" s="17" t="s">
        <v>15</v>
      </c>
      <c r="C124" s="9" t="str">
        <f>VLOOKUP($A124,[1]Sheet2!$I$2:$O$544,3,FALSE)</f>
        <v>KPB1</v>
      </c>
      <c r="D124" s="2" t="s">
        <v>309</v>
      </c>
      <c r="E124" s="15" t="str">
        <f>VLOOKUP($A124,[1]Sheet2!$I$2:$O$544,5,FALSE)</f>
        <v>2025-08-23</v>
      </c>
      <c r="F124" s="13" t="str">
        <f>VLOOKUP($A124,'[2]AHM-Q01-251105-2511051358'!$E$2:$H$376,4,FALSE)</f>
        <v>23/08/2025</v>
      </c>
      <c r="G124" s="15">
        <f t="shared" si="5"/>
        <v>0</v>
      </c>
      <c r="H124" s="24">
        <f t="shared" si="6"/>
        <v>0</v>
      </c>
      <c r="I124" s="13">
        <f t="shared" si="7"/>
        <v>0</v>
      </c>
      <c r="J124" s="17" t="s">
        <v>216</v>
      </c>
      <c r="K124" s="9" t="str">
        <f>VLOOKUP($A124,[1]Sheet2!$I$2:$O$544,6,FALSE)</f>
        <v>2025-10-20</v>
      </c>
      <c r="L124" s="17" t="s">
        <v>430</v>
      </c>
      <c r="M124" s="9">
        <f>VLOOKUP($A124,[1]Sheet2!$I$2:$O$544,4,FALSE)</f>
        <v>765</v>
      </c>
      <c r="N124" s="10">
        <f t="shared" si="8"/>
        <v>0</v>
      </c>
      <c r="O124" s="10">
        <f t="shared" si="9"/>
        <v>0</v>
      </c>
    </row>
    <row r="125" spans="1:15" x14ac:dyDescent="0.2">
      <c r="A125" s="3" t="s">
        <v>431</v>
      </c>
      <c r="B125" s="17" t="s">
        <v>15</v>
      </c>
      <c r="C125" s="9" t="str">
        <f>VLOOKUP($A125,[1]Sheet2!$I$2:$O$544,3,FALSE)</f>
        <v>KPB1</v>
      </c>
      <c r="D125" s="2" t="s">
        <v>163</v>
      </c>
      <c r="E125" s="15" t="str">
        <f>VLOOKUP($A125,[1]Sheet2!$I$2:$O$544,5,FALSE)</f>
        <v>2025-08-25</v>
      </c>
      <c r="F125" s="13" t="str">
        <f>VLOOKUP($A125,'[2]AHM-Q01-251105-2511051358'!$E$2:$H$376,4,FALSE)</f>
        <v>25/08/2025</v>
      </c>
      <c r="G125" s="15">
        <f t="shared" si="5"/>
        <v>0</v>
      </c>
      <c r="H125" s="24">
        <f t="shared" si="6"/>
        <v>0</v>
      </c>
      <c r="I125" s="13">
        <f t="shared" si="7"/>
        <v>0</v>
      </c>
      <c r="J125" s="17" t="s">
        <v>164</v>
      </c>
      <c r="K125" s="9" t="str">
        <f>VLOOKUP($A125,[1]Sheet2!$I$2:$O$544,6,FALSE)</f>
        <v>2025-10-21</v>
      </c>
      <c r="L125" s="17" t="s">
        <v>432</v>
      </c>
      <c r="M125" s="9">
        <f>VLOOKUP($A125,[1]Sheet2!$I$2:$O$544,4,FALSE)</f>
        <v>984</v>
      </c>
      <c r="N125" s="10">
        <f t="shared" si="8"/>
        <v>0</v>
      </c>
      <c r="O125" s="10">
        <f t="shared" si="9"/>
        <v>0</v>
      </c>
    </row>
    <row r="126" spans="1:15" x14ac:dyDescent="0.2">
      <c r="A126" s="3" t="s">
        <v>106</v>
      </c>
      <c r="B126" s="17" t="s">
        <v>15</v>
      </c>
      <c r="C126" s="9" t="str">
        <f>VLOOKUP($A126,[1]Sheet2!$I$2:$O$544,3,FALSE)</f>
        <v>KPB1</v>
      </c>
      <c r="D126" s="2" t="s">
        <v>107</v>
      </c>
      <c r="E126" s="15" t="str">
        <f>VLOOKUP($A126,[1]Sheet2!$I$2:$O$544,5,FALSE)</f>
        <v>2025-08-06</v>
      </c>
      <c r="F126" s="13" t="str">
        <f>VLOOKUP($A126,'[2]AHM-Q01-251105-2511051358'!$E$2:$H$376,4,FALSE)</f>
        <v>06/08/2025</v>
      </c>
      <c r="G126" s="15">
        <f t="shared" si="5"/>
        <v>0</v>
      </c>
      <c r="H126" s="24">
        <f t="shared" si="6"/>
        <v>0</v>
      </c>
      <c r="I126" s="13">
        <f t="shared" si="7"/>
        <v>0</v>
      </c>
      <c r="J126" s="17" t="s">
        <v>104</v>
      </c>
      <c r="K126" s="9" t="str">
        <f>VLOOKUP($A126,[1]Sheet2!$I$2:$O$544,6,FALSE)</f>
        <v>2025-10-06</v>
      </c>
      <c r="L126" s="17" t="s">
        <v>108</v>
      </c>
      <c r="M126" s="9">
        <f>VLOOKUP($A126,[1]Sheet2!$I$2:$O$544,4,FALSE)</f>
        <v>1017</v>
      </c>
      <c r="N126" s="10">
        <f t="shared" si="8"/>
        <v>0</v>
      </c>
      <c r="O126" s="10">
        <f t="shared" si="9"/>
        <v>0</v>
      </c>
    </row>
    <row r="127" spans="1:15" x14ac:dyDescent="0.2">
      <c r="A127" s="3" t="s">
        <v>435</v>
      </c>
      <c r="B127" s="17" t="s">
        <v>15</v>
      </c>
      <c r="C127" s="9" t="str">
        <f>VLOOKUP($A127,[1]Sheet2!$I$2:$O$544,3,FALSE)</f>
        <v>KPB1</v>
      </c>
      <c r="D127" s="2" t="s">
        <v>167</v>
      </c>
      <c r="E127" s="15" t="str">
        <f>VLOOKUP($A127,[1]Sheet2!$I$2:$O$544,5,FALSE)</f>
        <v>2025-08-31</v>
      </c>
      <c r="F127" s="13" t="str">
        <f>VLOOKUP($A127,'[2]AHM-Q01-251105-2511051358'!$E$2:$H$376,4,FALSE)</f>
        <v>31/08/2025</v>
      </c>
      <c r="G127" s="15">
        <f t="shared" si="5"/>
        <v>-1</v>
      </c>
      <c r="H127" s="24">
        <f t="shared" si="6"/>
        <v>-1</v>
      </c>
      <c r="I127" s="13">
        <f t="shared" si="7"/>
        <v>0</v>
      </c>
      <c r="J127" s="17" t="s">
        <v>168</v>
      </c>
      <c r="K127" s="9" t="str">
        <f>VLOOKUP($A127,[1]Sheet2!$I$2:$O$544,6,FALSE)</f>
        <v>2025-10-22</v>
      </c>
      <c r="L127" s="17" t="s">
        <v>434</v>
      </c>
      <c r="M127" s="9">
        <f>VLOOKUP($A127,[1]Sheet2!$I$2:$O$544,4,FALSE)</f>
        <v>1010</v>
      </c>
      <c r="N127" s="10">
        <f t="shared" si="8"/>
        <v>0</v>
      </c>
      <c r="O127" s="10">
        <f t="shared" si="9"/>
        <v>0</v>
      </c>
    </row>
    <row r="128" spans="1:15" x14ac:dyDescent="0.2">
      <c r="A128" s="3" t="s">
        <v>436</v>
      </c>
      <c r="B128" s="17" t="s">
        <v>27</v>
      </c>
      <c r="C128" s="9" t="str">
        <f>VLOOKUP($A128,[1]Sheet2!$I$2:$O$544,3,FALSE)</f>
        <v>KPB2</v>
      </c>
      <c r="D128" s="2" t="s">
        <v>358</v>
      </c>
      <c r="E128" s="15" t="str">
        <f>VLOOKUP($A128,[1]Sheet2!$I$2:$O$544,5,FALSE)</f>
        <v>2025-06-05</v>
      </c>
      <c r="F128" s="13" t="str">
        <f>VLOOKUP($A128,'[2]AHM-Q01-251105-2511051358'!$E$2:$H$376,4,FALSE)</f>
        <v>05/06/2025</v>
      </c>
      <c r="G128" s="15">
        <f t="shared" si="5"/>
        <v>-4</v>
      </c>
      <c r="H128" s="24">
        <f t="shared" si="6"/>
        <v>-4</v>
      </c>
      <c r="I128" s="13">
        <f t="shared" si="7"/>
        <v>0</v>
      </c>
      <c r="J128" s="17" t="s">
        <v>100</v>
      </c>
      <c r="K128" s="9" t="str">
        <f>VLOOKUP($A128,[1]Sheet2!$I$2:$O$544,6,FALSE)</f>
        <v>2025-10-03</v>
      </c>
      <c r="L128" s="17" t="s">
        <v>437</v>
      </c>
      <c r="M128" s="9">
        <f>VLOOKUP($A128,[1]Sheet2!$I$2:$O$544,4,FALSE)</f>
        <v>2127</v>
      </c>
      <c r="N128" s="10">
        <f t="shared" si="8"/>
        <v>0</v>
      </c>
      <c r="O128" s="10">
        <f t="shared" si="9"/>
        <v>0</v>
      </c>
    </row>
    <row r="129" spans="1:15" x14ac:dyDescent="0.2">
      <c r="A129" s="3" t="s">
        <v>438</v>
      </c>
      <c r="B129" s="17" t="s">
        <v>27</v>
      </c>
      <c r="C129" s="9" t="str">
        <f>VLOOKUP($A129,[1]Sheet2!$I$2:$O$544,3,FALSE)</f>
        <v>KPB2</v>
      </c>
      <c r="D129" s="2" t="s">
        <v>439</v>
      </c>
      <c r="E129" s="15" t="str">
        <f>VLOOKUP($A129,[1]Sheet2!$I$2:$O$544,5,FALSE)</f>
        <v>2025-06-05</v>
      </c>
      <c r="F129" s="13" t="str">
        <f>VLOOKUP($A129,'[2]AHM-Q01-251105-2511051358'!$E$2:$H$376,4,FALSE)</f>
        <v>05/06/2025</v>
      </c>
      <c r="G129" s="15">
        <f t="shared" si="5"/>
        <v>-1</v>
      </c>
      <c r="H129" s="24">
        <f t="shared" si="6"/>
        <v>-1</v>
      </c>
      <c r="I129" s="13">
        <f t="shared" si="7"/>
        <v>0</v>
      </c>
      <c r="J129" s="17" t="s">
        <v>104</v>
      </c>
      <c r="K129" s="9" t="str">
        <f>VLOOKUP($A129,[1]Sheet2!$I$2:$O$544,6,FALSE)</f>
        <v>2025-10-06</v>
      </c>
      <c r="L129" s="17" t="s">
        <v>440</v>
      </c>
      <c r="M129" s="9">
        <f>VLOOKUP($A129,[1]Sheet2!$I$2:$O$544,4,FALSE)</f>
        <v>3604</v>
      </c>
      <c r="N129" s="10">
        <f t="shared" si="8"/>
        <v>0</v>
      </c>
      <c r="O129" s="10">
        <f t="shared" si="9"/>
        <v>0</v>
      </c>
    </row>
    <row r="130" spans="1:15" x14ac:dyDescent="0.2">
      <c r="A130" s="3" t="s">
        <v>441</v>
      </c>
      <c r="B130" s="17" t="s">
        <v>27</v>
      </c>
      <c r="C130" s="9" t="str">
        <f>VLOOKUP($A130,[1]Sheet2!$I$2:$O$544,3,FALSE)</f>
        <v>KPB2</v>
      </c>
      <c r="D130" s="2" t="s">
        <v>353</v>
      </c>
      <c r="E130" s="15" t="str">
        <f>VLOOKUP($A130,[1]Sheet2!$I$2:$O$544,5,FALSE)</f>
        <v>1970-01-01</v>
      </c>
      <c r="F130" s="13" t="str">
        <f>VLOOKUP($A130,'[2]AHM-Q01-251105-2511051358'!$E$2:$H$376,4,FALSE)</f>
        <v>09/06/2025</v>
      </c>
      <c r="G130" s="15">
        <f t="shared" ref="G130:G193" si="10">D130-E130</f>
        <v>20247</v>
      </c>
      <c r="H130" s="24">
        <f t="shared" ref="H130:H193" si="11">D130-F130</f>
        <v>-1</v>
      </c>
      <c r="I130" s="13">
        <f t="shared" ref="I130:I193" si="12">E130-F130</f>
        <v>-20248</v>
      </c>
      <c r="J130" s="17" t="s">
        <v>113</v>
      </c>
      <c r="K130" s="9" t="str">
        <f>VLOOKUP($A130,[1]Sheet2!$I$2:$O$544,6,FALSE)</f>
        <v>2025-10-07</v>
      </c>
      <c r="L130" s="17" t="s">
        <v>442</v>
      </c>
      <c r="M130" s="9">
        <f>VLOOKUP($A130,[1]Sheet2!$I$2:$O$544,4,FALSE)</f>
        <v>3375</v>
      </c>
      <c r="N130" s="10">
        <f t="shared" ref="N130:N193" si="13">K130-J130</f>
        <v>0</v>
      </c>
      <c r="O130" s="10">
        <f t="shared" ref="O130:O193" si="14">M130-L130</f>
        <v>0</v>
      </c>
    </row>
    <row r="131" spans="1:15" x14ac:dyDescent="0.2">
      <c r="A131" s="3" t="s">
        <v>443</v>
      </c>
      <c r="B131" s="17" t="s">
        <v>27</v>
      </c>
      <c r="C131" s="9" t="str">
        <f>VLOOKUP($A131,[1]Sheet2!$I$2:$O$544,3,FALSE)</f>
        <v>KPB2</v>
      </c>
      <c r="D131" s="2" t="s">
        <v>188</v>
      </c>
      <c r="E131" s="15" t="str">
        <f>VLOOKUP($A131,[1]Sheet2!$I$2:$O$544,5,FALSE)</f>
        <v>1970-01-01</v>
      </c>
      <c r="F131" s="13" t="str">
        <f>VLOOKUP($A131,'[2]AHM-Q01-251105-2511051358'!$E$2:$H$376,4,FALSE)</f>
        <v>09/06/2025</v>
      </c>
      <c r="G131" s="15">
        <f t="shared" si="10"/>
        <v>20248</v>
      </c>
      <c r="H131" s="24">
        <f t="shared" si="11"/>
        <v>0</v>
      </c>
      <c r="I131" s="13">
        <f t="shared" si="12"/>
        <v>-20248</v>
      </c>
      <c r="J131" s="17" t="s">
        <v>117</v>
      </c>
      <c r="K131" s="9" t="str">
        <f>VLOOKUP($A131,[1]Sheet2!$I$2:$O$544,6,FALSE)</f>
        <v>2025-10-09</v>
      </c>
      <c r="L131" s="17" t="s">
        <v>444</v>
      </c>
      <c r="M131" s="9">
        <f>VLOOKUP($A131,[1]Sheet2!$I$2:$O$544,4,FALSE)</f>
        <v>3814</v>
      </c>
      <c r="N131" s="10">
        <f t="shared" si="13"/>
        <v>0</v>
      </c>
      <c r="O131" s="10">
        <f t="shared" si="14"/>
        <v>0</v>
      </c>
    </row>
    <row r="132" spans="1:15" x14ac:dyDescent="0.2">
      <c r="A132" s="3" t="s">
        <v>445</v>
      </c>
      <c r="B132" s="17" t="s">
        <v>27</v>
      </c>
      <c r="C132" s="9" t="str">
        <f>VLOOKUP($A132,[1]Sheet2!$I$2:$O$544,3,FALSE)</f>
        <v>KPB2</v>
      </c>
      <c r="D132" s="2" t="s">
        <v>193</v>
      </c>
      <c r="E132" s="15" t="str">
        <f>VLOOKUP($A132,[1]Sheet2!$I$2:$O$544,5,FALSE)</f>
        <v>1970-01-01</v>
      </c>
      <c r="F132" s="13" t="str">
        <f>VLOOKUP($A132,'[2]AHM-Q01-251105-2511051358'!$E$2:$H$376,4,FALSE)</f>
        <v>10/06/2025</v>
      </c>
      <c r="G132" s="15">
        <f t="shared" si="10"/>
        <v>20249</v>
      </c>
      <c r="H132" s="24">
        <f t="shared" si="11"/>
        <v>0</v>
      </c>
      <c r="I132" s="13">
        <f t="shared" si="12"/>
        <v>-20249</v>
      </c>
      <c r="J132" s="17" t="s">
        <v>117</v>
      </c>
      <c r="K132" s="9" t="str">
        <f>VLOOKUP($A132,[1]Sheet2!$I$2:$O$544,6,FALSE)</f>
        <v>2025-10-09</v>
      </c>
      <c r="L132" s="17" t="s">
        <v>446</v>
      </c>
      <c r="M132" s="9">
        <f>VLOOKUP($A132,[1]Sheet2!$I$2:$O$544,4,FALSE)</f>
        <v>4052</v>
      </c>
      <c r="N132" s="10">
        <f t="shared" si="13"/>
        <v>0</v>
      </c>
      <c r="O132" s="10">
        <f t="shared" si="14"/>
        <v>0</v>
      </c>
    </row>
    <row r="133" spans="1:15" x14ac:dyDescent="0.2">
      <c r="A133" s="3" t="s">
        <v>447</v>
      </c>
      <c r="B133" s="17" t="s">
        <v>27</v>
      </c>
      <c r="C133" s="9" t="str">
        <f>VLOOKUP($A133,[1]Sheet2!$I$2:$O$544,3,FALSE)</f>
        <v>KPB2</v>
      </c>
      <c r="D133" s="2" t="s">
        <v>448</v>
      </c>
      <c r="E133" s="15" t="str">
        <f>VLOOKUP($A133,[1]Sheet2!$I$2:$O$544,5,FALSE)</f>
        <v>1970-01-01</v>
      </c>
      <c r="F133" s="13" t="str">
        <f>VLOOKUP($A133,'[2]AHM-Q01-251105-2511051358'!$E$2:$H$376,4,FALSE)</f>
        <v>11/06/2025</v>
      </c>
      <c r="G133" s="15">
        <f t="shared" si="10"/>
        <v>20250</v>
      </c>
      <c r="H133" s="24">
        <f t="shared" si="11"/>
        <v>0</v>
      </c>
      <c r="I133" s="13">
        <f t="shared" si="12"/>
        <v>-20250</v>
      </c>
      <c r="J133" s="17" t="s">
        <v>117</v>
      </c>
      <c r="K133" s="9" t="str">
        <f>VLOOKUP($A133,[1]Sheet2!$I$2:$O$544,6,FALSE)</f>
        <v>2025-10-09</v>
      </c>
      <c r="L133" s="17" t="s">
        <v>449</v>
      </c>
      <c r="M133" s="9">
        <f>VLOOKUP($A133,[1]Sheet2!$I$2:$O$544,4,FALSE)</f>
        <v>1582</v>
      </c>
      <c r="N133" s="10">
        <f t="shared" si="13"/>
        <v>0</v>
      </c>
      <c r="O133" s="10">
        <f t="shared" si="14"/>
        <v>0</v>
      </c>
    </row>
    <row r="134" spans="1:15" x14ac:dyDescent="0.2">
      <c r="A134" s="3" t="s">
        <v>450</v>
      </c>
      <c r="B134" s="17" t="s">
        <v>27</v>
      </c>
      <c r="C134" s="9" t="str">
        <f>VLOOKUP($A134,[1]Sheet2!$I$2:$O$544,3,FALSE)</f>
        <v>KPB2</v>
      </c>
      <c r="D134" s="2" t="s">
        <v>451</v>
      </c>
      <c r="E134" s="15" t="str">
        <f>VLOOKUP($A134,[1]Sheet2!$I$2:$O$544,5,FALSE)</f>
        <v>2025-06-14</v>
      </c>
      <c r="F134" s="13" t="str">
        <f>VLOOKUP($A134,'[2]AHM-Q01-251105-2511051358'!$E$2:$H$376,4,FALSE)</f>
        <v>14/06/2025</v>
      </c>
      <c r="G134" s="15">
        <f t="shared" si="10"/>
        <v>29</v>
      </c>
      <c r="H134" s="24">
        <f t="shared" si="11"/>
        <v>29</v>
      </c>
      <c r="I134" s="13">
        <f t="shared" si="12"/>
        <v>0</v>
      </c>
      <c r="J134" s="17" t="s">
        <v>128</v>
      </c>
      <c r="K134" s="9" t="str">
        <f>VLOOKUP($A134,[1]Sheet2!$I$2:$O$544,6,FALSE)</f>
        <v>2025-10-11</v>
      </c>
      <c r="L134" s="17" t="s">
        <v>452</v>
      </c>
      <c r="M134" s="9">
        <f>VLOOKUP($A134,[1]Sheet2!$I$2:$O$544,4,FALSE)</f>
        <v>1232</v>
      </c>
      <c r="N134" s="10">
        <f t="shared" si="13"/>
        <v>0</v>
      </c>
      <c r="O134" s="10">
        <f t="shared" si="14"/>
        <v>0</v>
      </c>
    </row>
    <row r="135" spans="1:15" x14ac:dyDescent="0.2">
      <c r="A135" s="3" t="s">
        <v>453</v>
      </c>
      <c r="B135" s="17" t="s">
        <v>27</v>
      </c>
      <c r="C135" s="9" t="str">
        <f>VLOOKUP($A135,[1]Sheet2!$I$2:$O$544,3,FALSE)</f>
        <v>KPB2</v>
      </c>
      <c r="D135" s="2" t="s">
        <v>454</v>
      </c>
      <c r="E135" s="15" t="str">
        <f>VLOOKUP($A135,[1]Sheet2!$I$2:$O$544,5,FALSE)</f>
        <v>2025-06-16</v>
      </c>
      <c r="F135" s="13" t="str">
        <f>VLOOKUP($A135,'[2]AHM-Q01-251105-2511051358'!$E$2:$H$376,4,FALSE)</f>
        <v>16/06/2025</v>
      </c>
      <c r="G135" s="15">
        <f t="shared" si="10"/>
        <v>0</v>
      </c>
      <c r="H135" s="24">
        <f t="shared" si="11"/>
        <v>0</v>
      </c>
      <c r="I135" s="13">
        <f t="shared" si="12"/>
        <v>0</v>
      </c>
      <c r="J135" s="17" t="s">
        <v>141</v>
      </c>
      <c r="K135" s="9" t="str">
        <f>VLOOKUP($A135,[1]Sheet2!$I$2:$O$544,6,FALSE)</f>
        <v>2025-10-15</v>
      </c>
      <c r="L135" s="17" t="s">
        <v>455</v>
      </c>
      <c r="M135" s="9">
        <f>VLOOKUP($A135,[1]Sheet2!$I$2:$O$544,4,FALSE)</f>
        <v>2912</v>
      </c>
      <c r="N135" s="10">
        <f t="shared" si="13"/>
        <v>0</v>
      </c>
      <c r="O135" s="10">
        <f t="shared" si="14"/>
        <v>0</v>
      </c>
    </row>
    <row r="136" spans="1:15" x14ac:dyDescent="0.2">
      <c r="A136" s="3" t="s">
        <v>456</v>
      </c>
      <c r="B136" s="17" t="s">
        <v>27</v>
      </c>
      <c r="C136" s="9" t="str">
        <f>VLOOKUP($A136,[1]Sheet2!$I$2:$O$544,3,FALSE)</f>
        <v>KPB2</v>
      </c>
      <c r="D136" s="2" t="s">
        <v>457</v>
      </c>
      <c r="E136" s="15" t="str">
        <f>VLOOKUP($A136,[1]Sheet2!$I$2:$O$544,5,FALSE)</f>
        <v>2025-06-18</v>
      </c>
      <c r="F136" s="13" t="str">
        <f>VLOOKUP($A136,'[2]AHM-Q01-251105-2511051358'!$E$2:$H$376,4,FALSE)</f>
        <v>18/06/2025</v>
      </c>
      <c r="G136" s="15">
        <f t="shared" si="10"/>
        <v>0</v>
      </c>
      <c r="H136" s="24">
        <f t="shared" si="11"/>
        <v>0</v>
      </c>
      <c r="I136" s="13">
        <f t="shared" si="12"/>
        <v>0</v>
      </c>
      <c r="J136" s="17" t="s">
        <v>458</v>
      </c>
      <c r="K136" s="9" t="str">
        <f>VLOOKUP($A136,[1]Sheet2!$I$2:$O$544,6,FALSE)</f>
        <v>2025-10-16</v>
      </c>
      <c r="L136" s="17" t="s">
        <v>459</v>
      </c>
      <c r="M136" s="9">
        <f>VLOOKUP($A136,[1]Sheet2!$I$2:$O$544,4,FALSE)</f>
        <v>3224</v>
      </c>
      <c r="N136" s="10">
        <f t="shared" si="13"/>
        <v>0</v>
      </c>
      <c r="O136" s="10">
        <f t="shared" si="14"/>
        <v>0</v>
      </c>
    </row>
    <row r="137" spans="1:15" x14ac:dyDescent="0.2">
      <c r="A137" s="3" t="s">
        <v>460</v>
      </c>
      <c r="B137" s="17" t="s">
        <v>27</v>
      </c>
      <c r="C137" s="9" t="str">
        <f>VLOOKUP($A137,[1]Sheet2!$I$2:$O$544,3,FALSE)</f>
        <v>KPB2</v>
      </c>
      <c r="D137" s="2" t="s">
        <v>457</v>
      </c>
      <c r="E137" s="15" t="str">
        <f>VLOOKUP($A137,[1]Sheet2!$I$2:$O$544,5,FALSE)</f>
        <v>2025-06-18</v>
      </c>
      <c r="F137" s="13" t="str">
        <f>VLOOKUP($A137,'[2]AHM-Q01-251105-2511051358'!$E$2:$H$376,4,FALSE)</f>
        <v>18/06/2025</v>
      </c>
      <c r="G137" s="15">
        <f t="shared" si="10"/>
        <v>0</v>
      </c>
      <c r="H137" s="24">
        <f t="shared" si="11"/>
        <v>0</v>
      </c>
      <c r="I137" s="13">
        <f t="shared" si="12"/>
        <v>0</v>
      </c>
      <c r="J137" s="17" t="s">
        <v>458</v>
      </c>
      <c r="K137" s="9" t="str">
        <f>VLOOKUP($A137,[1]Sheet2!$I$2:$O$544,6,FALSE)</f>
        <v>2025-10-16</v>
      </c>
      <c r="L137" s="17" t="s">
        <v>461</v>
      </c>
      <c r="M137" s="9">
        <f>VLOOKUP($A137,[1]Sheet2!$I$2:$O$544,4,FALSE)</f>
        <v>1114</v>
      </c>
      <c r="N137" s="10">
        <f t="shared" si="13"/>
        <v>0</v>
      </c>
      <c r="O137" s="10">
        <f t="shared" si="14"/>
        <v>0</v>
      </c>
    </row>
    <row r="138" spans="1:15" x14ac:dyDescent="0.2">
      <c r="A138" s="3" t="s">
        <v>462</v>
      </c>
      <c r="B138" s="17" t="s">
        <v>27</v>
      </c>
      <c r="C138" s="9" t="str">
        <f>VLOOKUP($A138,[1]Sheet2!$I$2:$O$544,3,FALSE)</f>
        <v>KPB2</v>
      </c>
      <c r="D138" s="2" t="s">
        <v>463</v>
      </c>
      <c r="E138" s="15" t="str">
        <f>VLOOKUP($A138,[1]Sheet2!$I$2:$O$544,5,FALSE)</f>
        <v>2025-06-23</v>
      </c>
      <c r="F138" s="13" t="str">
        <f>VLOOKUP($A138,'[2]AHM-Q01-251105-2511051358'!$E$2:$H$376,4,FALSE)</f>
        <v>23/06/2025</v>
      </c>
      <c r="G138" s="15">
        <f t="shared" si="10"/>
        <v>0</v>
      </c>
      <c r="H138" s="24">
        <f t="shared" si="11"/>
        <v>0</v>
      </c>
      <c r="I138" s="13">
        <f t="shared" si="12"/>
        <v>0</v>
      </c>
      <c r="J138" s="17" t="s">
        <v>216</v>
      </c>
      <c r="K138" s="9" t="str">
        <f>VLOOKUP($A138,[1]Sheet2!$I$2:$O$544,6,FALSE)</f>
        <v>2025-10-20</v>
      </c>
      <c r="L138" s="17" t="s">
        <v>464</v>
      </c>
      <c r="M138" s="9">
        <f>VLOOKUP($A138,[1]Sheet2!$I$2:$O$544,4,FALSE)</f>
        <v>1233</v>
      </c>
      <c r="N138" s="10">
        <f t="shared" si="13"/>
        <v>0</v>
      </c>
      <c r="O138" s="10">
        <f t="shared" si="14"/>
        <v>0</v>
      </c>
    </row>
    <row r="139" spans="1:15" x14ac:dyDescent="0.2">
      <c r="A139" s="3" t="s">
        <v>465</v>
      </c>
      <c r="B139" s="17" t="s">
        <v>27</v>
      </c>
      <c r="C139" s="9" t="str">
        <f>VLOOKUP($A139,[1]Sheet2!$I$2:$O$544,3,FALSE)</f>
        <v>KPB2</v>
      </c>
      <c r="D139" s="2" t="s">
        <v>466</v>
      </c>
      <c r="E139" s="15" t="str">
        <f>VLOOKUP($A139,[1]Sheet2!$I$2:$O$544,5,FALSE)</f>
        <v>2025-06-26</v>
      </c>
      <c r="F139" s="13" t="str">
        <f>VLOOKUP($A139,'[2]AHM-Q01-251105-2511051358'!$E$2:$H$376,4,FALSE)</f>
        <v>26/06/2025</v>
      </c>
      <c r="G139" s="15">
        <f t="shared" si="10"/>
        <v>0</v>
      </c>
      <c r="H139" s="24">
        <f t="shared" si="11"/>
        <v>0</v>
      </c>
      <c r="I139" s="13">
        <f t="shared" si="12"/>
        <v>0</v>
      </c>
      <c r="J139" s="17" t="s">
        <v>164</v>
      </c>
      <c r="K139" s="9" t="str">
        <f>VLOOKUP($A139,[1]Sheet2!$I$2:$O$544,6,FALSE)</f>
        <v>2025-10-21</v>
      </c>
      <c r="L139" s="17" t="s">
        <v>467</v>
      </c>
      <c r="M139" s="9">
        <f>VLOOKUP($A139,[1]Sheet2!$I$2:$O$544,4,FALSE)</f>
        <v>3972</v>
      </c>
      <c r="N139" s="10">
        <f t="shared" si="13"/>
        <v>0</v>
      </c>
      <c r="O139" s="10">
        <f t="shared" si="14"/>
        <v>0</v>
      </c>
    </row>
    <row r="140" spans="1:15" x14ac:dyDescent="0.2">
      <c r="A140" s="3" t="s">
        <v>468</v>
      </c>
      <c r="B140" s="17" t="s">
        <v>27</v>
      </c>
      <c r="C140" s="9" t="str">
        <f>VLOOKUP($A140,[1]Sheet2!$I$2:$O$544,3,FALSE)</f>
        <v>KPB2</v>
      </c>
      <c r="D140" s="2" t="s">
        <v>222</v>
      </c>
      <c r="E140" s="15" t="str">
        <f>VLOOKUP($A140,[1]Sheet2!$I$2:$O$544,5,FALSE)</f>
        <v>2025-06-28</v>
      </c>
      <c r="F140" s="13" t="str">
        <f>VLOOKUP($A140,'[2]AHM-Q01-251105-2511051358'!$E$2:$H$376,4,FALSE)</f>
        <v>28/06/2025</v>
      </c>
      <c r="G140" s="15">
        <f t="shared" si="10"/>
        <v>0</v>
      </c>
      <c r="H140" s="24">
        <f t="shared" si="11"/>
        <v>0</v>
      </c>
      <c r="I140" s="13">
        <f t="shared" si="12"/>
        <v>0</v>
      </c>
      <c r="J140" s="17" t="s">
        <v>164</v>
      </c>
      <c r="K140" s="9" t="str">
        <f>VLOOKUP($A140,[1]Sheet2!$I$2:$O$544,6,FALSE)</f>
        <v>2025-10-21</v>
      </c>
      <c r="L140" s="17" t="s">
        <v>469</v>
      </c>
      <c r="M140" s="9">
        <f>VLOOKUP($A140,[1]Sheet2!$I$2:$O$544,4,FALSE)</f>
        <v>1885</v>
      </c>
      <c r="N140" s="10">
        <f t="shared" si="13"/>
        <v>0</v>
      </c>
      <c r="O140" s="10">
        <f t="shared" si="14"/>
        <v>0</v>
      </c>
    </row>
    <row r="141" spans="1:15" x14ac:dyDescent="0.2">
      <c r="A141" s="3" t="s">
        <v>470</v>
      </c>
      <c r="B141" s="17" t="s">
        <v>33</v>
      </c>
      <c r="C141" s="9" t="str">
        <f>VLOOKUP($A141,[1]Sheet2!$I$2:$O$544,3,FALSE)</f>
        <v>KPB3</v>
      </c>
      <c r="D141" s="2" t="s">
        <v>471</v>
      </c>
      <c r="E141" s="15" t="str">
        <f>VLOOKUP($A141,[1]Sheet2!$I$2:$O$544,5,FALSE)</f>
        <v>1970-01-01</v>
      </c>
      <c r="F141" s="13" t="str">
        <f>VLOOKUP($A141,'[2]AHM-Q01-251105-2511051358'!$E$2:$H$376,4,FALSE)</f>
        <v>05/02/2025</v>
      </c>
      <c r="G141" s="15">
        <f t="shared" si="10"/>
        <v>20124</v>
      </c>
      <c r="H141" s="24">
        <f t="shared" si="11"/>
        <v>0</v>
      </c>
      <c r="I141" s="13">
        <f t="shared" si="12"/>
        <v>-20124</v>
      </c>
      <c r="J141" s="17" t="s">
        <v>113</v>
      </c>
      <c r="K141" s="9" t="str">
        <f>VLOOKUP($A141,[1]Sheet2!$I$2:$O$544,6,FALSE)</f>
        <v>2025-10-07</v>
      </c>
      <c r="L141" s="17" t="s">
        <v>472</v>
      </c>
      <c r="M141" s="9">
        <f>VLOOKUP($A141,[1]Sheet2!$I$2:$O$544,4,FALSE)</f>
        <v>5592</v>
      </c>
      <c r="N141" s="10">
        <f t="shared" si="13"/>
        <v>0</v>
      </c>
      <c r="O141" s="10">
        <f t="shared" si="14"/>
        <v>0</v>
      </c>
    </row>
    <row r="142" spans="1:15" x14ac:dyDescent="0.2">
      <c r="A142" s="3" t="s">
        <v>473</v>
      </c>
      <c r="B142" s="17" t="s">
        <v>33</v>
      </c>
      <c r="C142" s="9" t="str">
        <f>VLOOKUP($A142,[1]Sheet2!$I$2:$O$544,3,FALSE)</f>
        <v>KPB3</v>
      </c>
      <c r="D142" s="2" t="s">
        <v>474</v>
      </c>
      <c r="E142" s="15" t="str">
        <f>VLOOKUP($A142,[1]Sheet2!$I$2:$O$544,5,FALSE)</f>
        <v>2025-02-12</v>
      </c>
      <c r="F142" s="13" t="str">
        <f>VLOOKUP($A142,'[2]AHM-Q01-251105-2511051358'!$E$2:$H$376,4,FALSE)</f>
        <v>12/02/2025</v>
      </c>
      <c r="G142" s="15">
        <f t="shared" si="10"/>
        <v>-1</v>
      </c>
      <c r="H142" s="24">
        <f t="shared" si="11"/>
        <v>-1</v>
      </c>
      <c r="I142" s="13">
        <f t="shared" si="12"/>
        <v>0</v>
      </c>
      <c r="J142" s="17" t="s">
        <v>121</v>
      </c>
      <c r="K142" s="9" t="str">
        <f>VLOOKUP($A142,[1]Sheet2!$I$2:$O$544,6,FALSE)</f>
        <v>2025-10-10</v>
      </c>
      <c r="L142" s="17" t="s">
        <v>475</v>
      </c>
      <c r="M142" s="9">
        <f>VLOOKUP($A142,[1]Sheet2!$I$2:$O$544,4,FALSE)</f>
        <v>5007</v>
      </c>
      <c r="N142" s="10">
        <f t="shared" si="13"/>
        <v>0</v>
      </c>
      <c r="O142" s="10">
        <f t="shared" si="14"/>
        <v>0</v>
      </c>
    </row>
    <row r="143" spans="1:15" x14ac:dyDescent="0.2">
      <c r="A143" s="3" t="s">
        <v>476</v>
      </c>
      <c r="B143" s="17" t="s">
        <v>33</v>
      </c>
      <c r="C143" s="9" t="str">
        <f>VLOOKUP($A143,[1]Sheet2!$I$2:$O$544,3,FALSE)</f>
        <v>KPB3</v>
      </c>
      <c r="D143" s="2" t="s">
        <v>477</v>
      </c>
      <c r="E143" s="15" t="str">
        <f>VLOOKUP($A143,[1]Sheet2!$I$2:$O$544,5,FALSE)</f>
        <v>2025-02-12</v>
      </c>
      <c r="F143" s="13" t="str">
        <f>VLOOKUP($A143,'[2]AHM-Q01-251105-2511051358'!$E$2:$H$376,4,FALSE)</f>
        <v>12/02/2025</v>
      </c>
      <c r="G143" s="15">
        <f t="shared" si="10"/>
        <v>0</v>
      </c>
      <c r="H143" s="24">
        <f t="shared" si="11"/>
        <v>0</v>
      </c>
      <c r="I143" s="13">
        <f t="shared" si="12"/>
        <v>0</v>
      </c>
      <c r="J143" s="17" t="s">
        <v>128</v>
      </c>
      <c r="K143" s="9" t="str">
        <f>VLOOKUP($A143,[1]Sheet2!$I$2:$O$544,6,FALSE)</f>
        <v>2025-10-11</v>
      </c>
      <c r="L143" s="17" t="s">
        <v>478</v>
      </c>
      <c r="M143" s="9">
        <f>VLOOKUP($A143,[1]Sheet2!$I$2:$O$544,4,FALSE)</f>
        <v>6402</v>
      </c>
      <c r="N143" s="10">
        <f t="shared" si="13"/>
        <v>0</v>
      </c>
      <c r="O143" s="10">
        <f t="shared" si="14"/>
        <v>0</v>
      </c>
    </row>
    <row r="144" spans="1:15" x14ac:dyDescent="0.2">
      <c r="A144" s="3" t="s">
        <v>479</v>
      </c>
      <c r="B144" s="17" t="s">
        <v>33</v>
      </c>
      <c r="C144" s="9" t="str">
        <f>VLOOKUP($A144,[1]Sheet2!$I$2:$O$544,3,FALSE)</f>
        <v>KPB3</v>
      </c>
      <c r="D144" s="2" t="s">
        <v>231</v>
      </c>
      <c r="E144" s="15" t="str">
        <f>VLOOKUP($A144,[1]Sheet2!$I$2:$O$544,5,FALSE)</f>
        <v>2025-02-06</v>
      </c>
      <c r="F144" s="13" t="str">
        <f>VLOOKUP($A144,'[2]AHM-Q01-251105-2511051358'!$E$2:$H$376,4,FALSE)</f>
        <v>06/02/2025</v>
      </c>
      <c r="G144" s="15">
        <f t="shared" si="10"/>
        <v>0</v>
      </c>
      <c r="H144" s="24">
        <f t="shared" si="11"/>
        <v>0</v>
      </c>
      <c r="I144" s="13">
        <f t="shared" si="12"/>
        <v>0</v>
      </c>
      <c r="J144" s="17" t="s">
        <v>141</v>
      </c>
      <c r="K144" s="9" t="str">
        <f>VLOOKUP($A144,[1]Sheet2!$I$2:$O$544,6,FALSE)</f>
        <v>2025-10-15</v>
      </c>
      <c r="L144" s="17" t="s">
        <v>480</v>
      </c>
      <c r="M144" s="9">
        <f>VLOOKUP($A144,[1]Sheet2!$I$2:$O$544,4,FALSE)</f>
        <v>6367</v>
      </c>
      <c r="N144" s="10">
        <f t="shared" si="13"/>
        <v>0</v>
      </c>
      <c r="O144" s="10">
        <f t="shared" si="14"/>
        <v>0</v>
      </c>
    </row>
    <row r="145" spans="1:15" x14ac:dyDescent="0.2">
      <c r="A145" s="3" t="s">
        <v>481</v>
      </c>
      <c r="B145" s="17" t="s">
        <v>33</v>
      </c>
      <c r="C145" s="9" t="str">
        <f>VLOOKUP($A145,[1]Sheet2!$I$2:$O$544,3,FALSE)</f>
        <v>KPB3</v>
      </c>
      <c r="D145" s="2" t="s">
        <v>371</v>
      </c>
      <c r="E145" s="15" t="str">
        <f>VLOOKUP($A145,[1]Sheet2!$I$2:$O$544,5,FALSE)</f>
        <v>2025-02-09</v>
      </c>
      <c r="F145" s="13" t="str">
        <f>VLOOKUP($A145,'[2]AHM-Q01-251105-2511051358'!$E$2:$H$376,4,FALSE)</f>
        <v>09/02/2025</v>
      </c>
      <c r="G145" s="15">
        <f t="shared" si="10"/>
        <v>-1</v>
      </c>
      <c r="H145" s="24">
        <f t="shared" si="11"/>
        <v>-1</v>
      </c>
      <c r="I145" s="13">
        <f t="shared" si="12"/>
        <v>0</v>
      </c>
      <c r="J145" s="17" t="s">
        <v>141</v>
      </c>
      <c r="K145" s="9" t="str">
        <f>VLOOKUP($A145,[1]Sheet2!$I$2:$O$544,6,FALSE)</f>
        <v>2025-10-15</v>
      </c>
      <c r="L145" s="17" t="s">
        <v>482</v>
      </c>
      <c r="M145" s="9">
        <f>VLOOKUP($A145,[1]Sheet2!$I$2:$O$544,4,FALSE)</f>
        <v>4730</v>
      </c>
      <c r="N145" s="10">
        <f t="shared" si="13"/>
        <v>0</v>
      </c>
      <c r="O145" s="10">
        <f t="shared" si="14"/>
        <v>0</v>
      </c>
    </row>
    <row r="146" spans="1:15" x14ac:dyDescent="0.2">
      <c r="A146" s="3" t="s">
        <v>483</v>
      </c>
      <c r="B146" s="17" t="s">
        <v>33</v>
      </c>
      <c r="C146" s="9" t="str">
        <f>VLOOKUP($A146,[1]Sheet2!$I$2:$O$544,3,FALSE)</f>
        <v>KPB3</v>
      </c>
      <c r="D146" s="2" t="s">
        <v>374</v>
      </c>
      <c r="E146" s="15" t="str">
        <f>VLOOKUP($A146,[1]Sheet2!$I$2:$O$544,5,FALSE)</f>
        <v>2025-02-10</v>
      </c>
      <c r="F146" s="13" t="str">
        <f>VLOOKUP($A146,'[2]AHM-Q01-251105-2511051358'!$E$2:$H$376,4,FALSE)</f>
        <v>10/02/2025</v>
      </c>
      <c r="G146" s="15">
        <f t="shared" si="10"/>
        <v>0</v>
      </c>
      <c r="H146" s="24">
        <f t="shared" si="11"/>
        <v>0</v>
      </c>
      <c r="I146" s="13">
        <f t="shared" si="12"/>
        <v>0</v>
      </c>
      <c r="J146" s="17" t="s">
        <v>141</v>
      </c>
      <c r="K146" s="9" t="str">
        <f>VLOOKUP($A146,[1]Sheet2!$I$2:$O$544,6,FALSE)</f>
        <v>2025-10-15</v>
      </c>
      <c r="L146" s="17" t="s">
        <v>484</v>
      </c>
      <c r="M146" s="9">
        <f>VLOOKUP($A146,[1]Sheet2!$I$2:$O$544,4,FALSE)</f>
        <v>5112</v>
      </c>
      <c r="N146" s="10">
        <f t="shared" si="13"/>
        <v>0</v>
      </c>
      <c r="O146" s="10">
        <f t="shared" si="14"/>
        <v>0</v>
      </c>
    </row>
    <row r="147" spans="1:15" x14ac:dyDescent="0.2">
      <c r="A147" s="3" t="s">
        <v>485</v>
      </c>
      <c r="B147" s="17" t="s">
        <v>33</v>
      </c>
      <c r="C147" s="9" t="str">
        <f>VLOOKUP($A147,[1]Sheet2!$I$2:$O$544,3,FALSE)</f>
        <v>KPB3</v>
      </c>
      <c r="D147" s="2" t="s">
        <v>477</v>
      </c>
      <c r="E147" s="15" t="str">
        <f>VLOOKUP($A147,[1]Sheet2!$I$2:$O$544,5,FALSE)</f>
        <v>2025-02-13</v>
      </c>
      <c r="F147" s="13" t="str">
        <f>VLOOKUP($A147,'[2]AHM-Q01-251105-2511051358'!$E$2:$H$376,4,FALSE)</f>
        <v>13/02/2025</v>
      </c>
      <c r="G147" s="15">
        <f t="shared" si="10"/>
        <v>-1</v>
      </c>
      <c r="H147" s="24">
        <f t="shared" si="11"/>
        <v>-1</v>
      </c>
      <c r="I147" s="13">
        <f t="shared" si="12"/>
        <v>0</v>
      </c>
      <c r="J147" s="17" t="s">
        <v>141</v>
      </c>
      <c r="K147" s="9" t="str">
        <f>VLOOKUP($A147,[1]Sheet2!$I$2:$O$544,6,FALSE)</f>
        <v>2025-10-15</v>
      </c>
      <c r="L147" s="17" t="s">
        <v>486</v>
      </c>
      <c r="M147" s="9">
        <f>VLOOKUP($A147,[1]Sheet2!$I$2:$O$544,4,FALSE)</f>
        <v>5919</v>
      </c>
      <c r="N147" s="10">
        <f t="shared" si="13"/>
        <v>0</v>
      </c>
      <c r="O147" s="10">
        <f t="shared" si="14"/>
        <v>0</v>
      </c>
    </row>
    <row r="148" spans="1:15" x14ac:dyDescent="0.2">
      <c r="A148" s="3" t="s">
        <v>487</v>
      </c>
      <c r="B148" s="17" t="s">
        <v>33</v>
      </c>
      <c r="C148" s="9" t="str">
        <f>VLOOKUP($A148,[1]Sheet2!$I$2:$O$544,3,FALSE)</f>
        <v>KPB3</v>
      </c>
      <c r="D148" s="2" t="s">
        <v>234</v>
      </c>
      <c r="E148" s="15" t="str">
        <f>VLOOKUP($A148,[1]Sheet2!$I$2:$O$544,5,FALSE)</f>
        <v>2025-02-18</v>
      </c>
      <c r="F148" s="13" t="str">
        <f>VLOOKUP($A148,'[2]AHM-Q01-251105-2511051358'!$E$2:$H$376,4,FALSE)</f>
        <v>18/02/2025</v>
      </c>
      <c r="G148" s="15">
        <f t="shared" si="10"/>
        <v>-3</v>
      </c>
      <c r="H148" s="24">
        <f t="shared" si="11"/>
        <v>-3</v>
      </c>
      <c r="I148" s="13">
        <f t="shared" si="12"/>
        <v>0</v>
      </c>
      <c r="J148" s="17" t="s">
        <v>141</v>
      </c>
      <c r="K148" s="9" t="str">
        <f>VLOOKUP($A148,[1]Sheet2!$I$2:$O$544,6,FALSE)</f>
        <v>2025-10-15</v>
      </c>
      <c r="L148" s="17" t="s">
        <v>480</v>
      </c>
      <c r="M148" s="9">
        <f>VLOOKUP($A148,[1]Sheet2!$I$2:$O$544,4,FALSE)</f>
        <v>6367</v>
      </c>
      <c r="N148" s="10">
        <f t="shared" si="13"/>
        <v>0</v>
      </c>
      <c r="O148" s="10">
        <f t="shared" si="14"/>
        <v>0</v>
      </c>
    </row>
    <row r="149" spans="1:15" x14ac:dyDescent="0.2">
      <c r="A149" s="3" t="s">
        <v>488</v>
      </c>
      <c r="B149" s="17" t="s">
        <v>33</v>
      </c>
      <c r="C149" s="9" t="str">
        <f>VLOOKUP($A149,[1]Sheet2!$I$2:$O$544,3,FALSE)</f>
        <v>KPB3</v>
      </c>
      <c r="D149" s="2" t="s">
        <v>489</v>
      </c>
      <c r="E149" s="15" t="str">
        <f>VLOOKUP($A149,[1]Sheet2!$I$2:$O$544,5,FALSE)</f>
        <v>2025-02-21</v>
      </c>
      <c r="F149" s="13" t="str">
        <f>VLOOKUP($A149,'[2]AHM-Q01-251105-2511051358'!$E$2:$H$376,4,FALSE)</f>
        <v>21/02/2025</v>
      </c>
      <c r="G149" s="15">
        <f t="shared" si="10"/>
        <v>-1</v>
      </c>
      <c r="H149" s="24">
        <f t="shared" si="11"/>
        <v>-1</v>
      </c>
      <c r="I149" s="13">
        <f t="shared" si="12"/>
        <v>0</v>
      </c>
      <c r="J149" s="17" t="s">
        <v>154</v>
      </c>
      <c r="K149" s="9" t="str">
        <f>VLOOKUP($A149,[1]Sheet2!$I$2:$O$544,6,FALSE)</f>
        <v>2025-10-18</v>
      </c>
      <c r="L149" s="17" t="s">
        <v>490</v>
      </c>
      <c r="M149" s="9">
        <f>VLOOKUP($A149,[1]Sheet2!$I$2:$O$544,4,FALSE)</f>
        <v>4641</v>
      </c>
      <c r="N149" s="10">
        <f t="shared" si="13"/>
        <v>0</v>
      </c>
      <c r="O149" s="10">
        <f t="shared" si="14"/>
        <v>0</v>
      </c>
    </row>
    <row r="150" spans="1:15" x14ac:dyDescent="0.2">
      <c r="A150" s="3" t="s">
        <v>491</v>
      </c>
      <c r="B150" s="17" t="s">
        <v>33</v>
      </c>
      <c r="C150" s="9" t="str">
        <f>VLOOKUP($A150,[1]Sheet2!$I$2:$O$544,3,FALSE)</f>
        <v>KPB3</v>
      </c>
      <c r="D150" s="2" t="s">
        <v>240</v>
      </c>
      <c r="E150" s="15" t="str">
        <f>VLOOKUP($A150,[1]Sheet2!$I$2:$O$544,5,FALSE)</f>
        <v>2025-02-22</v>
      </c>
      <c r="F150" s="13" t="str">
        <f>VLOOKUP($A150,'[2]AHM-Q01-251105-2511051358'!$E$2:$H$376,4,FALSE)</f>
        <v>22/02/2025</v>
      </c>
      <c r="G150" s="15">
        <f t="shared" si="10"/>
        <v>0</v>
      </c>
      <c r="H150" s="24">
        <f t="shared" si="11"/>
        <v>0</v>
      </c>
      <c r="I150" s="13">
        <f t="shared" si="12"/>
        <v>0</v>
      </c>
      <c r="J150" s="17" t="s">
        <v>216</v>
      </c>
      <c r="K150" s="9" t="str">
        <f>VLOOKUP($A150,[1]Sheet2!$I$2:$O$544,6,FALSE)</f>
        <v>2025-10-20</v>
      </c>
      <c r="L150" s="17" t="s">
        <v>492</v>
      </c>
      <c r="M150" s="9">
        <f>VLOOKUP($A150,[1]Sheet2!$I$2:$O$544,4,FALSE)</f>
        <v>4475</v>
      </c>
      <c r="N150" s="10">
        <f t="shared" si="13"/>
        <v>0</v>
      </c>
      <c r="O150" s="10">
        <f t="shared" si="14"/>
        <v>0</v>
      </c>
    </row>
    <row r="151" spans="1:15" x14ac:dyDescent="0.2">
      <c r="A151" s="3" t="s">
        <v>493</v>
      </c>
      <c r="B151" s="17" t="s">
        <v>38</v>
      </c>
      <c r="C151" s="9" t="str">
        <f>VLOOKUP($A151,[1]Sheet2!$I$2:$O$544,3,FALSE)</f>
        <v>KPB4</v>
      </c>
      <c r="D151" s="2" t="s">
        <v>243</v>
      </c>
      <c r="E151" s="15" t="str">
        <f>VLOOKUP($A151,[1]Sheet2!$I$2:$O$544,5,FALSE)</f>
        <v>2024-10-01</v>
      </c>
      <c r="F151" s="13" t="str">
        <f>VLOOKUP($A151,'[2]AHM-Q01-251105-2511051358'!$E$2:$H$376,4,FALSE)</f>
        <v>01/10/2024</v>
      </c>
      <c r="G151" s="15">
        <f t="shared" si="10"/>
        <v>0</v>
      </c>
      <c r="H151" s="24">
        <f t="shared" si="11"/>
        <v>0</v>
      </c>
      <c r="I151" s="13">
        <f t="shared" si="12"/>
        <v>0</v>
      </c>
      <c r="J151" s="17" t="s">
        <v>179</v>
      </c>
      <c r="K151" s="9" t="str">
        <f>VLOOKUP($A151,[1]Sheet2!$I$2:$O$544,6,FALSE)</f>
        <v>2025-10-04</v>
      </c>
      <c r="L151" s="17" t="s">
        <v>494</v>
      </c>
      <c r="M151" s="9">
        <f>VLOOKUP($A151,[1]Sheet2!$I$2:$O$544,4,FALSE)</f>
        <v>11726</v>
      </c>
      <c r="N151" s="10">
        <f t="shared" si="13"/>
        <v>0</v>
      </c>
      <c r="O151" s="10">
        <f t="shared" si="14"/>
        <v>0</v>
      </c>
    </row>
    <row r="152" spans="1:15" x14ac:dyDescent="0.2">
      <c r="A152" s="3" t="s">
        <v>495</v>
      </c>
      <c r="B152" s="17" t="s">
        <v>38</v>
      </c>
      <c r="C152" s="9" t="str">
        <f>VLOOKUP($A152,[1]Sheet2!$I$2:$O$544,3,FALSE)</f>
        <v>KPB4</v>
      </c>
      <c r="D152" s="2" t="s">
        <v>496</v>
      </c>
      <c r="E152" s="15" t="str">
        <f>VLOOKUP($A152,[1]Sheet2!$I$2:$O$544,5,FALSE)</f>
        <v>2024-10-03</v>
      </c>
      <c r="F152" s="13" t="str">
        <f>VLOOKUP($A152,'[2]AHM-Q01-251105-2511051358'!$E$2:$H$376,4,FALSE)</f>
        <v>03/10/2024</v>
      </c>
      <c r="G152" s="15">
        <f t="shared" si="10"/>
        <v>0</v>
      </c>
      <c r="H152" s="24">
        <f t="shared" si="11"/>
        <v>0</v>
      </c>
      <c r="I152" s="13">
        <f t="shared" si="12"/>
        <v>0</v>
      </c>
      <c r="J152" s="17" t="s">
        <v>179</v>
      </c>
      <c r="K152" s="9" t="str">
        <f>VLOOKUP($A152,[1]Sheet2!$I$2:$O$544,6,FALSE)</f>
        <v>2025-10-04</v>
      </c>
      <c r="L152" s="17" t="s">
        <v>497</v>
      </c>
      <c r="M152" s="9">
        <f>VLOOKUP($A152,[1]Sheet2!$I$2:$O$544,4,FALSE)</f>
        <v>9602</v>
      </c>
      <c r="N152" s="10">
        <f t="shared" si="13"/>
        <v>0</v>
      </c>
      <c r="O152" s="10">
        <f t="shared" si="14"/>
        <v>0</v>
      </c>
    </row>
    <row r="153" spans="1:15" x14ac:dyDescent="0.2">
      <c r="A153" s="3" t="s">
        <v>498</v>
      </c>
      <c r="B153" s="17" t="s">
        <v>38</v>
      </c>
      <c r="C153" s="9" t="str">
        <f>VLOOKUP($A153,[1]Sheet2!$I$2:$O$544,3,FALSE)</f>
        <v>KPB4</v>
      </c>
      <c r="D153" s="2" t="s">
        <v>499</v>
      </c>
      <c r="E153" s="15" t="str">
        <f>VLOOKUP($A153,[1]Sheet2!$I$2:$O$544,5,FALSE)</f>
        <v>2024-10-21</v>
      </c>
      <c r="F153" s="13" t="str">
        <f>VLOOKUP($A153,'[2]AHM-Q01-251105-2511051358'!$E$2:$H$376,4,FALSE)</f>
        <v>21/10/2024</v>
      </c>
      <c r="G153" s="15">
        <f t="shared" si="10"/>
        <v>0</v>
      </c>
      <c r="H153" s="24">
        <f t="shared" si="11"/>
        <v>0</v>
      </c>
      <c r="I153" s="13">
        <f t="shared" si="12"/>
        <v>0</v>
      </c>
      <c r="J153" s="17" t="s">
        <v>164</v>
      </c>
      <c r="K153" s="9" t="str">
        <f>VLOOKUP($A153,[1]Sheet2!$I$2:$O$544,6,FALSE)</f>
        <v>2025-10-21</v>
      </c>
      <c r="L153" s="17" t="s">
        <v>500</v>
      </c>
      <c r="M153" s="9">
        <f>VLOOKUP($A153,[1]Sheet2!$I$2:$O$544,4,FALSE)</f>
        <v>10306</v>
      </c>
      <c r="N153" s="10">
        <f t="shared" si="13"/>
        <v>0</v>
      </c>
      <c r="O153" s="10">
        <f t="shared" si="14"/>
        <v>0</v>
      </c>
    </row>
    <row r="154" spans="1:15" x14ac:dyDescent="0.2">
      <c r="A154" s="3" t="s">
        <v>501</v>
      </c>
      <c r="B154" s="17" t="s">
        <v>38</v>
      </c>
      <c r="C154" s="9" t="str">
        <f>VLOOKUP($A154,[1]Sheet2!$I$2:$O$544,3,FALSE)</f>
        <v>KPB4</v>
      </c>
      <c r="D154" s="2" t="s">
        <v>502</v>
      </c>
      <c r="E154" s="15" t="str">
        <f>VLOOKUP($A154,[1]Sheet2!$I$2:$O$544,5,FALSE)</f>
        <v>2024-10-27</v>
      </c>
      <c r="F154" s="13" t="str">
        <f>VLOOKUP($A154,'[2]AHM-Q01-251105-2511051358'!$E$2:$H$376,4,FALSE)</f>
        <v>27/10/2024</v>
      </c>
      <c r="G154" s="15">
        <f t="shared" si="10"/>
        <v>-1</v>
      </c>
      <c r="H154" s="24">
        <f t="shared" si="11"/>
        <v>-1</v>
      </c>
      <c r="I154" s="13">
        <f t="shared" si="12"/>
        <v>0</v>
      </c>
      <c r="J154" s="17" t="s">
        <v>164</v>
      </c>
      <c r="K154" s="9" t="str">
        <f>VLOOKUP($A154,[1]Sheet2!$I$2:$O$544,6,FALSE)</f>
        <v>2025-10-21</v>
      </c>
      <c r="L154" s="17" t="s">
        <v>503</v>
      </c>
      <c r="M154" s="9">
        <f>VLOOKUP($A154,[1]Sheet2!$I$2:$O$544,4,FALSE)</f>
        <v>10016</v>
      </c>
      <c r="N154" s="10">
        <f t="shared" si="13"/>
        <v>0</v>
      </c>
      <c r="O154" s="10">
        <f t="shared" si="14"/>
        <v>0</v>
      </c>
    </row>
    <row r="155" spans="1:15" x14ac:dyDescent="0.2">
      <c r="A155" s="3" t="s">
        <v>504</v>
      </c>
      <c r="B155" s="17" t="s">
        <v>38</v>
      </c>
      <c r="C155" s="9" t="str">
        <f>VLOOKUP($A155,[1]Sheet2!$I$2:$O$544,3,FALSE)</f>
        <v>KPB4</v>
      </c>
      <c r="D155" s="2" t="s">
        <v>328</v>
      </c>
      <c r="E155" s="15" t="str">
        <f>VLOOKUP($A155,[1]Sheet2!$I$2:$O$544,5,FALSE)</f>
        <v>2024-10-30</v>
      </c>
      <c r="F155" s="13" t="str">
        <f>VLOOKUP($A155,'[2]AHM-Q01-251105-2511051358'!$E$2:$H$376,4,FALSE)</f>
        <v>30/10/2024</v>
      </c>
      <c r="G155" s="15">
        <f t="shared" si="10"/>
        <v>0</v>
      </c>
      <c r="H155" s="24">
        <f t="shared" si="11"/>
        <v>0</v>
      </c>
      <c r="I155" s="13">
        <f t="shared" si="12"/>
        <v>0</v>
      </c>
      <c r="J155" s="17" t="s">
        <v>168</v>
      </c>
      <c r="K155" s="9" t="str">
        <f>VLOOKUP($A155,[1]Sheet2!$I$2:$O$544,6,FALSE)</f>
        <v>2025-10-22</v>
      </c>
      <c r="L155" s="17" t="s">
        <v>505</v>
      </c>
      <c r="M155" s="9">
        <f>VLOOKUP($A155,[1]Sheet2!$I$2:$O$544,4,FALSE)</f>
        <v>9967</v>
      </c>
      <c r="N155" s="10">
        <f t="shared" si="13"/>
        <v>0</v>
      </c>
      <c r="O155" s="10">
        <f t="shared" si="14"/>
        <v>0</v>
      </c>
    </row>
    <row r="156" spans="1:15" x14ac:dyDescent="0.2">
      <c r="A156" s="3" t="s">
        <v>506</v>
      </c>
      <c r="B156" s="17" t="s">
        <v>15</v>
      </c>
      <c r="C156" s="9" t="str">
        <f>VLOOKUP($A156,[1]Sheet2!$I$2:$O$544,3,FALSE)</f>
        <v>KPB1</v>
      </c>
      <c r="D156" s="2" t="s">
        <v>124</v>
      </c>
      <c r="E156" s="15" t="str">
        <f>VLOOKUP($A156,[1]Sheet2!$I$2:$O$544,5,FALSE)</f>
        <v>2025-08-02</v>
      </c>
      <c r="F156" s="13" t="str">
        <f>VLOOKUP($A156,'[2]AHM-Q01-251105-2511051358'!$E$2:$H$376,4,FALSE)</f>
        <v>02/08/2025</v>
      </c>
      <c r="G156" s="15">
        <f t="shared" si="10"/>
        <v>0</v>
      </c>
      <c r="H156" s="24">
        <f t="shared" si="11"/>
        <v>0</v>
      </c>
      <c r="I156" s="13">
        <f t="shared" si="12"/>
        <v>0</v>
      </c>
      <c r="J156" s="17" t="s">
        <v>100</v>
      </c>
      <c r="K156" s="9" t="str">
        <f>VLOOKUP($A156,[1]Sheet2!$I$2:$O$544,6,FALSE)</f>
        <v>2025-10-03</v>
      </c>
      <c r="L156" s="17" t="s">
        <v>507</v>
      </c>
      <c r="M156" s="9">
        <f>VLOOKUP($A156,[1]Sheet2!$I$2:$O$544,4,FALSE)</f>
        <v>276</v>
      </c>
      <c r="N156" s="10">
        <f t="shared" si="13"/>
        <v>0</v>
      </c>
      <c r="O156" s="10">
        <f t="shared" si="14"/>
        <v>0</v>
      </c>
    </row>
    <row r="157" spans="1:15" x14ac:dyDescent="0.2">
      <c r="A157" s="3" t="s">
        <v>508</v>
      </c>
      <c r="B157" s="17" t="s">
        <v>15</v>
      </c>
      <c r="C157" s="9" t="str">
        <f>VLOOKUP($A157,[1]Sheet2!$I$2:$O$544,3,FALSE)</f>
        <v>KPB1</v>
      </c>
      <c r="D157" s="2" t="s">
        <v>116</v>
      </c>
      <c r="E157" s="15" t="str">
        <f>VLOOKUP($A157,[1]Sheet2!$I$2:$O$544,5,FALSE)</f>
        <v>2025-08-10</v>
      </c>
      <c r="F157" s="13" t="str">
        <f>VLOOKUP($A157,'[2]AHM-Q01-251105-2511051358'!$E$2:$H$376,4,FALSE)</f>
        <v>10/08/2025</v>
      </c>
      <c r="G157" s="15">
        <f t="shared" si="10"/>
        <v>-1</v>
      </c>
      <c r="H157" s="24">
        <f t="shared" si="11"/>
        <v>-1</v>
      </c>
      <c r="I157" s="13">
        <f t="shared" si="12"/>
        <v>0</v>
      </c>
      <c r="J157" s="17" t="s">
        <v>117</v>
      </c>
      <c r="K157" s="9" t="str">
        <f>VLOOKUP($A157,[1]Sheet2!$I$2:$O$544,6,FALSE)</f>
        <v>2025-10-09</v>
      </c>
      <c r="L157" s="17" t="s">
        <v>395</v>
      </c>
      <c r="M157" s="9">
        <f>VLOOKUP($A157,[1]Sheet2!$I$2:$O$544,4,FALSE)</f>
        <v>999</v>
      </c>
      <c r="N157" s="10">
        <f t="shared" si="13"/>
        <v>0</v>
      </c>
      <c r="O157" s="10">
        <f t="shared" si="14"/>
        <v>0</v>
      </c>
    </row>
    <row r="158" spans="1:15" x14ac:dyDescent="0.2">
      <c r="A158" s="3" t="s">
        <v>433</v>
      </c>
      <c r="B158" s="17" t="s">
        <v>15</v>
      </c>
      <c r="C158" s="9" t="str">
        <f>VLOOKUP($A158,[1]Sheet2!$I$2:$O$544,3,FALSE)</f>
        <v>KPB1</v>
      </c>
      <c r="D158" s="2" t="s">
        <v>163</v>
      </c>
      <c r="E158" s="15" t="str">
        <f>VLOOKUP($A158,[1]Sheet2!$I$2:$O$544,5,FALSE)</f>
        <v>2025-08-26</v>
      </c>
      <c r="F158" s="13" t="str">
        <f>VLOOKUP($A158,'[2]AHM-Q01-251105-2511051358'!$E$2:$H$376,4,FALSE)</f>
        <v>26/08/2025</v>
      </c>
      <c r="G158" s="15">
        <f t="shared" si="10"/>
        <v>-1</v>
      </c>
      <c r="H158" s="24">
        <f t="shared" si="11"/>
        <v>-1</v>
      </c>
      <c r="I158" s="13">
        <f t="shared" si="12"/>
        <v>0</v>
      </c>
      <c r="J158" s="17" t="s">
        <v>164</v>
      </c>
      <c r="K158" s="9" t="str">
        <f>VLOOKUP($A158,[1]Sheet2!$I$2:$O$544,6,FALSE)</f>
        <v>2025-10-21</v>
      </c>
      <c r="L158" s="17" t="s">
        <v>434</v>
      </c>
      <c r="M158" s="9">
        <f>VLOOKUP($A158,[1]Sheet2!$I$2:$O$544,4,FALSE)</f>
        <v>1010</v>
      </c>
      <c r="N158" s="10">
        <f t="shared" si="13"/>
        <v>0</v>
      </c>
      <c r="O158" s="10">
        <f t="shared" si="14"/>
        <v>0</v>
      </c>
    </row>
    <row r="159" spans="1:15" x14ac:dyDescent="0.2">
      <c r="A159" s="3" t="s">
        <v>511</v>
      </c>
      <c r="B159" s="17" t="s">
        <v>15</v>
      </c>
      <c r="C159" s="9" t="str">
        <f>VLOOKUP($A159,[1]Sheet2!$I$2:$O$544,3,FALSE)</f>
        <v>KPB1</v>
      </c>
      <c r="D159" s="2" t="s">
        <v>416</v>
      </c>
      <c r="E159" s="15" t="str">
        <f>VLOOKUP($A159,[1]Sheet2!$I$2:$O$544,5,FALSE)</f>
        <v>2025-08-08</v>
      </c>
      <c r="F159" s="13" t="str">
        <f>VLOOKUP($A159,'[2]AHM-Q01-251105-2511051358'!$E$2:$H$376,4,FALSE)</f>
        <v>08/08/2025</v>
      </c>
      <c r="G159" s="15">
        <f t="shared" si="10"/>
        <v>-3</v>
      </c>
      <c r="H159" s="24">
        <f t="shared" si="11"/>
        <v>-3</v>
      </c>
      <c r="I159" s="13">
        <f t="shared" si="12"/>
        <v>0</v>
      </c>
      <c r="J159" s="17" t="s">
        <v>138</v>
      </c>
      <c r="K159" s="9" t="str">
        <f>VLOOKUP($A159,[1]Sheet2!$I$2:$O$544,6,FALSE)</f>
        <v>2025-10-14</v>
      </c>
      <c r="L159" s="17" t="s">
        <v>512</v>
      </c>
      <c r="M159" s="9">
        <f>VLOOKUP($A159,[1]Sheet2!$I$2:$O$544,4,FALSE)</f>
        <v>250</v>
      </c>
      <c r="N159" s="10">
        <f t="shared" si="13"/>
        <v>0</v>
      </c>
      <c r="O159" s="10">
        <f t="shared" si="14"/>
        <v>0</v>
      </c>
    </row>
    <row r="160" spans="1:15" x14ac:dyDescent="0.2">
      <c r="A160" s="3" t="s">
        <v>513</v>
      </c>
      <c r="B160" s="17" t="s">
        <v>15</v>
      </c>
      <c r="C160" s="9" t="str">
        <f>VLOOKUP($A160,[1]Sheet2!$I$2:$O$544,3,FALSE)</f>
        <v>KPB1</v>
      </c>
      <c r="D160" s="2" t="s">
        <v>137</v>
      </c>
      <c r="E160" s="15" t="str">
        <f>VLOOKUP($A160,[1]Sheet2!$I$2:$O$544,5,FALSE)</f>
        <v>2025-08-20</v>
      </c>
      <c r="F160" s="13" t="str">
        <f>VLOOKUP($A160,'[2]AHM-Q01-251105-2511051358'!$E$2:$H$376,4,FALSE)</f>
        <v>20/08/2025</v>
      </c>
      <c r="G160" s="15">
        <f t="shared" si="10"/>
        <v>-1</v>
      </c>
      <c r="H160" s="24">
        <f t="shared" si="11"/>
        <v>-1</v>
      </c>
      <c r="I160" s="13">
        <f t="shared" si="12"/>
        <v>0</v>
      </c>
      <c r="J160" s="17" t="s">
        <v>147</v>
      </c>
      <c r="K160" s="9" t="str">
        <f>VLOOKUP($A160,[1]Sheet2!$I$2:$O$544,6,FALSE)</f>
        <v>2025-10-17</v>
      </c>
      <c r="L160" s="17" t="s">
        <v>393</v>
      </c>
      <c r="M160" s="9">
        <f>VLOOKUP($A160,[1]Sheet2!$I$2:$O$544,4,FALSE)</f>
        <v>618</v>
      </c>
      <c r="N160" s="10">
        <f t="shared" si="13"/>
        <v>0</v>
      </c>
      <c r="O160" s="10">
        <f t="shared" si="14"/>
        <v>0</v>
      </c>
    </row>
    <row r="161" spans="1:15" x14ac:dyDescent="0.2">
      <c r="A161" s="3" t="s">
        <v>514</v>
      </c>
      <c r="B161" s="17" t="s">
        <v>15</v>
      </c>
      <c r="C161" s="9" t="str">
        <f>VLOOKUP($A161,[1]Sheet2!$I$2:$O$544,3,FALSE)</f>
        <v>KPB1</v>
      </c>
      <c r="D161" s="2" t="s">
        <v>304</v>
      </c>
      <c r="E161" s="15" t="str">
        <f>VLOOKUP($A161,[1]Sheet2!$I$2:$O$544,5,FALSE)</f>
        <v>2025-08-22</v>
      </c>
      <c r="F161" s="13" t="str">
        <f>VLOOKUP($A161,'[2]AHM-Q01-251105-2511051358'!$E$2:$H$376,4,FALSE)</f>
        <v>22/08/2025</v>
      </c>
      <c r="G161" s="15">
        <f t="shared" si="10"/>
        <v>-1</v>
      </c>
      <c r="H161" s="24">
        <f t="shared" si="11"/>
        <v>-1</v>
      </c>
      <c r="I161" s="13">
        <f t="shared" si="12"/>
        <v>0</v>
      </c>
      <c r="J161" s="17" t="s">
        <v>154</v>
      </c>
      <c r="K161" s="9" t="str">
        <f>VLOOKUP($A161,[1]Sheet2!$I$2:$O$544,6,FALSE)</f>
        <v>2025-10-18</v>
      </c>
      <c r="L161" s="17" t="s">
        <v>515</v>
      </c>
      <c r="M161" s="9">
        <f>VLOOKUP($A161,[1]Sheet2!$I$2:$O$544,4,FALSE)</f>
        <v>481</v>
      </c>
      <c r="N161" s="10">
        <f t="shared" si="13"/>
        <v>0</v>
      </c>
      <c r="O161" s="10">
        <f t="shared" si="14"/>
        <v>0</v>
      </c>
    </row>
    <row r="162" spans="1:15" x14ac:dyDescent="0.2">
      <c r="A162" s="3" t="s">
        <v>516</v>
      </c>
      <c r="B162" s="17" t="s">
        <v>15</v>
      </c>
      <c r="C162" s="9" t="str">
        <f>VLOOKUP($A162,[1]Sheet2!$I$2:$O$544,3,FALSE)</f>
        <v>KPB1</v>
      </c>
      <c r="D162" s="2" t="s">
        <v>285</v>
      </c>
      <c r="E162" s="15" t="str">
        <f>VLOOKUP($A162,[1]Sheet2!$I$2:$O$544,5,FALSE)</f>
        <v>2025-08-28</v>
      </c>
      <c r="F162" s="13" t="str">
        <f>VLOOKUP($A162,'[2]AHM-Q01-251105-2511051358'!$E$2:$H$376,4,FALSE)</f>
        <v>28/08/2025</v>
      </c>
      <c r="G162" s="15">
        <f t="shared" si="10"/>
        <v>0</v>
      </c>
      <c r="H162" s="24">
        <f t="shared" si="11"/>
        <v>0</v>
      </c>
      <c r="I162" s="13">
        <f t="shared" si="12"/>
        <v>0</v>
      </c>
      <c r="J162" s="17" t="s">
        <v>168</v>
      </c>
      <c r="K162" s="9" t="str">
        <f>VLOOKUP($A162,[1]Sheet2!$I$2:$O$544,6,FALSE)</f>
        <v>2025-10-22</v>
      </c>
      <c r="L162" s="17" t="s">
        <v>517</v>
      </c>
      <c r="M162" s="9">
        <f>VLOOKUP($A162,[1]Sheet2!$I$2:$O$544,4,FALSE)</f>
        <v>514</v>
      </c>
      <c r="N162" s="10">
        <f t="shared" si="13"/>
        <v>0</v>
      </c>
      <c r="O162" s="10">
        <f t="shared" si="14"/>
        <v>0</v>
      </c>
    </row>
    <row r="163" spans="1:15" x14ac:dyDescent="0.2">
      <c r="A163" s="3" t="s">
        <v>518</v>
      </c>
      <c r="B163" s="17" t="s">
        <v>15</v>
      </c>
      <c r="C163" s="9" t="str">
        <f>VLOOKUP($A163,[1]Sheet2!$I$2:$O$544,3,FALSE)</f>
        <v>KPB1</v>
      </c>
      <c r="D163" s="2" t="s">
        <v>285</v>
      </c>
      <c r="E163" s="15" t="str">
        <f>VLOOKUP($A163,[1]Sheet2!$I$2:$O$544,5,FALSE)</f>
        <v>2025-08-28</v>
      </c>
      <c r="F163" s="13" t="str">
        <f>VLOOKUP($A163,'[2]AHM-Q01-251105-2511051358'!$E$2:$H$376,4,FALSE)</f>
        <v>28/08/2025</v>
      </c>
      <c r="G163" s="15">
        <f t="shared" si="10"/>
        <v>0</v>
      </c>
      <c r="H163" s="24">
        <f t="shared" si="11"/>
        <v>0</v>
      </c>
      <c r="I163" s="13">
        <f t="shared" si="12"/>
        <v>0</v>
      </c>
      <c r="J163" s="17" t="s">
        <v>168</v>
      </c>
      <c r="K163" s="9" t="str">
        <f>VLOOKUP($A163,[1]Sheet2!$I$2:$O$544,6,FALSE)</f>
        <v>2025-10-22</v>
      </c>
      <c r="L163" s="17" t="s">
        <v>393</v>
      </c>
      <c r="M163" s="9">
        <f>VLOOKUP($A163,[1]Sheet2!$I$2:$O$544,4,FALSE)</f>
        <v>618</v>
      </c>
      <c r="N163" s="10">
        <f t="shared" si="13"/>
        <v>0</v>
      </c>
      <c r="O163" s="10">
        <f t="shared" si="14"/>
        <v>0</v>
      </c>
    </row>
    <row r="164" spans="1:15" x14ac:dyDescent="0.2">
      <c r="A164" s="3" t="s">
        <v>519</v>
      </c>
      <c r="B164" s="17" t="s">
        <v>15</v>
      </c>
      <c r="C164" s="9" t="str">
        <f>VLOOKUP($A164,[1]Sheet2!$I$2:$O$544,3,FALSE)</f>
        <v>KPB1</v>
      </c>
      <c r="D164" s="2" t="s">
        <v>285</v>
      </c>
      <c r="E164" s="15" t="str">
        <f>VLOOKUP($A164,[1]Sheet2!$I$2:$O$544,5,FALSE)</f>
        <v>2025-08-28</v>
      </c>
      <c r="F164" s="13" t="str">
        <f>VLOOKUP($A164,'[2]AHM-Q01-251105-2511051358'!$E$2:$H$376,4,FALSE)</f>
        <v>28/08/2025</v>
      </c>
      <c r="G164" s="15">
        <f t="shared" si="10"/>
        <v>0</v>
      </c>
      <c r="H164" s="24">
        <f t="shared" si="11"/>
        <v>0</v>
      </c>
      <c r="I164" s="13">
        <f t="shared" si="12"/>
        <v>0</v>
      </c>
      <c r="J164" s="17" t="s">
        <v>168</v>
      </c>
      <c r="K164" s="9" t="str">
        <f>VLOOKUP($A164,[1]Sheet2!$I$2:$O$544,6,FALSE)</f>
        <v>2025-10-22</v>
      </c>
      <c r="L164" s="17" t="s">
        <v>520</v>
      </c>
      <c r="M164" s="9">
        <f>VLOOKUP($A164,[1]Sheet2!$I$2:$O$544,4,FALSE)</f>
        <v>530</v>
      </c>
      <c r="N164" s="10">
        <f t="shared" si="13"/>
        <v>0</v>
      </c>
      <c r="O164" s="10">
        <f t="shared" si="14"/>
        <v>0</v>
      </c>
    </row>
    <row r="165" spans="1:15" x14ac:dyDescent="0.2">
      <c r="A165" s="3" t="s">
        <v>521</v>
      </c>
      <c r="B165" s="17" t="s">
        <v>15</v>
      </c>
      <c r="C165" s="9" t="str">
        <f>VLOOKUP($A165,[1]Sheet2!$I$2:$O$544,3,FALSE)</f>
        <v>KPB1</v>
      </c>
      <c r="D165" s="2" t="s">
        <v>280</v>
      </c>
      <c r="E165" s="15" t="str">
        <f>VLOOKUP($A165,[1]Sheet2!$I$2:$O$544,5,FALSE)</f>
        <v>2025-08-13</v>
      </c>
      <c r="F165" s="13" t="str">
        <f>VLOOKUP($A165,'[2]AHM-Q01-251105-2511051358'!$E$2:$H$376,4,FALSE)</f>
        <v>13/08/2025</v>
      </c>
      <c r="G165" s="15">
        <f t="shared" si="10"/>
        <v>0</v>
      </c>
      <c r="H165" s="24">
        <f t="shared" si="11"/>
        <v>0</v>
      </c>
      <c r="I165" s="13">
        <f t="shared" si="12"/>
        <v>0</v>
      </c>
      <c r="J165" s="17" t="s">
        <v>265</v>
      </c>
      <c r="K165" s="9" t="str">
        <f>VLOOKUP($A165,[1]Sheet2!$I$2:$O$544,6,FALSE)</f>
        <v>2025-10-23</v>
      </c>
      <c r="L165" s="17" t="s">
        <v>522</v>
      </c>
      <c r="M165" s="9">
        <f>VLOOKUP($A165,[1]Sheet2!$I$2:$O$544,4,FALSE)</f>
        <v>523</v>
      </c>
      <c r="N165" s="10">
        <f t="shared" si="13"/>
        <v>0</v>
      </c>
      <c r="O165" s="10">
        <f t="shared" si="14"/>
        <v>0</v>
      </c>
    </row>
    <row r="166" spans="1:15" x14ac:dyDescent="0.2">
      <c r="A166" s="3" t="s">
        <v>523</v>
      </c>
      <c r="B166" s="17" t="s">
        <v>27</v>
      </c>
      <c r="C166" s="9" t="str">
        <f>VLOOKUP($A166,[1]Sheet2!$I$2:$O$544,3,FALSE)</f>
        <v>KPB2</v>
      </c>
      <c r="D166" s="2" t="s">
        <v>524</v>
      </c>
      <c r="E166" s="15" t="str">
        <f>VLOOKUP($A166,[1]Sheet2!$I$2:$O$544,5,FALSE)</f>
        <v>2025-06-05</v>
      </c>
      <c r="F166" s="13" t="str">
        <f>VLOOKUP($A166,'[2]AHM-Q01-251105-2511051358'!$E$2:$H$376,4,FALSE)</f>
        <v>05/06/2025</v>
      </c>
      <c r="G166" s="15">
        <f t="shared" si="10"/>
        <v>0</v>
      </c>
      <c r="H166" s="24">
        <f t="shared" si="11"/>
        <v>0</v>
      </c>
      <c r="I166" s="13">
        <f t="shared" si="12"/>
        <v>0</v>
      </c>
      <c r="J166" s="17" t="s">
        <v>113</v>
      </c>
      <c r="K166" s="9" t="str">
        <f>VLOOKUP($A166,[1]Sheet2!$I$2:$O$544,6,FALSE)</f>
        <v>2025-10-07</v>
      </c>
      <c r="L166" s="17" t="s">
        <v>525</v>
      </c>
      <c r="M166" s="9">
        <f>VLOOKUP($A166,[1]Sheet2!$I$2:$O$544,4,FALSE)</f>
        <v>1500</v>
      </c>
      <c r="N166" s="10">
        <f t="shared" si="13"/>
        <v>0</v>
      </c>
      <c r="O166" s="10">
        <f t="shared" si="14"/>
        <v>0</v>
      </c>
    </row>
    <row r="167" spans="1:15" x14ac:dyDescent="0.2">
      <c r="A167" s="3" t="s">
        <v>526</v>
      </c>
      <c r="B167" s="17" t="s">
        <v>27</v>
      </c>
      <c r="C167" s="9" t="str">
        <f>VLOOKUP($A167,[1]Sheet2!$I$2:$O$544,3,FALSE)</f>
        <v>KPB2</v>
      </c>
      <c r="D167" s="2" t="s">
        <v>188</v>
      </c>
      <c r="E167" s="15" t="str">
        <f>VLOOKUP($A167,[1]Sheet2!$I$2:$O$544,5,FALSE)</f>
        <v>1970-01-01</v>
      </c>
      <c r="F167" s="13" t="str">
        <f>VLOOKUP($A167,'[2]AHM-Q01-251105-2511051358'!$E$2:$H$376,4,FALSE)</f>
        <v>10/06/2025</v>
      </c>
      <c r="G167" s="15">
        <f t="shared" si="10"/>
        <v>20248</v>
      </c>
      <c r="H167" s="24">
        <f t="shared" si="11"/>
        <v>-1</v>
      </c>
      <c r="I167" s="13">
        <f t="shared" si="12"/>
        <v>-20249</v>
      </c>
      <c r="J167" s="17" t="s">
        <v>117</v>
      </c>
      <c r="K167" s="9" t="str">
        <f>VLOOKUP($A167,[1]Sheet2!$I$2:$O$544,6,FALSE)</f>
        <v>2025-10-09</v>
      </c>
      <c r="L167" s="17" t="s">
        <v>527</v>
      </c>
      <c r="M167" s="9">
        <f>VLOOKUP($A167,[1]Sheet2!$I$2:$O$544,4,FALSE)</f>
        <v>1484</v>
      </c>
      <c r="N167" s="10">
        <f t="shared" si="13"/>
        <v>0</v>
      </c>
      <c r="O167" s="10">
        <f t="shared" si="14"/>
        <v>0</v>
      </c>
    </row>
    <row r="168" spans="1:15" x14ac:dyDescent="0.2">
      <c r="A168" s="3" t="s">
        <v>528</v>
      </c>
      <c r="B168" s="17" t="s">
        <v>27</v>
      </c>
      <c r="C168" s="9" t="str">
        <f>VLOOKUP($A168,[1]Sheet2!$I$2:$O$544,3,FALSE)</f>
        <v>KPB2</v>
      </c>
      <c r="D168" s="2" t="s">
        <v>270</v>
      </c>
      <c r="E168" s="15" t="str">
        <f>VLOOKUP($A168,[1]Sheet2!$I$2:$O$544,5,FALSE)</f>
        <v>2025-06-14</v>
      </c>
      <c r="F168" s="13" t="str">
        <f>VLOOKUP($A168,'[2]AHM-Q01-251105-2511051358'!$E$2:$H$376,4,FALSE)</f>
        <v>14/06/2025</v>
      </c>
      <c r="G168" s="15">
        <f t="shared" si="10"/>
        <v>0</v>
      </c>
      <c r="H168" s="24">
        <f t="shared" si="11"/>
        <v>0</v>
      </c>
      <c r="I168" s="13">
        <f t="shared" si="12"/>
        <v>0</v>
      </c>
      <c r="J168" s="17" t="s">
        <v>131</v>
      </c>
      <c r="K168" s="9" t="str">
        <f>VLOOKUP($A168,[1]Sheet2!$I$2:$O$544,6,FALSE)</f>
        <v>2025-10-13</v>
      </c>
      <c r="L168" s="17" t="s">
        <v>529</v>
      </c>
      <c r="M168" s="9">
        <f>VLOOKUP($A168,[1]Sheet2!$I$2:$O$544,4,FALSE)</f>
        <v>2263</v>
      </c>
      <c r="N168" s="10">
        <f t="shared" si="13"/>
        <v>0</v>
      </c>
      <c r="O168" s="10">
        <f t="shared" si="14"/>
        <v>0</v>
      </c>
    </row>
    <row r="169" spans="1:15" x14ac:dyDescent="0.2">
      <c r="A169" s="3" t="s">
        <v>530</v>
      </c>
      <c r="B169" s="17" t="s">
        <v>27</v>
      </c>
      <c r="C169" s="9" t="str">
        <f>VLOOKUP($A169,[1]Sheet2!$I$2:$O$544,3,FALSE)</f>
        <v>KPB2</v>
      </c>
      <c r="D169" s="2" t="s">
        <v>439</v>
      </c>
      <c r="E169" s="15" t="str">
        <f>VLOOKUP($A169,[1]Sheet2!$I$2:$O$544,5,FALSE)</f>
        <v>2025-06-03</v>
      </c>
      <c r="F169" s="13" t="str">
        <f>VLOOKUP($A169,'[2]AHM-Q01-251105-2511051358'!$E$2:$H$376,4,FALSE)</f>
        <v>03/06/2025</v>
      </c>
      <c r="G169" s="15">
        <f t="shared" si="10"/>
        <v>1</v>
      </c>
      <c r="H169" s="24">
        <f t="shared" si="11"/>
        <v>1</v>
      </c>
      <c r="I169" s="13">
        <f t="shared" si="12"/>
        <v>0</v>
      </c>
      <c r="J169" s="17" t="s">
        <v>138</v>
      </c>
      <c r="K169" s="9" t="str">
        <f>VLOOKUP($A169,[1]Sheet2!$I$2:$O$544,6,FALSE)</f>
        <v>2025-10-14</v>
      </c>
      <c r="L169" s="17" t="s">
        <v>531</v>
      </c>
      <c r="M169" s="9">
        <f>VLOOKUP($A169,[1]Sheet2!$I$2:$O$544,4,FALSE)</f>
        <v>3343</v>
      </c>
      <c r="N169" s="10">
        <f t="shared" si="13"/>
        <v>0</v>
      </c>
      <c r="O169" s="10">
        <f t="shared" si="14"/>
        <v>0</v>
      </c>
    </row>
    <row r="170" spans="1:15" x14ac:dyDescent="0.2">
      <c r="A170" s="3" t="s">
        <v>532</v>
      </c>
      <c r="B170" s="17" t="s">
        <v>27</v>
      </c>
      <c r="C170" s="9" t="str">
        <f>VLOOKUP($A170,[1]Sheet2!$I$2:$O$544,3,FALSE)</f>
        <v>KPB2</v>
      </c>
      <c r="D170" s="2" t="s">
        <v>212</v>
      </c>
      <c r="E170" s="15" t="str">
        <f>VLOOKUP($A170,[1]Sheet2!$I$2:$O$544,5,FALSE)</f>
        <v>2025-06-23</v>
      </c>
      <c r="F170" s="13" t="str">
        <f>VLOOKUP($A170,'[2]AHM-Q01-251105-2511051358'!$E$2:$H$376,4,FALSE)</f>
        <v>23/06/2025</v>
      </c>
      <c r="G170" s="15">
        <f t="shared" si="10"/>
        <v>-2</v>
      </c>
      <c r="H170" s="24">
        <f t="shared" si="11"/>
        <v>-2</v>
      </c>
      <c r="I170" s="13">
        <f t="shared" si="12"/>
        <v>0</v>
      </c>
      <c r="J170" s="17" t="s">
        <v>154</v>
      </c>
      <c r="K170" s="9" t="str">
        <f>VLOOKUP($A170,[1]Sheet2!$I$2:$O$544,6,FALSE)</f>
        <v>2025-10-18</v>
      </c>
      <c r="L170" s="17" t="s">
        <v>533</v>
      </c>
      <c r="M170" s="9">
        <f>VLOOKUP($A170,[1]Sheet2!$I$2:$O$544,4,FALSE)</f>
        <v>3777</v>
      </c>
      <c r="N170" s="10">
        <f t="shared" si="13"/>
        <v>0</v>
      </c>
      <c r="O170" s="10">
        <f t="shared" si="14"/>
        <v>0</v>
      </c>
    </row>
    <row r="171" spans="1:15" x14ac:dyDescent="0.2">
      <c r="A171" s="3" t="s">
        <v>534</v>
      </c>
      <c r="B171" s="17" t="s">
        <v>27</v>
      </c>
      <c r="C171" s="9" t="str">
        <f>VLOOKUP($A171,[1]Sheet2!$I$2:$O$544,3,FALSE)</f>
        <v>KPB2</v>
      </c>
      <c r="D171" s="2" t="s">
        <v>215</v>
      </c>
      <c r="E171" s="15" t="str">
        <f>VLOOKUP($A171,[1]Sheet2!$I$2:$O$544,5,FALSE)</f>
        <v>2025-06-22</v>
      </c>
      <c r="F171" s="13" t="str">
        <f>VLOOKUP($A171,'[2]AHM-Q01-251105-2511051358'!$E$2:$H$376,4,FALSE)</f>
        <v>22/06/2025</v>
      </c>
      <c r="G171" s="15">
        <f t="shared" si="10"/>
        <v>0</v>
      </c>
      <c r="H171" s="24">
        <f t="shared" si="11"/>
        <v>0</v>
      </c>
      <c r="I171" s="13">
        <f t="shared" si="12"/>
        <v>0</v>
      </c>
      <c r="J171" s="17" t="s">
        <v>216</v>
      </c>
      <c r="K171" s="9" t="str">
        <f>VLOOKUP($A171,[1]Sheet2!$I$2:$O$544,6,FALSE)</f>
        <v>2025-10-20</v>
      </c>
      <c r="L171" s="17" t="s">
        <v>535</v>
      </c>
      <c r="M171" s="9">
        <f>VLOOKUP($A171,[1]Sheet2!$I$2:$O$544,4,FALSE)</f>
        <v>2324</v>
      </c>
      <c r="N171" s="10">
        <f t="shared" si="13"/>
        <v>0</v>
      </c>
      <c r="O171" s="10">
        <f t="shared" si="14"/>
        <v>0</v>
      </c>
    </row>
    <row r="172" spans="1:15" x14ac:dyDescent="0.2">
      <c r="A172" s="3" t="s">
        <v>536</v>
      </c>
      <c r="B172" s="17" t="s">
        <v>27</v>
      </c>
      <c r="C172" s="9" t="str">
        <f>VLOOKUP($A172,[1]Sheet2!$I$2:$O$544,3,FALSE)</f>
        <v>KPB2</v>
      </c>
      <c r="D172" s="2" t="s">
        <v>537</v>
      </c>
      <c r="E172" s="15" t="str">
        <f>VLOOKUP($A172,[1]Sheet2!$I$2:$O$544,5,FALSE)</f>
        <v>2025-04-26</v>
      </c>
      <c r="F172" s="13" t="str">
        <f>VLOOKUP($A172,'[2]AHM-Q01-251105-2511051358'!$E$2:$H$376,4,FALSE)</f>
        <v>26/04/2025</v>
      </c>
      <c r="G172" s="15">
        <f t="shared" si="10"/>
        <v>0</v>
      </c>
      <c r="H172" s="24">
        <f t="shared" si="11"/>
        <v>0</v>
      </c>
      <c r="I172" s="13">
        <f t="shared" si="12"/>
        <v>0</v>
      </c>
      <c r="J172" s="17" t="s">
        <v>164</v>
      </c>
      <c r="K172" s="9" t="str">
        <f>VLOOKUP($A172,[1]Sheet2!$I$2:$O$544,6,FALSE)</f>
        <v>2025-10-21</v>
      </c>
      <c r="L172" s="17" t="s">
        <v>538</v>
      </c>
      <c r="M172" s="9">
        <f>VLOOKUP($A172,[1]Sheet2!$I$2:$O$544,4,FALSE)</f>
        <v>1928</v>
      </c>
      <c r="N172" s="10">
        <f t="shared" si="13"/>
        <v>0</v>
      </c>
      <c r="O172" s="10">
        <f t="shared" si="14"/>
        <v>0</v>
      </c>
    </row>
    <row r="173" spans="1:15" x14ac:dyDescent="0.2">
      <c r="A173" s="3" t="s">
        <v>539</v>
      </c>
      <c r="B173" s="17" t="s">
        <v>27</v>
      </c>
      <c r="C173" s="9" t="str">
        <f>VLOOKUP($A173,[1]Sheet2!$I$2:$O$544,3,FALSE)</f>
        <v>KPB2</v>
      </c>
      <c r="D173" s="2" t="s">
        <v>466</v>
      </c>
      <c r="E173" s="15" t="str">
        <f>VLOOKUP($A173,[1]Sheet2!$I$2:$O$544,5,FALSE)</f>
        <v>2025-06-26</v>
      </c>
      <c r="F173" s="13" t="str">
        <f>VLOOKUP($A173,'[2]AHM-Q01-251105-2511051358'!$E$2:$H$376,4,FALSE)</f>
        <v>26/06/2025</v>
      </c>
      <c r="G173" s="15">
        <f t="shared" si="10"/>
        <v>0</v>
      </c>
      <c r="H173" s="24">
        <f t="shared" si="11"/>
        <v>0</v>
      </c>
      <c r="I173" s="13">
        <f t="shared" si="12"/>
        <v>0</v>
      </c>
      <c r="J173" s="17" t="s">
        <v>164</v>
      </c>
      <c r="K173" s="9" t="str">
        <f>VLOOKUP($A173,[1]Sheet2!$I$2:$O$544,6,FALSE)</f>
        <v>2025-10-21</v>
      </c>
      <c r="L173" s="17" t="s">
        <v>540</v>
      </c>
      <c r="M173" s="9">
        <f>VLOOKUP($A173,[1]Sheet2!$I$2:$O$544,4,FALSE)</f>
        <v>2448</v>
      </c>
      <c r="N173" s="10">
        <f t="shared" si="13"/>
        <v>0</v>
      </c>
      <c r="O173" s="10">
        <f t="shared" si="14"/>
        <v>0</v>
      </c>
    </row>
    <row r="174" spans="1:15" x14ac:dyDescent="0.2">
      <c r="A174" s="3" t="s">
        <v>541</v>
      </c>
      <c r="B174" s="17" t="s">
        <v>33</v>
      </c>
      <c r="C174" s="9" t="str">
        <f>VLOOKUP($A174,[1]Sheet2!$I$2:$O$544,3,FALSE)</f>
        <v>KPB3</v>
      </c>
      <c r="D174" s="2" t="s">
        <v>471</v>
      </c>
      <c r="E174" s="15" t="str">
        <f>VLOOKUP($A174,[1]Sheet2!$I$2:$O$544,5,FALSE)</f>
        <v>2025-01-31</v>
      </c>
      <c r="F174" s="13" t="str">
        <f>VLOOKUP($A174,'[2]AHM-Q01-251105-2511051358'!$E$2:$H$376,4,FALSE)</f>
        <v>31/01/2025</v>
      </c>
      <c r="G174" s="15">
        <f t="shared" si="10"/>
        <v>5</v>
      </c>
      <c r="H174" s="24">
        <f t="shared" si="11"/>
        <v>5</v>
      </c>
      <c r="I174" s="13">
        <f t="shared" si="12"/>
        <v>0</v>
      </c>
      <c r="J174" s="17" t="s">
        <v>113</v>
      </c>
      <c r="K174" s="9" t="str">
        <f>VLOOKUP($A174,[1]Sheet2!$I$2:$O$544,6,FALSE)</f>
        <v>2025-10-07</v>
      </c>
      <c r="L174" s="17" t="s">
        <v>542</v>
      </c>
      <c r="M174" s="9">
        <f>VLOOKUP($A174,[1]Sheet2!$I$2:$O$544,4,FALSE)</f>
        <v>8321</v>
      </c>
      <c r="N174" s="10">
        <f t="shared" si="13"/>
        <v>0</v>
      </c>
      <c r="O174" s="10">
        <f t="shared" si="14"/>
        <v>0</v>
      </c>
    </row>
    <row r="175" spans="1:15" x14ac:dyDescent="0.2">
      <c r="A175" s="3" t="s">
        <v>543</v>
      </c>
      <c r="B175" s="17" t="s">
        <v>33</v>
      </c>
      <c r="C175" s="9" t="str">
        <f>VLOOKUP($A175,[1]Sheet2!$I$2:$O$544,3,FALSE)</f>
        <v>KPB3</v>
      </c>
      <c r="D175" s="2" t="s">
        <v>368</v>
      </c>
      <c r="E175" s="15" t="str">
        <f>VLOOKUP($A175,[1]Sheet2!$I$2:$O$544,5,FALSE)</f>
        <v>2025-02-07</v>
      </c>
      <c r="F175" s="13" t="str">
        <f>VLOOKUP($A175,'[2]AHM-Q01-251105-2511051358'!$E$2:$H$376,4,FALSE)</f>
        <v>07/02/2025</v>
      </c>
      <c r="G175" s="15">
        <f t="shared" si="10"/>
        <v>0</v>
      </c>
      <c r="H175" s="24">
        <f t="shared" si="11"/>
        <v>0</v>
      </c>
      <c r="I175" s="13">
        <f t="shared" si="12"/>
        <v>0</v>
      </c>
      <c r="J175" s="17" t="s">
        <v>113</v>
      </c>
      <c r="K175" s="9" t="str">
        <f>VLOOKUP($A175,[1]Sheet2!$I$2:$O$544,6,FALSE)</f>
        <v>2025-10-07</v>
      </c>
      <c r="L175" s="17" t="s">
        <v>544</v>
      </c>
      <c r="M175" s="9">
        <f>VLOOKUP($A175,[1]Sheet2!$I$2:$O$544,4,FALSE)</f>
        <v>6297</v>
      </c>
      <c r="N175" s="10">
        <f t="shared" si="13"/>
        <v>0</v>
      </c>
      <c r="O175" s="10">
        <f t="shared" si="14"/>
        <v>0</v>
      </c>
    </row>
    <row r="176" spans="1:15" x14ac:dyDescent="0.2">
      <c r="A176" s="3" t="s">
        <v>545</v>
      </c>
      <c r="B176" s="17" t="s">
        <v>33</v>
      </c>
      <c r="C176" s="9" t="str">
        <f>VLOOKUP($A176,[1]Sheet2!$I$2:$O$544,3,FALSE)</f>
        <v>KPB3</v>
      </c>
      <c r="D176" s="2" t="s">
        <v>234</v>
      </c>
      <c r="E176" s="15" t="str">
        <f>VLOOKUP($A176,[1]Sheet2!$I$2:$O$544,5,FALSE)</f>
        <v>2025-02-15</v>
      </c>
      <c r="F176" s="13" t="str">
        <f>VLOOKUP($A176,'[2]AHM-Q01-251105-2511051358'!$E$2:$H$376,4,FALSE)</f>
        <v>15/02/2025</v>
      </c>
      <c r="G176" s="15">
        <f t="shared" si="10"/>
        <v>0</v>
      </c>
      <c r="H176" s="24">
        <f t="shared" si="11"/>
        <v>0</v>
      </c>
      <c r="I176" s="13">
        <f t="shared" si="12"/>
        <v>0</v>
      </c>
      <c r="J176" s="17" t="s">
        <v>141</v>
      </c>
      <c r="K176" s="9" t="str">
        <f>VLOOKUP($A176,[1]Sheet2!$I$2:$O$544,6,FALSE)</f>
        <v>2025-10-15</v>
      </c>
      <c r="L176" s="17" t="s">
        <v>546</v>
      </c>
      <c r="M176" s="9">
        <f>VLOOKUP($A176,[1]Sheet2!$I$2:$O$544,4,FALSE)</f>
        <v>7230</v>
      </c>
      <c r="N176" s="10">
        <f t="shared" si="13"/>
        <v>0</v>
      </c>
      <c r="O176" s="10">
        <f t="shared" si="14"/>
        <v>0</v>
      </c>
    </row>
    <row r="177" spans="1:15" x14ac:dyDescent="0.2">
      <c r="A177" s="3" t="s">
        <v>547</v>
      </c>
      <c r="B177" s="17" t="s">
        <v>33</v>
      </c>
      <c r="C177" s="9" t="str">
        <f>VLOOKUP($A177,[1]Sheet2!$I$2:$O$544,3,FALSE)</f>
        <v>KPB3</v>
      </c>
      <c r="D177" s="2" t="s">
        <v>548</v>
      </c>
      <c r="E177" s="15" t="str">
        <f>VLOOKUP($A177,[1]Sheet2!$I$2:$O$544,5,FALSE)</f>
        <v>2025-02-16</v>
      </c>
      <c r="F177" s="13" t="str">
        <f>VLOOKUP($A177,'[2]AHM-Q01-251105-2511051358'!$E$2:$H$376,4,FALSE)</f>
        <v>16/02/2025</v>
      </c>
      <c r="G177" s="15">
        <f t="shared" si="10"/>
        <v>0</v>
      </c>
      <c r="H177" s="24">
        <f t="shared" si="11"/>
        <v>0</v>
      </c>
      <c r="I177" s="13">
        <f t="shared" si="12"/>
        <v>0</v>
      </c>
      <c r="J177" s="17" t="s">
        <v>141</v>
      </c>
      <c r="K177" s="9" t="str">
        <f>VLOOKUP($A177,[1]Sheet2!$I$2:$O$544,6,FALSE)</f>
        <v>2025-10-15</v>
      </c>
      <c r="L177" s="17" t="s">
        <v>549</v>
      </c>
      <c r="M177" s="9">
        <f>VLOOKUP($A177,[1]Sheet2!$I$2:$O$544,4,FALSE)</f>
        <v>9433</v>
      </c>
      <c r="N177" s="10">
        <f t="shared" si="13"/>
        <v>0</v>
      </c>
      <c r="O177" s="10">
        <f t="shared" si="14"/>
        <v>0</v>
      </c>
    </row>
    <row r="178" spans="1:15" x14ac:dyDescent="0.2">
      <c r="A178" s="3" t="s">
        <v>550</v>
      </c>
      <c r="B178" s="17" t="s">
        <v>33</v>
      </c>
      <c r="C178" s="9" t="str">
        <f>VLOOKUP($A178,[1]Sheet2!$I$2:$O$544,3,FALSE)</f>
        <v>KPB3</v>
      </c>
      <c r="D178" s="2" t="s">
        <v>551</v>
      </c>
      <c r="E178" s="15" t="str">
        <f>VLOOKUP($A178,[1]Sheet2!$I$2:$O$544,5,FALSE)</f>
        <v>2025-02-19</v>
      </c>
      <c r="F178" s="13" t="str">
        <f>VLOOKUP($A178,'[2]AHM-Q01-251105-2511051358'!$E$2:$H$376,4,FALSE)</f>
        <v>19/02/2025</v>
      </c>
      <c r="G178" s="15">
        <f t="shared" si="10"/>
        <v>0</v>
      </c>
      <c r="H178" s="24">
        <f t="shared" si="11"/>
        <v>0</v>
      </c>
      <c r="I178" s="13">
        <f t="shared" si="12"/>
        <v>0</v>
      </c>
      <c r="J178" s="17" t="s">
        <v>147</v>
      </c>
      <c r="K178" s="9" t="str">
        <f>VLOOKUP($A178,[1]Sheet2!$I$2:$O$544,6,FALSE)</f>
        <v>2025-10-17</v>
      </c>
      <c r="L178" s="17" t="s">
        <v>552</v>
      </c>
      <c r="M178" s="9">
        <f>VLOOKUP($A178,[1]Sheet2!$I$2:$O$544,4,FALSE)</f>
        <v>6115</v>
      </c>
      <c r="N178" s="10">
        <f t="shared" si="13"/>
        <v>0</v>
      </c>
      <c r="O178" s="10">
        <f t="shared" si="14"/>
        <v>0</v>
      </c>
    </row>
    <row r="179" spans="1:15" x14ac:dyDescent="0.2">
      <c r="A179" s="3" t="s">
        <v>553</v>
      </c>
      <c r="B179" s="17" t="s">
        <v>33</v>
      </c>
      <c r="C179" s="9" t="str">
        <f>VLOOKUP($A179,[1]Sheet2!$I$2:$O$544,3,FALSE)</f>
        <v>KPB3</v>
      </c>
      <c r="D179" s="2" t="s">
        <v>554</v>
      </c>
      <c r="E179" s="15" t="str">
        <f>VLOOKUP($A179,[1]Sheet2!$I$2:$O$544,5,FALSE)</f>
        <v>2025-01-27</v>
      </c>
      <c r="F179" s="13" t="str">
        <f>VLOOKUP($A179,'[2]AHM-Q01-251105-2511051358'!$E$2:$H$376,4,FALSE)</f>
        <v>27/01/2025</v>
      </c>
      <c r="G179" s="15">
        <f t="shared" si="10"/>
        <v>-1</v>
      </c>
      <c r="H179" s="24">
        <f t="shared" si="11"/>
        <v>-1</v>
      </c>
      <c r="I179" s="13">
        <f t="shared" si="12"/>
        <v>0</v>
      </c>
      <c r="J179" s="17" t="s">
        <v>164</v>
      </c>
      <c r="K179" s="9" t="str">
        <f>VLOOKUP($A179,[1]Sheet2!$I$2:$O$544,6,FALSE)</f>
        <v>2025-10-21</v>
      </c>
      <c r="L179" s="17" t="s">
        <v>555</v>
      </c>
      <c r="M179" s="9">
        <f>VLOOKUP($A179,[1]Sheet2!$I$2:$O$544,4,FALSE)</f>
        <v>6202</v>
      </c>
      <c r="N179" s="10">
        <f t="shared" si="13"/>
        <v>0</v>
      </c>
      <c r="O179" s="10">
        <f t="shared" si="14"/>
        <v>0</v>
      </c>
    </row>
    <row r="180" spans="1:15" x14ac:dyDescent="0.2">
      <c r="A180" s="3" t="s">
        <v>557</v>
      </c>
      <c r="B180" s="17" t="s">
        <v>33</v>
      </c>
      <c r="C180" s="9" t="str">
        <f>VLOOKUP($A180,[1]Sheet2!$I$2:$O$544,3,FALSE)</f>
        <v>KPB3</v>
      </c>
      <c r="D180" s="2" t="s">
        <v>558</v>
      </c>
      <c r="E180" s="15" t="str">
        <f>VLOOKUP($A180,[1]Sheet2!$I$2:$O$544,5,FALSE)</f>
        <v>2025-02-27</v>
      </c>
      <c r="F180" s="13" t="str">
        <f>VLOOKUP($A180,'[2]AHM-Q01-251105-2511051358'!$E$2:$H$376,4,FALSE)</f>
        <v>27/02/2025</v>
      </c>
      <c r="G180" s="15">
        <f t="shared" si="10"/>
        <v>-1</v>
      </c>
      <c r="H180" s="24">
        <f t="shared" si="11"/>
        <v>-1</v>
      </c>
      <c r="I180" s="13">
        <f t="shared" si="12"/>
        <v>0</v>
      </c>
      <c r="J180" s="17" t="s">
        <v>164</v>
      </c>
      <c r="K180" s="9" t="str">
        <f>VLOOKUP($A180,[1]Sheet2!$I$2:$O$544,6,FALSE)</f>
        <v>2025-10-21</v>
      </c>
      <c r="L180" s="17" t="s">
        <v>559</v>
      </c>
      <c r="M180" s="9">
        <f>VLOOKUP($A180,[1]Sheet2!$I$2:$O$544,4,FALSE)</f>
        <v>10832</v>
      </c>
      <c r="N180" s="10">
        <f t="shared" si="13"/>
        <v>0</v>
      </c>
      <c r="O180" s="10">
        <f t="shared" si="14"/>
        <v>0</v>
      </c>
    </row>
    <row r="181" spans="1:15" x14ac:dyDescent="0.2">
      <c r="A181" s="3" t="s">
        <v>560</v>
      </c>
      <c r="B181" s="17" t="s">
        <v>33</v>
      </c>
      <c r="C181" s="9" t="str">
        <f>VLOOKUP($A181,[1]Sheet2!$I$2:$O$544,3,FALSE)</f>
        <v>KPB3</v>
      </c>
      <c r="D181" s="2" t="s">
        <v>558</v>
      </c>
      <c r="E181" s="15" t="str">
        <f>VLOOKUP($A181,[1]Sheet2!$I$2:$O$544,5,FALSE)</f>
        <v>2025-02-26</v>
      </c>
      <c r="F181" s="13" t="str">
        <f>VLOOKUP($A181,'[2]AHM-Q01-251105-2511051358'!$E$2:$H$376,4,FALSE)</f>
        <v>26/02/2025</v>
      </c>
      <c r="G181" s="15">
        <f t="shared" si="10"/>
        <v>0</v>
      </c>
      <c r="H181" s="24">
        <f t="shared" si="11"/>
        <v>0</v>
      </c>
      <c r="I181" s="13">
        <f t="shared" si="12"/>
        <v>0</v>
      </c>
      <c r="J181" s="17" t="s">
        <v>164</v>
      </c>
      <c r="K181" s="9" t="str">
        <f>VLOOKUP($A181,[1]Sheet2!$I$2:$O$544,6,FALSE)</f>
        <v>2025-10-21</v>
      </c>
      <c r="L181" s="17" t="s">
        <v>561</v>
      </c>
      <c r="M181" s="9">
        <f>VLOOKUP($A181,[1]Sheet2!$I$2:$O$544,4,FALSE)</f>
        <v>6988</v>
      </c>
      <c r="N181" s="10">
        <f t="shared" si="13"/>
        <v>0</v>
      </c>
      <c r="O181" s="10">
        <f t="shared" si="14"/>
        <v>0</v>
      </c>
    </row>
    <row r="182" spans="1:15" x14ac:dyDescent="0.2">
      <c r="A182" s="3" t="s">
        <v>562</v>
      </c>
      <c r="B182" s="17" t="s">
        <v>15</v>
      </c>
      <c r="C182" s="9" t="str">
        <f>VLOOKUP($A182,[1]Sheet2!$I$2:$O$544,3,FALSE)</f>
        <v>KPB1</v>
      </c>
      <c r="D182" s="2" t="s">
        <v>99</v>
      </c>
      <c r="E182" s="15" t="str">
        <f>VLOOKUP($A182,[1]Sheet2!$I$2:$O$544,5,FALSE)</f>
        <v>2025-08-01</v>
      </c>
      <c r="F182" s="13" t="str">
        <f>VLOOKUP($A182,'[2]AHM-Q01-251105-2511051358'!$E$2:$H$376,4,FALSE)</f>
        <v>01/08/2025</v>
      </c>
      <c r="G182" s="15">
        <f t="shared" si="10"/>
        <v>0</v>
      </c>
      <c r="H182" s="24">
        <f t="shared" si="11"/>
        <v>0</v>
      </c>
      <c r="I182" s="13">
        <f t="shared" si="12"/>
        <v>0</v>
      </c>
      <c r="J182" s="17" t="s">
        <v>179</v>
      </c>
      <c r="K182" s="9" t="str">
        <f>VLOOKUP($A182,[1]Sheet2!$I$2:$O$544,6,FALSE)</f>
        <v>2025-10-04</v>
      </c>
      <c r="L182" s="17" t="s">
        <v>108</v>
      </c>
      <c r="M182" s="9">
        <f>VLOOKUP($A182,[1]Sheet2!$I$2:$O$544,4,FALSE)</f>
        <v>1017</v>
      </c>
      <c r="N182" s="10">
        <f t="shared" si="13"/>
        <v>0</v>
      </c>
      <c r="O182" s="10">
        <f t="shared" si="14"/>
        <v>0</v>
      </c>
    </row>
    <row r="183" spans="1:15" x14ac:dyDescent="0.2">
      <c r="A183" s="3" t="s">
        <v>563</v>
      </c>
      <c r="B183" s="17" t="s">
        <v>15</v>
      </c>
      <c r="C183" s="9" t="str">
        <f>VLOOKUP($A183,[1]Sheet2!$I$2:$O$544,3,FALSE)</f>
        <v>KPB1</v>
      </c>
      <c r="D183" s="2" t="s">
        <v>416</v>
      </c>
      <c r="E183" s="15" t="str">
        <f>VLOOKUP($A183,[1]Sheet2!$I$2:$O$544,5,FALSE)</f>
        <v>2025-08-07</v>
      </c>
      <c r="F183" s="13" t="str">
        <f>VLOOKUP($A183,'[2]AHM-Q01-251105-2511051358'!$E$2:$H$376,4,FALSE)</f>
        <v>07/08/2025</v>
      </c>
      <c r="G183" s="15">
        <f t="shared" si="10"/>
        <v>-2</v>
      </c>
      <c r="H183" s="24">
        <f t="shared" si="11"/>
        <v>-2</v>
      </c>
      <c r="I183" s="13">
        <f t="shared" si="12"/>
        <v>0</v>
      </c>
      <c r="J183" s="17" t="s">
        <v>104</v>
      </c>
      <c r="K183" s="9" t="str">
        <f>VLOOKUP($A183,[1]Sheet2!$I$2:$O$544,6,FALSE)</f>
        <v>2025-10-06</v>
      </c>
      <c r="L183" s="17" t="s">
        <v>564</v>
      </c>
      <c r="M183" s="9">
        <f>VLOOKUP($A183,[1]Sheet2!$I$2:$O$544,4,FALSE)</f>
        <v>882</v>
      </c>
      <c r="N183" s="10">
        <f t="shared" si="13"/>
        <v>0</v>
      </c>
      <c r="O183" s="10">
        <f t="shared" si="14"/>
        <v>0</v>
      </c>
    </row>
    <row r="184" spans="1:15" x14ac:dyDescent="0.2">
      <c r="A184" s="3" t="s">
        <v>565</v>
      </c>
      <c r="B184" s="17" t="s">
        <v>15</v>
      </c>
      <c r="C184" s="9" t="str">
        <f>VLOOKUP($A184,[1]Sheet2!$I$2:$O$544,3,FALSE)</f>
        <v>KPB1</v>
      </c>
      <c r="D184" s="2" t="s">
        <v>290</v>
      </c>
      <c r="E184" s="15" t="str">
        <f>VLOOKUP($A184,[1]Sheet2!$I$2:$O$544,5,FALSE)</f>
        <v>2025-08-03</v>
      </c>
      <c r="F184" s="13" t="str">
        <f>VLOOKUP($A184,'[2]AHM-Q01-251105-2511051358'!$E$2:$H$376,4,FALSE)</f>
        <v>03/08/2025</v>
      </c>
      <c r="G184" s="15">
        <f t="shared" si="10"/>
        <v>0</v>
      </c>
      <c r="H184" s="24">
        <f t="shared" si="11"/>
        <v>0</v>
      </c>
      <c r="I184" s="13">
        <f t="shared" si="12"/>
        <v>0</v>
      </c>
      <c r="J184" s="17" t="s">
        <v>104</v>
      </c>
      <c r="K184" s="9" t="str">
        <f>VLOOKUP($A184,[1]Sheet2!$I$2:$O$544,6,FALSE)</f>
        <v>2025-10-06</v>
      </c>
      <c r="L184" s="17" t="s">
        <v>108</v>
      </c>
      <c r="M184" s="9">
        <f>VLOOKUP($A184,[1]Sheet2!$I$2:$O$544,4,FALSE)</f>
        <v>1017</v>
      </c>
      <c r="N184" s="10">
        <f t="shared" si="13"/>
        <v>0</v>
      </c>
      <c r="O184" s="10">
        <f t="shared" si="14"/>
        <v>0</v>
      </c>
    </row>
    <row r="185" spans="1:15" x14ac:dyDescent="0.2">
      <c r="A185" s="3" t="s">
        <v>566</v>
      </c>
      <c r="B185" s="17" t="s">
        <v>15</v>
      </c>
      <c r="C185" s="9" t="str">
        <f>VLOOKUP($A185,[1]Sheet2!$I$2:$O$544,3,FALSE)</f>
        <v>KPB1</v>
      </c>
      <c r="D185" s="2" t="s">
        <v>112</v>
      </c>
      <c r="E185" s="15" t="str">
        <f>VLOOKUP($A185,[1]Sheet2!$I$2:$O$544,5,FALSE)</f>
        <v>2025-08-08</v>
      </c>
      <c r="F185" s="13" t="str">
        <f>VLOOKUP($A185,'[2]AHM-Q01-251105-2511051358'!$E$2:$H$376,4,FALSE)</f>
        <v>08/08/2025</v>
      </c>
      <c r="G185" s="15">
        <f t="shared" si="10"/>
        <v>-1</v>
      </c>
      <c r="H185" s="24">
        <f t="shared" si="11"/>
        <v>-1</v>
      </c>
      <c r="I185" s="13">
        <f t="shared" si="12"/>
        <v>0</v>
      </c>
      <c r="J185" s="17" t="s">
        <v>141</v>
      </c>
      <c r="K185" s="9" t="str">
        <f>VLOOKUP($A185,[1]Sheet2!$I$2:$O$544,6,FALSE)</f>
        <v>2025-10-15</v>
      </c>
      <c r="L185" s="17" t="s">
        <v>556</v>
      </c>
      <c r="M185" s="9">
        <f>VLOOKUP($A185,[1]Sheet2!$I$2:$O$544,4,FALSE)</f>
        <v>179</v>
      </c>
      <c r="N185" s="10">
        <f t="shared" si="13"/>
        <v>0</v>
      </c>
      <c r="O185" s="10">
        <f t="shared" si="14"/>
        <v>0</v>
      </c>
    </row>
    <row r="186" spans="1:15" x14ac:dyDescent="0.2">
      <c r="A186" s="3" t="s">
        <v>384</v>
      </c>
      <c r="B186" s="17" t="s">
        <v>15</v>
      </c>
      <c r="C186" s="9" t="str">
        <f>VLOOKUP($A186,[1]Sheet2!$I$2:$O$544,3,FALSE)</f>
        <v>KPB1</v>
      </c>
      <c r="D186" s="2" t="s">
        <v>99</v>
      </c>
      <c r="E186" s="15" t="str">
        <f>VLOOKUP($A186,[1]Sheet2!$I$2:$O$544,5,FALSE)</f>
        <v>2025-08-07</v>
      </c>
      <c r="F186" s="13" t="str">
        <f>VLOOKUP($A186,'[2]AHM-Q01-251105-2511051358'!$E$2:$H$376,4,FALSE)</f>
        <v>07/08/2025</v>
      </c>
      <c r="G186" s="15">
        <f t="shared" si="10"/>
        <v>-6</v>
      </c>
      <c r="H186" s="24">
        <f t="shared" si="11"/>
        <v>-6</v>
      </c>
      <c r="I186" s="13">
        <f t="shared" si="12"/>
        <v>0</v>
      </c>
      <c r="J186" s="17" t="s">
        <v>179</v>
      </c>
      <c r="K186" s="9" t="str">
        <f>VLOOKUP($A186,[1]Sheet2!$I$2:$O$544,6,FALSE)</f>
        <v>2025-10-04</v>
      </c>
      <c r="L186" s="17" t="s">
        <v>385</v>
      </c>
      <c r="M186" s="9">
        <f>VLOOKUP($A186,[1]Sheet2!$I$2:$O$544,4,FALSE)</f>
        <v>624</v>
      </c>
      <c r="N186" s="10">
        <f t="shared" si="13"/>
        <v>0</v>
      </c>
      <c r="O186" s="10">
        <f t="shared" si="14"/>
        <v>0</v>
      </c>
    </row>
    <row r="187" spans="1:15" x14ac:dyDescent="0.2">
      <c r="A187" s="3" t="s">
        <v>570</v>
      </c>
      <c r="B187" s="17" t="s">
        <v>27</v>
      </c>
      <c r="C187" s="9" t="str">
        <f>VLOOKUP($A187,[1]Sheet2!$I$2:$O$544,3,FALSE)</f>
        <v>KPB2</v>
      </c>
      <c r="D187" s="2" t="s">
        <v>439</v>
      </c>
      <c r="E187" s="15" t="str">
        <f>VLOOKUP($A187,[1]Sheet2!$I$2:$O$544,5,FALSE)</f>
        <v>1970-01-01</v>
      </c>
      <c r="F187" s="13" t="str">
        <f>VLOOKUP($A187,'[2]AHM-Q01-251105-2511051358'!$E$2:$H$376,4,FALSE)</f>
        <v>04/06/2025</v>
      </c>
      <c r="G187" s="15">
        <f t="shared" si="10"/>
        <v>20243</v>
      </c>
      <c r="H187" s="24">
        <f t="shared" si="11"/>
        <v>0</v>
      </c>
      <c r="I187" s="13">
        <f t="shared" si="12"/>
        <v>-20243</v>
      </c>
      <c r="J187" s="17" t="s">
        <v>104</v>
      </c>
      <c r="K187" s="9" t="str">
        <f>VLOOKUP($A187,[1]Sheet2!$I$2:$O$544,6,FALSE)</f>
        <v>2025-10-06</v>
      </c>
      <c r="L187" s="17" t="s">
        <v>571</v>
      </c>
      <c r="M187" s="9">
        <f>VLOOKUP($A187,[1]Sheet2!$I$2:$O$544,4,FALSE)</f>
        <v>2048</v>
      </c>
      <c r="N187" s="10">
        <f t="shared" si="13"/>
        <v>0</v>
      </c>
      <c r="O187" s="10">
        <f t="shared" si="14"/>
        <v>0</v>
      </c>
    </row>
    <row r="188" spans="1:15" x14ac:dyDescent="0.2">
      <c r="A188" s="3" t="s">
        <v>572</v>
      </c>
      <c r="B188" s="17" t="s">
        <v>27</v>
      </c>
      <c r="C188" s="9" t="str">
        <f>VLOOKUP($A188,[1]Sheet2!$I$2:$O$544,3,FALSE)</f>
        <v>KPB2</v>
      </c>
      <c r="D188" s="2" t="s">
        <v>270</v>
      </c>
      <c r="E188" s="15" t="str">
        <f>VLOOKUP($A188,[1]Sheet2!$I$2:$O$544,5,FALSE)</f>
        <v>2025-06-14</v>
      </c>
      <c r="F188" s="13" t="str">
        <f>VLOOKUP($A188,'[2]AHM-Q01-251105-2511051358'!$E$2:$H$376,4,FALSE)</f>
        <v>14/06/2025</v>
      </c>
      <c r="G188" s="15">
        <f t="shared" si="10"/>
        <v>0</v>
      </c>
      <c r="H188" s="24">
        <f t="shared" si="11"/>
        <v>0</v>
      </c>
      <c r="I188" s="13">
        <f t="shared" si="12"/>
        <v>0</v>
      </c>
      <c r="J188" s="17" t="s">
        <v>131</v>
      </c>
      <c r="K188" s="9" t="str">
        <f>VLOOKUP($A188,[1]Sheet2!$I$2:$O$544,6,FALSE)</f>
        <v>2025-10-13</v>
      </c>
      <c r="L188" s="17" t="s">
        <v>573</v>
      </c>
      <c r="M188" s="9">
        <f>VLOOKUP($A188,[1]Sheet2!$I$2:$O$544,4,FALSE)</f>
        <v>1620</v>
      </c>
      <c r="N188" s="10">
        <f t="shared" si="13"/>
        <v>0</v>
      </c>
      <c r="O188" s="10">
        <f t="shared" si="14"/>
        <v>0</v>
      </c>
    </row>
    <row r="189" spans="1:15" x14ac:dyDescent="0.2">
      <c r="A189" s="3" t="s">
        <v>574</v>
      </c>
      <c r="B189" s="17" t="s">
        <v>27</v>
      </c>
      <c r="C189" s="9" t="str">
        <f>VLOOKUP($A189,[1]Sheet2!$I$2:$O$544,3,FALSE)</f>
        <v>KPB2</v>
      </c>
      <c r="D189" s="2" t="s">
        <v>270</v>
      </c>
      <c r="E189" s="15" t="str">
        <f>VLOOKUP($A189,[1]Sheet2!$I$2:$O$544,5,FALSE)</f>
        <v>2025-06-16</v>
      </c>
      <c r="F189" s="13" t="str">
        <f>VLOOKUP($A189,'[2]AHM-Q01-251105-2511051358'!$E$2:$H$376,4,FALSE)</f>
        <v>16/06/2025</v>
      </c>
      <c r="G189" s="15">
        <f t="shared" si="10"/>
        <v>-2</v>
      </c>
      <c r="H189" s="24">
        <f t="shared" si="11"/>
        <v>-2</v>
      </c>
      <c r="I189" s="13">
        <f t="shared" si="12"/>
        <v>0</v>
      </c>
      <c r="J189" s="17" t="s">
        <v>131</v>
      </c>
      <c r="K189" s="9" t="str">
        <f>VLOOKUP($A189,[1]Sheet2!$I$2:$O$544,6,FALSE)</f>
        <v>2025-10-13</v>
      </c>
      <c r="L189" s="17" t="s">
        <v>575</v>
      </c>
      <c r="M189" s="9">
        <f>VLOOKUP($A189,[1]Sheet2!$I$2:$O$544,4,FALSE)</f>
        <v>4081</v>
      </c>
      <c r="N189" s="10">
        <f t="shared" si="13"/>
        <v>0</v>
      </c>
      <c r="O189" s="10">
        <f t="shared" si="14"/>
        <v>0</v>
      </c>
    </row>
    <row r="190" spans="1:15" x14ac:dyDescent="0.2">
      <c r="A190" s="3" t="s">
        <v>576</v>
      </c>
      <c r="B190" s="17" t="s">
        <v>27</v>
      </c>
      <c r="C190" s="9" t="str">
        <f>VLOOKUP($A190,[1]Sheet2!$I$2:$O$544,3,FALSE)</f>
        <v>KPB2</v>
      </c>
      <c r="D190" s="2" t="s">
        <v>206</v>
      </c>
      <c r="E190" s="15" t="str">
        <f>VLOOKUP($A190,[1]Sheet2!$I$2:$O$544,5,FALSE)</f>
        <v>2025-06-20</v>
      </c>
      <c r="F190" s="13" t="str">
        <f>VLOOKUP($A190,'[2]AHM-Q01-251105-2511051358'!$E$2:$H$376,4,FALSE)</f>
        <v>20/06/2025</v>
      </c>
      <c r="G190" s="15">
        <f t="shared" si="10"/>
        <v>0</v>
      </c>
      <c r="H190" s="24">
        <f t="shared" si="11"/>
        <v>0</v>
      </c>
      <c r="I190" s="13">
        <f t="shared" si="12"/>
        <v>0</v>
      </c>
      <c r="J190" s="17" t="s">
        <v>154</v>
      </c>
      <c r="K190" s="9" t="str">
        <f>VLOOKUP($A190,[1]Sheet2!$I$2:$O$544,6,FALSE)</f>
        <v>2025-10-18</v>
      </c>
      <c r="L190" s="17" t="s">
        <v>577</v>
      </c>
      <c r="M190" s="9">
        <f>VLOOKUP($A190,[1]Sheet2!$I$2:$O$544,4,FALSE)</f>
        <v>2817</v>
      </c>
      <c r="N190" s="10">
        <f t="shared" si="13"/>
        <v>0</v>
      </c>
      <c r="O190" s="10">
        <f t="shared" si="14"/>
        <v>0</v>
      </c>
    </row>
    <row r="191" spans="1:15" x14ac:dyDescent="0.2">
      <c r="A191" s="3" t="s">
        <v>578</v>
      </c>
      <c r="B191" s="17" t="s">
        <v>27</v>
      </c>
      <c r="C191" s="9" t="str">
        <f>VLOOKUP($A191,[1]Sheet2!$I$2:$O$544,3,FALSE)</f>
        <v>KPB2</v>
      </c>
      <c r="D191" s="2" t="s">
        <v>212</v>
      </c>
      <c r="E191" s="15" t="str">
        <f>VLOOKUP($A191,[1]Sheet2!$I$2:$O$544,5,FALSE)</f>
        <v>2025-06-21</v>
      </c>
      <c r="F191" s="13" t="str">
        <f>VLOOKUP($A191,'[2]AHM-Q01-251105-2511051358'!$E$2:$H$376,4,FALSE)</f>
        <v>21/06/2025</v>
      </c>
      <c r="G191" s="15">
        <f t="shared" si="10"/>
        <v>0</v>
      </c>
      <c r="H191" s="24">
        <f t="shared" si="11"/>
        <v>0</v>
      </c>
      <c r="I191" s="13">
        <f t="shared" si="12"/>
        <v>0</v>
      </c>
      <c r="J191" s="17" t="s">
        <v>154</v>
      </c>
      <c r="K191" s="9" t="str">
        <f>VLOOKUP($A191,[1]Sheet2!$I$2:$O$544,6,FALSE)</f>
        <v>2025-10-18</v>
      </c>
      <c r="L191" s="17" t="s">
        <v>525</v>
      </c>
      <c r="M191" s="9">
        <f>VLOOKUP($A191,[1]Sheet2!$I$2:$O$544,4,FALSE)</f>
        <v>1500</v>
      </c>
      <c r="N191" s="10">
        <f t="shared" si="13"/>
        <v>0</v>
      </c>
      <c r="O191" s="10">
        <f t="shared" si="14"/>
        <v>0</v>
      </c>
    </row>
    <row r="192" spans="1:15" x14ac:dyDescent="0.2">
      <c r="A192" s="3" t="s">
        <v>579</v>
      </c>
      <c r="B192" s="17" t="s">
        <v>27</v>
      </c>
      <c r="C192" s="9" t="str">
        <f>VLOOKUP($A192,[1]Sheet2!$I$2:$O$544,3,FALSE)</f>
        <v>KPB2</v>
      </c>
      <c r="D192" s="2" t="s">
        <v>219</v>
      </c>
      <c r="E192" s="15" t="str">
        <f>VLOOKUP($A192,[1]Sheet2!$I$2:$O$544,5,FALSE)</f>
        <v>2025-06-24</v>
      </c>
      <c r="F192" s="13" t="str">
        <f>VLOOKUP($A192,'[2]AHM-Q01-251105-2511051358'!$E$2:$H$376,4,FALSE)</f>
        <v>24/06/2025</v>
      </c>
      <c r="G192" s="15">
        <f t="shared" si="10"/>
        <v>0</v>
      </c>
      <c r="H192" s="24">
        <f t="shared" si="11"/>
        <v>0</v>
      </c>
      <c r="I192" s="13">
        <f t="shared" si="12"/>
        <v>0</v>
      </c>
      <c r="J192" s="17" t="s">
        <v>216</v>
      </c>
      <c r="K192" s="9" t="str">
        <f>VLOOKUP($A192,[1]Sheet2!$I$2:$O$544,6,FALSE)</f>
        <v>2025-10-20</v>
      </c>
      <c r="L192" s="17" t="s">
        <v>580</v>
      </c>
      <c r="M192" s="9">
        <f>VLOOKUP($A192,[1]Sheet2!$I$2:$O$544,4,FALSE)</f>
        <v>2861</v>
      </c>
      <c r="N192" s="10">
        <f t="shared" si="13"/>
        <v>0</v>
      </c>
      <c r="O192" s="10">
        <f t="shared" si="14"/>
        <v>0</v>
      </c>
    </row>
    <row r="193" spans="1:15" x14ac:dyDescent="0.2">
      <c r="A193" s="3" t="s">
        <v>581</v>
      </c>
      <c r="B193" s="17" t="s">
        <v>27</v>
      </c>
      <c r="C193" s="9" t="str">
        <f>VLOOKUP($A193,[1]Sheet2!$I$2:$O$544,3,FALSE)</f>
        <v>KPB2</v>
      </c>
      <c r="D193" s="2" t="s">
        <v>219</v>
      </c>
      <c r="E193" s="15" t="str">
        <f>VLOOKUP($A193,[1]Sheet2!$I$2:$O$544,5,FALSE)</f>
        <v>2025-06-24</v>
      </c>
      <c r="F193" s="13" t="str">
        <f>VLOOKUP($A193,'[2]AHM-Q01-251105-2511051358'!$E$2:$H$376,4,FALSE)</f>
        <v>24/06/2025</v>
      </c>
      <c r="G193" s="15">
        <f t="shared" si="10"/>
        <v>0</v>
      </c>
      <c r="H193" s="24">
        <f t="shared" si="11"/>
        <v>0</v>
      </c>
      <c r="I193" s="13">
        <f t="shared" si="12"/>
        <v>0</v>
      </c>
      <c r="J193" s="17" t="s">
        <v>216</v>
      </c>
      <c r="K193" s="9" t="str">
        <f>VLOOKUP($A193,[1]Sheet2!$I$2:$O$544,6,FALSE)</f>
        <v>2025-10-20</v>
      </c>
      <c r="L193" s="17" t="s">
        <v>582</v>
      </c>
      <c r="M193" s="9">
        <f>VLOOKUP($A193,[1]Sheet2!$I$2:$O$544,4,FALSE)</f>
        <v>2479</v>
      </c>
      <c r="N193" s="10">
        <f t="shared" si="13"/>
        <v>0</v>
      </c>
      <c r="O193" s="10">
        <f t="shared" si="14"/>
        <v>0</v>
      </c>
    </row>
    <row r="194" spans="1:15" x14ac:dyDescent="0.2">
      <c r="A194" s="3" t="s">
        <v>583</v>
      </c>
      <c r="B194" s="17" t="s">
        <v>27</v>
      </c>
      <c r="C194" s="9" t="str">
        <f>VLOOKUP($A194,[1]Sheet2!$I$2:$O$544,3,FALSE)</f>
        <v>KPB2</v>
      </c>
      <c r="D194" s="2" t="s">
        <v>584</v>
      </c>
      <c r="E194" s="15" t="str">
        <f>VLOOKUP($A194,[1]Sheet2!$I$2:$O$544,5,FALSE)</f>
        <v>2025-06-25</v>
      </c>
      <c r="F194" s="13" t="str">
        <f>VLOOKUP($A194,'[2]AHM-Q01-251105-2511051358'!$E$2:$H$376,4,FALSE)</f>
        <v>25/06/2025</v>
      </c>
      <c r="G194" s="15">
        <f t="shared" ref="G194:G257" si="15">D194-E194</f>
        <v>0</v>
      </c>
      <c r="H194" s="24">
        <f t="shared" ref="H194:H257" si="16">D194-F194</f>
        <v>0</v>
      </c>
      <c r="I194" s="13">
        <f t="shared" ref="I194:I257" si="17">E194-F194</f>
        <v>0</v>
      </c>
      <c r="J194" s="17" t="s">
        <v>225</v>
      </c>
      <c r="K194" s="9" t="str">
        <f>VLOOKUP($A194,[1]Sheet2!$I$2:$O$544,6,FALSE)</f>
        <v>2025-10-27</v>
      </c>
      <c r="L194" s="17" t="s">
        <v>585</v>
      </c>
      <c r="M194" s="9">
        <f>VLOOKUP($A194,[1]Sheet2!$I$2:$O$544,4,FALSE)</f>
        <v>2684</v>
      </c>
      <c r="N194" s="10">
        <f t="shared" ref="N194:N257" si="18">K194-J194</f>
        <v>0</v>
      </c>
      <c r="O194" s="10">
        <f t="shared" ref="O194:O257" si="19">M194-L194</f>
        <v>0</v>
      </c>
    </row>
    <row r="195" spans="1:15" x14ac:dyDescent="0.2">
      <c r="A195" s="3" t="s">
        <v>586</v>
      </c>
      <c r="B195" s="17" t="s">
        <v>33</v>
      </c>
      <c r="C195" s="9" t="str">
        <f>VLOOKUP($A195,[1]Sheet2!$I$2:$O$544,3,FALSE)</f>
        <v>KPB3</v>
      </c>
      <c r="D195" s="2" t="s">
        <v>368</v>
      </c>
      <c r="E195" s="15" t="str">
        <f>VLOOKUP($A195,[1]Sheet2!$I$2:$O$544,5,FALSE)</f>
        <v>2025-02-07</v>
      </c>
      <c r="F195" s="13" t="str">
        <f>VLOOKUP($A195,'[2]AHM-Q01-251105-2511051358'!$E$2:$H$376,4,FALSE)</f>
        <v>07/02/2025</v>
      </c>
      <c r="G195" s="15">
        <f t="shared" si="15"/>
        <v>0</v>
      </c>
      <c r="H195" s="24">
        <f t="shared" si="16"/>
        <v>0</v>
      </c>
      <c r="I195" s="13">
        <f t="shared" si="17"/>
        <v>0</v>
      </c>
      <c r="J195" s="17" t="s">
        <v>113</v>
      </c>
      <c r="K195" s="9" t="str">
        <f>VLOOKUP($A195,[1]Sheet2!$I$2:$O$544,6,FALSE)</f>
        <v>2025-10-07</v>
      </c>
      <c r="L195" s="17" t="s">
        <v>587</v>
      </c>
      <c r="M195" s="9">
        <f>VLOOKUP($A195,[1]Sheet2!$I$2:$O$544,4,FALSE)</f>
        <v>5973</v>
      </c>
      <c r="N195" s="10">
        <f t="shared" si="18"/>
        <v>0</v>
      </c>
      <c r="O195" s="10">
        <f t="shared" si="19"/>
        <v>0</v>
      </c>
    </row>
    <row r="196" spans="1:15" x14ac:dyDescent="0.2">
      <c r="A196" s="3" t="s">
        <v>588</v>
      </c>
      <c r="B196" s="17" t="s">
        <v>38</v>
      </c>
      <c r="C196" s="9" t="str">
        <f>VLOOKUP($A196,[1]Sheet2!$I$2:$O$544,3,FALSE)</f>
        <v>KPB4</v>
      </c>
      <c r="D196" s="2" t="s">
        <v>589</v>
      </c>
      <c r="E196" s="15" t="str">
        <f>VLOOKUP($A196,[1]Sheet2!$I$2:$O$544,5,FALSE)</f>
        <v>2024-10-13</v>
      </c>
      <c r="F196" s="13" t="str">
        <f>VLOOKUP($A196,'[2]AHM-Q01-251105-2511051358'!$E$2:$H$376,4,FALSE)</f>
        <v>13/10/2024</v>
      </c>
      <c r="G196" s="15">
        <f t="shared" si="15"/>
        <v>0</v>
      </c>
      <c r="H196" s="24">
        <f t="shared" si="16"/>
        <v>0</v>
      </c>
      <c r="I196" s="13">
        <f t="shared" si="17"/>
        <v>0</v>
      </c>
      <c r="J196" s="17" t="s">
        <v>121</v>
      </c>
      <c r="K196" s="9" t="str">
        <f>VLOOKUP($A196,[1]Sheet2!$I$2:$O$544,6,FALSE)</f>
        <v>2025-10-10</v>
      </c>
      <c r="L196" s="17" t="s">
        <v>590</v>
      </c>
      <c r="M196" s="9">
        <f>VLOOKUP($A196,[1]Sheet2!$I$2:$O$544,4,FALSE)</f>
        <v>9191</v>
      </c>
      <c r="N196" s="10">
        <f t="shared" si="18"/>
        <v>0</v>
      </c>
      <c r="O196" s="10">
        <f t="shared" si="19"/>
        <v>0</v>
      </c>
    </row>
    <row r="197" spans="1:15" x14ac:dyDescent="0.2">
      <c r="A197" s="3" t="s">
        <v>591</v>
      </c>
      <c r="B197" s="17" t="s">
        <v>27</v>
      </c>
      <c r="C197" s="9" t="str">
        <f>VLOOKUP($A197,[1]Sheet2!$I$2:$O$544,3,FALSE)</f>
        <v>KPB2</v>
      </c>
      <c r="D197" s="2" t="s">
        <v>206</v>
      </c>
      <c r="E197" s="15" t="str">
        <f>VLOOKUP($A197,[1]Sheet2!$I$2:$O$544,5,FALSE)</f>
        <v>2025-06-20</v>
      </c>
      <c r="F197" s="13" t="str">
        <f>VLOOKUP($A197,'[2]AHM-Q01-251105-2511051358'!$E$2:$H$376,4,FALSE)</f>
        <v>20/06/2025</v>
      </c>
      <c r="G197" s="15">
        <f t="shared" si="15"/>
        <v>0</v>
      </c>
      <c r="H197" s="24">
        <f t="shared" si="16"/>
        <v>0</v>
      </c>
      <c r="I197" s="13">
        <f t="shared" si="17"/>
        <v>0</v>
      </c>
      <c r="J197" s="17" t="s">
        <v>154</v>
      </c>
      <c r="K197" s="9" t="str">
        <f>VLOOKUP($A197,[1]Sheet2!$I$2:$O$544,6,FALSE)</f>
        <v>2025-10-18</v>
      </c>
      <c r="L197" s="17" t="s">
        <v>592</v>
      </c>
      <c r="M197" s="9">
        <f>VLOOKUP($A197,[1]Sheet2!$I$2:$O$544,4,FALSE)</f>
        <v>4428</v>
      </c>
      <c r="N197" s="10">
        <f t="shared" si="18"/>
        <v>0</v>
      </c>
      <c r="O197" s="10">
        <f t="shared" si="19"/>
        <v>0</v>
      </c>
    </row>
    <row r="198" spans="1:15" x14ac:dyDescent="0.2">
      <c r="A198" s="3" t="s">
        <v>593</v>
      </c>
      <c r="B198" s="17" t="s">
        <v>15</v>
      </c>
      <c r="C198" s="9" t="str">
        <f>VLOOKUP($A198,[1]Sheet2!$I$2:$O$544,3,FALSE)</f>
        <v>KPB1</v>
      </c>
      <c r="D198" s="2" t="s">
        <v>290</v>
      </c>
      <c r="E198" s="15" t="str">
        <f>VLOOKUP($A198,[1]Sheet2!$I$2:$O$544,5,FALSE)</f>
        <v>2025-08-03</v>
      </c>
      <c r="F198" s="13" t="str">
        <f>VLOOKUP($A198,'[2]AHM-Q01-251105-2511051358'!$E$2:$H$376,4,FALSE)</f>
        <v>03/08/2025</v>
      </c>
      <c r="G198" s="15">
        <f t="shared" si="15"/>
        <v>0</v>
      </c>
      <c r="H198" s="24">
        <f t="shared" si="16"/>
        <v>0</v>
      </c>
      <c r="I198" s="13">
        <f t="shared" si="17"/>
        <v>0</v>
      </c>
      <c r="J198" s="17" t="s">
        <v>179</v>
      </c>
      <c r="K198" s="9" t="str">
        <f>VLOOKUP($A198,[1]Sheet2!$I$2:$O$544,6,FALSE)</f>
        <v>2025-10-04</v>
      </c>
      <c r="L198" s="17" t="s">
        <v>341</v>
      </c>
      <c r="M198" s="9">
        <f>VLOOKUP($A198,[1]Sheet2!$I$2:$O$544,4,FALSE)</f>
        <v>1060</v>
      </c>
      <c r="N198" s="10">
        <f t="shared" si="18"/>
        <v>0</v>
      </c>
      <c r="O198" s="10">
        <f t="shared" si="19"/>
        <v>0</v>
      </c>
    </row>
    <row r="199" spans="1:15" x14ac:dyDescent="0.2">
      <c r="A199" s="3" t="s">
        <v>594</v>
      </c>
      <c r="B199" s="17" t="s">
        <v>15</v>
      </c>
      <c r="C199" s="9" t="str">
        <f>VLOOKUP($A199,[1]Sheet2!$I$2:$O$544,3,FALSE)</f>
        <v>KPB1</v>
      </c>
      <c r="D199" s="2" t="s">
        <v>290</v>
      </c>
      <c r="E199" s="15" t="str">
        <f>VLOOKUP($A199,[1]Sheet2!$I$2:$O$544,5,FALSE)</f>
        <v>2025-08-03</v>
      </c>
      <c r="F199" s="13" t="str">
        <f>VLOOKUP($A199,'[2]AHM-Q01-251105-2511051358'!$E$2:$H$376,4,FALSE)</f>
        <v>03/08/2025</v>
      </c>
      <c r="G199" s="15">
        <f t="shared" si="15"/>
        <v>0</v>
      </c>
      <c r="H199" s="24">
        <f t="shared" si="16"/>
        <v>0</v>
      </c>
      <c r="I199" s="13">
        <f t="shared" si="17"/>
        <v>0</v>
      </c>
      <c r="J199" s="17" t="s">
        <v>179</v>
      </c>
      <c r="K199" s="9" t="str">
        <f>VLOOKUP($A199,[1]Sheet2!$I$2:$O$544,6,FALSE)</f>
        <v>2025-10-04</v>
      </c>
      <c r="L199" s="17" t="s">
        <v>595</v>
      </c>
      <c r="M199" s="9">
        <f>VLOOKUP($A199,[1]Sheet2!$I$2:$O$544,4,FALSE)</f>
        <v>1022</v>
      </c>
      <c r="N199" s="10">
        <f t="shared" si="18"/>
        <v>0</v>
      </c>
      <c r="O199" s="10">
        <f t="shared" si="19"/>
        <v>0</v>
      </c>
    </row>
    <row r="200" spans="1:15" x14ac:dyDescent="0.2">
      <c r="A200" s="3" t="s">
        <v>596</v>
      </c>
      <c r="B200" s="17" t="s">
        <v>15</v>
      </c>
      <c r="C200" s="9" t="str">
        <f>VLOOKUP($A200,[1]Sheet2!$I$2:$O$544,3,FALSE)</f>
        <v>KPB1</v>
      </c>
      <c r="D200" s="2" t="s">
        <v>112</v>
      </c>
      <c r="E200" s="15" t="str">
        <f>VLOOKUP($A200,[1]Sheet2!$I$2:$O$544,5,FALSE)</f>
        <v>2025-08-08</v>
      </c>
      <c r="F200" s="13" t="str">
        <f>VLOOKUP($A200,'[2]AHM-Q01-251105-2511051358'!$E$2:$H$376,4,FALSE)</f>
        <v>08/08/2025</v>
      </c>
      <c r="G200" s="15">
        <f t="shared" si="15"/>
        <v>-1</v>
      </c>
      <c r="H200" s="24">
        <f t="shared" si="16"/>
        <v>-1</v>
      </c>
      <c r="I200" s="13">
        <f t="shared" si="17"/>
        <v>0</v>
      </c>
      <c r="J200" s="17" t="s">
        <v>104</v>
      </c>
      <c r="K200" s="9" t="str">
        <f>VLOOKUP($A200,[1]Sheet2!$I$2:$O$544,6,FALSE)</f>
        <v>2025-10-06</v>
      </c>
      <c r="L200" s="17" t="s">
        <v>597</v>
      </c>
      <c r="M200" s="9">
        <f>VLOOKUP($A200,[1]Sheet2!$I$2:$O$544,4,FALSE)</f>
        <v>1054</v>
      </c>
      <c r="N200" s="10">
        <f t="shared" si="18"/>
        <v>0</v>
      </c>
      <c r="O200" s="10">
        <f t="shared" si="19"/>
        <v>0</v>
      </c>
    </row>
    <row r="201" spans="1:15" x14ac:dyDescent="0.2">
      <c r="A201" s="3" t="s">
        <v>598</v>
      </c>
      <c r="B201" s="17" t="s">
        <v>15</v>
      </c>
      <c r="C201" s="9" t="str">
        <f>VLOOKUP($A201,[1]Sheet2!$I$2:$O$544,3,FALSE)</f>
        <v>KPB1</v>
      </c>
      <c r="D201" s="2" t="s">
        <v>416</v>
      </c>
      <c r="E201" s="15" t="str">
        <f>VLOOKUP($A201,[1]Sheet2!$I$2:$O$544,5,FALSE)</f>
        <v>2025-08-07</v>
      </c>
      <c r="F201" s="13" t="str">
        <f>VLOOKUP($A201,'[2]AHM-Q01-251105-2511051358'!$E$2:$H$376,4,FALSE)</f>
        <v>07/08/2025</v>
      </c>
      <c r="G201" s="15">
        <f t="shared" si="15"/>
        <v>-2</v>
      </c>
      <c r="H201" s="24">
        <f t="shared" si="16"/>
        <v>-2</v>
      </c>
      <c r="I201" s="13">
        <f t="shared" si="17"/>
        <v>0</v>
      </c>
      <c r="J201" s="17" t="s">
        <v>113</v>
      </c>
      <c r="K201" s="9" t="str">
        <f>VLOOKUP($A201,[1]Sheet2!$I$2:$O$544,6,FALSE)</f>
        <v>2025-10-07</v>
      </c>
      <c r="L201" s="17" t="s">
        <v>599</v>
      </c>
      <c r="M201" s="9">
        <f>VLOOKUP($A201,[1]Sheet2!$I$2:$O$544,4,FALSE)</f>
        <v>1020</v>
      </c>
      <c r="N201" s="10">
        <f t="shared" si="18"/>
        <v>0</v>
      </c>
      <c r="O201" s="10">
        <f t="shared" si="19"/>
        <v>0</v>
      </c>
    </row>
    <row r="202" spans="1:15" x14ac:dyDescent="0.2">
      <c r="A202" s="3" t="s">
        <v>600</v>
      </c>
      <c r="B202" s="17" t="s">
        <v>15</v>
      </c>
      <c r="C202" s="9" t="str">
        <f>VLOOKUP($A202,[1]Sheet2!$I$2:$O$544,3,FALSE)</f>
        <v>KPB1</v>
      </c>
      <c r="D202" s="2" t="s">
        <v>416</v>
      </c>
      <c r="E202" s="15" t="str">
        <f>VLOOKUP($A202,[1]Sheet2!$I$2:$O$544,5,FALSE)</f>
        <v>2025-08-08</v>
      </c>
      <c r="F202" s="13" t="str">
        <f>VLOOKUP($A202,'[2]AHM-Q01-251105-2511051358'!$E$2:$H$376,4,FALSE)</f>
        <v>08/08/2025</v>
      </c>
      <c r="G202" s="15">
        <f t="shared" si="15"/>
        <v>-3</v>
      </c>
      <c r="H202" s="24">
        <f t="shared" si="16"/>
        <v>-3</v>
      </c>
      <c r="I202" s="13">
        <f t="shared" si="17"/>
        <v>0</v>
      </c>
      <c r="J202" s="17" t="s">
        <v>113</v>
      </c>
      <c r="K202" s="9" t="str">
        <f>VLOOKUP($A202,[1]Sheet2!$I$2:$O$544,6,FALSE)</f>
        <v>2025-10-07</v>
      </c>
      <c r="L202" s="17" t="s">
        <v>601</v>
      </c>
      <c r="M202" s="9">
        <f>VLOOKUP($A202,[1]Sheet2!$I$2:$O$544,4,FALSE)</f>
        <v>713</v>
      </c>
      <c r="N202" s="10">
        <f t="shared" si="18"/>
        <v>0</v>
      </c>
      <c r="O202" s="10">
        <f t="shared" si="19"/>
        <v>0</v>
      </c>
    </row>
    <row r="203" spans="1:15" x14ac:dyDescent="0.2">
      <c r="A203" s="3" t="s">
        <v>603</v>
      </c>
      <c r="B203" s="17" t="s">
        <v>15</v>
      </c>
      <c r="C203" s="9" t="str">
        <f>VLOOKUP($A203,[1]Sheet2!$I$2:$O$544,3,FALSE)</f>
        <v>KPB1</v>
      </c>
      <c r="D203" s="2" t="s">
        <v>112</v>
      </c>
      <c r="E203" s="15" t="str">
        <f>VLOOKUP($A203,[1]Sheet2!$I$2:$O$544,5,FALSE)</f>
        <v>2025-08-08</v>
      </c>
      <c r="F203" s="13" t="str">
        <f>VLOOKUP($A203,'[2]AHM-Q01-251105-2511051358'!$E$2:$H$376,4,FALSE)</f>
        <v>08/08/2025</v>
      </c>
      <c r="G203" s="15">
        <f t="shared" si="15"/>
        <v>-1</v>
      </c>
      <c r="H203" s="24">
        <f t="shared" si="16"/>
        <v>-1</v>
      </c>
      <c r="I203" s="13">
        <f t="shared" si="17"/>
        <v>0</v>
      </c>
      <c r="J203" s="17" t="s">
        <v>113</v>
      </c>
      <c r="K203" s="9" t="str">
        <f>VLOOKUP($A203,[1]Sheet2!$I$2:$O$544,6,FALSE)</f>
        <v>2025-10-07</v>
      </c>
      <c r="L203" s="17" t="s">
        <v>604</v>
      </c>
      <c r="M203" s="9">
        <f>VLOOKUP($A203,[1]Sheet2!$I$2:$O$544,4,FALSE)</f>
        <v>262</v>
      </c>
      <c r="N203" s="10">
        <f t="shared" si="18"/>
        <v>0</v>
      </c>
      <c r="O203" s="10">
        <f t="shared" si="19"/>
        <v>0</v>
      </c>
    </row>
    <row r="204" spans="1:15" x14ac:dyDescent="0.2">
      <c r="A204" s="3" t="s">
        <v>605</v>
      </c>
      <c r="B204" s="17" t="s">
        <v>15</v>
      </c>
      <c r="C204" s="9" t="str">
        <f>VLOOKUP($A204,[1]Sheet2!$I$2:$O$544,3,FALSE)</f>
        <v>KPB1</v>
      </c>
      <c r="D204" s="2" t="s">
        <v>112</v>
      </c>
      <c r="E204" s="15" t="str">
        <f>VLOOKUP($A204,[1]Sheet2!$I$2:$O$544,5,FALSE)</f>
        <v>2025-08-08</v>
      </c>
      <c r="F204" s="13" t="str">
        <f>VLOOKUP($A204,'[2]AHM-Q01-251105-2511051358'!$E$2:$H$376,4,FALSE)</f>
        <v>08/08/2025</v>
      </c>
      <c r="G204" s="15">
        <f t="shared" si="15"/>
        <v>-1</v>
      </c>
      <c r="H204" s="24">
        <f t="shared" si="16"/>
        <v>-1</v>
      </c>
      <c r="I204" s="13">
        <f t="shared" si="17"/>
        <v>0</v>
      </c>
      <c r="J204" s="17" t="s">
        <v>113</v>
      </c>
      <c r="K204" s="9" t="str">
        <f>VLOOKUP($A204,[1]Sheet2!$I$2:$O$544,6,FALSE)</f>
        <v>2025-10-07</v>
      </c>
      <c r="L204" s="17" t="s">
        <v>606</v>
      </c>
      <c r="M204" s="9">
        <f>VLOOKUP($A204,[1]Sheet2!$I$2:$O$544,4,FALSE)</f>
        <v>475</v>
      </c>
      <c r="N204" s="10">
        <f t="shared" si="18"/>
        <v>0</v>
      </c>
      <c r="O204" s="10">
        <f t="shared" si="19"/>
        <v>0</v>
      </c>
    </row>
    <row r="205" spans="1:15" x14ac:dyDescent="0.2">
      <c r="A205" s="3" t="s">
        <v>607</v>
      </c>
      <c r="B205" s="17" t="s">
        <v>15</v>
      </c>
      <c r="C205" s="9" t="str">
        <f>VLOOKUP($A205,[1]Sheet2!$I$2:$O$544,3,FALSE)</f>
        <v>KPB1</v>
      </c>
      <c r="D205" s="2" t="s">
        <v>112</v>
      </c>
      <c r="E205" s="15" t="str">
        <f>VLOOKUP($A205,[1]Sheet2!$I$2:$O$544,5,FALSE)</f>
        <v>2025-08-08</v>
      </c>
      <c r="F205" s="13" t="str">
        <f>VLOOKUP($A205,'[2]AHM-Q01-251105-2511051358'!$E$2:$H$376,4,FALSE)</f>
        <v>08/08/2025</v>
      </c>
      <c r="G205" s="15">
        <f t="shared" si="15"/>
        <v>-1</v>
      </c>
      <c r="H205" s="24">
        <f t="shared" si="16"/>
        <v>-1</v>
      </c>
      <c r="I205" s="13">
        <f t="shared" si="17"/>
        <v>0</v>
      </c>
      <c r="J205" s="17" t="s">
        <v>113</v>
      </c>
      <c r="K205" s="9" t="str">
        <f>VLOOKUP($A205,[1]Sheet2!$I$2:$O$544,6,FALSE)</f>
        <v>2025-10-07</v>
      </c>
      <c r="L205" s="17" t="s">
        <v>608</v>
      </c>
      <c r="M205" s="9">
        <f>VLOOKUP($A205,[1]Sheet2!$I$2:$O$544,4,FALSE)</f>
        <v>1036</v>
      </c>
      <c r="N205" s="10">
        <f t="shared" si="18"/>
        <v>0</v>
      </c>
      <c r="O205" s="10">
        <f t="shared" si="19"/>
        <v>0</v>
      </c>
    </row>
    <row r="206" spans="1:15" x14ac:dyDescent="0.2">
      <c r="A206" s="3" t="s">
        <v>609</v>
      </c>
      <c r="B206" s="17" t="s">
        <v>15</v>
      </c>
      <c r="C206" s="9" t="str">
        <f>VLOOKUP($A206,[1]Sheet2!$I$2:$O$544,3,FALSE)</f>
        <v>KPB1</v>
      </c>
      <c r="D206" s="2" t="s">
        <v>295</v>
      </c>
      <c r="E206" s="15" t="str">
        <f>VLOOKUP($A206,[1]Sheet2!$I$2:$O$544,5,FALSE)</f>
        <v>2025-08-11</v>
      </c>
      <c r="F206" s="13" t="str">
        <f>VLOOKUP($A206,'[2]AHM-Q01-251105-2511051358'!$E$2:$H$376,4,FALSE)</f>
        <v>11/08/2025</v>
      </c>
      <c r="G206" s="15">
        <f t="shared" si="15"/>
        <v>-3</v>
      </c>
      <c r="H206" s="24">
        <f t="shared" si="16"/>
        <v>-3</v>
      </c>
      <c r="I206" s="13">
        <f t="shared" si="17"/>
        <v>0</v>
      </c>
      <c r="J206" s="17" t="s">
        <v>113</v>
      </c>
      <c r="K206" s="9" t="str">
        <f>VLOOKUP($A206,[1]Sheet2!$I$2:$O$544,6,FALSE)</f>
        <v>2025-10-07</v>
      </c>
      <c r="L206" s="17" t="s">
        <v>610</v>
      </c>
      <c r="M206" s="9">
        <f>VLOOKUP($A206,[1]Sheet2!$I$2:$O$544,4,FALSE)</f>
        <v>503</v>
      </c>
      <c r="N206" s="10">
        <f t="shared" si="18"/>
        <v>0</v>
      </c>
      <c r="O206" s="10">
        <f t="shared" si="19"/>
        <v>0</v>
      </c>
    </row>
    <row r="207" spans="1:15" x14ac:dyDescent="0.2">
      <c r="A207" s="3" t="s">
        <v>611</v>
      </c>
      <c r="B207" s="17" t="s">
        <v>15</v>
      </c>
      <c r="C207" s="9" t="str">
        <f>VLOOKUP($A207,[1]Sheet2!$I$2:$O$544,3,FALSE)</f>
        <v>KPB1</v>
      </c>
      <c r="D207" s="2" t="s">
        <v>295</v>
      </c>
      <c r="E207" s="15" t="str">
        <f>VLOOKUP($A207,[1]Sheet2!$I$2:$O$544,5,FALSE)</f>
        <v>2025-08-10</v>
      </c>
      <c r="F207" s="13" t="str">
        <f>VLOOKUP($A207,'[2]AHM-Q01-251105-2511051358'!$E$2:$H$376,4,FALSE)</f>
        <v>10/08/2025</v>
      </c>
      <c r="G207" s="15">
        <f t="shared" si="15"/>
        <v>-2</v>
      </c>
      <c r="H207" s="24">
        <f t="shared" si="16"/>
        <v>-2</v>
      </c>
      <c r="I207" s="13">
        <f t="shared" si="17"/>
        <v>0</v>
      </c>
      <c r="J207" s="17" t="s">
        <v>117</v>
      </c>
      <c r="K207" s="9" t="str">
        <f>VLOOKUP($A207,[1]Sheet2!$I$2:$O$544,6,FALSE)</f>
        <v>2025-10-09</v>
      </c>
      <c r="L207" s="17" t="s">
        <v>612</v>
      </c>
      <c r="M207" s="9">
        <f>VLOOKUP($A207,[1]Sheet2!$I$2:$O$544,4,FALSE)</f>
        <v>832</v>
      </c>
      <c r="N207" s="10">
        <f t="shared" si="18"/>
        <v>0</v>
      </c>
      <c r="O207" s="10">
        <f t="shared" si="19"/>
        <v>0</v>
      </c>
    </row>
    <row r="208" spans="1:15" x14ac:dyDescent="0.2">
      <c r="A208" s="3" t="s">
        <v>613</v>
      </c>
      <c r="B208" s="17" t="s">
        <v>15</v>
      </c>
      <c r="C208" s="9" t="str">
        <f>VLOOKUP($A208,[1]Sheet2!$I$2:$O$544,3,FALSE)</f>
        <v>KPB1</v>
      </c>
      <c r="D208" s="2" t="s">
        <v>295</v>
      </c>
      <c r="E208" s="15" t="str">
        <f>VLOOKUP($A208,[1]Sheet2!$I$2:$O$544,5,FALSE)</f>
        <v>2025-08-08</v>
      </c>
      <c r="F208" s="13" t="str">
        <f>VLOOKUP($A208,'[2]AHM-Q01-251105-2511051358'!$E$2:$H$376,4,FALSE)</f>
        <v>08/08/2025</v>
      </c>
      <c r="G208" s="15">
        <f t="shared" si="15"/>
        <v>0</v>
      </c>
      <c r="H208" s="24">
        <f t="shared" si="16"/>
        <v>0</v>
      </c>
      <c r="I208" s="13">
        <f t="shared" si="17"/>
        <v>0</v>
      </c>
      <c r="J208" s="17" t="s">
        <v>117</v>
      </c>
      <c r="K208" s="9" t="str">
        <f>VLOOKUP($A208,[1]Sheet2!$I$2:$O$544,6,FALSE)</f>
        <v>2025-10-09</v>
      </c>
      <c r="L208" s="17" t="s">
        <v>385</v>
      </c>
      <c r="M208" s="9">
        <f>VLOOKUP($A208,[1]Sheet2!$I$2:$O$544,4,FALSE)</f>
        <v>624</v>
      </c>
      <c r="N208" s="10">
        <f t="shared" si="18"/>
        <v>0</v>
      </c>
      <c r="O208" s="10">
        <f t="shared" si="19"/>
        <v>0</v>
      </c>
    </row>
    <row r="209" spans="1:15" x14ac:dyDescent="0.2">
      <c r="A209" s="3" t="s">
        <v>614</v>
      </c>
      <c r="B209" s="17" t="s">
        <v>15</v>
      </c>
      <c r="C209" s="9" t="str">
        <f>VLOOKUP($A209,[1]Sheet2!$I$2:$O$544,3,FALSE)</f>
        <v>KPB1</v>
      </c>
      <c r="D209" s="2" t="s">
        <v>116</v>
      </c>
      <c r="E209" s="15" t="str">
        <f>VLOOKUP($A209,[1]Sheet2!$I$2:$O$544,5,FALSE)</f>
        <v>2025-08-10</v>
      </c>
      <c r="F209" s="13" t="str">
        <f>VLOOKUP($A209,'[2]AHM-Q01-251105-2511051358'!$E$2:$H$376,4,FALSE)</f>
        <v>10/08/2025</v>
      </c>
      <c r="G209" s="15">
        <f t="shared" si="15"/>
        <v>-1</v>
      </c>
      <c r="H209" s="24">
        <f t="shared" si="16"/>
        <v>-1</v>
      </c>
      <c r="I209" s="13">
        <f t="shared" si="17"/>
        <v>0</v>
      </c>
      <c r="J209" s="17" t="s">
        <v>117</v>
      </c>
      <c r="K209" s="9" t="str">
        <f>VLOOKUP($A209,[1]Sheet2!$I$2:$O$544,6,FALSE)</f>
        <v>2025-10-09</v>
      </c>
      <c r="L209" s="17" t="s">
        <v>615</v>
      </c>
      <c r="M209" s="9">
        <f>VLOOKUP($A209,[1]Sheet2!$I$2:$O$544,4,FALSE)</f>
        <v>476</v>
      </c>
      <c r="N209" s="10">
        <f t="shared" si="18"/>
        <v>0</v>
      </c>
      <c r="O209" s="10">
        <f t="shared" si="19"/>
        <v>0</v>
      </c>
    </row>
    <row r="210" spans="1:15" x14ac:dyDescent="0.2">
      <c r="A210" s="3" t="s">
        <v>616</v>
      </c>
      <c r="B210" s="17" t="s">
        <v>15</v>
      </c>
      <c r="C210" s="9" t="str">
        <f>VLOOKUP($A210,[1]Sheet2!$I$2:$O$544,3,FALSE)</f>
        <v>KPB1</v>
      </c>
      <c r="D210" s="2" t="s">
        <v>262</v>
      </c>
      <c r="E210" s="15" t="str">
        <f>VLOOKUP($A210,[1]Sheet2!$I$2:$O$544,5,FALSE)</f>
        <v>2025-08-11</v>
      </c>
      <c r="F210" s="13" t="str">
        <f>VLOOKUP($A210,'[2]AHM-Q01-251105-2511051358'!$E$2:$H$376,4,FALSE)</f>
        <v>11/08/2025</v>
      </c>
      <c r="G210" s="15">
        <f t="shared" si="15"/>
        <v>-1</v>
      </c>
      <c r="H210" s="24">
        <f t="shared" si="16"/>
        <v>-1</v>
      </c>
      <c r="I210" s="13">
        <f t="shared" si="17"/>
        <v>0</v>
      </c>
      <c r="J210" s="17" t="s">
        <v>117</v>
      </c>
      <c r="K210" s="9" t="str">
        <f>VLOOKUP($A210,[1]Sheet2!$I$2:$O$544,6,FALSE)</f>
        <v>2025-10-09</v>
      </c>
      <c r="L210" s="17" t="s">
        <v>405</v>
      </c>
      <c r="M210" s="9">
        <f>VLOOKUP($A210,[1]Sheet2!$I$2:$O$544,4,FALSE)</f>
        <v>112</v>
      </c>
      <c r="N210" s="10">
        <f t="shared" si="18"/>
        <v>0</v>
      </c>
      <c r="O210" s="10">
        <f t="shared" si="19"/>
        <v>0</v>
      </c>
    </row>
    <row r="211" spans="1:15" x14ac:dyDescent="0.2">
      <c r="A211" s="3" t="s">
        <v>617</v>
      </c>
      <c r="B211" s="17" t="s">
        <v>15</v>
      </c>
      <c r="C211" s="9" t="str">
        <f>VLOOKUP($A211,[1]Sheet2!$I$2:$O$544,3,FALSE)</f>
        <v>KPB1</v>
      </c>
      <c r="D211" s="2" t="s">
        <v>618</v>
      </c>
      <c r="E211" s="15" t="str">
        <f>VLOOKUP($A211,[1]Sheet2!$I$2:$O$544,5,FALSE)</f>
        <v>2025-08-12</v>
      </c>
      <c r="F211" s="13" t="str">
        <f>VLOOKUP($A211,'[2]AHM-Q01-251105-2511051358'!$E$2:$H$376,4,FALSE)</f>
        <v>12/08/2025</v>
      </c>
      <c r="G211" s="15">
        <f t="shared" si="15"/>
        <v>0</v>
      </c>
      <c r="H211" s="24">
        <f t="shared" si="16"/>
        <v>0</v>
      </c>
      <c r="I211" s="13">
        <f t="shared" si="17"/>
        <v>0</v>
      </c>
      <c r="J211" s="17" t="s">
        <v>121</v>
      </c>
      <c r="K211" s="9" t="str">
        <f>VLOOKUP($A211,[1]Sheet2!$I$2:$O$544,6,FALSE)</f>
        <v>2025-10-10</v>
      </c>
      <c r="L211" s="17" t="s">
        <v>619</v>
      </c>
      <c r="M211" s="9">
        <f>VLOOKUP($A211,[1]Sheet2!$I$2:$O$544,4,FALSE)</f>
        <v>426</v>
      </c>
      <c r="N211" s="10">
        <f t="shared" si="18"/>
        <v>0</v>
      </c>
      <c r="O211" s="10">
        <f t="shared" si="19"/>
        <v>0</v>
      </c>
    </row>
    <row r="212" spans="1:15" x14ac:dyDescent="0.2">
      <c r="A212" s="3" t="s">
        <v>620</v>
      </c>
      <c r="B212" s="17" t="s">
        <v>15</v>
      </c>
      <c r="C212" s="9" t="str">
        <f>VLOOKUP($A212,[1]Sheet2!$I$2:$O$544,3,FALSE)</f>
        <v>KPB1</v>
      </c>
      <c r="D212" s="2" t="s">
        <v>618</v>
      </c>
      <c r="E212" s="15" t="str">
        <f>VLOOKUP($A212,[1]Sheet2!$I$2:$O$544,5,FALSE)</f>
        <v>2025-08-12</v>
      </c>
      <c r="F212" s="13" t="str">
        <f>VLOOKUP($A212,'[2]AHM-Q01-251105-2511051358'!$E$2:$H$376,4,FALSE)</f>
        <v>12/08/2025</v>
      </c>
      <c r="G212" s="15">
        <f t="shared" si="15"/>
        <v>0</v>
      </c>
      <c r="H212" s="24">
        <f t="shared" si="16"/>
        <v>0</v>
      </c>
      <c r="I212" s="13">
        <f t="shared" si="17"/>
        <v>0</v>
      </c>
      <c r="J212" s="17" t="s">
        <v>121</v>
      </c>
      <c r="K212" s="9" t="str">
        <f>VLOOKUP($A212,[1]Sheet2!$I$2:$O$544,6,FALSE)</f>
        <v>2025-10-10</v>
      </c>
      <c r="L212" s="17" t="s">
        <v>621</v>
      </c>
      <c r="M212" s="9">
        <f>VLOOKUP($A212,[1]Sheet2!$I$2:$O$544,4,FALSE)</f>
        <v>558</v>
      </c>
      <c r="N212" s="10">
        <f t="shared" si="18"/>
        <v>0</v>
      </c>
      <c r="O212" s="10">
        <f t="shared" si="19"/>
        <v>0</v>
      </c>
    </row>
    <row r="213" spans="1:15" x14ac:dyDescent="0.2">
      <c r="A213" s="3" t="s">
        <v>622</v>
      </c>
      <c r="B213" s="17" t="s">
        <v>15</v>
      </c>
      <c r="C213" s="9" t="str">
        <f>VLOOKUP($A213,[1]Sheet2!$I$2:$O$544,3,FALSE)</f>
        <v>KPB1</v>
      </c>
      <c r="D213" s="2" t="s">
        <v>280</v>
      </c>
      <c r="E213" s="15" t="str">
        <f>VLOOKUP($A213,[1]Sheet2!$I$2:$O$544,5,FALSE)</f>
        <v>2025-08-11</v>
      </c>
      <c r="F213" s="13" t="str">
        <f>VLOOKUP($A213,'[2]AHM-Q01-251105-2511051358'!$E$2:$H$376,4,FALSE)</f>
        <v>11/08/2025</v>
      </c>
      <c r="G213" s="15">
        <f t="shared" si="15"/>
        <v>2</v>
      </c>
      <c r="H213" s="24">
        <f t="shared" si="16"/>
        <v>2</v>
      </c>
      <c r="I213" s="13">
        <f t="shared" si="17"/>
        <v>0</v>
      </c>
      <c r="J213" s="17" t="s">
        <v>121</v>
      </c>
      <c r="K213" s="9" t="str">
        <f>VLOOKUP($A213,[1]Sheet2!$I$2:$O$544,6,FALSE)</f>
        <v>2025-10-10</v>
      </c>
      <c r="L213" s="17" t="s">
        <v>602</v>
      </c>
      <c r="M213" s="9">
        <f>VLOOKUP($A213,[1]Sheet2!$I$2:$O$544,4,FALSE)</f>
        <v>202</v>
      </c>
      <c r="N213" s="10">
        <f t="shared" si="18"/>
        <v>0</v>
      </c>
      <c r="O213" s="10">
        <f t="shared" si="19"/>
        <v>0</v>
      </c>
    </row>
    <row r="214" spans="1:15" x14ac:dyDescent="0.2">
      <c r="A214" s="3" t="s">
        <v>623</v>
      </c>
      <c r="B214" s="17" t="s">
        <v>15</v>
      </c>
      <c r="C214" s="9" t="str">
        <f>VLOOKUP($A214,[1]Sheet2!$I$2:$O$544,3,FALSE)</f>
        <v>KPB1</v>
      </c>
      <c r="D214" s="2" t="s">
        <v>280</v>
      </c>
      <c r="E214" s="15" t="str">
        <f>VLOOKUP($A214,[1]Sheet2!$I$2:$O$544,5,FALSE)</f>
        <v>2025-08-13</v>
      </c>
      <c r="F214" s="13" t="str">
        <f>VLOOKUP($A214,'[2]AHM-Q01-251105-2511051358'!$E$2:$H$376,4,FALSE)</f>
        <v>13/08/2025</v>
      </c>
      <c r="G214" s="15">
        <f t="shared" si="15"/>
        <v>0</v>
      </c>
      <c r="H214" s="24">
        <f t="shared" si="16"/>
        <v>0</v>
      </c>
      <c r="I214" s="13">
        <f t="shared" si="17"/>
        <v>0</v>
      </c>
      <c r="J214" s="17" t="s">
        <v>128</v>
      </c>
      <c r="K214" s="9" t="str">
        <f>VLOOKUP($A214,[1]Sheet2!$I$2:$O$544,6,FALSE)</f>
        <v>2025-10-11</v>
      </c>
      <c r="L214" s="17" t="s">
        <v>624</v>
      </c>
      <c r="M214" s="9">
        <f>VLOOKUP($A214,[1]Sheet2!$I$2:$O$544,4,FALSE)</f>
        <v>931</v>
      </c>
      <c r="N214" s="10">
        <f t="shared" si="18"/>
        <v>0</v>
      </c>
      <c r="O214" s="10">
        <f t="shared" si="19"/>
        <v>0</v>
      </c>
    </row>
    <row r="215" spans="1:15" x14ac:dyDescent="0.2">
      <c r="A215" s="3" t="s">
        <v>626</v>
      </c>
      <c r="B215" s="17" t="s">
        <v>15</v>
      </c>
      <c r="C215" s="9" t="str">
        <f>VLOOKUP($A215,[1]Sheet2!$I$2:$O$544,3,FALSE)</f>
        <v>KPB1</v>
      </c>
      <c r="D215" s="2" t="s">
        <v>280</v>
      </c>
      <c r="E215" s="15" t="str">
        <f>VLOOKUP($A215,[1]Sheet2!$I$2:$O$544,5,FALSE)</f>
        <v>2025-08-13</v>
      </c>
      <c r="F215" s="13" t="str">
        <f>VLOOKUP($A215,'[2]AHM-Q01-251105-2511051358'!$E$2:$H$376,4,FALSE)</f>
        <v>13/08/2025</v>
      </c>
      <c r="G215" s="15">
        <f t="shared" si="15"/>
        <v>0</v>
      </c>
      <c r="H215" s="24">
        <f t="shared" si="16"/>
        <v>0</v>
      </c>
      <c r="I215" s="13">
        <f t="shared" si="17"/>
        <v>0</v>
      </c>
      <c r="J215" s="17" t="s">
        <v>128</v>
      </c>
      <c r="K215" s="9" t="str">
        <f>VLOOKUP($A215,[1]Sheet2!$I$2:$O$544,6,FALSE)</f>
        <v>2025-10-11</v>
      </c>
      <c r="L215" s="17" t="s">
        <v>627</v>
      </c>
      <c r="M215" s="9">
        <f>VLOOKUP($A215,[1]Sheet2!$I$2:$O$544,4,FALSE)</f>
        <v>885</v>
      </c>
      <c r="N215" s="10">
        <f t="shared" si="18"/>
        <v>0</v>
      </c>
      <c r="O215" s="10">
        <f t="shared" si="19"/>
        <v>0</v>
      </c>
    </row>
    <row r="216" spans="1:15" x14ac:dyDescent="0.2">
      <c r="A216" s="3" t="s">
        <v>628</v>
      </c>
      <c r="B216" s="17" t="s">
        <v>15</v>
      </c>
      <c r="C216" s="9" t="str">
        <f>VLOOKUP($A216,[1]Sheet2!$I$2:$O$544,3,FALSE)</f>
        <v>KPB1</v>
      </c>
      <c r="D216" s="2" t="s">
        <v>280</v>
      </c>
      <c r="E216" s="15" t="str">
        <f>VLOOKUP($A216,[1]Sheet2!$I$2:$O$544,5,FALSE)</f>
        <v>2025-08-13</v>
      </c>
      <c r="F216" s="13" t="str">
        <f>VLOOKUP($A216,'[2]AHM-Q01-251105-2511051358'!$E$2:$H$376,4,FALSE)</f>
        <v>13/08/2025</v>
      </c>
      <c r="G216" s="15">
        <f t="shared" si="15"/>
        <v>0</v>
      </c>
      <c r="H216" s="24">
        <f t="shared" si="16"/>
        <v>0</v>
      </c>
      <c r="I216" s="13">
        <f t="shared" si="17"/>
        <v>0</v>
      </c>
      <c r="J216" s="17" t="s">
        <v>128</v>
      </c>
      <c r="K216" s="9" t="str">
        <f>VLOOKUP($A216,[1]Sheet2!$I$2:$O$544,6,FALSE)</f>
        <v>2025-10-11</v>
      </c>
      <c r="L216" s="17" t="s">
        <v>629</v>
      </c>
      <c r="M216" s="9">
        <f>VLOOKUP($A216,[1]Sheet2!$I$2:$O$544,4,FALSE)</f>
        <v>728</v>
      </c>
      <c r="N216" s="10">
        <f t="shared" si="18"/>
        <v>0</v>
      </c>
      <c r="O216" s="10">
        <f t="shared" si="19"/>
        <v>0</v>
      </c>
    </row>
    <row r="217" spans="1:15" x14ac:dyDescent="0.2">
      <c r="A217" s="3" t="s">
        <v>630</v>
      </c>
      <c r="B217" s="17" t="s">
        <v>15</v>
      </c>
      <c r="C217" s="9" t="str">
        <f>VLOOKUP($A217,[1]Sheet2!$I$2:$O$544,3,FALSE)</f>
        <v>KPB1</v>
      </c>
      <c r="D217" s="2" t="s">
        <v>127</v>
      </c>
      <c r="E217" s="15" t="str">
        <f>VLOOKUP($A217,[1]Sheet2!$I$2:$O$544,5,FALSE)</f>
        <v>2025-08-14</v>
      </c>
      <c r="F217" s="13" t="str">
        <f>VLOOKUP($A217,'[2]AHM-Q01-251105-2511051358'!$E$2:$H$376,4,FALSE)</f>
        <v>14/08/2025</v>
      </c>
      <c r="G217" s="15">
        <f t="shared" si="15"/>
        <v>0</v>
      </c>
      <c r="H217" s="24">
        <f t="shared" si="16"/>
        <v>0</v>
      </c>
      <c r="I217" s="13">
        <f t="shared" si="17"/>
        <v>0</v>
      </c>
      <c r="J217" s="17" t="s">
        <v>128</v>
      </c>
      <c r="K217" s="9" t="str">
        <f>VLOOKUP($A217,[1]Sheet2!$I$2:$O$544,6,FALSE)</f>
        <v>2025-10-11</v>
      </c>
      <c r="L217" s="17" t="s">
        <v>631</v>
      </c>
      <c r="M217" s="9">
        <f>VLOOKUP($A217,[1]Sheet2!$I$2:$O$544,4,FALSE)</f>
        <v>975</v>
      </c>
      <c r="N217" s="10">
        <f t="shared" si="18"/>
        <v>0</v>
      </c>
      <c r="O217" s="10">
        <f t="shared" si="19"/>
        <v>0</v>
      </c>
    </row>
    <row r="218" spans="1:15" x14ac:dyDescent="0.2">
      <c r="A218" s="3" t="s">
        <v>632</v>
      </c>
      <c r="B218" s="17" t="s">
        <v>15</v>
      </c>
      <c r="C218" s="9" t="str">
        <f>VLOOKUP($A218,[1]Sheet2!$I$2:$O$544,3,FALSE)</f>
        <v>KPB1</v>
      </c>
      <c r="D218" s="2" t="s">
        <v>127</v>
      </c>
      <c r="E218" s="15" t="str">
        <f>VLOOKUP($A218,[1]Sheet2!$I$2:$O$544,5,FALSE)</f>
        <v>2025-08-14</v>
      </c>
      <c r="F218" s="13" t="str">
        <f>VLOOKUP($A218,'[2]AHM-Q01-251105-2511051358'!$E$2:$H$376,4,FALSE)</f>
        <v>14/08/2025</v>
      </c>
      <c r="G218" s="15">
        <f t="shared" si="15"/>
        <v>0</v>
      </c>
      <c r="H218" s="24">
        <f t="shared" si="16"/>
        <v>0</v>
      </c>
      <c r="I218" s="13">
        <f t="shared" si="17"/>
        <v>0</v>
      </c>
      <c r="J218" s="17" t="s">
        <v>131</v>
      </c>
      <c r="K218" s="9" t="str">
        <f>VLOOKUP($A218,[1]Sheet2!$I$2:$O$544,6,FALSE)</f>
        <v>2025-10-13</v>
      </c>
      <c r="L218" s="17" t="s">
        <v>633</v>
      </c>
      <c r="M218" s="9">
        <f>VLOOKUP($A218,[1]Sheet2!$I$2:$O$544,4,FALSE)</f>
        <v>610</v>
      </c>
      <c r="N218" s="10">
        <f t="shared" si="18"/>
        <v>0</v>
      </c>
      <c r="O218" s="10">
        <f t="shared" si="19"/>
        <v>0</v>
      </c>
    </row>
    <row r="219" spans="1:15" x14ac:dyDescent="0.2">
      <c r="A219" s="3" t="s">
        <v>634</v>
      </c>
      <c r="B219" s="17" t="s">
        <v>15</v>
      </c>
      <c r="C219" s="9" t="str">
        <f>VLOOKUP($A219,[1]Sheet2!$I$2:$O$544,3,FALSE)</f>
        <v>KPB1</v>
      </c>
      <c r="D219" s="2" t="s">
        <v>127</v>
      </c>
      <c r="E219" s="15" t="str">
        <f>VLOOKUP($A219,[1]Sheet2!$I$2:$O$544,5,FALSE)</f>
        <v>2025-08-14</v>
      </c>
      <c r="F219" s="13" t="str">
        <f>VLOOKUP($A219,'[2]AHM-Q01-251105-2511051358'!$E$2:$H$376,4,FALSE)</f>
        <v>14/08/2025</v>
      </c>
      <c r="G219" s="15">
        <f t="shared" si="15"/>
        <v>0</v>
      </c>
      <c r="H219" s="24">
        <f t="shared" si="16"/>
        <v>0</v>
      </c>
      <c r="I219" s="13">
        <f t="shared" si="17"/>
        <v>0</v>
      </c>
      <c r="J219" s="17" t="s">
        <v>131</v>
      </c>
      <c r="K219" s="9" t="str">
        <f>VLOOKUP($A219,[1]Sheet2!$I$2:$O$544,6,FALSE)</f>
        <v>2025-10-13</v>
      </c>
      <c r="L219" s="17" t="s">
        <v>635</v>
      </c>
      <c r="M219" s="9">
        <f>VLOOKUP($A219,[1]Sheet2!$I$2:$O$544,4,FALSE)</f>
        <v>825</v>
      </c>
      <c r="N219" s="10">
        <f t="shared" si="18"/>
        <v>0</v>
      </c>
      <c r="O219" s="10">
        <f t="shared" si="19"/>
        <v>0</v>
      </c>
    </row>
    <row r="220" spans="1:15" x14ac:dyDescent="0.2">
      <c r="A220" s="3" t="s">
        <v>636</v>
      </c>
      <c r="B220" s="17" t="s">
        <v>15</v>
      </c>
      <c r="C220" s="9" t="str">
        <f>VLOOKUP($A220,[1]Sheet2!$I$2:$O$544,3,FALSE)</f>
        <v>KPB1</v>
      </c>
      <c r="D220" s="2" t="s">
        <v>127</v>
      </c>
      <c r="E220" s="15" t="str">
        <f>VLOOKUP($A220,[1]Sheet2!$I$2:$O$544,5,FALSE)</f>
        <v>2025-08-15</v>
      </c>
      <c r="F220" s="13" t="str">
        <f>VLOOKUP($A220,'[2]AHM-Q01-251105-2511051358'!$E$2:$H$376,4,FALSE)</f>
        <v>15/08/2025</v>
      </c>
      <c r="G220" s="15">
        <f t="shared" si="15"/>
        <v>-1</v>
      </c>
      <c r="H220" s="24">
        <f t="shared" si="16"/>
        <v>-1</v>
      </c>
      <c r="I220" s="13">
        <f t="shared" si="17"/>
        <v>0</v>
      </c>
      <c r="J220" s="17" t="s">
        <v>131</v>
      </c>
      <c r="K220" s="9" t="str">
        <f>VLOOKUP($A220,[1]Sheet2!$I$2:$O$544,6,FALSE)</f>
        <v>2025-10-13</v>
      </c>
      <c r="L220" s="17" t="s">
        <v>637</v>
      </c>
      <c r="M220" s="9">
        <f>VLOOKUP($A220,[1]Sheet2!$I$2:$O$544,4,FALSE)</f>
        <v>435</v>
      </c>
      <c r="N220" s="10">
        <f t="shared" si="18"/>
        <v>0</v>
      </c>
      <c r="O220" s="10">
        <f t="shared" si="19"/>
        <v>0</v>
      </c>
    </row>
    <row r="221" spans="1:15" x14ac:dyDescent="0.2">
      <c r="A221" s="3" t="s">
        <v>638</v>
      </c>
      <c r="B221" s="17" t="s">
        <v>15</v>
      </c>
      <c r="C221" s="9" t="str">
        <f>VLOOKUP($A221,[1]Sheet2!$I$2:$O$544,3,FALSE)</f>
        <v>KPB1</v>
      </c>
      <c r="D221" s="2" t="s">
        <v>127</v>
      </c>
      <c r="E221" s="15" t="str">
        <f>VLOOKUP($A221,[1]Sheet2!$I$2:$O$544,5,FALSE)</f>
        <v>2025-08-15</v>
      </c>
      <c r="F221" s="13" t="str">
        <f>VLOOKUP($A221,'[2]AHM-Q01-251105-2511051358'!$E$2:$H$376,4,FALSE)</f>
        <v>15/08/2025</v>
      </c>
      <c r="G221" s="15">
        <f t="shared" si="15"/>
        <v>-1</v>
      </c>
      <c r="H221" s="24">
        <f t="shared" si="16"/>
        <v>-1</v>
      </c>
      <c r="I221" s="13">
        <f t="shared" si="17"/>
        <v>0</v>
      </c>
      <c r="J221" s="17" t="s">
        <v>138</v>
      </c>
      <c r="K221" s="9" t="str">
        <f>VLOOKUP($A221,[1]Sheet2!$I$2:$O$544,6,FALSE)</f>
        <v>2025-10-14</v>
      </c>
      <c r="L221" s="17" t="s">
        <v>639</v>
      </c>
      <c r="M221" s="9">
        <f>VLOOKUP($A221,[1]Sheet2!$I$2:$O$544,4,FALSE)</f>
        <v>760</v>
      </c>
      <c r="N221" s="10">
        <f t="shared" si="18"/>
        <v>0</v>
      </c>
      <c r="O221" s="10">
        <f t="shared" si="19"/>
        <v>0</v>
      </c>
    </row>
    <row r="222" spans="1:15" x14ac:dyDescent="0.2">
      <c r="A222" s="3" t="s">
        <v>640</v>
      </c>
      <c r="B222" s="17" t="s">
        <v>15</v>
      </c>
      <c r="C222" s="9" t="str">
        <f>VLOOKUP($A222,[1]Sheet2!$I$2:$O$544,3,FALSE)</f>
        <v>KPB1</v>
      </c>
      <c r="D222" s="2" t="s">
        <v>134</v>
      </c>
      <c r="E222" s="15" t="str">
        <f>VLOOKUP($A222,[1]Sheet2!$I$2:$O$544,5,FALSE)</f>
        <v>2025-08-15</v>
      </c>
      <c r="F222" s="13" t="str">
        <f>VLOOKUP($A222,'[2]AHM-Q01-251105-2511051358'!$E$2:$H$376,4,FALSE)</f>
        <v>15/08/2025</v>
      </c>
      <c r="G222" s="15">
        <f t="shared" si="15"/>
        <v>0</v>
      </c>
      <c r="H222" s="24">
        <f t="shared" si="16"/>
        <v>0</v>
      </c>
      <c r="I222" s="13">
        <f t="shared" si="17"/>
        <v>0</v>
      </c>
      <c r="J222" s="17" t="s">
        <v>138</v>
      </c>
      <c r="K222" s="9" t="str">
        <f>VLOOKUP($A222,[1]Sheet2!$I$2:$O$544,6,FALSE)</f>
        <v>2025-10-14</v>
      </c>
      <c r="L222" s="17" t="s">
        <v>641</v>
      </c>
      <c r="M222" s="9">
        <f>VLOOKUP($A222,[1]Sheet2!$I$2:$O$544,4,FALSE)</f>
        <v>380</v>
      </c>
      <c r="N222" s="10">
        <f t="shared" si="18"/>
        <v>0</v>
      </c>
      <c r="O222" s="10">
        <f t="shared" si="19"/>
        <v>0</v>
      </c>
    </row>
    <row r="223" spans="1:15" x14ac:dyDescent="0.2">
      <c r="A223" s="3" t="s">
        <v>642</v>
      </c>
      <c r="B223" s="17" t="s">
        <v>15</v>
      </c>
      <c r="C223" s="9" t="str">
        <f>VLOOKUP($A223,[1]Sheet2!$I$2:$O$544,3,FALSE)</f>
        <v>KPB1</v>
      </c>
      <c r="D223" s="2" t="s">
        <v>134</v>
      </c>
      <c r="E223" s="15" t="str">
        <f>VLOOKUP($A223,[1]Sheet2!$I$2:$O$544,5,FALSE)</f>
        <v>2025-08-18</v>
      </c>
      <c r="F223" s="13" t="str">
        <f>VLOOKUP($A223,'[2]AHM-Q01-251105-2511051358'!$E$2:$H$376,4,FALSE)</f>
        <v>18/08/2025</v>
      </c>
      <c r="G223" s="15">
        <f t="shared" si="15"/>
        <v>-3</v>
      </c>
      <c r="H223" s="24">
        <f t="shared" si="16"/>
        <v>-3</v>
      </c>
      <c r="I223" s="13">
        <f t="shared" si="17"/>
        <v>0</v>
      </c>
      <c r="J223" s="17" t="s">
        <v>138</v>
      </c>
      <c r="K223" s="9" t="str">
        <f>VLOOKUP($A223,[1]Sheet2!$I$2:$O$544,6,FALSE)</f>
        <v>2025-10-14</v>
      </c>
      <c r="L223" s="17" t="s">
        <v>643</v>
      </c>
      <c r="M223" s="9">
        <f>VLOOKUP($A223,[1]Sheet2!$I$2:$O$544,4,FALSE)</f>
        <v>601</v>
      </c>
      <c r="N223" s="10">
        <f t="shared" si="18"/>
        <v>0</v>
      </c>
      <c r="O223" s="10">
        <f t="shared" si="19"/>
        <v>0</v>
      </c>
    </row>
    <row r="224" spans="1:15" x14ac:dyDescent="0.2">
      <c r="A224" s="3" t="s">
        <v>644</v>
      </c>
      <c r="B224" s="17" t="s">
        <v>15</v>
      </c>
      <c r="C224" s="9" t="str">
        <f>VLOOKUP($A224,[1]Sheet2!$I$2:$O$544,3,FALSE)</f>
        <v>KPB1</v>
      </c>
      <c r="D224" s="2" t="s">
        <v>150</v>
      </c>
      <c r="E224" s="15" t="str">
        <f>VLOOKUP($A224,[1]Sheet2!$I$2:$O$544,5,FALSE)</f>
        <v>2025-08-18</v>
      </c>
      <c r="F224" s="13" t="str">
        <f>VLOOKUP($A224,'[2]AHM-Q01-251105-2511051358'!$E$2:$H$376,4,FALSE)</f>
        <v>18/08/2025</v>
      </c>
      <c r="G224" s="15">
        <f t="shared" si="15"/>
        <v>0</v>
      </c>
      <c r="H224" s="24">
        <f t="shared" si="16"/>
        <v>0</v>
      </c>
      <c r="I224" s="13">
        <f t="shared" si="17"/>
        <v>0</v>
      </c>
      <c r="J224" s="17" t="s">
        <v>138</v>
      </c>
      <c r="K224" s="9" t="str">
        <f>VLOOKUP($A224,[1]Sheet2!$I$2:$O$544,6,FALSE)</f>
        <v>2025-10-14</v>
      </c>
      <c r="L224" s="17" t="s">
        <v>645</v>
      </c>
      <c r="M224" s="9">
        <f>VLOOKUP($A224,[1]Sheet2!$I$2:$O$544,4,FALSE)</f>
        <v>797</v>
      </c>
      <c r="N224" s="10">
        <f t="shared" si="18"/>
        <v>0</v>
      </c>
      <c r="O224" s="10">
        <f t="shared" si="19"/>
        <v>0</v>
      </c>
    </row>
    <row r="225" spans="1:15" x14ac:dyDescent="0.2">
      <c r="A225" s="3" t="s">
        <v>646</v>
      </c>
      <c r="B225" s="17" t="s">
        <v>15</v>
      </c>
      <c r="C225" s="9" t="str">
        <f>VLOOKUP($A225,[1]Sheet2!$I$2:$O$544,3,FALSE)</f>
        <v>KPB1</v>
      </c>
      <c r="D225" s="2" t="s">
        <v>337</v>
      </c>
      <c r="E225" s="15" t="str">
        <f>VLOOKUP($A225,[1]Sheet2!$I$2:$O$544,5,FALSE)</f>
        <v>2025-08-16</v>
      </c>
      <c r="F225" s="13" t="str">
        <f>VLOOKUP($A225,'[2]AHM-Q01-251105-2511051358'!$E$2:$H$376,4,FALSE)</f>
        <v>16/08/2025</v>
      </c>
      <c r="G225" s="15">
        <f t="shared" si="15"/>
        <v>0</v>
      </c>
      <c r="H225" s="24">
        <f t="shared" si="16"/>
        <v>0</v>
      </c>
      <c r="I225" s="13">
        <f t="shared" si="17"/>
        <v>0</v>
      </c>
      <c r="J225" s="17" t="s">
        <v>141</v>
      </c>
      <c r="K225" s="9" t="str">
        <f>VLOOKUP($A225,[1]Sheet2!$I$2:$O$544,6,FALSE)</f>
        <v>2025-10-15</v>
      </c>
      <c r="L225" s="17" t="s">
        <v>647</v>
      </c>
      <c r="M225" s="9">
        <f>VLOOKUP($A225,[1]Sheet2!$I$2:$O$544,4,FALSE)</f>
        <v>987</v>
      </c>
      <c r="N225" s="10">
        <f t="shared" si="18"/>
        <v>0</v>
      </c>
      <c r="O225" s="10">
        <f t="shared" si="19"/>
        <v>0</v>
      </c>
    </row>
    <row r="226" spans="1:15" x14ac:dyDescent="0.2">
      <c r="A226" s="3" t="s">
        <v>648</v>
      </c>
      <c r="B226" s="17" t="s">
        <v>15</v>
      </c>
      <c r="C226" s="9" t="str">
        <f>VLOOKUP($A226,[1]Sheet2!$I$2:$O$544,3,FALSE)</f>
        <v>KPB1</v>
      </c>
      <c r="D226" s="2" t="s">
        <v>337</v>
      </c>
      <c r="E226" s="15" t="str">
        <f>VLOOKUP($A226,[1]Sheet2!$I$2:$O$544,5,FALSE)</f>
        <v>2025-08-16</v>
      </c>
      <c r="F226" s="13" t="str">
        <f>VLOOKUP($A226,'[2]AHM-Q01-251105-2511051358'!$E$2:$H$376,4,FALSE)</f>
        <v>16/08/2025</v>
      </c>
      <c r="G226" s="15">
        <f t="shared" si="15"/>
        <v>0</v>
      </c>
      <c r="H226" s="24">
        <f t="shared" si="16"/>
        <v>0</v>
      </c>
      <c r="I226" s="13">
        <f t="shared" si="17"/>
        <v>0</v>
      </c>
      <c r="J226" s="17" t="s">
        <v>141</v>
      </c>
      <c r="K226" s="9" t="str">
        <f>VLOOKUP($A226,[1]Sheet2!$I$2:$O$544,6,FALSE)</f>
        <v>2025-10-15</v>
      </c>
      <c r="L226" s="17" t="s">
        <v>625</v>
      </c>
      <c r="M226" s="9">
        <f>VLOOKUP($A226,[1]Sheet2!$I$2:$O$544,4,FALSE)</f>
        <v>214</v>
      </c>
      <c r="N226" s="10">
        <f t="shared" si="18"/>
        <v>0</v>
      </c>
      <c r="O226" s="10">
        <f t="shared" si="19"/>
        <v>0</v>
      </c>
    </row>
    <row r="227" spans="1:15" x14ac:dyDescent="0.2">
      <c r="A227" s="3" t="s">
        <v>649</v>
      </c>
      <c r="B227" s="17" t="s">
        <v>15</v>
      </c>
      <c r="C227" s="9" t="str">
        <f>VLOOKUP($A227,[1]Sheet2!$I$2:$O$544,3,FALSE)</f>
        <v>KPB1</v>
      </c>
      <c r="D227" s="2" t="s">
        <v>337</v>
      </c>
      <c r="E227" s="15" t="str">
        <f>VLOOKUP($A227,[1]Sheet2!$I$2:$O$544,5,FALSE)</f>
        <v>2025-08-16</v>
      </c>
      <c r="F227" s="13" t="str">
        <f>VLOOKUP($A227,'[2]AHM-Q01-251105-2511051358'!$E$2:$H$376,4,FALSE)</f>
        <v>16/08/2025</v>
      </c>
      <c r="G227" s="15">
        <f t="shared" si="15"/>
        <v>0</v>
      </c>
      <c r="H227" s="24">
        <f t="shared" si="16"/>
        <v>0</v>
      </c>
      <c r="I227" s="13">
        <f t="shared" si="17"/>
        <v>0</v>
      </c>
      <c r="J227" s="17" t="s">
        <v>141</v>
      </c>
      <c r="K227" s="9" t="str">
        <f>VLOOKUP($A227,[1]Sheet2!$I$2:$O$544,6,FALSE)</f>
        <v>2025-10-15</v>
      </c>
      <c r="L227" s="17" t="s">
        <v>650</v>
      </c>
      <c r="M227" s="9">
        <f>VLOOKUP($A227,[1]Sheet2!$I$2:$O$544,4,FALSE)</f>
        <v>467</v>
      </c>
      <c r="N227" s="10">
        <f t="shared" si="18"/>
        <v>0</v>
      </c>
      <c r="O227" s="10">
        <f t="shared" si="19"/>
        <v>0</v>
      </c>
    </row>
    <row r="228" spans="1:15" x14ac:dyDescent="0.2">
      <c r="A228" s="3" t="s">
        <v>651</v>
      </c>
      <c r="B228" s="17" t="s">
        <v>15</v>
      </c>
      <c r="C228" s="9" t="str">
        <f>VLOOKUP($A228,[1]Sheet2!$I$2:$O$544,3,FALSE)</f>
        <v>KPB1</v>
      </c>
      <c r="D228" s="2" t="s">
        <v>150</v>
      </c>
      <c r="E228" s="15" t="str">
        <f>VLOOKUP($A228,[1]Sheet2!$I$2:$O$544,5,FALSE)</f>
        <v>2025-08-18</v>
      </c>
      <c r="F228" s="13" t="str">
        <f>VLOOKUP($A228,'[2]AHM-Q01-251105-2511051358'!$E$2:$H$376,4,FALSE)</f>
        <v>18/08/2025</v>
      </c>
      <c r="G228" s="15">
        <f t="shared" si="15"/>
        <v>0</v>
      </c>
      <c r="H228" s="24">
        <f t="shared" si="16"/>
        <v>0</v>
      </c>
      <c r="I228" s="13">
        <f t="shared" si="17"/>
        <v>0</v>
      </c>
      <c r="J228" s="17" t="s">
        <v>458</v>
      </c>
      <c r="K228" s="9" t="str">
        <f>VLOOKUP($A228,[1]Sheet2!$I$2:$O$544,6,FALSE)</f>
        <v>2025-10-16</v>
      </c>
      <c r="L228" s="17" t="s">
        <v>652</v>
      </c>
      <c r="M228" s="9">
        <f>VLOOKUP($A228,[1]Sheet2!$I$2:$O$544,4,FALSE)</f>
        <v>874</v>
      </c>
      <c r="N228" s="10">
        <f t="shared" si="18"/>
        <v>0</v>
      </c>
      <c r="O228" s="10">
        <f t="shared" si="19"/>
        <v>0</v>
      </c>
    </row>
    <row r="229" spans="1:15" x14ac:dyDescent="0.2">
      <c r="A229" s="3" t="s">
        <v>390</v>
      </c>
      <c r="B229" s="17" t="s">
        <v>15</v>
      </c>
      <c r="C229" s="9" t="str">
        <f>VLOOKUP($A229,[1]Sheet2!$I$2:$O$544,3,FALSE)</f>
        <v>KPB1</v>
      </c>
      <c r="D229" s="2" t="s">
        <v>103</v>
      </c>
      <c r="E229" s="15" t="str">
        <f>VLOOKUP($A229,[1]Sheet2!$I$2:$O$544,5,FALSE)</f>
        <v>2025-08-08</v>
      </c>
      <c r="F229" s="13" t="str">
        <f>VLOOKUP($A229,'[2]AHM-Q01-251105-2511051358'!$E$2:$H$376,4,FALSE)</f>
        <v>08/08/2025</v>
      </c>
      <c r="G229" s="15">
        <f t="shared" si="15"/>
        <v>-4</v>
      </c>
      <c r="H229" s="24">
        <f t="shared" si="16"/>
        <v>-4</v>
      </c>
      <c r="I229" s="13">
        <f t="shared" si="17"/>
        <v>0</v>
      </c>
      <c r="J229" s="17" t="s">
        <v>104</v>
      </c>
      <c r="K229" s="9" t="str">
        <f>VLOOKUP($A229,[1]Sheet2!$I$2:$O$544,6,FALSE)</f>
        <v>2025-10-06</v>
      </c>
      <c r="L229" s="17" t="s">
        <v>391</v>
      </c>
      <c r="M229" s="9">
        <f>VLOOKUP($A229,[1]Sheet2!$I$2:$O$544,4,FALSE)</f>
        <v>411</v>
      </c>
      <c r="N229" s="10">
        <f t="shared" si="18"/>
        <v>0</v>
      </c>
      <c r="O229" s="10">
        <f t="shared" si="19"/>
        <v>0</v>
      </c>
    </row>
    <row r="230" spans="1:15" x14ac:dyDescent="0.2">
      <c r="A230" s="3" t="s">
        <v>655</v>
      </c>
      <c r="B230" s="17" t="s">
        <v>15</v>
      </c>
      <c r="C230" s="9" t="str">
        <f>VLOOKUP($A230,[1]Sheet2!$I$2:$O$544,3,FALSE)</f>
        <v>KPB1</v>
      </c>
      <c r="D230" s="2" t="s">
        <v>146</v>
      </c>
      <c r="E230" s="15" t="str">
        <f>VLOOKUP($A230,[1]Sheet2!$I$2:$O$544,5,FALSE)</f>
        <v>2025-08-18</v>
      </c>
      <c r="F230" s="13" t="str">
        <f>VLOOKUP($A230,'[2]AHM-Q01-251105-2511051358'!$E$2:$H$376,4,FALSE)</f>
        <v>18/08/2025</v>
      </c>
      <c r="G230" s="15">
        <f t="shared" si="15"/>
        <v>2</v>
      </c>
      <c r="H230" s="24">
        <f t="shared" si="16"/>
        <v>2</v>
      </c>
      <c r="I230" s="13">
        <f t="shared" si="17"/>
        <v>0</v>
      </c>
      <c r="J230" s="17" t="s">
        <v>458</v>
      </c>
      <c r="K230" s="9" t="str">
        <f>VLOOKUP($A230,[1]Sheet2!$I$2:$O$544,6,FALSE)</f>
        <v>2025-10-16</v>
      </c>
      <c r="L230" s="17" t="s">
        <v>656</v>
      </c>
      <c r="M230" s="9">
        <f>VLOOKUP($A230,[1]Sheet2!$I$2:$O$544,4,FALSE)</f>
        <v>1015</v>
      </c>
      <c r="N230" s="10">
        <f t="shared" si="18"/>
        <v>0</v>
      </c>
      <c r="O230" s="10">
        <f t="shared" si="19"/>
        <v>0</v>
      </c>
    </row>
    <row r="231" spans="1:15" x14ac:dyDescent="0.2">
      <c r="A231" s="3" t="s">
        <v>657</v>
      </c>
      <c r="B231" s="17" t="s">
        <v>15</v>
      </c>
      <c r="C231" s="9" t="str">
        <f>VLOOKUP($A231,[1]Sheet2!$I$2:$O$544,3,FALSE)</f>
        <v>KPB1</v>
      </c>
      <c r="D231" s="2" t="s">
        <v>150</v>
      </c>
      <c r="E231" s="15" t="str">
        <f>VLOOKUP($A231,[1]Sheet2!$I$2:$O$544,5,FALSE)</f>
        <v>2025-08-18</v>
      </c>
      <c r="F231" s="13" t="str">
        <f>VLOOKUP($A231,'[2]AHM-Q01-251105-2511051358'!$E$2:$H$376,4,FALSE)</f>
        <v>18/08/2025</v>
      </c>
      <c r="G231" s="15">
        <f t="shared" si="15"/>
        <v>0</v>
      </c>
      <c r="H231" s="24">
        <f t="shared" si="16"/>
        <v>0</v>
      </c>
      <c r="I231" s="13">
        <f t="shared" si="17"/>
        <v>0</v>
      </c>
      <c r="J231" s="17" t="s">
        <v>458</v>
      </c>
      <c r="K231" s="9" t="str">
        <f>VLOOKUP($A231,[1]Sheet2!$I$2:$O$544,6,FALSE)</f>
        <v>2025-10-16</v>
      </c>
      <c r="L231" s="17" t="s">
        <v>658</v>
      </c>
      <c r="M231" s="9">
        <f>VLOOKUP($A231,[1]Sheet2!$I$2:$O$544,4,FALSE)</f>
        <v>547</v>
      </c>
      <c r="N231" s="10">
        <f t="shared" si="18"/>
        <v>0</v>
      </c>
      <c r="O231" s="10">
        <f t="shared" si="19"/>
        <v>0</v>
      </c>
    </row>
    <row r="232" spans="1:15" x14ac:dyDescent="0.2">
      <c r="A232" s="3" t="s">
        <v>659</v>
      </c>
      <c r="B232" s="17" t="s">
        <v>15</v>
      </c>
      <c r="C232" s="9" t="str">
        <f>VLOOKUP($A232,[1]Sheet2!$I$2:$O$544,3,FALSE)</f>
        <v>KPB1</v>
      </c>
      <c r="D232" s="2" t="s">
        <v>137</v>
      </c>
      <c r="E232" s="15" t="str">
        <f>VLOOKUP($A232,[1]Sheet2!$I$2:$O$544,5,FALSE)</f>
        <v>2025-08-19</v>
      </c>
      <c r="F232" s="13" t="str">
        <f>VLOOKUP($A232,'[2]AHM-Q01-251105-2511051358'!$E$2:$H$376,4,FALSE)</f>
        <v>19/08/2025</v>
      </c>
      <c r="G232" s="15">
        <f t="shared" si="15"/>
        <v>0</v>
      </c>
      <c r="H232" s="24">
        <f t="shared" si="16"/>
        <v>0</v>
      </c>
      <c r="I232" s="13">
        <f t="shared" si="17"/>
        <v>0</v>
      </c>
      <c r="J232" s="17" t="s">
        <v>147</v>
      </c>
      <c r="K232" s="9" t="str">
        <f>VLOOKUP($A232,[1]Sheet2!$I$2:$O$544,6,FALSE)</f>
        <v>2025-10-17</v>
      </c>
      <c r="L232" s="17" t="s">
        <v>660</v>
      </c>
      <c r="M232" s="9">
        <f>VLOOKUP($A232,[1]Sheet2!$I$2:$O$544,4,FALSE)</f>
        <v>773</v>
      </c>
      <c r="N232" s="10">
        <f t="shared" si="18"/>
        <v>0</v>
      </c>
      <c r="O232" s="10">
        <f t="shared" si="19"/>
        <v>0</v>
      </c>
    </row>
    <row r="233" spans="1:15" x14ac:dyDescent="0.2">
      <c r="A233" s="3" t="s">
        <v>661</v>
      </c>
      <c r="B233" s="17" t="s">
        <v>15</v>
      </c>
      <c r="C233" s="9" t="str">
        <f>VLOOKUP($A233,[1]Sheet2!$I$2:$O$544,3,FALSE)</f>
        <v>KPB1</v>
      </c>
      <c r="D233" s="2" t="s">
        <v>137</v>
      </c>
      <c r="E233" s="15" t="str">
        <f>VLOOKUP($A233,[1]Sheet2!$I$2:$O$544,5,FALSE)</f>
        <v>2025-08-20</v>
      </c>
      <c r="F233" s="13" t="str">
        <f>VLOOKUP($A233,'[2]AHM-Q01-251105-2511051358'!$E$2:$H$376,4,FALSE)</f>
        <v>20/08/2025</v>
      </c>
      <c r="G233" s="15">
        <f t="shared" si="15"/>
        <v>-1</v>
      </c>
      <c r="H233" s="24">
        <f t="shared" si="16"/>
        <v>-1</v>
      </c>
      <c r="I233" s="13">
        <f t="shared" si="17"/>
        <v>0</v>
      </c>
      <c r="J233" s="17" t="s">
        <v>147</v>
      </c>
      <c r="K233" s="9" t="str">
        <f>VLOOKUP($A233,[1]Sheet2!$I$2:$O$544,6,FALSE)</f>
        <v>2025-10-17</v>
      </c>
      <c r="L233" s="17" t="s">
        <v>662</v>
      </c>
      <c r="M233" s="9">
        <f>VLOOKUP($A233,[1]Sheet2!$I$2:$O$544,4,FALSE)</f>
        <v>818</v>
      </c>
      <c r="N233" s="10">
        <f t="shared" si="18"/>
        <v>0</v>
      </c>
      <c r="O233" s="10">
        <f t="shared" si="19"/>
        <v>0</v>
      </c>
    </row>
    <row r="234" spans="1:15" x14ac:dyDescent="0.2">
      <c r="A234" s="3" t="s">
        <v>388</v>
      </c>
      <c r="B234" s="17" t="s">
        <v>15</v>
      </c>
      <c r="C234" s="9" t="str">
        <f>VLOOKUP($A234,[1]Sheet2!$I$2:$O$544,3,FALSE)</f>
        <v>KPB1</v>
      </c>
      <c r="D234" s="2" t="s">
        <v>124</v>
      </c>
      <c r="E234" s="15" t="str">
        <f>VLOOKUP($A234,[1]Sheet2!$I$2:$O$544,5,FALSE)</f>
        <v>2025-08-06</v>
      </c>
      <c r="F234" s="13" t="str">
        <f>VLOOKUP($A234,'[2]AHM-Q01-251105-2511051358'!$E$2:$H$376,4,FALSE)</f>
        <v>06/08/2025</v>
      </c>
      <c r="G234" s="15">
        <f t="shared" si="15"/>
        <v>-4</v>
      </c>
      <c r="H234" s="24">
        <f t="shared" si="16"/>
        <v>-4</v>
      </c>
      <c r="I234" s="13">
        <f t="shared" si="17"/>
        <v>0</v>
      </c>
      <c r="J234" s="17" t="s">
        <v>179</v>
      </c>
      <c r="K234" s="9" t="str">
        <f>VLOOKUP($A234,[1]Sheet2!$I$2:$O$544,6,FALSE)</f>
        <v>2025-10-04</v>
      </c>
      <c r="L234" s="17" t="s">
        <v>389</v>
      </c>
      <c r="M234" s="9">
        <f>VLOOKUP($A234,[1]Sheet2!$I$2:$O$544,4,FALSE)</f>
        <v>1009</v>
      </c>
      <c r="N234" s="10">
        <f t="shared" si="18"/>
        <v>0</v>
      </c>
      <c r="O234" s="10">
        <f t="shared" si="19"/>
        <v>0</v>
      </c>
    </row>
    <row r="235" spans="1:15" x14ac:dyDescent="0.2">
      <c r="A235" s="3" t="s">
        <v>665</v>
      </c>
      <c r="B235" s="17" t="s">
        <v>15</v>
      </c>
      <c r="C235" s="9" t="str">
        <f>VLOOKUP($A235,[1]Sheet2!$I$2:$O$544,3,FALSE)</f>
        <v>KPB1</v>
      </c>
      <c r="D235" s="2" t="s">
        <v>146</v>
      </c>
      <c r="E235" s="15" t="str">
        <f>VLOOKUP($A235,[1]Sheet2!$I$2:$O$544,5,FALSE)</f>
        <v>2025-08-20</v>
      </c>
      <c r="F235" s="13" t="str">
        <f>VLOOKUP($A235,'[2]AHM-Q01-251105-2511051358'!$E$2:$H$376,4,FALSE)</f>
        <v>20/08/2025</v>
      </c>
      <c r="G235" s="15">
        <f t="shared" si="15"/>
        <v>0</v>
      </c>
      <c r="H235" s="24">
        <f t="shared" si="16"/>
        <v>0</v>
      </c>
      <c r="I235" s="13">
        <f t="shared" si="17"/>
        <v>0</v>
      </c>
      <c r="J235" s="17" t="s">
        <v>154</v>
      </c>
      <c r="K235" s="9" t="str">
        <f>VLOOKUP($A235,[1]Sheet2!$I$2:$O$544,6,FALSE)</f>
        <v>2025-10-18</v>
      </c>
      <c r="L235" s="17" t="s">
        <v>428</v>
      </c>
      <c r="M235" s="9">
        <f>VLOOKUP($A235,[1]Sheet2!$I$2:$O$544,4,FALSE)</f>
        <v>123</v>
      </c>
      <c r="N235" s="10">
        <f t="shared" si="18"/>
        <v>0</v>
      </c>
      <c r="O235" s="10">
        <f t="shared" si="19"/>
        <v>0</v>
      </c>
    </row>
    <row r="236" spans="1:15" x14ac:dyDescent="0.2">
      <c r="A236" s="3" t="s">
        <v>925</v>
      </c>
      <c r="B236" s="17" t="s">
        <v>15</v>
      </c>
      <c r="C236" s="9" t="str">
        <f>VLOOKUP($A236,[1]Sheet2!$I$2:$O$544,3,FALSE)</f>
        <v>KPB1</v>
      </c>
      <c r="D236" s="2" t="s">
        <v>309</v>
      </c>
      <c r="E236" s="15" t="str">
        <f>VLOOKUP($A236,[1]Sheet2!$I$2:$O$544,5,FALSE)</f>
        <v>2025-08-23</v>
      </c>
      <c r="F236" s="13" t="str">
        <f>VLOOKUP($A236,'[2]AHM-Q01-251105-2511051358'!$E$2:$H$376,4,FALSE)</f>
        <v>23/08/2025</v>
      </c>
      <c r="G236" s="15">
        <f t="shared" si="15"/>
        <v>0</v>
      </c>
      <c r="H236" s="24">
        <f t="shared" si="16"/>
        <v>0</v>
      </c>
      <c r="I236" s="13">
        <f t="shared" si="17"/>
        <v>0</v>
      </c>
      <c r="J236" s="17" t="s">
        <v>926</v>
      </c>
      <c r="K236" s="9" t="str">
        <f>VLOOKUP($A236,[1]Sheet2!$I$2:$O$544,6,FALSE)</f>
        <v>2025-10-25</v>
      </c>
      <c r="L236" s="17" t="s">
        <v>927</v>
      </c>
      <c r="M236" s="9">
        <f>VLOOKUP($A236,[1]Sheet2!$I$2:$O$544,4,FALSE)</f>
        <v>663</v>
      </c>
      <c r="N236" s="10">
        <f t="shared" si="18"/>
        <v>0</v>
      </c>
      <c r="O236" s="10">
        <f t="shared" si="19"/>
        <v>0</v>
      </c>
    </row>
    <row r="237" spans="1:15" x14ac:dyDescent="0.2">
      <c r="A237" s="3" t="s">
        <v>668</v>
      </c>
      <c r="B237" s="17" t="s">
        <v>15</v>
      </c>
      <c r="C237" s="9" t="str">
        <f>VLOOKUP($A237,[1]Sheet2!$I$2:$O$544,3,FALSE)</f>
        <v>KPB1</v>
      </c>
      <c r="D237" s="2" t="s">
        <v>304</v>
      </c>
      <c r="E237" s="15" t="str">
        <f>VLOOKUP($A237,[1]Sheet2!$I$2:$O$544,5,FALSE)</f>
        <v>2025-08-21</v>
      </c>
      <c r="F237" s="13" t="str">
        <f>VLOOKUP($A237,'[2]AHM-Q01-251105-2511051358'!$E$2:$H$376,4,FALSE)</f>
        <v>21/08/2025</v>
      </c>
      <c r="G237" s="15">
        <f t="shared" si="15"/>
        <v>0</v>
      </c>
      <c r="H237" s="24">
        <f t="shared" si="16"/>
        <v>0</v>
      </c>
      <c r="I237" s="13">
        <f t="shared" si="17"/>
        <v>0</v>
      </c>
      <c r="J237" s="17" t="s">
        <v>154</v>
      </c>
      <c r="K237" s="9" t="str">
        <f>VLOOKUP($A237,[1]Sheet2!$I$2:$O$544,6,FALSE)</f>
        <v>2025-10-18</v>
      </c>
      <c r="L237" s="17" t="s">
        <v>400</v>
      </c>
      <c r="M237" s="9">
        <f>VLOOKUP($A237,[1]Sheet2!$I$2:$O$544,4,FALSE)</f>
        <v>110</v>
      </c>
      <c r="N237" s="10">
        <f t="shared" si="18"/>
        <v>0</v>
      </c>
      <c r="O237" s="10">
        <f t="shared" si="19"/>
        <v>0</v>
      </c>
    </row>
    <row r="238" spans="1:15" x14ac:dyDescent="0.2">
      <c r="A238" s="3" t="s">
        <v>669</v>
      </c>
      <c r="B238" s="17" t="s">
        <v>15</v>
      </c>
      <c r="C238" s="9" t="str">
        <f>VLOOKUP($A238,[1]Sheet2!$I$2:$O$544,3,FALSE)</f>
        <v>KPB1</v>
      </c>
      <c r="D238" s="2" t="s">
        <v>304</v>
      </c>
      <c r="E238" s="15" t="str">
        <f>VLOOKUP($A238,[1]Sheet2!$I$2:$O$544,5,FALSE)</f>
        <v>2025-08-21</v>
      </c>
      <c r="F238" s="13" t="str">
        <f>VLOOKUP($A238,'[2]AHM-Q01-251105-2511051358'!$E$2:$H$376,4,FALSE)</f>
        <v>21/08/2025</v>
      </c>
      <c r="G238" s="15">
        <f t="shared" si="15"/>
        <v>0</v>
      </c>
      <c r="H238" s="24">
        <f t="shared" si="16"/>
        <v>0</v>
      </c>
      <c r="I238" s="13">
        <f t="shared" si="17"/>
        <v>0</v>
      </c>
      <c r="J238" s="17" t="s">
        <v>154</v>
      </c>
      <c r="K238" s="9" t="str">
        <f>VLOOKUP($A238,[1]Sheet2!$I$2:$O$544,6,FALSE)</f>
        <v>2025-10-18</v>
      </c>
      <c r="L238" s="17" t="s">
        <v>670</v>
      </c>
      <c r="M238" s="9">
        <f>VLOOKUP($A238,[1]Sheet2!$I$2:$O$544,4,FALSE)</f>
        <v>940</v>
      </c>
      <c r="N238" s="10">
        <f t="shared" si="18"/>
        <v>0</v>
      </c>
      <c r="O238" s="10">
        <f t="shared" si="19"/>
        <v>0</v>
      </c>
    </row>
    <row r="239" spans="1:15" x14ac:dyDescent="0.2">
      <c r="A239" s="3" t="s">
        <v>671</v>
      </c>
      <c r="B239" s="17" t="s">
        <v>15</v>
      </c>
      <c r="C239" s="9" t="str">
        <f>VLOOKUP($A239,[1]Sheet2!$I$2:$O$544,3,FALSE)</f>
        <v>KPB1</v>
      </c>
      <c r="D239" s="2" t="s">
        <v>309</v>
      </c>
      <c r="E239" s="15" t="str">
        <f>VLOOKUP($A239,[1]Sheet2!$I$2:$O$544,5,FALSE)</f>
        <v>2025-08-23</v>
      </c>
      <c r="F239" s="13" t="str">
        <f>VLOOKUP($A239,'[2]AHM-Q01-251105-2511051358'!$E$2:$H$376,4,FALSE)</f>
        <v>23/08/2025</v>
      </c>
      <c r="G239" s="15">
        <f t="shared" si="15"/>
        <v>0</v>
      </c>
      <c r="H239" s="24">
        <f t="shared" si="16"/>
        <v>0</v>
      </c>
      <c r="I239" s="13">
        <f t="shared" si="17"/>
        <v>0</v>
      </c>
      <c r="J239" s="17" t="s">
        <v>216</v>
      </c>
      <c r="K239" s="9" t="str">
        <f>VLOOKUP($A239,[1]Sheet2!$I$2:$O$544,6,FALSE)</f>
        <v>2025-10-20</v>
      </c>
      <c r="L239" s="17" t="s">
        <v>672</v>
      </c>
      <c r="M239" s="9">
        <f>VLOOKUP($A239,[1]Sheet2!$I$2:$O$544,4,FALSE)</f>
        <v>1029</v>
      </c>
      <c r="N239" s="10">
        <f t="shared" si="18"/>
        <v>0</v>
      </c>
      <c r="O239" s="10">
        <f t="shared" si="19"/>
        <v>0</v>
      </c>
    </row>
    <row r="240" spans="1:15" x14ac:dyDescent="0.2">
      <c r="A240" s="3" t="s">
        <v>673</v>
      </c>
      <c r="B240" s="17" t="s">
        <v>15</v>
      </c>
      <c r="C240" s="9" t="str">
        <f>VLOOKUP($A240,[1]Sheet2!$I$2:$O$544,3,FALSE)</f>
        <v>KPB1</v>
      </c>
      <c r="D240" s="2" t="s">
        <v>309</v>
      </c>
      <c r="E240" s="15" t="str">
        <f>VLOOKUP($A240,[1]Sheet2!$I$2:$O$544,5,FALSE)</f>
        <v>2025-08-23</v>
      </c>
      <c r="F240" s="13" t="str">
        <f>VLOOKUP($A240,'[2]AHM-Q01-251105-2511051358'!$E$2:$H$376,4,FALSE)</f>
        <v>23/08/2025</v>
      </c>
      <c r="G240" s="15">
        <f t="shared" si="15"/>
        <v>0</v>
      </c>
      <c r="H240" s="24">
        <f t="shared" si="16"/>
        <v>0</v>
      </c>
      <c r="I240" s="13">
        <f t="shared" si="17"/>
        <v>0</v>
      </c>
      <c r="J240" s="17" t="s">
        <v>216</v>
      </c>
      <c r="K240" s="9" t="str">
        <f>VLOOKUP($A240,[1]Sheet2!$I$2:$O$544,6,FALSE)</f>
        <v>2025-10-20</v>
      </c>
      <c r="L240" s="17" t="s">
        <v>674</v>
      </c>
      <c r="M240" s="9">
        <f>VLOOKUP($A240,[1]Sheet2!$I$2:$O$544,4,FALSE)</f>
        <v>683</v>
      </c>
      <c r="N240" s="10">
        <f t="shared" si="18"/>
        <v>0</v>
      </c>
      <c r="O240" s="10">
        <f t="shared" si="19"/>
        <v>0</v>
      </c>
    </row>
    <row r="241" spans="1:15" x14ac:dyDescent="0.2">
      <c r="A241" s="3" t="s">
        <v>676</v>
      </c>
      <c r="B241" s="17" t="s">
        <v>15</v>
      </c>
      <c r="C241" s="9" t="str">
        <f>VLOOKUP($A241,[1]Sheet2!$I$2:$O$544,3,FALSE)</f>
        <v>KPB1</v>
      </c>
      <c r="D241" s="2" t="s">
        <v>309</v>
      </c>
      <c r="E241" s="15" t="str">
        <f>VLOOKUP($A241,[1]Sheet2!$I$2:$O$544,5,FALSE)</f>
        <v>2025-08-24</v>
      </c>
      <c r="F241" s="13" t="str">
        <f>VLOOKUP($A241,'[2]AHM-Q01-251105-2511051358'!$E$2:$H$376,4,FALSE)</f>
        <v>24/08/2025</v>
      </c>
      <c r="G241" s="15">
        <f t="shared" si="15"/>
        <v>-1</v>
      </c>
      <c r="H241" s="24">
        <f t="shared" si="16"/>
        <v>-1</v>
      </c>
      <c r="I241" s="13">
        <f t="shared" si="17"/>
        <v>0</v>
      </c>
      <c r="J241" s="17" t="s">
        <v>216</v>
      </c>
      <c r="K241" s="9" t="str">
        <f>VLOOKUP($A241,[1]Sheet2!$I$2:$O$544,6,FALSE)</f>
        <v>2025-10-20</v>
      </c>
      <c r="L241" s="17" t="s">
        <v>677</v>
      </c>
      <c r="M241" s="9">
        <f>VLOOKUP($A241,[1]Sheet2!$I$2:$O$544,4,FALSE)</f>
        <v>526</v>
      </c>
      <c r="N241" s="10">
        <f t="shared" si="18"/>
        <v>0</v>
      </c>
      <c r="O241" s="10">
        <f t="shared" si="19"/>
        <v>0</v>
      </c>
    </row>
    <row r="242" spans="1:15" x14ac:dyDescent="0.2">
      <c r="A242" s="3" t="s">
        <v>678</v>
      </c>
      <c r="B242" s="17" t="s">
        <v>15</v>
      </c>
      <c r="C242" s="9" t="str">
        <f>VLOOKUP($A242,[1]Sheet2!$I$2:$O$544,3,FALSE)</f>
        <v>KPB1</v>
      </c>
      <c r="D242" s="2" t="s">
        <v>163</v>
      </c>
      <c r="E242" s="15" t="str">
        <f>VLOOKUP($A242,[1]Sheet2!$I$2:$O$544,5,FALSE)</f>
        <v>2025-08-25</v>
      </c>
      <c r="F242" s="13" t="str">
        <f>VLOOKUP($A242,'[2]AHM-Q01-251105-2511051358'!$E$2:$H$376,4,FALSE)</f>
        <v>25/08/2025</v>
      </c>
      <c r="G242" s="15">
        <f t="shared" si="15"/>
        <v>0</v>
      </c>
      <c r="H242" s="24">
        <f t="shared" si="16"/>
        <v>0</v>
      </c>
      <c r="I242" s="13">
        <f t="shared" si="17"/>
        <v>0</v>
      </c>
      <c r="J242" s="17" t="s">
        <v>164</v>
      </c>
      <c r="K242" s="9" t="str">
        <f>VLOOKUP($A242,[1]Sheet2!$I$2:$O$544,6,FALSE)</f>
        <v>2025-10-21</v>
      </c>
      <c r="L242" s="17" t="s">
        <v>679</v>
      </c>
      <c r="M242" s="9">
        <f>VLOOKUP($A242,[1]Sheet2!$I$2:$O$544,4,FALSE)</f>
        <v>686</v>
      </c>
      <c r="N242" s="10">
        <f t="shared" si="18"/>
        <v>0</v>
      </c>
      <c r="O242" s="10">
        <f t="shared" si="19"/>
        <v>0</v>
      </c>
    </row>
    <row r="243" spans="1:15" x14ac:dyDescent="0.2">
      <c r="A243" s="3" t="s">
        <v>836</v>
      </c>
      <c r="B243" s="17" t="s">
        <v>15</v>
      </c>
      <c r="C243" s="9" t="str">
        <f>VLOOKUP($A243,[1]Sheet2!$I$2:$O$544,3,FALSE)</f>
        <v>KPB1</v>
      </c>
      <c r="D243" s="2" t="s">
        <v>99</v>
      </c>
      <c r="E243" s="15" t="str">
        <f>VLOOKUP($A243,[1]Sheet2!$I$2:$O$544,5,FALSE)</f>
        <v>2025-08-06</v>
      </c>
      <c r="F243" s="13" t="str">
        <f>VLOOKUP($A243,'[2]AHM-Q01-251105-2511051358'!$E$2:$H$376,4,FALSE)</f>
        <v>06/08/2025</v>
      </c>
      <c r="G243" s="15">
        <f t="shared" si="15"/>
        <v>-5</v>
      </c>
      <c r="H243" s="24">
        <f t="shared" si="16"/>
        <v>-5</v>
      </c>
      <c r="I243" s="13">
        <f t="shared" si="17"/>
        <v>0</v>
      </c>
      <c r="J243" s="17" t="s">
        <v>179</v>
      </c>
      <c r="K243" s="9" t="str">
        <f>VLOOKUP($A243,[1]Sheet2!$I$2:$O$544,6,FALSE)</f>
        <v>2025-10-04</v>
      </c>
      <c r="L243" s="17" t="s">
        <v>837</v>
      </c>
      <c r="M243" s="9">
        <f>VLOOKUP($A243,[1]Sheet2!$I$2:$O$544,4,FALSE)</f>
        <v>534</v>
      </c>
      <c r="N243" s="10">
        <f t="shared" si="18"/>
        <v>0</v>
      </c>
      <c r="O243" s="10">
        <f t="shared" si="19"/>
        <v>0</v>
      </c>
    </row>
    <row r="244" spans="1:15" x14ac:dyDescent="0.2">
      <c r="A244" s="3" t="s">
        <v>681</v>
      </c>
      <c r="B244" s="17" t="s">
        <v>15</v>
      </c>
      <c r="C244" s="9" t="str">
        <f>VLOOKUP($A244,[1]Sheet2!$I$2:$O$544,3,FALSE)</f>
        <v>KPB1</v>
      </c>
      <c r="D244" s="2" t="s">
        <v>285</v>
      </c>
      <c r="E244" s="15" t="str">
        <f>VLOOKUP($A244,[1]Sheet2!$I$2:$O$544,5,FALSE)</f>
        <v>2025-08-28</v>
      </c>
      <c r="F244" s="13" t="str">
        <f>VLOOKUP($A244,'[2]AHM-Q01-251105-2511051358'!$E$2:$H$376,4,FALSE)</f>
        <v>28/08/2025</v>
      </c>
      <c r="G244" s="15">
        <f t="shared" si="15"/>
        <v>0</v>
      </c>
      <c r="H244" s="24">
        <f t="shared" si="16"/>
        <v>0</v>
      </c>
      <c r="I244" s="13">
        <f t="shared" si="17"/>
        <v>0</v>
      </c>
      <c r="J244" s="17" t="s">
        <v>164</v>
      </c>
      <c r="K244" s="9" t="str">
        <f>VLOOKUP($A244,[1]Sheet2!$I$2:$O$544,6,FALSE)</f>
        <v>2025-10-21</v>
      </c>
      <c r="L244" s="17" t="s">
        <v>682</v>
      </c>
      <c r="M244" s="9">
        <f>VLOOKUP($A244,[1]Sheet2!$I$2:$O$544,4,FALSE)</f>
        <v>559</v>
      </c>
      <c r="N244" s="10">
        <f t="shared" si="18"/>
        <v>0</v>
      </c>
      <c r="O244" s="10">
        <f t="shared" si="19"/>
        <v>0</v>
      </c>
    </row>
    <row r="245" spans="1:15" x14ac:dyDescent="0.2">
      <c r="A245" s="3" t="s">
        <v>683</v>
      </c>
      <c r="B245" s="17" t="s">
        <v>15</v>
      </c>
      <c r="C245" s="9" t="str">
        <f>VLOOKUP($A245,[1]Sheet2!$I$2:$O$544,3,FALSE)</f>
        <v>KPB1</v>
      </c>
      <c r="D245" s="2" t="s">
        <v>285</v>
      </c>
      <c r="E245" s="15" t="str">
        <f>VLOOKUP($A245,[1]Sheet2!$I$2:$O$544,5,FALSE)</f>
        <v>2025-08-28</v>
      </c>
      <c r="F245" s="13" t="str">
        <f>VLOOKUP($A245,'[2]AHM-Q01-251105-2511051358'!$E$2:$H$376,4,FALSE)</f>
        <v>28/08/2025</v>
      </c>
      <c r="G245" s="15">
        <f t="shared" si="15"/>
        <v>0</v>
      </c>
      <c r="H245" s="24">
        <f t="shared" si="16"/>
        <v>0</v>
      </c>
      <c r="I245" s="13">
        <f t="shared" si="17"/>
        <v>0</v>
      </c>
      <c r="J245" s="17" t="s">
        <v>164</v>
      </c>
      <c r="K245" s="9" t="str">
        <f>VLOOKUP($A245,[1]Sheet2!$I$2:$O$544,6,FALSE)</f>
        <v>2025-10-21</v>
      </c>
      <c r="L245" s="17" t="s">
        <v>684</v>
      </c>
      <c r="M245" s="9">
        <f>VLOOKUP($A245,[1]Sheet2!$I$2:$O$544,4,FALSE)</f>
        <v>590</v>
      </c>
      <c r="N245" s="10">
        <f t="shared" si="18"/>
        <v>0</v>
      </c>
      <c r="O245" s="10">
        <f t="shared" si="19"/>
        <v>0</v>
      </c>
    </row>
    <row r="246" spans="1:15" x14ac:dyDescent="0.2">
      <c r="A246" s="3" t="s">
        <v>685</v>
      </c>
      <c r="B246" s="17" t="s">
        <v>15</v>
      </c>
      <c r="C246" s="9" t="str">
        <f>VLOOKUP($A246,[1]Sheet2!$I$2:$O$544,3,FALSE)</f>
        <v>KPB1</v>
      </c>
      <c r="D246" s="2" t="s">
        <v>160</v>
      </c>
      <c r="E246" s="15" t="str">
        <f>VLOOKUP($A246,[1]Sheet2!$I$2:$O$544,5,FALSE)</f>
        <v>2025-08-29</v>
      </c>
      <c r="F246" s="13" t="str">
        <f>VLOOKUP($A246,'[2]AHM-Q01-251105-2511051358'!$E$2:$H$376,4,FALSE)</f>
        <v>29/08/2025</v>
      </c>
      <c r="G246" s="15">
        <f t="shared" si="15"/>
        <v>0</v>
      </c>
      <c r="H246" s="24">
        <f t="shared" si="16"/>
        <v>0</v>
      </c>
      <c r="I246" s="13">
        <f t="shared" si="17"/>
        <v>0</v>
      </c>
      <c r="J246" s="17" t="s">
        <v>168</v>
      </c>
      <c r="K246" s="9" t="str">
        <f>VLOOKUP($A246,[1]Sheet2!$I$2:$O$544,6,FALSE)</f>
        <v>2025-10-22</v>
      </c>
      <c r="L246" s="17" t="s">
        <v>654</v>
      </c>
      <c r="M246" s="9">
        <f>VLOOKUP($A246,[1]Sheet2!$I$2:$O$544,4,FALSE)</f>
        <v>711</v>
      </c>
      <c r="N246" s="10">
        <f t="shared" si="18"/>
        <v>0</v>
      </c>
      <c r="O246" s="10">
        <f t="shared" si="19"/>
        <v>0</v>
      </c>
    </row>
    <row r="247" spans="1:15" x14ac:dyDescent="0.2">
      <c r="A247" s="3" t="s">
        <v>686</v>
      </c>
      <c r="B247" s="17" t="s">
        <v>15</v>
      </c>
      <c r="C247" s="9" t="str">
        <f>VLOOKUP($A247,[1]Sheet2!$I$2:$O$544,3,FALSE)</f>
        <v>KPB1</v>
      </c>
      <c r="D247" s="2" t="s">
        <v>160</v>
      </c>
      <c r="E247" s="15" t="str">
        <f>VLOOKUP($A247,[1]Sheet2!$I$2:$O$544,5,FALSE)</f>
        <v>2025-08-29</v>
      </c>
      <c r="F247" s="13" t="str">
        <f>VLOOKUP($A247,'[2]AHM-Q01-251105-2511051358'!$E$2:$H$376,4,FALSE)</f>
        <v>29/08/2025</v>
      </c>
      <c r="G247" s="15">
        <f t="shared" si="15"/>
        <v>0</v>
      </c>
      <c r="H247" s="24">
        <f t="shared" si="16"/>
        <v>0</v>
      </c>
      <c r="I247" s="13">
        <f t="shared" si="17"/>
        <v>0</v>
      </c>
      <c r="J247" s="17" t="s">
        <v>168</v>
      </c>
      <c r="K247" s="9" t="str">
        <f>VLOOKUP($A247,[1]Sheet2!$I$2:$O$544,6,FALSE)</f>
        <v>2025-10-22</v>
      </c>
      <c r="L247" s="17" t="s">
        <v>425</v>
      </c>
      <c r="M247" s="9">
        <f>VLOOKUP($A247,[1]Sheet2!$I$2:$O$544,4,FALSE)</f>
        <v>675</v>
      </c>
      <c r="N247" s="10">
        <f t="shared" si="18"/>
        <v>0</v>
      </c>
      <c r="O247" s="10">
        <f t="shared" si="19"/>
        <v>0</v>
      </c>
    </row>
    <row r="248" spans="1:15" x14ac:dyDescent="0.2">
      <c r="A248" s="3" t="s">
        <v>687</v>
      </c>
      <c r="B248" s="17" t="s">
        <v>15</v>
      </c>
      <c r="C248" s="9" t="str">
        <f>VLOOKUP($A248,[1]Sheet2!$I$2:$O$544,3,FALSE)</f>
        <v>KPB1</v>
      </c>
      <c r="D248" s="2" t="s">
        <v>160</v>
      </c>
      <c r="E248" s="15" t="str">
        <f>VLOOKUP($A248,[1]Sheet2!$I$2:$O$544,5,FALSE)</f>
        <v>2025-08-29</v>
      </c>
      <c r="F248" s="13" t="str">
        <f>VLOOKUP($A248,'[2]AHM-Q01-251105-2511051358'!$E$2:$H$376,4,FALSE)</f>
        <v>29/08/2025</v>
      </c>
      <c r="G248" s="15">
        <f t="shared" si="15"/>
        <v>0</v>
      </c>
      <c r="H248" s="24">
        <f t="shared" si="16"/>
        <v>0</v>
      </c>
      <c r="I248" s="13">
        <f t="shared" si="17"/>
        <v>0</v>
      </c>
      <c r="J248" s="17" t="s">
        <v>168</v>
      </c>
      <c r="K248" s="9" t="str">
        <f>VLOOKUP($A248,[1]Sheet2!$I$2:$O$544,6,FALSE)</f>
        <v>2025-10-22</v>
      </c>
      <c r="L248" s="17" t="s">
        <v>688</v>
      </c>
      <c r="M248" s="9">
        <f>VLOOKUP($A248,[1]Sheet2!$I$2:$O$544,4,FALSE)</f>
        <v>1014</v>
      </c>
      <c r="N248" s="10">
        <f t="shared" si="18"/>
        <v>0</v>
      </c>
      <c r="O248" s="10">
        <f t="shared" si="19"/>
        <v>0</v>
      </c>
    </row>
    <row r="249" spans="1:15" x14ac:dyDescent="0.2">
      <c r="A249" s="3" t="s">
        <v>689</v>
      </c>
      <c r="B249" s="17" t="s">
        <v>15</v>
      </c>
      <c r="C249" s="9" t="str">
        <f>VLOOKUP($A249,[1]Sheet2!$I$2:$O$544,3,FALSE)</f>
        <v>KPB1</v>
      </c>
      <c r="D249" s="2" t="s">
        <v>167</v>
      </c>
      <c r="E249" s="15" t="str">
        <f>VLOOKUP($A249,[1]Sheet2!$I$2:$O$544,5,FALSE)</f>
        <v>2025-08-31</v>
      </c>
      <c r="F249" s="13" t="str">
        <f>VLOOKUP($A249,'[2]AHM-Q01-251105-2511051358'!$E$2:$H$376,4,FALSE)</f>
        <v>31/08/2025</v>
      </c>
      <c r="G249" s="15">
        <f t="shared" si="15"/>
        <v>-1</v>
      </c>
      <c r="H249" s="24">
        <f t="shared" si="16"/>
        <v>-1</v>
      </c>
      <c r="I249" s="13">
        <f t="shared" si="17"/>
        <v>0</v>
      </c>
      <c r="J249" s="17" t="s">
        <v>168</v>
      </c>
      <c r="K249" s="9" t="str">
        <f>VLOOKUP($A249,[1]Sheet2!$I$2:$O$544,6,FALSE)</f>
        <v>2025-10-22</v>
      </c>
      <c r="L249" s="17" t="s">
        <v>690</v>
      </c>
      <c r="M249" s="9">
        <f>VLOOKUP($A249,[1]Sheet2!$I$2:$O$544,4,FALSE)</f>
        <v>577</v>
      </c>
      <c r="N249" s="10">
        <f t="shared" si="18"/>
        <v>0</v>
      </c>
      <c r="O249" s="10">
        <f t="shared" si="19"/>
        <v>0</v>
      </c>
    </row>
    <row r="250" spans="1:15" x14ac:dyDescent="0.2">
      <c r="A250" s="3" t="s">
        <v>838</v>
      </c>
      <c r="B250" s="17" t="s">
        <v>15</v>
      </c>
      <c r="C250" s="9" t="str">
        <f>VLOOKUP($A250,[1]Sheet2!$I$2:$O$544,3,FALSE)</f>
        <v>KPB1</v>
      </c>
      <c r="D250" s="2" t="s">
        <v>99</v>
      </c>
      <c r="E250" s="15" t="str">
        <f>VLOOKUP($A250,[1]Sheet2!$I$2:$O$544,5,FALSE)</f>
        <v>2025-08-06</v>
      </c>
      <c r="F250" s="13" t="str">
        <f>VLOOKUP($A250,'[2]AHM-Q01-251105-2511051358'!$E$2:$H$376,4,FALSE)</f>
        <v>06/08/2025</v>
      </c>
      <c r="G250" s="15">
        <f t="shared" si="15"/>
        <v>-5</v>
      </c>
      <c r="H250" s="24">
        <f t="shared" si="16"/>
        <v>-5</v>
      </c>
      <c r="I250" s="13">
        <f t="shared" si="17"/>
        <v>0</v>
      </c>
      <c r="J250" s="17" t="s">
        <v>179</v>
      </c>
      <c r="K250" s="9" t="str">
        <f>VLOOKUP($A250,[1]Sheet2!$I$2:$O$544,6,FALSE)</f>
        <v>2025-10-04</v>
      </c>
      <c r="L250" s="17" t="s">
        <v>839</v>
      </c>
      <c r="M250" s="9">
        <f>VLOOKUP($A250,[1]Sheet2!$I$2:$O$544,4,FALSE)</f>
        <v>359</v>
      </c>
      <c r="N250" s="10">
        <f t="shared" si="18"/>
        <v>0</v>
      </c>
      <c r="O250" s="10">
        <f t="shared" si="19"/>
        <v>0</v>
      </c>
    </row>
    <row r="251" spans="1:15" x14ac:dyDescent="0.2">
      <c r="A251" s="3" t="s">
        <v>693</v>
      </c>
      <c r="B251" s="17" t="s">
        <v>15</v>
      </c>
      <c r="C251" s="9" t="str">
        <f>VLOOKUP($A251,[1]Sheet2!$I$2:$O$544,3,FALSE)</f>
        <v>KPB1</v>
      </c>
      <c r="D251" s="2" t="s">
        <v>167</v>
      </c>
      <c r="E251" s="15" t="str">
        <f>VLOOKUP($A251,[1]Sheet2!$I$2:$O$544,5,FALSE)</f>
        <v>2025-08-30</v>
      </c>
      <c r="F251" s="13" t="str">
        <f>VLOOKUP($A251,'[2]AHM-Q01-251105-2511051358'!$E$2:$H$376,4,FALSE)</f>
        <v>30/08/2025</v>
      </c>
      <c r="G251" s="15">
        <f t="shared" si="15"/>
        <v>0</v>
      </c>
      <c r="H251" s="24">
        <f t="shared" si="16"/>
        <v>0</v>
      </c>
      <c r="I251" s="13">
        <f t="shared" si="17"/>
        <v>0</v>
      </c>
      <c r="J251" s="17" t="s">
        <v>168</v>
      </c>
      <c r="K251" s="9" t="str">
        <f>VLOOKUP($A251,[1]Sheet2!$I$2:$O$544,6,FALSE)</f>
        <v>2025-10-22</v>
      </c>
      <c r="L251" s="17" t="s">
        <v>675</v>
      </c>
      <c r="M251" s="9">
        <f>VLOOKUP($A251,[1]Sheet2!$I$2:$O$544,4,FALSE)</f>
        <v>240</v>
      </c>
      <c r="N251" s="10">
        <f t="shared" si="18"/>
        <v>0</v>
      </c>
      <c r="O251" s="10">
        <f t="shared" si="19"/>
        <v>0</v>
      </c>
    </row>
    <row r="252" spans="1:15" x14ac:dyDescent="0.2">
      <c r="A252" s="3" t="s">
        <v>694</v>
      </c>
      <c r="B252" s="17" t="s">
        <v>15</v>
      </c>
      <c r="C252" s="9" t="str">
        <f>VLOOKUP($A252,[1]Sheet2!$I$2:$O$544,3,FALSE)</f>
        <v>KPB1</v>
      </c>
      <c r="D252" s="2" t="s">
        <v>167</v>
      </c>
      <c r="E252" s="15" t="str">
        <f>VLOOKUP($A252,[1]Sheet2!$I$2:$O$544,5,FALSE)</f>
        <v>2025-08-30</v>
      </c>
      <c r="F252" s="13" t="str">
        <f>VLOOKUP($A252,'[2]AHM-Q01-251105-2511051358'!$E$2:$H$376,4,FALSE)</f>
        <v>30/08/2025</v>
      </c>
      <c r="G252" s="15">
        <f t="shared" si="15"/>
        <v>0</v>
      </c>
      <c r="H252" s="24">
        <f t="shared" si="16"/>
        <v>0</v>
      </c>
      <c r="I252" s="13">
        <f t="shared" si="17"/>
        <v>0</v>
      </c>
      <c r="J252" s="17" t="s">
        <v>168</v>
      </c>
      <c r="K252" s="9" t="str">
        <f>VLOOKUP($A252,[1]Sheet2!$I$2:$O$544,6,FALSE)</f>
        <v>2025-10-22</v>
      </c>
      <c r="L252" s="17" t="s">
        <v>695</v>
      </c>
      <c r="M252" s="9">
        <f>VLOOKUP($A252,[1]Sheet2!$I$2:$O$544,4,FALSE)</f>
        <v>639</v>
      </c>
      <c r="N252" s="10">
        <f t="shared" si="18"/>
        <v>0</v>
      </c>
      <c r="O252" s="10">
        <f t="shared" si="19"/>
        <v>0</v>
      </c>
    </row>
    <row r="253" spans="1:15" x14ac:dyDescent="0.2">
      <c r="A253" s="3" t="s">
        <v>696</v>
      </c>
      <c r="B253" s="17" t="s">
        <v>27</v>
      </c>
      <c r="C253" s="9" t="str">
        <f>VLOOKUP($A253,[1]Sheet2!$I$2:$O$544,3,FALSE)</f>
        <v>KPB2</v>
      </c>
      <c r="D253" s="2" t="s">
        <v>439</v>
      </c>
      <c r="E253" s="15" t="str">
        <f>VLOOKUP($A253,[1]Sheet2!$I$2:$O$544,5,FALSE)</f>
        <v>1970-01-01</v>
      </c>
      <c r="F253" s="13" t="str">
        <f>VLOOKUP($A253,'[2]AHM-Q01-251105-2511051358'!$E$2:$H$376,4,FALSE)</f>
        <v>05/06/2025</v>
      </c>
      <c r="G253" s="15">
        <f t="shared" si="15"/>
        <v>20243</v>
      </c>
      <c r="H253" s="24">
        <f t="shared" si="16"/>
        <v>-1</v>
      </c>
      <c r="I253" s="13">
        <f t="shared" si="17"/>
        <v>-20244</v>
      </c>
      <c r="J253" s="17" t="s">
        <v>179</v>
      </c>
      <c r="K253" s="9" t="str">
        <f>VLOOKUP($A253,[1]Sheet2!$I$2:$O$544,6,FALSE)</f>
        <v>2025-10-04</v>
      </c>
      <c r="L253" s="17" t="s">
        <v>697</v>
      </c>
      <c r="M253" s="9">
        <f>VLOOKUP($A253,[1]Sheet2!$I$2:$O$544,4,FALSE)</f>
        <v>1523</v>
      </c>
      <c r="N253" s="10">
        <f t="shared" si="18"/>
        <v>0</v>
      </c>
      <c r="O253" s="10">
        <f t="shared" si="19"/>
        <v>0</v>
      </c>
    </row>
    <row r="254" spans="1:15" x14ac:dyDescent="0.2">
      <c r="A254" s="3" t="s">
        <v>698</v>
      </c>
      <c r="B254" s="17" t="s">
        <v>27</v>
      </c>
      <c r="C254" s="9" t="str">
        <f>VLOOKUP($A254,[1]Sheet2!$I$2:$O$544,3,FALSE)</f>
        <v>KPB2</v>
      </c>
      <c r="D254" s="2" t="s">
        <v>524</v>
      </c>
      <c r="E254" s="15" t="str">
        <f>VLOOKUP($A254,[1]Sheet2!$I$2:$O$544,5,FALSE)</f>
        <v>1970-01-01</v>
      </c>
      <c r="F254" s="13" t="str">
        <f>VLOOKUP($A254,'[2]AHM-Q01-251105-2511051358'!$E$2:$H$376,4,FALSE)</f>
        <v>05/06/2025</v>
      </c>
      <c r="G254" s="15">
        <f t="shared" si="15"/>
        <v>20244</v>
      </c>
      <c r="H254" s="24">
        <f t="shared" si="16"/>
        <v>0</v>
      </c>
      <c r="I254" s="13">
        <f t="shared" si="17"/>
        <v>-20244</v>
      </c>
      <c r="J254" s="17" t="s">
        <v>104</v>
      </c>
      <c r="K254" s="9" t="str">
        <f>VLOOKUP($A254,[1]Sheet2!$I$2:$O$544,6,FALSE)</f>
        <v>2025-10-06</v>
      </c>
      <c r="L254" s="17" t="s">
        <v>699</v>
      </c>
      <c r="M254" s="9">
        <f>VLOOKUP($A254,[1]Sheet2!$I$2:$O$544,4,FALSE)</f>
        <v>2397</v>
      </c>
      <c r="N254" s="10">
        <f t="shared" si="18"/>
        <v>0</v>
      </c>
      <c r="O254" s="10">
        <f t="shared" si="19"/>
        <v>0</v>
      </c>
    </row>
    <row r="255" spans="1:15" x14ac:dyDescent="0.2">
      <c r="A255" s="3" t="s">
        <v>700</v>
      </c>
      <c r="B255" s="17" t="s">
        <v>27</v>
      </c>
      <c r="C255" s="9" t="str">
        <f>VLOOKUP($A255,[1]Sheet2!$I$2:$O$544,3,FALSE)</f>
        <v>KPB2</v>
      </c>
      <c r="D255" s="2" t="s">
        <v>439</v>
      </c>
      <c r="E255" s="15" t="str">
        <f>VLOOKUP($A255,[1]Sheet2!$I$2:$O$544,5,FALSE)</f>
        <v>2025-06-04</v>
      </c>
      <c r="F255" s="13" t="str">
        <f>VLOOKUP($A255,'[2]AHM-Q01-251105-2511051358'!$E$2:$H$376,4,FALSE)</f>
        <v>04/06/2025</v>
      </c>
      <c r="G255" s="15">
        <f t="shared" si="15"/>
        <v>0</v>
      </c>
      <c r="H255" s="24">
        <f t="shared" si="16"/>
        <v>0</v>
      </c>
      <c r="I255" s="13">
        <f t="shared" si="17"/>
        <v>0</v>
      </c>
      <c r="J255" s="17" t="s">
        <v>104</v>
      </c>
      <c r="K255" s="9" t="str">
        <f>VLOOKUP($A255,[1]Sheet2!$I$2:$O$544,6,FALSE)</f>
        <v>2025-10-06</v>
      </c>
      <c r="L255" s="17" t="s">
        <v>701</v>
      </c>
      <c r="M255" s="9">
        <f>VLOOKUP($A255,[1]Sheet2!$I$2:$O$544,4,FALSE)</f>
        <v>1941</v>
      </c>
      <c r="N255" s="10">
        <f t="shared" si="18"/>
        <v>0</v>
      </c>
      <c r="O255" s="10">
        <f t="shared" si="19"/>
        <v>0</v>
      </c>
    </row>
    <row r="256" spans="1:15" x14ac:dyDescent="0.2">
      <c r="A256" s="3" t="s">
        <v>702</v>
      </c>
      <c r="B256" s="17" t="s">
        <v>27</v>
      </c>
      <c r="C256" s="9" t="str">
        <f>VLOOKUP($A256,[1]Sheet2!$I$2:$O$544,3,FALSE)</f>
        <v>KPB2</v>
      </c>
      <c r="D256" s="2" t="s">
        <v>524</v>
      </c>
      <c r="E256" s="15" t="str">
        <f>VLOOKUP($A256,[1]Sheet2!$I$2:$O$544,5,FALSE)</f>
        <v>1970-01-01</v>
      </c>
      <c r="F256" s="13" t="str">
        <f>VLOOKUP($A256,'[2]AHM-Q01-251105-2511051358'!$E$2:$H$376,4,FALSE)</f>
        <v>05/06/2025</v>
      </c>
      <c r="G256" s="15">
        <f t="shared" si="15"/>
        <v>20244</v>
      </c>
      <c r="H256" s="24">
        <f t="shared" si="16"/>
        <v>0</v>
      </c>
      <c r="I256" s="13">
        <f t="shared" si="17"/>
        <v>-20244</v>
      </c>
      <c r="J256" s="17" t="s">
        <v>104</v>
      </c>
      <c r="K256" s="9" t="str">
        <f>VLOOKUP($A256,[1]Sheet2!$I$2:$O$544,6,FALSE)</f>
        <v>2025-10-06</v>
      </c>
      <c r="L256" s="17" t="s">
        <v>703</v>
      </c>
      <c r="M256" s="9">
        <f>VLOOKUP($A256,[1]Sheet2!$I$2:$O$544,4,FALSE)</f>
        <v>3117</v>
      </c>
      <c r="N256" s="10">
        <f t="shared" si="18"/>
        <v>0</v>
      </c>
      <c r="O256" s="10">
        <f t="shared" si="19"/>
        <v>0</v>
      </c>
    </row>
    <row r="257" spans="1:15" x14ac:dyDescent="0.2">
      <c r="A257" s="3" t="s">
        <v>704</v>
      </c>
      <c r="B257" s="17" t="s">
        <v>27</v>
      </c>
      <c r="C257" s="9" t="str">
        <f>VLOOKUP($A257,[1]Sheet2!$I$2:$O$544,3,FALSE)</f>
        <v>KPB2</v>
      </c>
      <c r="D257" s="2" t="s">
        <v>182</v>
      </c>
      <c r="E257" s="15" t="str">
        <f>VLOOKUP($A257,[1]Sheet2!$I$2:$O$544,5,FALSE)</f>
        <v>2025-06-06</v>
      </c>
      <c r="F257" s="13" t="str">
        <f>VLOOKUP($A257,'[2]AHM-Q01-251105-2511051358'!$E$2:$H$376,4,FALSE)</f>
        <v>06/06/2025</v>
      </c>
      <c r="G257" s="15">
        <f t="shared" si="15"/>
        <v>0</v>
      </c>
      <c r="H257" s="24">
        <f t="shared" si="16"/>
        <v>0</v>
      </c>
      <c r="I257" s="13">
        <f t="shared" si="17"/>
        <v>0</v>
      </c>
      <c r="J257" s="17" t="s">
        <v>113</v>
      </c>
      <c r="K257" s="9" t="str">
        <f>VLOOKUP($A257,[1]Sheet2!$I$2:$O$544,6,FALSE)</f>
        <v>2025-10-07</v>
      </c>
      <c r="L257" s="17" t="s">
        <v>705</v>
      </c>
      <c r="M257" s="9">
        <f>VLOOKUP($A257,[1]Sheet2!$I$2:$O$544,4,FALSE)</f>
        <v>1938</v>
      </c>
      <c r="N257" s="10">
        <f t="shared" si="18"/>
        <v>0</v>
      </c>
      <c r="O257" s="10">
        <f t="shared" si="19"/>
        <v>0</v>
      </c>
    </row>
    <row r="258" spans="1:15" x14ac:dyDescent="0.2">
      <c r="A258" s="3" t="s">
        <v>706</v>
      </c>
      <c r="B258" s="17" t="s">
        <v>27</v>
      </c>
      <c r="C258" s="9" t="str">
        <f>VLOOKUP($A258,[1]Sheet2!$I$2:$O$544,3,FALSE)</f>
        <v>KPB2</v>
      </c>
      <c r="D258" s="2" t="s">
        <v>182</v>
      </c>
      <c r="E258" s="15" t="str">
        <f>VLOOKUP($A258,[1]Sheet2!$I$2:$O$544,5,FALSE)</f>
        <v>1970-01-01</v>
      </c>
      <c r="F258" s="13" t="str">
        <f>VLOOKUP($A258,'[2]AHM-Q01-251105-2511051358'!$E$2:$H$376,4,FALSE)</f>
        <v>06/06/2025</v>
      </c>
      <c r="G258" s="15">
        <f t="shared" ref="G258:G321" si="20">D258-E258</f>
        <v>20245</v>
      </c>
      <c r="H258" s="24">
        <f t="shared" ref="H258:H321" si="21">D258-F258</f>
        <v>0</v>
      </c>
      <c r="I258" s="13">
        <f t="shared" ref="I258:I321" si="22">E258-F258</f>
        <v>-20245</v>
      </c>
      <c r="J258" s="17" t="s">
        <v>113</v>
      </c>
      <c r="K258" s="9" t="str">
        <f>VLOOKUP($A258,[1]Sheet2!$I$2:$O$544,6,FALSE)</f>
        <v>2025-10-07</v>
      </c>
      <c r="L258" s="17" t="s">
        <v>707</v>
      </c>
      <c r="M258" s="9">
        <f>VLOOKUP($A258,[1]Sheet2!$I$2:$O$544,4,FALSE)</f>
        <v>3736</v>
      </c>
      <c r="N258" s="10">
        <f t="shared" ref="N258:N321" si="23">K258-J258</f>
        <v>0</v>
      </c>
      <c r="O258" s="10">
        <f t="shared" ref="O258:O321" si="24">M258-L258</f>
        <v>0</v>
      </c>
    </row>
    <row r="259" spans="1:15" x14ac:dyDescent="0.2">
      <c r="A259" s="3" t="s">
        <v>709</v>
      </c>
      <c r="B259" s="17" t="s">
        <v>27</v>
      </c>
      <c r="C259" s="9" t="str">
        <f>VLOOKUP($A259,[1]Sheet2!$I$2:$O$544,3,FALSE)</f>
        <v>KPB2</v>
      </c>
      <c r="D259" s="2" t="s">
        <v>185</v>
      </c>
      <c r="E259" s="15" t="str">
        <f>VLOOKUP($A259,[1]Sheet2!$I$2:$O$544,5,FALSE)</f>
        <v>1970-01-01</v>
      </c>
      <c r="F259" s="13" t="str">
        <f>VLOOKUP($A259,'[2]AHM-Q01-251105-2511051358'!$E$2:$H$376,4,FALSE)</f>
        <v>07/06/2025</v>
      </c>
      <c r="G259" s="15">
        <f t="shared" si="20"/>
        <v>20246</v>
      </c>
      <c r="H259" s="24">
        <f t="shared" si="21"/>
        <v>0</v>
      </c>
      <c r="I259" s="13">
        <f t="shared" si="22"/>
        <v>-20246</v>
      </c>
      <c r="J259" s="17" t="s">
        <v>113</v>
      </c>
      <c r="K259" s="9" t="str">
        <f>VLOOKUP($A259,[1]Sheet2!$I$2:$O$544,6,FALSE)</f>
        <v>2025-10-07</v>
      </c>
      <c r="L259" s="17" t="s">
        <v>710</v>
      </c>
      <c r="M259" s="9">
        <f>VLOOKUP($A259,[1]Sheet2!$I$2:$O$544,4,FALSE)</f>
        <v>3039</v>
      </c>
      <c r="N259" s="10">
        <f t="shared" si="23"/>
        <v>0</v>
      </c>
      <c r="O259" s="10">
        <f t="shared" si="24"/>
        <v>0</v>
      </c>
    </row>
    <row r="260" spans="1:15" x14ac:dyDescent="0.2">
      <c r="A260" s="3" t="s">
        <v>711</v>
      </c>
      <c r="B260" s="17" t="s">
        <v>27</v>
      </c>
      <c r="C260" s="9" t="str">
        <f>VLOOKUP($A260,[1]Sheet2!$I$2:$O$544,3,FALSE)</f>
        <v>KPB2</v>
      </c>
      <c r="D260" s="2" t="s">
        <v>457</v>
      </c>
      <c r="E260" s="15" t="str">
        <f>VLOOKUP($A260,[1]Sheet2!$I$2:$O$544,5,FALSE)</f>
        <v>1970-01-01</v>
      </c>
      <c r="F260" s="13" t="str">
        <f>VLOOKUP($A260,'[2]AHM-Q01-251105-2511051358'!$E$2:$H$376,4,FALSE)</f>
        <v>18/06/2025</v>
      </c>
      <c r="G260" s="15">
        <f t="shared" si="20"/>
        <v>20257</v>
      </c>
      <c r="H260" s="24">
        <f t="shared" si="21"/>
        <v>0</v>
      </c>
      <c r="I260" s="13">
        <f t="shared" si="22"/>
        <v>-20257</v>
      </c>
      <c r="J260" s="17" t="s">
        <v>113</v>
      </c>
      <c r="K260" s="9" t="str">
        <f>VLOOKUP($A260,[1]Sheet2!$I$2:$O$544,6,FALSE)</f>
        <v>2025-10-07</v>
      </c>
      <c r="L260" s="17" t="s">
        <v>712</v>
      </c>
      <c r="M260" s="9">
        <f>VLOOKUP($A260,[1]Sheet2!$I$2:$O$544,4,FALSE)</f>
        <v>2383</v>
      </c>
      <c r="N260" s="10">
        <f t="shared" si="23"/>
        <v>0</v>
      </c>
      <c r="O260" s="10">
        <f t="shared" si="24"/>
        <v>0</v>
      </c>
    </row>
    <row r="261" spans="1:15" x14ac:dyDescent="0.2">
      <c r="A261" s="3" t="s">
        <v>713</v>
      </c>
      <c r="B261" s="17" t="s">
        <v>27</v>
      </c>
      <c r="C261" s="9" t="str">
        <f>VLOOKUP($A261,[1]Sheet2!$I$2:$O$544,3,FALSE)</f>
        <v>KPB2</v>
      </c>
      <c r="D261" s="2" t="s">
        <v>188</v>
      </c>
      <c r="E261" s="15" t="str">
        <f>VLOOKUP($A261,[1]Sheet2!$I$2:$O$544,5,FALSE)</f>
        <v>1970-01-01</v>
      </c>
      <c r="F261" s="13" t="str">
        <f>VLOOKUP($A261,'[2]AHM-Q01-251105-2511051358'!$E$2:$H$376,4,FALSE)</f>
        <v>09/06/2025</v>
      </c>
      <c r="G261" s="15">
        <f t="shared" si="20"/>
        <v>20248</v>
      </c>
      <c r="H261" s="24">
        <f t="shared" si="21"/>
        <v>0</v>
      </c>
      <c r="I261" s="13">
        <f t="shared" si="22"/>
        <v>-20248</v>
      </c>
      <c r="J261" s="17" t="s">
        <v>117</v>
      </c>
      <c r="K261" s="9" t="str">
        <f>VLOOKUP($A261,[1]Sheet2!$I$2:$O$544,6,FALSE)</f>
        <v>2025-10-09</v>
      </c>
      <c r="L261" s="17" t="s">
        <v>714</v>
      </c>
      <c r="M261" s="9">
        <f>VLOOKUP($A261,[1]Sheet2!$I$2:$O$544,4,FALSE)</f>
        <v>1416</v>
      </c>
      <c r="N261" s="10">
        <f t="shared" si="23"/>
        <v>0</v>
      </c>
      <c r="O261" s="10">
        <f t="shared" si="24"/>
        <v>0</v>
      </c>
    </row>
    <row r="262" spans="1:15" x14ac:dyDescent="0.2">
      <c r="A262" s="3" t="s">
        <v>715</v>
      </c>
      <c r="B262" s="17" t="s">
        <v>27</v>
      </c>
      <c r="C262" s="9" t="str">
        <f>VLOOKUP($A262,[1]Sheet2!$I$2:$O$544,3,FALSE)</f>
        <v>KPB2</v>
      </c>
      <c r="D262" s="2" t="s">
        <v>716</v>
      </c>
      <c r="E262" s="15" t="str">
        <f>VLOOKUP($A262,[1]Sheet2!$I$2:$O$544,5,FALSE)</f>
        <v>2025-06-12</v>
      </c>
      <c r="F262" s="13" t="str">
        <f>VLOOKUP($A262,'[2]AHM-Q01-251105-2511051358'!$E$2:$H$376,4,FALSE)</f>
        <v>12/06/2025</v>
      </c>
      <c r="G262" s="15">
        <f t="shared" si="20"/>
        <v>0</v>
      </c>
      <c r="H262" s="24">
        <f t="shared" si="21"/>
        <v>0</v>
      </c>
      <c r="I262" s="13">
        <f t="shared" si="22"/>
        <v>0</v>
      </c>
      <c r="J262" s="17" t="s">
        <v>121</v>
      </c>
      <c r="K262" s="9" t="str">
        <f>VLOOKUP($A262,[1]Sheet2!$I$2:$O$544,6,FALSE)</f>
        <v>2025-10-10</v>
      </c>
      <c r="L262" s="17" t="s">
        <v>717</v>
      </c>
      <c r="M262" s="9">
        <f>VLOOKUP($A262,[1]Sheet2!$I$2:$O$544,4,FALSE)</f>
        <v>1866</v>
      </c>
      <c r="N262" s="10">
        <f t="shared" si="23"/>
        <v>0</v>
      </c>
      <c r="O262" s="10">
        <f t="shared" si="24"/>
        <v>0</v>
      </c>
    </row>
    <row r="263" spans="1:15" x14ac:dyDescent="0.2">
      <c r="A263" s="3" t="s">
        <v>718</v>
      </c>
      <c r="B263" s="17" t="s">
        <v>27</v>
      </c>
      <c r="C263" s="9" t="str">
        <f>VLOOKUP($A263,[1]Sheet2!$I$2:$O$544,3,FALSE)</f>
        <v>KPB2</v>
      </c>
      <c r="D263" s="2" t="s">
        <v>198</v>
      </c>
      <c r="E263" s="15" t="str">
        <f>VLOOKUP($A263,[1]Sheet2!$I$2:$O$544,5,FALSE)</f>
        <v>2025-06-13</v>
      </c>
      <c r="F263" s="13" t="str">
        <f>VLOOKUP($A263,'[2]AHM-Q01-251105-2511051358'!$E$2:$H$376,4,FALSE)</f>
        <v>13/06/2025</v>
      </c>
      <c r="G263" s="15">
        <f t="shared" si="20"/>
        <v>0</v>
      </c>
      <c r="H263" s="24">
        <f t="shared" si="21"/>
        <v>0</v>
      </c>
      <c r="I263" s="13">
        <f t="shared" si="22"/>
        <v>0</v>
      </c>
      <c r="J263" s="17" t="s">
        <v>128</v>
      </c>
      <c r="K263" s="9" t="str">
        <f>VLOOKUP($A263,[1]Sheet2!$I$2:$O$544,6,FALSE)</f>
        <v>2025-10-11</v>
      </c>
      <c r="L263" s="17" t="s">
        <v>449</v>
      </c>
      <c r="M263" s="9">
        <f>VLOOKUP($A263,[1]Sheet2!$I$2:$O$544,4,FALSE)</f>
        <v>1582</v>
      </c>
      <c r="N263" s="10">
        <f t="shared" si="23"/>
        <v>0</v>
      </c>
      <c r="O263" s="10">
        <f t="shared" si="24"/>
        <v>0</v>
      </c>
    </row>
    <row r="264" spans="1:15" x14ac:dyDescent="0.2">
      <c r="A264" s="3" t="s">
        <v>719</v>
      </c>
      <c r="B264" s="17" t="s">
        <v>27</v>
      </c>
      <c r="C264" s="9" t="str">
        <f>VLOOKUP($A264,[1]Sheet2!$I$2:$O$544,3,FALSE)</f>
        <v>KPB2</v>
      </c>
      <c r="D264" s="2" t="s">
        <v>198</v>
      </c>
      <c r="E264" s="15" t="str">
        <f>VLOOKUP($A264,[1]Sheet2!$I$2:$O$544,5,FALSE)</f>
        <v>2025-06-13</v>
      </c>
      <c r="F264" s="13" t="str">
        <f>VLOOKUP($A264,'[2]AHM-Q01-251105-2511051358'!$E$2:$H$376,4,FALSE)</f>
        <v>13/06/2025</v>
      </c>
      <c r="G264" s="15">
        <f t="shared" si="20"/>
        <v>0</v>
      </c>
      <c r="H264" s="24">
        <f t="shared" si="21"/>
        <v>0</v>
      </c>
      <c r="I264" s="13">
        <f t="shared" si="22"/>
        <v>0</v>
      </c>
      <c r="J264" s="17" t="s">
        <v>128</v>
      </c>
      <c r="K264" s="9" t="str">
        <f>VLOOKUP($A264,[1]Sheet2!$I$2:$O$544,6,FALSE)</f>
        <v>2025-10-11</v>
      </c>
      <c r="L264" s="17" t="s">
        <v>720</v>
      </c>
      <c r="M264" s="9">
        <f>VLOOKUP($A264,[1]Sheet2!$I$2:$O$544,4,FALSE)</f>
        <v>2051</v>
      </c>
      <c r="N264" s="10">
        <f t="shared" si="23"/>
        <v>0</v>
      </c>
      <c r="O264" s="10">
        <f t="shared" si="24"/>
        <v>0</v>
      </c>
    </row>
    <row r="265" spans="1:15" x14ac:dyDescent="0.2">
      <c r="A265" s="3" t="s">
        <v>721</v>
      </c>
      <c r="B265" s="17" t="s">
        <v>27</v>
      </c>
      <c r="C265" s="9" t="str">
        <f>VLOOKUP($A265,[1]Sheet2!$I$2:$O$544,3,FALSE)</f>
        <v>KPB2</v>
      </c>
      <c r="D265" s="2" t="s">
        <v>198</v>
      </c>
      <c r="E265" s="15" t="str">
        <f>VLOOKUP($A265,[1]Sheet2!$I$2:$O$544,5,FALSE)</f>
        <v>2025-06-13</v>
      </c>
      <c r="F265" s="13" t="str">
        <f>VLOOKUP($A265,'[2]AHM-Q01-251105-2511051358'!$E$2:$H$376,4,FALSE)</f>
        <v>13/06/2025</v>
      </c>
      <c r="G265" s="15">
        <f t="shared" si="20"/>
        <v>0</v>
      </c>
      <c r="H265" s="24">
        <f t="shared" si="21"/>
        <v>0</v>
      </c>
      <c r="I265" s="13">
        <f t="shared" si="22"/>
        <v>0</v>
      </c>
      <c r="J265" s="17" t="s">
        <v>128</v>
      </c>
      <c r="K265" s="9" t="str">
        <f>VLOOKUP($A265,[1]Sheet2!$I$2:$O$544,6,FALSE)</f>
        <v>2025-10-11</v>
      </c>
      <c r="L265" s="17" t="s">
        <v>722</v>
      </c>
      <c r="M265" s="9">
        <f>VLOOKUP($A265,[1]Sheet2!$I$2:$O$544,4,FALSE)</f>
        <v>2460</v>
      </c>
      <c r="N265" s="10">
        <f t="shared" si="23"/>
        <v>0</v>
      </c>
      <c r="O265" s="10">
        <f t="shared" si="24"/>
        <v>0</v>
      </c>
    </row>
    <row r="266" spans="1:15" x14ac:dyDescent="0.2">
      <c r="A266" s="3" t="s">
        <v>723</v>
      </c>
      <c r="B266" s="17" t="s">
        <v>27</v>
      </c>
      <c r="C266" s="9" t="str">
        <f>VLOOKUP($A266,[1]Sheet2!$I$2:$O$544,3,FALSE)</f>
        <v>KPB2</v>
      </c>
      <c r="D266" s="2" t="s">
        <v>198</v>
      </c>
      <c r="E266" s="15" t="str">
        <f>VLOOKUP($A266,[1]Sheet2!$I$2:$O$544,5,FALSE)</f>
        <v>2025-06-16</v>
      </c>
      <c r="F266" s="13" t="str">
        <f>VLOOKUP($A266,'[2]AHM-Q01-251105-2511051358'!$E$2:$H$376,4,FALSE)</f>
        <v>16/06/2025</v>
      </c>
      <c r="G266" s="15">
        <f t="shared" si="20"/>
        <v>-3</v>
      </c>
      <c r="H266" s="24">
        <f t="shared" si="21"/>
        <v>-3</v>
      </c>
      <c r="I266" s="13">
        <f t="shared" si="22"/>
        <v>0</v>
      </c>
      <c r="J266" s="17" t="s">
        <v>141</v>
      </c>
      <c r="K266" s="9" t="str">
        <f>VLOOKUP($A266,[1]Sheet2!$I$2:$O$544,6,FALSE)</f>
        <v>2025-10-15</v>
      </c>
      <c r="L266" s="17" t="s">
        <v>724</v>
      </c>
      <c r="M266" s="9">
        <f>VLOOKUP($A266,[1]Sheet2!$I$2:$O$544,4,FALSE)</f>
        <v>3579</v>
      </c>
      <c r="N266" s="10">
        <f t="shared" si="23"/>
        <v>0</v>
      </c>
      <c r="O266" s="10">
        <f t="shared" si="24"/>
        <v>0</v>
      </c>
    </row>
    <row r="267" spans="1:15" x14ac:dyDescent="0.2">
      <c r="A267" s="3" t="s">
        <v>725</v>
      </c>
      <c r="B267" s="17" t="s">
        <v>27</v>
      </c>
      <c r="C267" s="9" t="str">
        <f>VLOOKUP($A267,[1]Sheet2!$I$2:$O$544,3,FALSE)</f>
        <v>KPB2</v>
      </c>
      <c r="D267" s="2" t="s">
        <v>201</v>
      </c>
      <c r="E267" s="15" t="str">
        <f>VLOOKUP($A267,[1]Sheet2!$I$2:$O$544,5,FALSE)</f>
        <v>2025-06-17</v>
      </c>
      <c r="F267" s="13" t="str">
        <f>VLOOKUP($A267,'[2]AHM-Q01-251105-2511051358'!$E$2:$H$376,4,FALSE)</f>
        <v>17/06/2025</v>
      </c>
      <c r="G267" s="15">
        <f t="shared" si="20"/>
        <v>0</v>
      </c>
      <c r="H267" s="24">
        <f t="shared" si="21"/>
        <v>0</v>
      </c>
      <c r="I267" s="13">
        <f t="shared" si="22"/>
        <v>0</v>
      </c>
      <c r="J267" s="17" t="s">
        <v>141</v>
      </c>
      <c r="K267" s="9" t="str">
        <f>VLOOKUP($A267,[1]Sheet2!$I$2:$O$544,6,FALSE)</f>
        <v>2025-10-15</v>
      </c>
      <c r="L267" s="17" t="s">
        <v>726</v>
      </c>
      <c r="M267" s="9">
        <f>VLOOKUP($A267,[1]Sheet2!$I$2:$O$544,4,FALSE)</f>
        <v>1888</v>
      </c>
      <c r="N267" s="10">
        <f t="shared" si="23"/>
        <v>0</v>
      </c>
      <c r="O267" s="10">
        <f t="shared" si="24"/>
        <v>0</v>
      </c>
    </row>
    <row r="268" spans="1:15" x14ac:dyDescent="0.2">
      <c r="A268" s="3" t="s">
        <v>727</v>
      </c>
      <c r="B268" s="17" t="s">
        <v>27</v>
      </c>
      <c r="C268" s="9" t="str">
        <f>VLOOKUP($A268,[1]Sheet2!$I$2:$O$544,3,FALSE)</f>
        <v>KPB2</v>
      </c>
      <c r="D268" s="2" t="s">
        <v>201</v>
      </c>
      <c r="E268" s="15" t="str">
        <f>VLOOKUP($A268,[1]Sheet2!$I$2:$O$544,5,FALSE)</f>
        <v>2025-06-17</v>
      </c>
      <c r="F268" s="13" t="str">
        <f>VLOOKUP($A268,'[2]AHM-Q01-251105-2511051358'!$E$2:$H$376,4,FALSE)</f>
        <v>17/06/2025</v>
      </c>
      <c r="G268" s="15">
        <f t="shared" si="20"/>
        <v>0</v>
      </c>
      <c r="H268" s="24">
        <f t="shared" si="21"/>
        <v>0</v>
      </c>
      <c r="I268" s="13">
        <f t="shared" si="22"/>
        <v>0</v>
      </c>
      <c r="J268" s="17" t="s">
        <v>141</v>
      </c>
      <c r="K268" s="9" t="str">
        <f>VLOOKUP($A268,[1]Sheet2!$I$2:$O$544,6,FALSE)</f>
        <v>2025-10-15</v>
      </c>
      <c r="L268" s="17" t="s">
        <v>728</v>
      </c>
      <c r="M268" s="9">
        <f>VLOOKUP($A268,[1]Sheet2!$I$2:$O$544,4,FALSE)</f>
        <v>2471</v>
      </c>
      <c r="N268" s="10">
        <f t="shared" si="23"/>
        <v>0</v>
      </c>
      <c r="O268" s="10">
        <f t="shared" si="24"/>
        <v>0</v>
      </c>
    </row>
    <row r="269" spans="1:15" x14ac:dyDescent="0.2">
      <c r="A269" s="3" t="s">
        <v>729</v>
      </c>
      <c r="B269" s="17" t="s">
        <v>27</v>
      </c>
      <c r="C269" s="9" t="str">
        <f>VLOOKUP($A269,[1]Sheet2!$I$2:$O$544,3,FALSE)</f>
        <v>KPB2</v>
      </c>
      <c r="D269" s="2" t="s">
        <v>457</v>
      </c>
      <c r="E269" s="15" t="str">
        <f>VLOOKUP($A269,[1]Sheet2!$I$2:$O$544,5,FALSE)</f>
        <v>2025-06-18</v>
      </c>
      <c r="F269" s="13" t="str">
        <f>VLOOKUP($A269,'[2]AHM-Q01-251105-2511051358'!$E$2:$H$376,4,FALSE)</f>
        <v>18/06/2025</v>
      </c>
      <c r="G269" s="15">
        <f t="shared" si="20"/>
        <v>0</v>
      </c>
      <c r="H269" s="24">
        <f t="shared" si="21"/>
        <v>0</v>
      </c>
      <c r="I269" s="13">
        <f t="shared" si="22"/>
        <v>0</v>
      </c>
      <c r="J269" s="17" t="s">
        <v>458</v>
      </c>
      <c r="K269" s="9" t="str">
        <f>VLOOKUP($A269,[1]Sheet2!$I$2:$O$544,6,FALSE)</f>
        <v>2025-10-16</v>
      </c>
      <c r="L269" s="17" t="s">
        <v>730</v>
      </c>
      <c r="M269" s="9">
        <f>VLOOKUP($A269,[1]Sheet2!$I$2:$O$544,4,FALSE)</f>
        <v>1476</v>
      </c>
      <c r="N269" s="10">
        <f t="shared" si="23"/>
        <v>0</v>
      </c>
      <c r="O269" s="10">
        <f t="shared" si="24"/>
        <v>0</v>
      </c>
    </row>
    <row r="270" spans="1:15" x14ac:dyDescent="0.2">
      <c r="A270" s="3" t="s">
        <v>731</v>
      </c>
      <c r="B270" s="17" t="s">
        <v>27</v>
      </c>
      <c r="C270" s="9" t="str">
        <f>VLOOKUP($A270,[1]Sheet2!$I$2:$O$544,3,FALSE)</f>
        <v>KPB2</v>
      </c>
      <c r="D270" s="2" t="s">
        <v>457</v>
      </c>
      <c r="E270" s="15" t="str">
        <f>VLOOKUP($A270,[1]Sheet2!$I$2:$O$544,5,FALSE)</f>
        <v>2025-06-18</v>
      </c>
      <c r="F270" s="13" t="str">
        <f>VLOOKUP($A270,'[2]AHM-Q01-251105-2511051358'!$E$2:$H$376,4,FALSE)</f>
        <v>18/06/2025</v>
      </c>
      <c r="G270" s="15">
        <f t="shared" si="20"/>
        <v>0</v>
      </c>
      <c r="H270" s="24">
        <f t="shared" si="21"/>
        <v>0</v>
      </c>
      <c r="I270" s="13">
        <f t="shared" si="22"/>
        <v>0</v>
      </c>
      <c r="J270" s="17" t="s">
        <v>458</v>
      </c>
      <c r="K270" s="9" t="str">
        <f>VLOOKUP($A270,[1]Sheet2!$I$2:$O$544,6,FALSE)</f>
        <v>2025-10-16</v>
      </c>
      <c r="L270" s="17" t="s">
        <v>732</v>
      </c>
      <c r="M270" s="9">
        <f>VLOOKUP($A270,[1]Sheet2!$I$2:$O$544,4,FALSE)</f>
        <v>1529</v>
      </c>
      <c r="N270" s="10">
        <f t="shared" si="23"/>
        <v>0</v>
      </c>
      <c r="O270" s="10">
        <f t="shared" si="24"/>
        <v>0</v>
      </c>
    </row>
    <row r="271" spans="1:15" x14ac:dyDescent="0.2">
      <c r="A271" s="3" t="s">
        <v>733</v>
      </c>
      <c r="B271" s="17" t="s">
        <v>27</v>
      </c>
      <c r="C271" s="9" t="str">
        <f>VLOOKUP($A271,[1]Sheet2!$I$2:$O$544,3,FALSE)</f>
        <v>KPB2</v>
      </c>
      <c r="D271" s="2" t="s">
        <v>734</v>
      </c>
      <c r="E271" s="15" t="str">
        <f>VLOOKUP($A271,[1]Sheet2!$I$2:$O$544,5,FALSE)</f>
        <v>2025-06-19</v>
      </c>
      <c r="F271" s="13" t="str">
        <f>VLOOKUP($A271,'[2]AHM-Q01-251105-2511051358'!$E$2:$H$376,4,FALSE)</f>
        <v>19/06/2025</v>
      </c>
      <c r="G271" s="15">
        <f t="shared" si="20"/>
        <v>0</v>
      </c>
      <c r="H271" s="24">
        <f t="shared" si="21"/>
        <v>0</v>
      </c>
      <c r="I271" s="13">
        <f t="shared" si="22"/>
        <v>0</v>
      </c>
      <c r="J271" s="17" t="s">
        <v>147</v>
      </c>
      <c r="K271" s="9" t="str">
        <f>VLOOKUP($A271,[1]Sheet2!$I$2:$O$544,6,FALSE)</f>
        <v>2025-10-17</v>
      </c>
      <c r="L271" s="17" t="s">
        <v>735</v>
      </c>
      <c r="M271" s="9">
        <f>VLOOKUP($A271,[1]Sheet2!$I$2:$O$544,4,FALSE)</f>
        <v>1461</v>
      </c>
      <c r="N271" s="10">
        <f t="shared" si="23"/>
        <v>0</v>
      </c>
      <c r="O271" s="10">
        <f t="shared" si="24"/>
        <v>0</v>
      </c>
    </row>
    <row r="272" spans="1:15" x14ac:dyDescent="0.2">
      <c r="A272" s="3" t="s">
        <v>736</v>
      </c>
      <c r="B272" s="17" t="s">
        <v>27</v>
      </c>
      <c r="C272" s="9" t="str">
        <f>VLOOKUP($A272,[1]Sheet2!$I$2:$O$544,3,FALSE)</f>
        <v>KPB2</v>
      </c>
      <c r="D272" s="2" t="s">
        <v>206</v>
      </c>
      <c r="E272" s="15" t="str">
        <f>VLOOKUP($A272,[1]Sheet2!$I$2:$O$544,5,FALSE)</f>
        <v>2025-06-20</v>
      </c>
      <c r="F272" s="13" t="str">
        <f>VLOOKUP($A272,'[2]AHM-Q01-251105-2511051358'!$E$2:$H$376,4,FALSE)</f>
        <v>20/06/2025</v>
      </c>
      <c r="G272" s="15">
        <f t="shared" si="20"/>
        <v>0</v>
      </c>
      <c r="H272" s="24">
        <f t="shared" si="21"/>
        <v>0</v>
      </c>
      <c r="I272" s="13">
        <f t="shared" si="22"/>
        <v>0</v>
      </c>
      <c r="J272" s="17" t="s">
        <v>154</v>
      </c>
      <c r="K272" s="9" t="str">
        <f>VLOOKUP($A272,[1]Sheet2!$I$2:$O$544,6,FALSE)</f>
        <v>2025-10-18</v>
      </c>
      <c r="L272" s="17" t="s">
        <v>737</v>
      </c>
      <c r="M272" s="9">
        <f>VLOOKUP($A272,[1]Sheet2!$I$2:$O$544,4,FALSE)</f>
        <v>1242</v>
      </c>
      <c r="N272" s="10">
        <f t="shared" si="23"/>
        <v>0</v>
      </c>
      <c r="O272" s="10">
        <f t="shared" si="24"/>
        <v>0</v>
      </c>
    </row>
    <row r="273" spans="1:15" x14ac:dyDescent="0.2">
      <c r="A273" s="3" t="s">
        <v>738</v>
      </c>
      <c r="B273" s="17" t="s">
        <v>27</v>
      </c>
      <c r="C273" s="9" t="str">
        <f>VLOOKUP($A273,[1]Sheet2!$I$2:$O$544,3,FALSE)</f>
        <v>KPB2</v>
      </c>
      <c r="D273" s="2" t="s">
        <v>212</v>
      </c>
      <c r="E273" s="15" t="str">
        <f>VLOOKUP($A273,[1]Sheet2!$I$2:$O$544,5,FALSE)</f>
        <v>2025-06-21</v>
      </c>
      <c r="F273" s="13" t="str">
        <f>VLOOKUP($A273,'[2]AHM-Q01-251105-2511051358'!$E$2:$H$376,4,FALSE)</f>
        <v>21/06/2025</v>
      </c>
      <c r="G273" s="15">
        <f t="shared" si="20"/>
        <v>0</v>
      </c>
      <c r="H273" s="24">
        <f t="shared" si="21"/>
        <v>0</v>
      </c>
      <c r="I273" s="13">
        <f t="shared" si="22"/>
        <v>0</v>
      </c>
      <c r="J273" s="17" t="s">
        <v>154</v>
      </c>
      <c r="K273" s="9" t="str">
        <f>VLOOKUP($A273,[1]Sheet2!$I$2:$O$544,6,FALSE)</f>
        <v>2025-10-18</v>
      </c>
      <c r="L273" s="17" t="s">
        <v>739</v>
      </c>
      <c r="M273" s="9">
        <f>VLOOKUP($A273,[1]Sheet2!$I$2:$O$544,4,FALSE)</f>
        <v>3611</v>
      </c>
      <c r="N273" s="10">
        <f t="shared" si="23"/>
        <v>0</v>
      </c>
      <c r="O273" s="10">
        <f t="shared" si="24"/>
        <v>0</v>
      </c>
    </row>
    <row r="274" spans="1:15" x14ac:dyDescent="0.2">
      <c r="A274" s="3" t="s">
        <v>740</v>
      </c>
      <c r="B274" s="17" t="s">
        <v>27</v>
      </c>
      <c r="C274" s="9" t="str">
        <f>VLOOKUP($A274,[1]Sheet2!$I$2:$O$544,3,FALSE)</f>
        <v>KPB2</v>
      </c>
      <c r="D274" s="2" t="s">
        <v>219</v>
      </c>
      <c r="E274" s="15" t="str">
        <f>VLOOKUP($A274,[1]Sheet2!$I$2:$O$544,5,FALSE)</f>
        <v>2025-06-24</v>
      </c>
      <c r="F274" s="13" t="str">
        <f>VLOOKUP($A274,'[2]AHM-Q01-251105-2511051358'!$E$2:$H$376,4,FALSE)</f>
        <v>24/06/2025</v>
      </c>
      <c r="G274" s="15">
        <f t="shared" si="20"/>
        <v>0</v>
      </c>
      <c r="H274" s="24">
        <f t="shared" si="21"/>
        <v>0</v>
      </c>
      <c r="I274" s="13">
        <f t="shared" si="22"/>
        <v>0</v>
      </c>
      <c r="J274" s="17" t="s">
        <v>216</v>
      </c>
      <c r="K274" s="9" t="str">
        <f>VLOOKUP($A274,[1]Sheet2!$I$2:$O$544,6,FALSE)</f>
        <v>2025-10-20</v>
      </c>
      <c r="L274" s="17" t="s">
        <v>741</v>
      </c>
      <c r="M274" s="9">
        <f>VLOOKUP($A274,[1]Sheet2!$I$2:$O$544,4,FALSE)</f>
        <v>1911</v>
      </c>
      <c r="N274" s="10">
        <f t="shared" si="23"/>
        <v>0</v>
      </c>
      <c r="O274" s="10">
        <f t="shared" si="24"/>
        <v>0</v>
      </c>
    </row>
    <row r="275" spans="1:15" x14ac:dyDescent="0.2">
      <c r="A275" s="3" t="s">
        <v>742</v>
      </c>
      <c r="B275" s="17" t="s">
        <v>27</v>
      </c>
      <c r="C275" s="9" t="str">
        <f>VLOOKUP($A275,[1]Sheet2!$I$2:$O$544,3,FALSE)</f>
        <v>KPB2</v>
      </c>
      <c r="D275" s="2" t="s">
        <v>206</v>
      </c>
      <c r="E275" s="15" t="str">
        <f>VLOOKUP($A275,[1]Sheet2!$I$2:$O$544,5,FALSE)</f>
        <v>2025-06-20</v>
      </c>
      <c r="F275" s="13" t="str">
        <f>VLOOKUP($A275,'[2]AHM-Q01-251105-2511051358'!$E$2:$H$376,4,FALSE)</f>
        <v>20/06/2025</v>
      </c>
      <c r="G275" s="15">
        <f t="shared" si="20"/>
        <v>0</v>
      </c>
      <c r="H275" s="24">
        <f t="shared" si="21"/>
        <v>0</v>
      </c>
      <c r="I275" s="13">
        <f t="shared" si="22"/>
        <v>0</v>
      </c>
      <c r="J275" s="17" t="s">
        <v>216</v>
      </c>
      <c r="K275" s="9" t="str">
        <f>VLOOKUP($A275,[1]Sheet2!$I$2:$O$544,6,FALSE)</f>
        <v>2025-10-20</v>
      </c>
      <c r="L275" s="17" t="s">
        <v>743</v>
      </c>
      <c r="M275" s="9">
        <f>VLOOKUP($A275,[1]Sheet2!$I$2:$O$544,4,FALSE)</f>
        <v>1908</v>
      </c>
      <c r="N275" s="10">
        <f t="shared" si="23"/>
        <v>0</v>
      </c>
      <c r="O275" s="10">
        <f t="shared" si="24"/>
        <v>0</v>
      </c>
    </row>
    <row r="276" spans="1:15" x14ac:dyDescent="0.2">
      <c r="A276" s="3" t="s">
        <v>744</v>
      </c>
      <c r="B276" s="17" t="s">
        <v>27</v>
      </c>
      <c r="C276" s="9" t="str">
        <f>VLOOKUP($A276,[1]Sheet2!$I$2:$O$544,3,FALSE)</f>
        <v>KPB2</v>
      </c>
      <c r="D276" s="2" t="s">
        <v>219</v>
      </c>
      <c r="E276" s="15" t="str">
        <f>VLOOKUP($A276,[1]Sheet2!$I$2:$O$544,5,FALSE)</f>
        <v>2025-06-24</v>
      </c>
      <c r="F276" s="13" t="str">
        <f>VLOOKUP($A276,'[2]AHM-Q01-251105-2511051358'!$E$2:$H$376,4,FALSE)</f>
        <v>24/06/2025</v>
      </c>
      <c r="G276" s="15">
        <f t="shared" si="20"/>
        <v>0</v>
      </c>
      <c r="H276" s="24">
        <f t="shared" si="21"/>
        <v>0</v>
      </c>
      <c r="I276" s="13">
        <f t="shared" si="22"/>
        <v>0</v>
      </c>
      <c r="J276" s="17" t="s">
        <v>216</v>
      </c>
      <c r="K276" s="9" t="str">
        <f>VLOOKUP($A276,[1]Sheet2!$I$2:$O$544,6,FALSE)</f>
        <v>2025-10-20</v>
      </c>
      <c r="L276" s="17" t="s">
        <v>745</v>
      </c>
      <c r="M276" s="9">
        <f>VLOOKUP($A276,[1]Sheet2!$I$2:$O$544,4,FALSE)</f>
        <v>1568</v>
      </c>
      <c r="N276" s="10">
        <f t="shared" si="23"/>
        <v>0</v>
      </c>
      <c r="O276" s="10">
        <f t="shared" si="24"/>
        <v>0</v>
      </c>
    </row>
    <row r="277" spans="1:15" x14ac:dyDescent="0.2">
      <c r="A277" s="3" t="s">
        <v>746</v>
      </c>
      <c r="B277" s="17" t="s">
        <v>27</v>
      </c>
      <c r="C277" s="9" t="str">
        <f>VLOOKUP($A277,[1]Sheet2!$I$2:$O$544,3,FALSE)</f>
        <v>KPB2</v>
      </c>
      <c r="D277" s="2" t="s">
        <v>584</v>
      </c>
      <c r="E277" s="15" t="str">
        <f>VLOOKUP($A277,[1]Sheet2!$I$2:$O$544,5,FALSE)</f>
        <v>2025-06-25</v>
      </c>
      <c r="F277" s="13" t="str">
        <f>VLOOKUP($A277,'[2]AHM-Q01-251105-2511051358'!$E$2:$H$376,4,FALSE)</f>
        <v>25/06/2025</v>
      </c>
      <c r="G277" s="15">
        <f t="shared" si="20"/>
        <v>0</v>
      </c>
      <c r="H277" s="24">
        <f t="shared" si="21"/>
        <v>0</v>
      </c>
      <c r="I277" s="13">
        <f t="shared" si="22"/>
        <v>0</v>
      </c>
      <c r="J277" s="17" t="s">
        <v>164</v>
      </c>
      <c r="K277" s="9" t="str">
        <f>VLOOKUP($A277,[1]Sheet2!$I$2:$O$544,6,FALSE)</f>
        <v>2025-10-21</v>
      </c>
      <c r="L277" s="17" t="s">
        <v>747</v>
      </c>
      <c r="M277" s="9">
        <f>VLOOKUP($A277,[1]Sheet2!$I$2:$O$544,4,FALSE)</f>
        <v>1681</v>
      </c>
      <c r="N277" s="10">
        <f t="shared" si="23"/>
        <v>0</v>
      </c>
      <c r="O277" s="10">
        <f t="shared" si="24"/>
        <v>0</v>
      </c>
    </row>
    <row r="278" spans="1:15" x14ac:dyDescent="0.2">
      <c r="A278" s="3" t="s">
        <v>748</v>
      </c>
      <c r="B278" s="17" t="s">
        <v>27</v>
      </c>
      <c r="C278" s="9" t="str">
        <f>VLOOKUP($A278,[1]Sheet2!$I$2:$O$544,3,FALSE)</f>
        <v>KPB2</v>
      </c>
      <c r="D278" s="2" t="s">
        <v>584</v>
      </c>
      <c r="E278" s="15" t="str">
        <f>VLOOKUP($A278,[1]Sheet2!$I$2:$O$544,5,FALSE)</f>
        <v>2025-06-25</v>
      </c>
      <c r="F278" s="13" t="str">
        <f>VLOOKUP($A278,'[2]AHM-Q01-251105-2511051358'!$E$2:$H$376,4,FALSE)</f>
        <v>25/06/2025</v>
      </c>
      <c r="G278" s="15">
        <f t="shared" si="20"/>
        <v>0</v>
      </c>
      <c r="H278" s="24">
        <f t="shared" si="21"/>
        <v>0</v>
      </c>
      <c r="I278" s="13">
        <f t="shared" si="22"/>
        <v>0</v>
      </c>
      <c r="J278" s="17" t="s">
        <v>164</v>
      </c>
      <c r="K278" s="9" t="str">
        <f>VLOOKUP($A278,[1]Sheet2!$I$2:$O$544,6,FALSE)</f>
        <v>2025-10-21</v>
      </c>
      <c r="L278" s="17" t="s">
        <v>749</v>
      </c>
      <c r="M278" s="9">
        <f>VLOOKUP($A278,[1]Sheet2!$I$2:$O$544,4,FALSE)</f>
        <v>3583</v>
      </c>
      <c r="N278" s="10">
        <f t="shared" si="23"/>
        <v>0</v>
      </c>
      <c r="O278" s="10">
        <f t="shared" si="24"/>
        <v>0</v>
      </c>
    </row>
    <row r="279" spans="1:15" x14ac:dyDescent="0.2">
      <c r="A279" s="3" t="s">
        <v>750</v>
      </c>
      <c r="B279" s="17" t="s">
        <v>33</v>
      </c>
      <c r="C279" s="9" t="str">
        <f>VLOOKUP($A279,[1]Sheet2!$I$2:$O$544,3,FALSE)</f>
        <v>KPB3</v>
      </c>
      <c r="D279" s="2" t="s">
        <v>751</v>
      </c>
      <c r="E279" s="15" t="str">
        <f>VLOOKUP($A279,[1]Sheet2!$I$2:$O$544,5,FALSE)</f>
        <v>2025-02-04</v>
      </c>
      <c r="F279" s="13" t="str">
        <f>VLOOKUP($A279,'[2]AHM-Q01-251105-2511051358'!$E$2:$H$376,4,FALSE)</f>
        <v>04/02/2025</v>
      </c>
      <c r="G279" s="15">
        <f t="shared" si="20"/>
        <v>0</v>
      </c>
      <c r="H279" s="24">
        <f t="shared" si="21"/>
        <v>0</v>
      </c>
      <c r="I279" s="13">
        <f t="shared" si="22"/>
        <v>0</v>
      </c>
      <c r="J279" s="17" t="s">
        <v>104</v>
      </c>
      <c r="K279" s="9" t="str">
        <f>VLOOKUP($A279,[1]Sheet2!$I$2:$O$544,6,FALSE)</f>
        <v>2025-10-06</v>
      </c>
      <c r="L279" s="17" t="s">
        <v>752</v>
      </c>
      <c r="M279" s="9">
        <f>VLOOKUP($A279,[1]Sheet2!$I$2:$O$544,4,FALSE)</f>
        <v>5270</v>
      </c>
      <c r="N279" s="10">
        <f t="shared" si="23"/>
        <v>0</v>
      </c>
      <c r="O279" s="10">
        <f t="shared" si="24"/>
        <v>0</v>
      </c>
    </row>
    <row r="280" spans="1:15" x14ac:dyDescent="0.2">
      <c r="A280" s="3" t="s">
        <v>753</v>
      </c>
      <c r="B280" s="17" t="s">
        <v>33</v>
      </c>
      <c r="C280" s="9" t="str">
        <f>VLOOKUP($A280,[1]Sheet2!$I$2:$O$544,3,FALSE)</f>
        <v>KPB3</v>
      </c>
      <c r="D280" s="2" t="s">
        <v>471</v>
      </c>
      <c r="E280" s="15" t="str">
        <f>VLOOKUP($A280,[1]Sheet2!$I$2:$O$544,5,FALSE)</f>
        <v>1970-01-01</v>
      </c>
      <c r="F280" s="13" t="str">
        <f>VLOOKUP($A280,'[2]AHM-Q01-251105-2511051358'!$E$2:$H$376,4,FALSE)</f>
        <v>06/02/2025</v>
      </c>
      <c r="G280" s="15">
        <f t="shared" si="20"/>
        <v>20124</v>
      </c>
      <c r="H280" s="24">
        <f t="shared" si="21"/>
        <v>-1</v>
      </c>
      <c r="I280" s="13">
        <f t="shared" si="22"/>
        <v>-20125</v>
      </c>
      <c r="J280" s="17" t="s">
        <v>113</v>
      </c>
      <c r="K280" s="9" t="str">
        <f>VLOOKUP($A280,[1]Sheet2!$I$2:$O$544,6,FALSE)</f>
        <v>2025-10-07</v>
      </c>
      <c r="L280" s="17" t="s">
        <v>754</v>
      </c>
      <c r="M280" s="9">
        <f>VLOOKUP($A280,[1]Sheet2!$I$2:$O$544,4,FALSE)</f>
        <v>7450</v>
      </c>
      <c r="N280" s="10">
        <f t="shared" si="23"/>
        <v>0</v>
      </c>
      <c r="O280" s="10">
        <f t="shared" si="24"/>
        <v>0</v>
      </c>
    </row>
    <row r="281" spans="1:15" x14ac:dyDescent="0.2">
      <c r="A281" s="3" t="s">
        <v>755</v>
      </c>
      <c r="B281" s="17" t="s">
        <v>33</v>
      </c>
      <c r="C281" s="9" t="str">
        <f>VLOOKUP($A281,[1]Sheet2!$I$2:$O$544,3,FALSE)</f>
        <v>KPB3</v>
      </c>
      <c r="D281" s="2" t="s">
        <v>471</v>
      </c>
      <c r="E281" s="15" t="str">
        <f>VLOOKUP($A281,[1]Sheet2!$I$2:$O$544,5,FALSE)</f>
        <v>2025-02-05</v>
      </c>
      <c r="F281" s="13" t="str">
        <f>VLOOKUP($A281,'[2]AHM-Q01-251105-2511051358'!$E$2:$H$376,4,FALSE)</f>
        <v>05/02/2025</v>
      </c>
      <c r="G281" s="15">
        <f t="shared" si="20"/>
        <v>0</v>
      </c>
      <c r="H281" s="24">
        <f t="shared" si="21"/>
        <v>0</v>
      </c>
      <c r="I281" s="13">
        <f t="shared" si="22"/>
        <v>0</v>
      </c>
      <c r="J281" s="17" t="s">
        <v>113</v>
      </c>
      <c r="K281" s="9" t="str">
        <f>VLOOKUP($A281,[1]Sheet2!$I$2:$O$544,6,FALSE)</f>
        <v>2025-10-07</v>
      </c>
      <c r="L281" s="17" t="s">
        <v>756</v>
      </c>
      <c r="M281" s="9">
        <f>VLOOKUP($A281,[1]Sheet2!$I$2:$O$544,4,FALSE)</f>
        <v>7788</v>
      </c>
      <c r="N281" s="10">
        <f t="shared" si="23"/>
        <v>0</v>
      </c>
      <c r="O281" s="10">
        <f t="shared" si="24"/>
        <v>0</v>
      </c>
    </row>
    <row r="282" spans="1:15" x14ac:dyDescent="0.2">
      <c r="A282" s="3" t="s">
        <v>757</v>
      </c>
      <c r="B282" s="17" t="s">
        <v>33</v>
      </c>
      <c r="C282" s="9" t="str">
        <f>VLOOKUP($A282,[1]Sheet2!$I$2:$O$544,3,FALSE)</f>
        <v>KPB3</v>
      </c>
      <c r="D282" s="2" t="s">
        <v>231</v>
      </c>
      <c r="E282" s="15" t="str">
        <f>VLOOKUP($A282,[1]Sheet2!$I$2:$O$544,5,FALSE)</f>
        <v>2025-02-06</v>
      </c>
      <c r="F282" s="13" t="str">
        <f>VLOOKUP($A282,'[2]AHM-Q01-251105-2511051358'!$E$2:$H$376,4,FALSE)</f>
        <v>06/02/2025</v>
      </c>
      <c r="G282" s="15">
        <f t="shared" si="20"/>
        <v>0</v>
      </c>
      <c r="H282" s="24">
        <f t="shared" si="21"/>
        <v>0</v>
      </c>
      <c r="I282" s="13">
        <f t="shared" si="22"/>
        <v>0</v>
      </c>
      <c r="J282" s="17" t="s">
        <v>113</v>
      </c>
      <c r="K282" s="9" t="str">
        <f>VLOOKUP($A282,[1]Sheet2!$I$2:$O$544,6,FALSE)</f>
        <v>2025-10-07</v>
      </c>
      <c r="L282" s="17" t="s">
        <v>758</v>
      </c>
      <c r="M282" s="9">
        <f>VLOOKUP($A282,[1]Sheet2!$I$2:$O$544,4,FALSE)</f>
        <v>7943</v>
      </c>
      <c r="N282" s="10">
        <f t="shared" si="23"/>
        <v>0</v>
      </c>
      <c r="O282" s="10">
        <f t="shared" si="24"/>
        <v>0</v>
      </c>
    </row>
    <row r="283" spans="1:15" x14ac:dyDescent="0.2">
      <c r="A283" s="3" t="s">
        <v>759</v>
      </c>
      <c r="B283" s="17" t="s">
        <v>33</v>
      </c>
      <c r="C283" s="9" t="str">
        <f>VLOOKUP($A283,[1]Sheet2!$I$2:$O$544,3,FALSE)</f>
        <v>KPB3</v>
      </c>
      <c r="D283" s="2" t="s">
        <v>368</v>
      </c>
      <c r="E283" s="15" t="str">
        <f>VLOOKUP($A283,[1]Sheet2!$I$2:$O$544,5,FALSE)</f>
        <v>2025-02-08</v>
      </c>
      <c r="F283" s="13" t="str">
        <f>VLOOKUP($A283,'[2]AHM-Q01-251105-2511051358'!$E$2:$H$376,4,FALSE)</f>
        <v>08/02/2025</v>
      </c>
      <c r="G283" s="15">
        <f t="shared" si="20"/>
        <v>-1</v>
      </c>
      <c r="H283" s="24">
        <f t="shared" si="21"/>
        <v>-1</v>
      </c>
      <c r="I283" s="13">
        <f t="shared" si="22"/>
        <v>0</v>
      </c>
      <c r="J283" s="17" t="s">
        <v>113</v>
      </c>
      <c r="K283" s="9" t="str">
        <f>VLOOKUP($A283,[1]Sheet2!$I$2:$O$544,6,FALSE)</f>
        <v>2025-10-07</v>
      </c>
      <c r="L283" s="17" t="s">
        <v>760</v>
      </c>
      <c r="M283" s="9">
        <f>VLOOKUP($A283,[1]Sheet2!$I$2:$O$544,4,FALSE)</f>
        <v>5250</v>
      </c>
      <c r="N283" s="10">
        <f t="shared" si="23"/>
        <v>0</v>
      </c>
      <c r="O283" s="10">
        <f t="shared" si="24"/>
        <v>0</v>
      </c>
    </row>
    <row r="284" spans="1:15" x14ac:dyDescent="0.2">
      <c r="A284" s="3" t="s">
        <v>761</v>
      </c>
      <c r="B284" s="17" t="s">
        <v>33</v>
      </c>
      <c r="C284" s="9" t="str">
        <f>VLOOKUP($A284,[1]Sheet2!$I$2:$O$544,3,FALSE)</f>
        <v>KPB3</v>
      </c>
      <c r="D284" s="2" t="s">
        <v>368</v>
      </c>
      <c r="E284" s="15" t="str">
        <f>VLOOKUP($A284,[1]Sheet2!$I$2:$O$544,5,FALSE)</f>
        <v>1970-01-01</v>
      </c>
      <c r="F284" s="13" t="str">
        <f>VLOOKUP($A284,'[2]AHM-Q01-251105-2511051358'!$E$2:$H$376,4,FALSE)</f>
        <v>07/02/2025</v>
      </c>
      <c r="G284" s="15">
        <f t="shared" si="20"/>
        <v>20126</v>
      </c>
      <c r="H284" s="24">
        <f t="shared" si="21"/>
        <v>0</v>
      </c>
      <c r="I284" s="13">
        <f t="shared" si="22"/>
        <v>-20126</v>
      </c>
      <c r="J284" s="17" t="s">
        <v>113</v>
      </c>
      <c r="K284" s="9" t="str">
        <f>VLOOKUP($A284,[1]Sheet2!$I$2:$O$544,6,FALSE)</f>
        <v>2025-10-07</v>
      </c>
      <c r="L284" s="17" t="s">
        <v>762</v>
      </c>
      <c r="M284" s="9">
        <f>VLOOKUP($A284,[1]Sheet2!$I$2:$O$544,4,FALSE)</f>
        <v>5797</v>
      </c>
      <c r="N284" s="10">
        <f t="shared" si="23"/>
        <v>0</v>
      </c>
      <c r="O284" s="10">
        <f t="shared" si="24"/>
        <v>0</v>
      </c>
    </row>
    <row r="285" spans="1:15" x14ac:dyDescent="0.2">
      <c r="A285" s="3" t="s">
        <v>763</v>
      </c>
      <c r="B285" s="17" t="s">
        <v>33</v>
      </c>
      <c r="C285" s="9" t="str">
        <f>VLOOKUP($A285,[1]Sheet2!$I$2:$O$544,3,FALSE)</f>
        <v>KPB3</v>
      </c>
      <c r="D285" s="2" t="s">
        <v>368</v>
      </c>
      <c r="E285" s="15" t="str">
        <f>VLOOKUP($A285,[1]Sheet2!$I$2:$O$544,5,FALSE)</f>
        <v>1970-01-01</v>
      </c>
      <c r="F285" s="13" t="str">
        <f>VLOOKUP($A285,'[2]AHM-Q01-251105-2511051358'!$E$2:$H$376,4,FALSE)</f>
        <v>07/02/2025</v>
      </c>
      <c r="G285" s="15">
        <f t="shared" si="20"/>
        <v>20126</v>
      </c>
      <c r="H285" s="24">
        <f t="shared" si="21"/>
        <v>0</v>
      </c>
      <c r="I285" s="13">
        <f t="shared" si="22"/>
        <v>-20126</v>
      </c>
      <c r="J285" s="17" t="s">
        <v>113</v>
      </c>
      <c r="K285" s="9" t="str">
        <f>VLOOKUP($A285,[1]Sheet2!$I$2:$O$544,6,FALSE)</f>
        <v>2025-10-07</v>
      </c>
      <c r="L285" s="17" t="s">
        <v>764</v>
      </c>
      <c r="M285" s="9">
        <f>VLOOKUP($A285,[1]Sheet2!$I$2:$O$544,4,FALSE)</f>
        <v>6826</v>
      </c>
      <c r="N285" s="10">
        <f t="shared" si="23"/>
        <v>0</v>
      </c>
      <c r="O285" s="10">
        <f t="shared" si="24"/>
        <v>0</v>
      </c>
    </row>
    <row r="286" spans="1:15" x14ac:dyDescent="0.2">
      <c r="A286" s="3" t="s">
        <v>765</v>
      </c>
      <c r="B286" s="17" t="s">
        <v>33</v>
      </c>
      <c r="C286" s="9" t="str">
        <f>VLOOKUP($A286,[1]Sheet2!$I$2:$O$544,3,FALSE)</f>
        <v>KPB3</v>
      </c>
      <c r="D286" s="2" t="s">
        <v>371</v>
      </c>
      <c r="E286" s="15" t="str">
        <f>VLOOKUP($A286,[1]Sheet2!$I$2:$O$544,5,FALSE)</f>
        <v>2025-02-09</v>
      </c>
      <c r="F286" s="13" t="str">
        <f>VLOOKUP($A286,'[2]AHM-Q01-251105-2511051358'!$E$2:$H$376,4,FALSE)</f>
        <v>09/02/2025</v>
      </c>
      <c r="G286" s="15">
        <f t="shared" si="20"/>
        <v>-1</v>
      </c>
      <c r="H286" s="24">
        <f t="shared" si="21"/>
        <v>-1</v>
      </c>
      <c r="I286" s="13">
        <f t="shared" si="22"/>
        <v>0</v>
      </c>
      <c r="J286" s="17" t="s">
        <v>250</v>
      </c>
      <c r="K286" s="9" t="str">
        <f>VLOOKUP($A286,[1]Sheet2!$I$2:$O$544,6,FALSE)</f>
        <v>2025-10-08</v>
      </c>
      <c r="L286" s="17" t="s">
        <v>766</v>
      </c>
      <c r="M286" s="9">
        <f>VLOOKUP($A286,[1]Sheet2!$I$2:$O$544,4,FALSE)</f>
        <v>6112</v>
      </c>
      <c r="N286" s="10">
        <f t="shared" si="23"/>
        <v>0</v>
      </c>
      <c r="O286" s="10">
        <f t="shared" si="24"/>
        <v>0</v>
      </c>
    </row>
    <row r="287" spans="1:15" x14ac:dyDescent="0.2">
      <c r="A287" s="3" t="s">
        <v>767</v>
      </c>
      <c r="B287" s="17" t="s">
        <v>33</v>
      </c>
      <c r="C287" s="9" t="str">
        <f>VLOOKUP($A287,[1]Sheet2!$I$2:$O$544,3,FALSE)</f>
        <v>KPB3</v>
      </c>
      <c r="D287" s="2" t="s">
        <v>371</v>
      </c>
      <c r="E287" s="15" t="str">
        <f>VLOOKUP($A287,[1]Sheet2!$I$2:$O$544,5,FALSE)</f>
        <v>2025-02-09</v>
      </c>
      <c r="F287" s="13" t="str">
        <f>VLOOKUP($A287,'[2]AHM-Q01-251105-2511051358'!$E$2:$H$376,4,FALSE)</f>
        <v>09/02/2025</v>
      </c>
      <c r="G287" s="15">
        <f t="shared" si="20"/>
        <v>-1</v>
      </c>
      <c r="H287" s="24">
        <f t="shared" si="21"/>
        <v>-1</v>
      </c>
      <c r="I287" s="13">
        <f t="shared" si="22"/>
        <v>0</v>
      </c>
      <c r="J287" s="17" t="s">
        <v>250</v>
      </c>
      <c r="K287" s="9" t="str">
        <f>VLOOKUP($A287,[1]Sheet2!$I$2:$O$544,6,FALSE)</f>
        <v>2025-10-08</v>
      </c>
      <c r="L287" s="17" t="s">
        <v>768</v>
      </c>
      <c r="M287" s="9">
        <f>VLOOKUP($A287,[1]Sheet2!$I$2:$O$544,4,FALSE)</f>
        <v>6502</v>
      </c>
      <c r="N287" s="10">
        <f t="shared" si="23"/>
        <v>0</v>
      </c>
      <c r="O287" s="10">
        <f t="shared" si="24"/>
        <v>0</v>
      </c>
    </row>
    <row r="288" spans="1:15" x14ac:dyDescent="0.2">
      <c r="A288" s="3" t="s">
        <v>769</v>
      </c>
      <c r="B288" s="17" t="s">
        <v>33</v>
      </c>
      <c r="C288" s="9" t="str">
        <f>VLOOKUP($A288,[1]Sheet2!$I$2:$O$544,3,FALSE)</f>
        <v>KPB3</v>
      </c>
      <c r="D288" s="2" t="s">
        <v>474</v>
      </c>
      <c r="E288" s="15" t="str">
        <f>VLOOKUP($A288,[1]Sheet2!$I$2:$O$544,5,FALSE)</f>
        <v>2025-02-11</v>
      </c>
      <c r="F288" s="13" t="str">
        <f>VLOOKUP($A288,'[2]AHM-Q01-251105-2511051358'!$E$2:$H$376,4,FALSE)</f>
        <v>11/02/2025</v>
      </c>
      <c r="G288" s="15">
        <f t="shared" si="20"/>
        <v>0</v>
      </c>
      <c r="H288" s="24">
        <f t="shared" si="21"/>
        <v>0</v>
      </c>
      <c r="I288" s="13">
        <f t="shared" si="22"/>
        <v>0</v>
      </c>
      <c r="J288" s="17" t="s">
        <v>121</v>
      </c>
      <c r="K288" s="9" t="str">
        <f>VLOOKUP($A288,[1]Sheet2!$I$2:$O$544,6,FALSE)</f>
        <v>2025-10-10</v>
      </c>
      <c r="L288" s="17" t="s">
        <v>770</v>
      </c>
      <c r="M288" s="9">
        <f>VLOOKUP($A288,[1]Sheet2!$I$2:$O$544,4,FALSE)</f>
        <v>5323</v>
      </c>
      <c r="N288" s="10">
        <f t="shared" si="23"/>
        <v>0</v>
      </c>
      <c r="O288" s="10">
        <f t="shared" si="24"/>
        <v>0</v>
      </c>
    </row>
    <row r="289" spans="1:15" x14ac:dyDescent="0.2">
      <c r="A289" s="3" t="s">
        <v>771</v>
      </c>
      <c r="B289" s="17" t="s">
        <v>33</v>
      </c>
      <c r="C289" s="9" t="str">
        <f>VLOOKUP($A289,[1]Sheet2!$I$2:$O$544,3,FALSE)</f>
        <v>KPB3</v>
      </c>
      <c r="D289" s="2" t="s">
        <v>474</v>
      </c>
      <c r="E289" s="15" t="str">
        <f>VLOOKUP($A289,[1]Sheet2!$I$2:$O$544,5,FALSE)</f>
        <v>2025-02-11</v>
      </c>
      <c r="F289" s="13" t="str">
        <f>VLOOKUP($A289,'[2]AHM-Q01-251105-2511051358'!$E$2:$H$376,4,FALSE)</f>
        <v>11/02/2025</v>
      </c>
      <c r="G289" s="15">
        <f t="shared" si="20"/>
        <v>0</v>
      </c>
      <c r="H289" s="24">
        <f t="shared" si="21"/>
        <v>0</v>
      </c>
      <c r="I289" s="13">
        <f t="shared" si="22"/>
        <v>0</v>
      </c>
      <c r="J289" s="17" t="s">
        <v>121</v>
      </c>
      <c r="K289" s="9" t="str">
        <f>VLOOKUP($A289,[1]Sheet2!$I$2:$O$544,6,FALSE)</f>
        <v>2025-10-10</v>
      </c>
      <c r="L289" s="17" t="s">
        <v>772</v>
      </c>
      <c r="M289" s="9">
        <f>VLOOKUP($A289,[1]Sheet2!$I$2:$O$544,4,FALSE)</f>
        <v>5486</v>
      </c>
      <c r="N289" s="10">
        <f t="shared" si="23"/>
        <v>0</v>
      </c>
      <c r="O289" s="10">
        <f t="shared" si="24"/>
        <v>0</v>
      </c>
    </row>
    <row r="290" spans="1:15" x14ac:dyDescent="0.2">
      <c r="A290" s="3" t="s">
        <v>773</v>
      </c>
      <c r="B290" s="17" t="s">
        <v>33</v>
      </c>
      <c r="C290" s="9" t="str">
        <f>VLOOKUP($A290,[1]Sheet2!$I$2:$O$544,3,FALSE)</f>
        <v>KPB3</v>
      </c>
      <c r="D290" s="2" t="s">
        <v>774</v>
      </c>
      <c r="E290" s="15" t="str">
        <f>VLOOKUP($A290,[1]Sheet2!$I$2:$O$544,5,FALSE)</f>
        <v>2025-02-13</v>
      </c>
      <c r="F290" s="13" t="str">
        <f>VLOOKUP($A290,'[2]AHM-Q01-251105-2511051358'!$E$2:$H$376,4,FALSE)</f>
        <v>13/02/2025</v>
      </c>
      <c r="G290" s="15">
        <f t="shared" si="20"/>
        <v>0</v>
      </c>
      <c r="H290" s="24">
        <f t="shared" si="21"/>
        <v>0</v>
      </c>
      <c r="I290" s="13">
        <f t="shared" si="22"/>
        <v>0</v>
      </c>
      <c r="J290" s="17" t="s">
        <v>128</v>
      </c>
      <c r="K290" s="9" t="str">
        <f>VLOOKUP($A290,[1]Sheet2!$I$2:$O$544,6,FALSE)</f>
        <v>2025-10-11</v>
      </c>
      <c r="L290" s="17" t="s">
        <v>775</v>
      </c>
      <c r="M290" s="9">
        <f>VLOOKUP($A290,[1]Sheet2!$I$2:$O$544,4,FALSE)</f>
        <v>6207</v>
      </c>
      <c r="N290" s="10">
        <f t="shared" si="23"/>
        <v>0</v>
      </c>
      <c r="O290" s="10">
        <f t="shared" si="24"/>
        <v>0</v>
      </c>
    </row>
    <row r="291" spans="1:15" x14ac:dyDescent="0.2">
      <c r="A291" s="3" t="s">
        <v>776</v>
      </c>
      <c r="B291" s="17" t="s">
        <v>33</v>
      </c>
      <c r="C291" s="9" t="str">
        <f>VLOOKUP($A291,[1]Sheet2!$I$2:$O$544,3,FALSE)</f>
        <v>KPB3</v>
      </c>
      <c r="D291" s="2" t="s">
        <v>777</v>
      </c>
      <c r="E291" s="15" t="str">
        <f>VLOOKUP($A291,[1]Sheet2!$I$2:$O$544,5,FALSE)</f>
        <v>2025-02-15</v>
      </c>
      <c r="F291" s="13" t="str">
        <f>VLOOKUP($A291,'[2]AHM-Q01-251105-2511051358'!$E$2:$H$376,4,FALSE)</f>
        <v>15/02/2025</v>
      </c>
      <c r="G291" s="15">
        <f t="shared" si="20"/>
        <v>-1</v>
      </c>
      <c r="H291" s="24">
        <f t="shared" si="21"/>
        <v>-1</v>
      </c>
      <c r="I291" s="13">
        <f t="shared" si="22"/>
        <v>0</v>
      </c>
      <c r="J291" s="17" t="s">
        <v>131</v>
      </c>
      <c r="K291" s="9" t="str">
        <f>VLOOKUP($A291,[1]Sheet2!$I$2:$O$544,6,FALSE)</f>
        <v>2025-10-13</v>
      </c>
      <c r="L291" s="17" t="s">
        <v>778</v>
      </c>
      <c r="M291" s="9">
        <f>VLOOKUP($A291,[1]Sheet2!$I$2:$O$544,4,FALSE)</f>
        <v>6001</v>
      </c>
      <c r="N291" s="10">
        <f t="shared" si="23"/>
        <v>0</v>
      </c>
      <c r="O291" s="10">
        <f t="shared" si="24"/>
        <v>0</v>
      </c>
    </row>
    <row r="292" spans="1:15" x14ac:dyDescent="0.2">
      <c r="A292" s="3" t="s">
        <v>779</v>
      </c>
      <c r="B292" s="17" t="s">
        <v>33</v>
      </c>
      <c r="C292" s="9" t="str">
        <f>VLOOKUP($A292,[1]Sheet2!$I$2:$O$544,3,FALSE)</f>
        <v>KPB3</v>
      </c>
      <c r="D292" s="2" t="s">
        <v>777</v>
      </c>
      <c r="E292" s="15" t="str">
        <f>VLOOKUP($A292,[1]Sheet2!$I$2:$O$544,5,FALSE)</f>
        <v>2025-02-15</v>
      </c>
      <c r="F292" s="13" t="str">
        <f>VLOOKUP($A292,'[2]AHM-Q01-251105-2511051358'!$E$2:$H$376,4,FALSE)</f>
        <v>15/02/2025</v>
      </c>
      <c r="G292" s="15">
        <f t="shared" si="20"/>
        <v>-1</v>
      </c>
      <c r="H292" s="24">
        <f t="shared" si="21"/>
        <v>-1</v>
      </c>
      <c r="I292" s="13">
        <f t="shared" si="22"/>
        <v>0</v>
      </c>
      <c r="J292" s="17" t="s">
        <v>131</v>
      </c>
      <c r="K292" s="9" t="str">
        <f>VLOOKUP($A292,[1]Sheet2!$I$2:$O$544,6,FALSE)</f>
        <v>2025-10-13</v>
      </c>
      <c r="L292" s="17" t="s">
        <v>780</v>
      </c>
      <c r="M292" s="9">
        <f>VLOOKUP($A292,[1]Sheet2!$I$2:$O$544,4,FALSE)</f>
        <v>4889</v>
      </c>
      <c r="N292" s="10">
        <f t="shared" si="23"/>
        <v>0</v>
      </c>
      <c r="O292" s="10">
        <f t="shared" si="24"/>
        <v>0</v>
      </c>
    </row>
    <row r="293" spans="1:15" x14ac:dyDescent="0.2">
      <c r="A293" s="3" t="s">
        <v>781</v>
      </c>
      <c r="B293" s="17" t="s">
        <v>33</v>
      </c>
      <c r="C293" s="9" t="str">
        <f>VLOOKUP($A293,[1]Sheet2!$I$2:$O$544,3,FALSE)</f>
        <v>KPB3</v>
      </c>
      <c r="D293" s="2" t="s">
        <v>234</v>
      </c>
      <c r="E293" s="15" t="str">
        <f>VLOOKUP($A293,[1]Sheet2!$I$2:$O$544,5,FALSE)</f>
        <v>2025-02-15</v>
      </c>
      <c r="F293" s="13" t="str">
        <f>VLOOKUP($A293,'[2]AHM-Q01-251105-2511051358'!$E$2:$H$376,4,FALSE)</f>
        <v>15/02/2025</v>
      </c>
      <c r="G293" s="15">
        <f t="shared" si="20"/>
        <v>0</v>
      </c>
      <c r="H293" s="24">
        <f t="shared" si="21"/>
        <v>0</v>
      </c>
      <c r="I293" s="13">
        <f t="shared" si="22"/>
        <v>0</v>
      </c>
      <c r="J293" s="17" t="s">
        <v>138</v>
      </c>
      <c r="K293" s="9" t="str">
        <f>VLOOKUP($A293,[1]Sheet2!$I$2:$O$544,6,FALSE)</f>
        <v>2025-10-14</v>
      </c>
      <c r="L293" s="17" t="s">
        <v>754</v>
      </c>
      <c r="M293" s="9">
        <f>VLOOKUP($A293,[1]Sheet2!$I$2:$O$544,4,FALSE)</f>
        <v>7450</v>
      </c>
      <c r="N293" s="10">
        <f t="shared" si="23"/>
        <v>0</v>
      </c>
      <c r="O293" s="10">
        <f t="shared" si="24"/>
        <v>0</v>
      </c>
    </row>
    <row r="294" spans="1:15" x14ac:dyDescent="0.2">
      <c r="A294" s="3" t="s">
        <v>782</v>
      </c>
      <c r="B294" s="17" t="s">
        <v>33</v>
      </c>
      <c r="C294" s="9" t="str">
        <f>VLOOKUP($A294,[1]Sheet2!$I$2:$O$544,3,FALSE)</f>
        <v>KPB3</v>
      </c>
      <c r="D294" s="2" t="s">
        <v>774</v>
      </c>
      <c r="E294" s="15" t="str">
        <f>VLOOKUP($A294,[1]Sheet2!$I$2:$O$544,5,FALSE)</f>
        <v>2025-02-13</v>
      </c>
      <c r="F294" s="13" t="str">
        <f>VLOOKUP($A294,'[2]AHM-Q01-251105-2511051358'!$E$2:$H$376,4,FALSE)</f>
        <v>13/02/2025</v>
      </c>
      <c r="G294" s="15">
        <f t="shared" si="20"/>
        <v>0</v>
      </c>
      <c r="H294" s="24">
        <f t="shared" si="21"/>
        <v>0</v>
      </c>
      <c r="I294" s="13">
        <f t="shared" si="22"/>
        <v>0</v>
      </c>
      <c r="J294" s="17" t="s">
        <v>141</v>
      </c>
      <c r="K294" s="9" t="str">
        <f>VLOOKUP($A294,[1]Sheet2!$I$2:$O$544,6,FALSE)</f>
        <v>2025-10-15</v>
      </c>
      <c r="L294" s="17" t="s">
        <v>783</v>
      </c>
      <c r="M294" s="9">
        <f>VLOOKUP($A294,[1]Sheet2!$I$2:$O$544,4,FALSE)</f>
        <v>4213</v>
      </c>
      <c r="N294" s="10">
        <f t="shared" si="23"/>
        <v>0</v>
      </c>
      <c r="O294" s="10">
        <f t="shared" si="24"/>
        <v>0</v>
      </c>
    </row>
    <row r="295" spans="1:15" x14ac:dyDescent="0.2">
      <c r="A295" s="3" t="s">
        <v>784</v>
      </c>
      <c r="B295" s="17" t="s">
        <v>33</v>
      </c>
      <c r="C295" s="9" t="str">
        <f>VLOOKUP($A295,[1]Sheet2!$I$2:$O$544,3,FALSE)</f>
        <v>KPB3</v>
      </c>
      <c r="D295" s="2" t="s">
        <v>237</v>
      </c>
      <c r="E295" s="15" t="str">
        <f>VLOOKUP($A295,[1]Sheet2!$I$2:$O$544,5,FALSE)</f>
        <v>2025-02-17</v>
      </c>
      <c r="F295" s="13" t="str">
        <f>VLOOKUP($A295,'[2]AHM-Q01-251105-2511051358'!$E$2:$H$376,4,FALSE)</f>
        <v>17/02/2025</v>
      </c>
      <c r="G295" s="15">
        <f t="shared" si="20"/>
        <v>0</v>
      </c>
      <c r="H295" s="24">
        <f t="shared" si="21"/>
        <v>0</v>
      </c>
      <c r="I295" s="13">
        <f t="shared" si="22"/>
        <v>0</v>
      </c>
      <c r="J295" s="17" t="s">
        <v>141</v>
      </c>
      <c r="K295" s="9" t="str">
        <f>VLOOKUP($A295,[1]Sheet2!$I$2:$O$544,6,FALSE)</f>
        <v>2025-10-15</v>
      </c>
      <c r="L295" s="17" t="s">
        <v>785</v>
      </c>
      <c r="M295" s="9">
        <f>VLOOKUP($A295,[1]Sheet2!$I$2:$O$544,4,FALSE)</f>
        <v>5959</v>
      </c>
      <c r="N295" s="10">
        <f t="shared" si="23"/>
        <v>0</v>
      </c>
      <c r="O295" s="10">
        <f t="shared" si="24"/>
        <v>0</v>
      </c>
    </row>
    <row r="296" spans="1:15" x14ac:dyDescent="0.2">
      <c r="A296" s="3" t="s">
        <v>786</v>
      </c>
      <c r="B296" s="17" t="s">
        <v>33</v>
      </c>
      <c r="C296" s="9" t="str">
        <f>VLOOKUP($A296,[1]Sheet2!$I$2:$O$544,3,FALSE)</f>
        <v>KPB3</v>
      </c>
      <c r="D296" s="2" t="s">
        <v>237</v>
      </c>
      <c r="E296" s="15" t="str">
        <f>VLOOKUP($A296,[1]Sheet2!$I$2:$O$544,5,FALSE)</f>
        <v>2025-02-17</v>
      </c>
      <c r="F296" s="13" t="str">
        <f>VLOOKUP($A296,'[2]AHM-Q01-251105-2511051358'!$E$2:$H$376,4,FALSE)</f>
        <v>17/02/2025</v>
      </c>
      <c r="G296" s="15">
        <f t="shared" si="20"/>
        <v>0</v>
      </c>
      <c r="H296" s="24">
        <f t="shared" si="21"/>
        <v>0</v>
      </c>
      <c r="I296" s="13">
        <f t="shared" si="22"/>
        <v>0</v>
      </c>
      <c r="J296" s="17" t="s">
        <v>141</v>
      </c>
      <c r="K296" s="9" t="str">
        <f>VLOOKUP($A296,[1]Sheet2!$I$2:$O$544,6,FALSE)</f>
        <v>2025-10-15</v>
      </c>
      <c r="L296" s="17" t="s">
        <v>787</v>
      </c>
      <c r="M296" s="9">
        <f>VLOOKUP($A296,[1]Sheet2!$I$2:$O$544,4,FALSE)</f>
        <v>6181</v>
      </c>
      <c r="N296" s="10">
        <f t="shared" si="23"/>
        <v>0</v>
      </c>
      <c r="O296" s="10">
        <f t="shared" si="24"/>
        <v>0</v>
      </c>
    </row>
    <row r="297" spans="1:15" x14ac:dyDescent="0.2">
      <c r="A297" s="3" t="s">
        <v>788</v>
      </c>
      <c r="B297" s="17" t="s">
        <v>33</v>
      </c>
      <c r="C297" s="9" t="str">
        <f>VLOOKUP($A297,[1]Sheet2!$I$2:$O$544,3,FALSE)</f>
        <v>KPB3</v>
      </c>
      <c r="D297" s="2" t="s">
        <v>789</v>
      </c>
      <c r="E297" s="15" t="str">
        <f>VLOOKUP($A297,[1]Sheet2!$I$2:$O$544,5,FALSE)</f>
        <v>2025-02-20</v>
      </c>
      <c r="F297" s="13" t="str">
        <f>VLOOKUP($A297,'[2]AHM-Q01-251105-2511051358'!$E$2:$H$376,4,FALSE)</f>
        <v>20/02/2025</v>
      </c>
      <c r="G297" s="15">
        <f t="shared" si="20"/>
        <v>-2</v>
      </c>
      <c r="H297" s="24">
        <f t="shared" si="21"/>
        <v>-2</v>
      </c>
      <c r="I297" s="13">
        <f t="shared" si="22"/>
        <v>0</v>
      </c>
      <c r="J297" s="17" t="s">
        <v>458</v>
      </c>
      <c r="K297" s="9" t="str">
        <f>VLOOKUP($A297,[1]Sheet2!$I$2:$O$544,6,FALSE)</f>
        <v>2025-10-16</v>
      </c>
      <c r="L297" s="17" t="s">
        <v>790</v>
      </c>
      <c r="M297" s="9">
        <f>VLOOKUP($A297,[1]Sheet2!$I$2:$O$544,4,FALSE)</f>
        <v>6183</v>
      </c>
      <c r="N297" s="10">
        <f t="shared" si="23"/>
        <v>0</v>
      </c>
      <c r="O297" s="10">
        <f t="shared" si="24"/>
        <v>0</v>
      </c>
    </row>
    <row r="298" spans="1:15" x14ac:dyDescent="0.2">
      <c r="A298" s="3" t="s">
        <v>791</v>
      </c>
      <c r="B298" s="17" t="s">
        <v>33</v>
      </c>
      <c r="C298" s="9" t="str">
        <f>VLOOKUP($A298,[1]Sheet2!$I$2:$O$544,3,FALSE)</f>
        <v>KPB3</v>
      </c>
      <c r="D298" s="2" t="s">
        <v>789</v>
      </c>
      <c r="E298" s="15" t="str">
        <f>VLOOKUP($A298,[1]Sheet2!$I$2:$O$544,5,FALSE)</f>
        <v>2025-02-18</v>
      </c>
      <c r="F298" s="13" t="str">
        <f>VLOOKUP($A298,'[2]AHM-Q01-251105-2511051358'!$E$2:$H$376,4,FALSE)</f>
        <v>18/02/2025</v>
      </c>
      <c r="G298" s="15">
        <f t="shared" si="20"/>
        <v>0</v>
      </c>
      <c r="H298" s="24">
        <f t="shared" si="21"/>
        <v>0</v>
      </c>
      <c r="I298" s="13">
        <f t="shared" si="22"/>
        <v>0</v>
      </c>
      <c r="J298" s="17" t="s">
        <v>458</v>
      </c>
      <c r="K298" s="9" t="str">
        <f>VLOOKUP($A298,[1]Sheet2!$I$2:$O$544,6,FALSE)</f>
        <v>2025-10-16</v>
      </c>
      <c r="L298" s="17" t="s">
        <v>792</v>
      </c>
      <c r="M298" s="9">
        <f>VLOOKUP($A298,[1]Sheet2!$I$2:$O$544,4,FALSE)</f>
        <v>7345</v>
      </c>
      <c r="N298" s="10">
        <f t="shared" si="23"/>
        <v>0</v>
      </c>
      <c r="O298" s="10">
        <f t="shared" si="24"/>
        <v>0</v>
      </c>
    </row>
    <row r="299" spans="1:15" x14ac:dyDescent="0.2">
      <c r="A299" s="3" t="s">
        <v>793</v>
      </c>
      <c r="B299" s="17" t="s">
        <v>33</v>
      </c>
      <c r="C299" s="9" t="str">
        <f>VLOOKUP($A299,[1]Sheet2!$I$2:$O$544,3,FALSE)</f>
        <v>KPB3</v>
      </c>
      <c r="D299" s="2" t="s">
        <v>377</v>
      </c>
      <c r="E299" s="15" t="str">
        <f>VLOOKUP($A299,[1]Sheet2!$I$2:$O$544,5,FALSE)</f>
        <v>2025-02-23</v>
      </c>
      <c r="F299" s="13" t="str">
        <f>VLOOKUP($A299,'[2]AHM-Q01-251105-2511051358'!$E$2:$H$376,4,FALSE)</f>
        <v>23/02/2025</v>
      </c>
      <c r="G299" s="15">
        <f t="shared" si="20"/>
        <v>-2</v>
      </c>
      <c r="H299" s="24">
        <f t="shared" si="21"/>
        <v>-2</v>
      </c>
      <c r="I299" s="13">
        <f t="shared" si="22"/>
        <v>0</v>
      </c>
      <c r="J299" s="17" t="s">
        <v>154</v>
      </c>
      <c r="K299" s="9" t="str">
        <f>VLOOKUP($A299,[1]Sheet2!$I$2:$O$544,6,FALSE)</f>
        <v>2025-10-18</v>
      </c>
      <c r="L299" s="17" t="s">
        <v>794</v>
      </c>
      <c r="M299" s="9">
        <f>VLOOKUP($A299,[1]Sheet2!$I$2:$O$544,4,FALSE)</f>
        <v>4602</v>
      </c>
      <c r="N299" s="10">
        <f t="shared" si="23"/>
        <v>0</v>
      </c>
      <c r="O299" s="10">
        <f t="shared" si="24"/>
        <v>0</v>
      </c>
    </row>
    <row r="300" spans="1:15" x14ac:dyDescent="0.2">
      <c r="A300" s="3" t="s">
        <v>795</v>
      </c>
      <c r="B300" s="17" t="s">
        <v>33</v>
      </c>
      <c r="C300" s="9" t="str">
        <f>VLOOKUP($A300,[1]Sheet2!$I$2:$O$544,3,FALSE)</f>
        <v>KPB3</v>
      </c>
      <c r="D300" s="2" t="s">
        <v>377</v>
      </c>
      <c r="E300" s="15" t="str">
        <f>VLOOKUP($A300,[1]Sheet2!$I$2:$O$544,5,FALSE)</f>
        <v>2025-02-21</v>
      </c>
      <c r="F300" s="13" t="str">
        <f>VLOOKUP($A300,'[2]AHM-Q01-251105-2511051358'!$E$2:$H$376,4,FALSE)</f>
        <v>21/02/2025</v>
      </c>
      <c r="G300" s="15">
        <f t="shared" si="20"/>
        <v>0</v>
      </c>
      <c r="H300" s="24">
        <f t="shared" si="21"/>
        <v>0</v>
      </c>
      <c r="I300" s="13">
        <f t="shared" si="22"/>
        <v>0</v>
      </c>
      <c r="J300" s="17" t="s">
        <v>154</v>
      </c>
      <c r="K300" s="9" t="str">
        <f>VLOOKUP($A300,[1]Sheet2!$I$2:$O$544,6,FALSE)</f>
        <v>2025-10-18</v>
      </c>
      <c r="L300" s="17" t="s">
        <v>796</v>
      </c>
      <c r="M300" s="9">
        <f>VLOOKUP($A300,[1]Sheet2!$I$2:$O$544,4,FALSE)</f>
        <v>7649</v>
      </c>
      <c r="N300" s="10">
        <f t="shared" si="23"/>
        <v>0</v>
      </c>
      <c r="O300" s="10">
        <f t="shared" si="24"/>
        <v>0</v>
      </c>
    </row>
    <row r="301" spans="1:15" x14ac:dyDescent="0.2">
      <c r="A301" s="3" t="s">
        <v>797</v>
      </c>
      <c r="B301" s="17" t="s">
        <v>33</v>
      </c>
      <c r="C301" s="9" t="str">
        <f>VLOOKUP($A301,[1]Sheet2!$I$2:$O$544,3,FALSE)</f>
        <v>KPB3</v>
      </c>
      <c r="D301" s="2" t="s">
        <v>377</v>
      </c>
      <c r="E301" s="15" t="str">
        <f>VLOOKUP($A301,[1]Sheet2!$I$2:$O$544,5,FALSE)</f>
        <v>2025-02-21</v>
      </c>
      <c r="F301" s="13" t="str">
        <f>VLOOKUP($A301,'[2]AHM-Q01-251105-2511051358'!$E$2:$H$376,4,FALSE)</f>
        <v>21/02/2025</v>
      </c>
      <c r="G301" s="15">
        <f t="shared" si="20"/>
        <v>0</v>
      </c>
      <c r="H301" s="24">
        <f t="shared" si="21"/>
        <v>0</v>
      </c>
      <c r="I301" s="13">
        <f t="shared" si="22"/>
        <v>0</v>
      </c>
      <c r="J301" s="17" t="s">
        <v>154</v>
      </c>
      <c r="K301" s="9" t="str">
        <f>VLOOKUP($A301,[1]Sheet2!$I$2:$O$544,6,FALSE)</f>
        <v>2025-10-18</v>
      </c>
      <c r="L301" s="17" t="s">
        <v>798</v>
      </c>
      <c r="M301" s="9">
        <f>VLOOKUP($A301,[1]Sheet2!$I$2:$O$544,4,FALSE)</f>
        <v>4779</v>
      </c>
      <c r="N301" s="10">
        <f t="shared" si="23"/>
        <v>0</v>
      </c>
      <c r="O301" s="10">
        <f t="shared" si="24"/>
        <v>0</v>
      </c>
    </row>
    <row r="302" spans="1:15" x14ac:dyDescent="0.2">
      <c r="A302" s="3" t="s">
        <v>799</v>
      </c>
      <c r="B302" s="17" t="s">
        <v>33</v>
      </c>
      <c r="C302" s="9" t="str">
        <f>VLOOKUP($A302,[1]Sheet2!$I$2:$O$544,3,FALSE)</f>
        <v>KPB3</v>
      </c>
      <c r="D302" s="2" t="s">
        <v>240</v>
      </c>
      <c r="E302" s="15" t="str">
        <f>VLOOKUP($A302,[1]Sheet2!$I$2:$O$544,5,FALSE)</f>
        <v>2025-02-22</v>
      </c>
      <c r="F302" s="13" t="str">
        <f>VLOOKUP($A302,'[2]AHM-Q01-251105-2511051358'!$E$2:$H$376,4,FALSE)</f>
        <v>22/02/2025</v>
      </c>
      <c r="G302" s="15">
        <f t="shared" si="20"/>
        <v>0</v>
      </c>
      <c r="H302" s="24">
        <f t="shared" si="21"/>
        <v>0</v>
      </c>
      <c r="I302" s="13">
        <f t="shared" si="22"/>
        <v>0</v>
      </c>
      <c r="J302" s="17" t="s">
        <v>216</v>
      </c>
      <c r="K302" s="9" t="str">
        <f>VLOOKUP($A302,[1]Sheet2!$I$2:$O$544,6,FALSE)</f>
        <v>2025-10-20</v>
      </c>
      <c r="L302" s="17" t="s">
        <v>800</v>
      </c>
      <c r="M302" s="9">
        <f>VLOOKUP($A302,[1]Sheet2!$I$2:$O$544,4,FALSE)</f>
        <v>6313</v>
      </c>
      <c r="N302" s="10">
        <f t="shared" si="23"/>
        <v>0</v>
      </c>
      <c r="O302" s="10">
        <f t="shared" si="24"/>
        <v>0</v>
      </c>
    </row>
    <row r="303" spans="1:15" x14ac:dyDescent="0.2">
      <c r="A303" s="3" t="s">
        <v>801</v>
      </c>
      <c r="B303" s="17" t="s">
        <v>33</v>
      </c>
      <c r="C303" s="9" t="str">
        <f>VLOOKUP($A303,[1]Sheet2!$I$2:$O$544,3,FALSE)</f>
        <v>KPB3</v>
      </c>
      <c r="D303" s="2" t="s">
        <v>240</v>
      </c>
      <c r="E303" s="15" t="str">
        <f>VLOOKUP($A303,[1]Sheet2!$I$2:$O$544,5,FALSE)</f>
        <v>2025-02-22</v>
      </c>
      <c r="F303" s="13" t="str">
        <f>VLOOKUP($A303,'[2]AHM-Q01-251105-2511051358'!$E$2:$H$376,4,FALSE)</f>
        <v>22/02/2025</v>
      </c>
      <c r="G303" s="15">
        <f t="shared" si="20"/>
        <v>0</v>
      </c>
      <c r="H303" s="24">
        <f t="shared" si="21"/>
        <v>0</v>
      </c>
      <c r="I303" s="13">
        <f t="shared" si="22"/>
        <v>0</v>
      </c>
      <c r="J303" s="17" t="s">
        <v>216</v>
      </c>
      <c r="K303" s="9" t="str">
        <f>VLOOKUP($A303,[1]Sheet2!$I$2:$O$544,6,FALSE)</f>
        <v>2025-10-20</v>
      </c>
      <c r="L303" s="17" t="s">
        <v>802</v>
      </c>
      <c r="M303" s="9">
        <f>VLOOKUP($A303,[1]Sheet2!$I$2:$O$544,4,FALSE)</f>
        <v>7659</v>
      </c>
      <c r="N303" s="10">
        <f t="shared" si="23"/>
        <v>0</v>
      </c>
      <c r="O303" s="10">
        <f t="shared" si="24"/>
        <v>0</v>
      </c>
    </row>
    <row r="304" spans="1:15" x14ac:dyDescent="0.2">
      <c r="A304" s="3" t="s">
        <v>803</v>
      </c>
      <c r="B304" s="17" t="s">
        <v>33</v>
      </c>
      <c r="C304" s="9" t="str">
        <f>VLOOKUP($A304,[1]Sheet2!$I$2:$O$544,3,FALSE)</f>
        <v>KPB3</v>
      </c>
      <c r="D304" s="2" t="s">
        <v>240</v>
      </c>
      <c r="E304" s="15" t="str">
        <f>VLOOKUP($A304,[1]Sheet2!$I$2:$O$544,5,FALSE)</f>
        <v>2025-02-22</v>
      </c>
      <c r="F304" s="13" t="str">
        <f>VLOOKUP($A304,'[2]AHM-Q01-251105-2511051358'!$E$2:$H$376,4,FALSE)</f>
        <v>22/02/2025</v>
      </c>
      <c r="G304" s="15">
        <f t="shared" si="20"/>
        <v>0</v>
      </c>
      <c r="H304" s="24">
        <f t="shared" si="21"/>
        <v>0</v>
      </c>
      <c r="I304" s="13">
        <f t="shared" si="22"/>
        <v>0</v>
      </c>
      <c r="J304" s="17" t="s">
        <v>216</v>
      </c>
      <c r="K304" s="9" t="str">
        <f>VLOOKUP($A304,[1]Sheet2!$I$2:$O$544,6,FALSE)</f>
        <v>2025-10-20</v>
      </c>
      <c r="L304" s="17" t="s">
        <v>804</v>
      </c>
      <c r="M304" s="9">
        <f>VLOOKUP($A304,[1]Sheet2!$I$2:$O$544,4,FALSE)</f>
        <v>5464</v>
      </c>
      <c r="N304" s="10">
        <f t="shared" si="23"/>
        <v>0</v>
      </c>
      <c r="O304" s="10">
        <f t="shared" si="24"/>
        <v>0</v>
      </c>
    </row>
    <row r="305" spans="1:15" x14ac:dyDescent="0.2">
      <c r="A305" s="3" t="s">
        <v>805</v>
      </c>
      <c r="B305" s="17" t="s">
        <v>33</v>
      </c>
      <c r="C305" s="9" t="str">
        <f>VLOOKUP($A305,[1]Sheet2!$I$2:$O$544,3,FALSE)</f>
        <v>KPB3</v>
      </c>
      <c r="D305" s="2" t="s">
        <v>806</v>
      </c>
      <c r="E305" s="15" t="str">
        <f>VLOOKUP($A305,[1]Sheet2!$I$2:$O$544,5,FALSE)</f>
        <v>2025-02-24</v>
      </c>
      <c r="F305" s="13" t="str">
        <f>VLOOKUP($A305,'[2]AHM-Q01-251105-2511051358'!$E$2:$H$376,4,FALSE)</f>
        <v>24/02/2025</v>
      </c>
      <c r="G305" s="15">
        <f t="shared" si="20"/>
        <v>0</v>
      </c>
      <c r="H305" s="24">
        <f t="shared" si="21"/>
        <v>0</v>
      </c>
      <c r="I305" s="13">
        <f t="shared" si="22"/>
        <v>0</v>
      </c>
      <c r="J305" s="17" t="s">
        <v>216</v>
      </c>
      <c r="K305" s="9" t="str">
        <f>VLOOKUP($A305,[1]Sheet2!$I$2:$O$544,6,FALSE)</f>
        <v>2025-10-20</v>
      </c>
      <c r="L305" s="17" t="s">
        <v>807</v>
      </c>
      <c r="M305" s="9">
        <f>VLOOKUP($A305,[1]Sheet2!$I$2:$O$544,4,FALSE)</f>
        <v>4968</v>
      </c>
      <c r="N305" s="10">
        <f t="shared" si="23"/>
        <v>0</v>
      </c>
      <c r="O305" s="10">
        <f t="shared" si="24"/>
        <v>0</v>
      </c>
    </row>
    <row r="306" spans="1:15" x14ac:dyDescent="0.2">
      <c r="A306" s="3" t="s">
        <v>808</v>
      </c>
      <c r="B306" s="17" t="s">
        <v>33</v>
      </c>
      <c r="C306" s="9" t="str">
        <f>VLOOKUP($A306,[1]Sheet2!$I$2:$O$544,3,FALSE)</f>
        <v>KPB3</v>
      </c>
      <c r="D306" s="2" t="s">
        <v>809</v>
      </c>
      <c r="E306" s="15" t="str">
        <f>VLOOKUP($A306,[1]Sheet2!$I$2:$O$544,5,FALSE)</f>
        <v>2025-02-25</v>
      </c>
      <c r="F306" s="13" t="str">
        <f>VLOOKUP($A306,'[2]AHM-Q01-251105-2511051358'!$E$2:$H$376,4,FALSE)</f>
        <v>25/02/2025</v>
      </c>
      <c r="G306" s="15">
        <f t="shared" si="20"/>
        <v>0</v>
      </c>
      <c r="H306" s="24">
        <f t="shared" si="21"/>
        <v>0</v>
      </c>
      <c r="I306" s="13">
        <f t="shared" si="22"/>
        <v>0</v>
      </c>
      <c r="J306" s="17" t="s">
        <v>164</v>
      </c>
      <c r="K306" s="9" t="str">
        <f>VLOOKUP($A306,[1]Sheet2!$I$2:$O$544,6,FALSE)</f>
        <v>2025-10-21</v>
      </c>
      <c r="L306" s="17" t="s">
        <v>810</v>
      </c>
      <c r="M306" s="9">
        <f>VLOOKUP($A306,[1]Sheet2!$I$2:$O$544,4,FALSE)</f>
        <v>4568</v>
      </c>
      <c r="N306" s="10">
        <f t="shared" si="23"/>
        <v>0</v>
      </c>
      <c r="O306" s="10">
        <f t="shared" si="24"/>
        <v>0</v>
      </c>
    </row>
    <row r="307" spans="1:15" x14ac:dyDescent="0.2">
      <c r="A307" s="3" t="s">
        <v>811</v>
      </c>
      <c r="B307" s="17" t="s">
        <v>33</v>
      </c>
      <c r="C307" s="9" t="str">
        <f>VLOOKUP($A307,[1]Sheet2!$I$2:$O$544,3,FALSE)</f>
        <v>KPB3</v>
      </c>
      <c r="D307" s="2" t="s">
        <v>558</v>
      </c>
      <c r="E307" s="15" t="str">
        <f>VLOOKUP($A307,[1]Sheet2!$I$2:$O$544,5,FALSE)</f>
        <v>2025-02-26</v>
      </c>
      <c r="F307" s="13" t="str">
        <f>VLOOKUP($A307,'[2]AHM-Q01-251105-2511051358'!$E$2:$H$376,4,FALSE)</f>
        <v>26/02/2025</v>
      </c>
      <c r="G307" s="15">
        <f t="shared" si="20"/>
        <v>0</v>
      </c>
      <c r="H307" s="24">
        <f t="shared" si="21"/>
        <v>0</v>
      </c>
      <c r="I307" s="13">
        <f t="shared" si="22"/>
        <v>0</v>
      </c>
      <c r="J307" s="17" t="s">
        <v>164</v>
      </c>
      <c r="K307" s="9" t="str">
        <f>VLOOKUP($A307,[1]Sheet2!$I$2:$O$544,6,FALSE)</f>
        <v>2025-10-21</v>
      </c>
      <c r="L307" s="17" t="s">
        <v>812</v>
      </c>
      <c r="M307" s="9">
        <f>VLOOKUP($A307,[1]Sheet2!$I$2:$O$544,4,FALSE)</f>
        <v>4496</v>
      </c>
      <c r="N307" s="10">
        <f t="shared" si="23"/>
        <v>0</v>
      </c>
      <c r="O307" s="10">
        <f t="shared" si="24"/>
        <v>0</v>
      </c>
    </row>
    <row r="308" spans="1:15" x14ac:dyDescent="0.2">
      <c r="A308" s="3" t="s">
        <v>813</v>
      </c>
      <c r="B308" s="17" t="s">
        <v>33</v>
      </c>
      <c r="C308" s="9" t="str">
        <f>VLOOKUP($A308,[1]Sheet2!$I$2:$O$544,3,FALSE)</f>
        <v>KPB3</v>
      </c>
      <c r="D308" s="2" t="s">
        <v>814</v>
      </c>
      <c r="E308" s="15" t="str">
        <f>VLOOKUP($A308,[1]Sheet2!$I$2:$O$544,5,FALSE)</f>
        <v>2025-02-28</v>
      </c>
      <c r="F308" s="13" t="str">
        <f>VLOOKUP($A308,'[2]AHM-Q01-251105-2511051358'!$E$2:$H$376,4,FALSE)</f>
        <v>28/02/2025</v>
      </c>
      <c r="G308" s="15">
        <f t="shared" si="20"/>
        <v>-1</v>
      </c>
      <c r="H308" s="24">
        <f t="shared" si="21"/>
        <v>-1</v>
      </c>
      <c r="I308" s="13">
        <f t="shared" si="22"/>
        <v>0</v>
      </c>
      <c r="J308" s="17" t="s">
        <v>164</v>
      </c>
      <c r="K308" s="9" t="str">
        <f>VLOOKUP($A308,[1]Sheet2!$I$2:$O$544,6,FALSE)</f>
        <v>2025-10-21</v>
      </c>
      <c r="L308" s="17" t="s">
        <v>815</v>
      </c>
      <c r="M308" s="9">
        <f>VLOOKUP($A308,[1]Sheet2!$I$2:$O$544,4,FALSE)</f>
        <v>4115</v>
      </c>
      <c r="N308" s="10">
        <f t="shared" si="23"/>
        <v>0</v>
      </c>
      <c r="O308" s="10">
        <f t="shared" si="24"/>
        <v>0</v>
      </c>
    </row>
    <row r="309" spans="1:15" x14ac:dyDescent="0.2">
      <c r="A309" s="3" t="s">
        <v>816</v>
      </c>
      <c r="B309" s="17" t="s">
        <v>33</v>
      </c>
      <c r="C309" s="9" t="str">
        <f>VLOOKUP($A309,[1]Sheet2!$I$2:$O$544,3,FALSE)</f>
        <v>KPB3</v>
      </c>
      <c r="D309" s="2" t="s">
        <v>814</v>
      </c>
      <c r="E309" s="15" t="str">
        <f>VLOOKUP($A309,[1]Sheet2!$I$2:$O$544,5,FALSE)</f>
        <v>2025-02-27</v>
      </c>
      <c r="F309" s="13" t="str">
        <f>VLOOKUP($A309,'[2]AHM-Q01-251105-2511051358'!$E$2:$H$376,4,FALSE)</f>
        <v>27/02/2025</v>
      </c>
      <c r="G309" s="15">
        <f t="shared" si="20"/>
        <v>0</v>
      </c>
      <c r="H309" s="24">
        <f t="shared" si="21"/>
        <v>0</v>
      </c>
      <c r="I309" s="13">
        <f t="shared" si="22"/>
        <v>0</v>
      </c>
      <c r="J309" s="17" t="s">
        <v>164</v>
      </c>
      <c r="K309" s="9" t="str">
        <f>VLOOKUP($A309,[1]Sheet2!$I$2:$O$544,6,FALSE)</f>
        <v>2025-10-21</v>
      </c>
      <c r="L309" s="17" t="s">
        <v>817</v>
      </c>
      <c r="M309" s="9">
        <f>VLOOKUP($A309,[1]Sheet2!$I$2:$O$544,4,FALSE)</f>
        <v>5245</v>
      </c>
      <c r="N309" s="10">
        <f t="shared" si="23"/>
        <v>0</v>
      </c>
      <c r="O309" s="10">
        <f t="shared" si="24"/>
        <v>0</v>
      </c>
    </row>
    <row r="310" spans="1:15" x14ac:dyDescent="0.2">
      <c r="A310" s="3" t="s">
        <v>818</v>
      </c>
      <c r="B310" s="17" t="s">
        <v>33</v>
      </c>
      <c r="C310" s="9" t="str">
        <f>VLOOKUP($A310,[1]Sheet2!$I$2:$O$544,3,FALSE)</f>
        <v>KPB3</v>
      </c>
      <c r="D310" s="2" t="s">
        <v>819</v>
      </c>
      <c r="E310" s="15" t="str">
        <f>VLOOKUP($A310,[1]Sheet2!$I$2:$O$544,5,FALSE)</f>
        <v>2025-03-28</v>
      </c>
      <c r="F310" s="13" t="str">
        <f>VLOOKUP($A310,'[2]AHM-Q01-251105-2511051358'!$E$2:$H$376,4,FALSE)</f>
        <v>28/03/2025</v>
      </c>
      <c r="G310" s="15">
        <f t="shared" si="20"/>
        <v>0</v>
      </c>
      <c r="H310" s="24">
        <f t="shared" si="21"/>
        <v>0</v>
      </c>
      <c r="I310" s="13">
        <f t="shared" si="22"/>
        <v>0</v>
      </c>
      <c r="J310" s="17" t="s">
        <v>164</v>
      </c>
      <c r="K310" s="9" t="str">
        <f>VLOOKUP($A310,[1]Sheet2!$I$2:$O$544,6,FALSE)</f>
        <v>2025-10-21</v>
      </c>
      <c r="L310" s="17" t="s">
        <v>820</v>
      </c>
      <c r="M310" s="9">
        <f>VLOOKUP($A310,[1]Sheet2!$I$2:$O$544,4,FALSE)</f>
        <v>5579</v>
      </c>
      <c r="N310" s="10">
        <f t="shared" si="23"/>
        <v>0</v>
      </c>
      <c r="O310" s="10">
        <f t="shared" si="24"/>
        <v>0</v>
      </c>
    </row>
    <row r="311" spans="1:15" x14ac:dyDescent="0.2">
      <c r="A311" s="3" t="s">
        <v>821</v>
      </c>
      <c r="B311" s="17" t="s">
        <v>33</v>
      </c>
      <c r="C311" s="9" t="str">
        <f>VLOOKUP($A311,[1]Sheet2!$I$2:$O$544,3,FALSE)</f>
        <v>KPB3</v>
      </c>
      <c r="D311" s="2" t="s">
        <v>822</v>
      </c>
      <c r="E311" s="15" t="str">
        <f>VLOOKUP($A311,[1]Sheet2!$I$2:$O$544,5,FALSE)</f>
        <v>2025-02-28</v>
      </c>
      <c r="F311" s="13" t="str">
        <f>VLOOKUP($A311,'[2]AHM-Q01-251105-2511051358'!$E$2:$H$376,4,FALSE)</f>
        <v>28/02/2025</v>
      </c>
      <c r="G311" s="15">
        <f t="shared" si="20"/>
        <v>0</v>
      </c>
      <c r="H311" s="24">
        <f t="shared" si="21"/>
        <v>0</v>
      </c>
      <c r="I311" s="13">
        <f t="shared" si="22"/>
        <v>0</v>
      </c>
      <c r="J311" s="17" t="s">
        <v>823</v>
      </c>
      <c r="K311" s="9" t="str">
        <f>VLOOKUP($A311,[1]Sheet2!$I$2:$O$544,6,FALSE)</f>
        <v>2025-10-29</v>
      </c>
      <c r="L311" s="17" t="s">
        <v>824</v>
      </c>
      <c r="M311" s="9">
        <f>VLOOKUP($A311,[1]Sheet2!$I$2:$O$544,4,FALSE)</f>
        <v>5512</v>
      </c>
      <c r="N311" s="10">
        <f t="shared" si="23"/>
        <v>0</v>
      </c>
      <c r="O311" s="10">
        <f t="shared" si="24"/>
        <v>0</v>
      </c>
    </row>
    <row r="312" spans="1:15" x14ac:dyDescent="0.2">
      <c r="A312" s="3" t="s">
        <v>825</v>
      </c>
      <c r="B312" s="17" t="s">
        <v>38</v>
      </c>
      <c r="C312" s="9" t="str">
        <f>VLOOKUP($A312,[1]Sheet2!$I$2:$O$544,3,FALSE)</f>
        <v>KPB4</v>
      </c>
      <c r="D312" s="2" t="s">
        <v>253</v>
      </c>
      <c r="E312" s="15" t="str">
        <f>VLOOKUP($A312,[1]Sheet2!$I$2:$O$544,5,FALSE)</f>
        <v>2024-10-12</v>
      </c>
      <c r="F312" s="13" t="str">
        <f>VLOOKUP($A312,'[2]AHM-Q01-251105-2511051358'!$E$2:$H$376,4,FALSE)</f>
        <v>12/10/2024</v>
      </c>
      <c r="G312" s="15">
        <f t="shared" si="20"/>
        <v>0</v>
      </c>
      <c r="H312" s="24">
        <f t="shared" si="21"/>
        <v>0</v>
      </c>
      <c r="I312" s="13">
        <f t="shared" si="22"/>
        <v>0</v>
      </c>
      <c r="J312" s="17" t="s">
        <v>179</v>
      </c>
      <c r="K312" s="9" t="str">
        <f>VLOOKUP($A312,[1]Sheet2!$I$2:$O$544,6,FALSE)</f>
        <v>2025-10-04</v>
      </c>
      <c r="L312" s="17" t="s">
        <v>826</v>
      </c>
      <c r="M312" s="9">
        <f>VLOOKUP($A312,[1]Sheet2!$I$2:$O$544,4,FALSE)</f>
        <v>9027</v>
      </c>
      <c r="N312" s="10">
        <f t="shared" si="23"/>
        <v>0</v>
      </c>
      <c r="O312" s="10">
        <f t="shared" si="24"/>
        <v>0</v>
      </c>
    </row>
    <row r="313" spans="1:15" x14ac:dyDescent="0.2">
      <c r="A313" s="3" t="s">
        <v>827</v>
      </c>
      <c r="B313" s="17" t="s">
        <v>38</v>
      </c>
      <c r="C313" s="9" t="str">
        <f>VLOOKUP($A313,[1]Sheet2!$I$2:$O$544,3,FALSE)</f>
        <v>KPB4</v>
      </c>
      <c r="D313" s="2" t="s">
        <v>382</v>
      </c>
      <c r="E313" s="15" t="str">
        <f>VLOOKUP($A313,[1]Sheet2!$I$2:$O$544,5,FALSE)</f>
        <v>2024-10-13</v>
      </c>
      <c r="F313" s="13" t="str">
        <f>VLOOKUP($A313,'[2]AHM-Q01-251105-2511051358'!$E$2:$H$376,4,FALSE)</f>
        <v>13/10/2024</v>
      </c>
      <c r="G313" s="15">
        <f t="shared" si="20"/>
        <v>-3</v>
      </c>
      <c r="H313" s="24">
        <f t="shared" si="21"/>
        <v>-3</v>
      </c>
      <c r="I313" s="13">
        <f t="shared" si="22"/>
        <v>0</v>
      </c>
      <c r="J313" s="17" t="s">
        <v>117</v>
      </c>
      <c r="K313" s="9" t="str">
        <f>VLOOKUP($A313,[1]Sheet2!$I$2:$O$544,6,FALSE)</f>
        <v>2025-10-09</v>
      </c>
      <c r="L313" s="17" t="s">
        <v>828</v>
      </c>
      <c r="M313" s="9">
        <f>VLOOKUP($A313,[1]Sheet2!$I$2:$O$544,4,FALSE)</f>
        <v>9070</v>
      </c>
      <c r="N313" s="10">
        <f t="shared" si="23"/>
        <v>0</v>
      </c>
      <c r="O313" s="10">
        <f t="shared" si="24"/>
        <v>0</v>
      </c>
    </row>
    <row r="314" spans="1:15" x14ac:dyDescent="0.2">
      <c r="A314" s="3" t="s">
        <v>829</v>
      </c>
      <c r="B314" s="17" t="s">
        <v>38</v>
      </c>
      <c r="C314" s="9" t="str">
        <f>VLOOKUP($A314,[1]Sheet2!$I$2:$O$544,3,FALSE)</f>
        <v>KPB4</v>
      </c>
      <c r="D314" s="2" t="s">
        <v>253</v>
      </c>
      <c r="E314" s="15" t="str">
        <f>VLOOKUP($A314,[1]Sheet2!$I$2:$O$544,5,FALSE)</f>
        <v>2024-10-13</v>
      </c>
      <c r="F314" s="13" t="str">
        <f>VLOOKUP($A314,'[2]AHM-Q01-251105-2511051358'!$E$2:$H$376,4,FALSE)</f>
        <v>13/10/2024</v>
      </c>
      <c r="G314" s="15">
        <f t="shared" si="20"/>
        <v>-1</v>
      </c>
      <c r="H314" s="24">
        <f t="shared" si="21"/>
        <v>-1</v>
      </c>
      <c r="I314" s="13">
        <f t="shared" si="22"/>
        <v>0</v>
      </c>
      <c r="J314" s="17" t="s">
        <v>128</v>
      </c>
      <c r="K314" s="9" t="str">
        <f>VLOOKUP($A314,[1]Sheet2!$I$2:$O$544,6,FALSE)</f>
        <v>2025-10-11</v>
      </c>
      <c r="L314" s="17" t="s">
        <v>830</v>
      </c>
      <c r="M314" s="9">
        <f>VLOOKUP($A314,[1]Sheet2!$I$2:$O$544,4,FALSE)</f>
        <v>10479</v>
      </c>
      <c r="N314" s="10">
        <f t="shared" si="23"/>
        <v>0</v>
      </c>
      <c r="O314" s="10">
        <f t="shared" si="24"/>
        <v>0</v>
      </c>
    </row>
    <row r="315" spans="1:15" x14ac:dyDescent="0.2">
      <c r="A315" s="3" t="s">
        <v>831</v>
      </c>
      <c r="B315" s="17" t="s">
        <v>38</v>
      </c>
      <c r="C315" s="9" t="str">
        <f>VLOOKUP($A315,[1]Sheet2!$I$2:$O$544,3,FALSE)</f>
        <v>KPB4</v>
      </c>
      <c r="D315" s="2" t="s">
        <v>259</v>
      </c>
      <c r="E315" s="15" t="str">
        <f>VLOOKUP($A315,[1]Sheet2!$I$2:$O$544,5,FALSE)</f>
        <v>2024-10-17</v>
      </c>
      <c r="F315" s="13" t="str">
        <f>VLOOKUP($A315,'[2]AHM-Q01-251105-2511051358'!$E$2:$H$376,4,FALSE)</f>
        <v>17/10/2024</v>
      </c>
      <c r="G315" s="15">
        <f t="shared" si="20"/>
        <v>0</v>
      </c>
      <c r="H315" s="24">
        <f t="shared" si="21"/>
        <v>0</v>
      </c>
      <c r="I315" s="13">
        <f t="shared" si="22"/>
        <v>0</v>
      </c>
      <c r="J315" s="17" t="s">
        <v>141</v>
      </c>
      <c r="K315" s="9" t="str">
        <f>VLOOKUP($A315,[1]Sheet2!$I$2:$O$544,6,FALSE)</f>
        <v>2025-10-15</v>
      </c>
      <c r="L315" s="17" t="s">
        <v>832</v>
      </c>
      <c r="M315" s="9">
        <f>VLOOKUP($A315,[1]Sheet2!$I$2:$O$544,4,FALSE)</f>
        <v>8500</v>
      </c>
      <c r="N315" s="10">
        <f t="shared" si="23"/>
        <v>0</v>
      </c>
      <c r="O315" s="10">
        <f t="shared" si="24"/>
        <v>0</v>
      </c>
    </row>
    <row r="316" spans="1:15" x14ac:dyDescent="0.2">
      <c r="A316" s="3" t="s">
        <v>833</v>
      </c>
      <c r="B316" s="17" t="s">
        <v>38</v>
      </c>
      <c r="C316" s="9" t="str">
        <f>VLOOKUP($A316,[1]Sheet2!$I$2:$O$544,3,FALSE)</f>
        <v>KPB4</v>
      </c>
      <c r="D316" s="2" t="s">
        <v>834</v>
      </c>
      <c r="E316" s="15" t="str">
        <f>VLOOKUP($A316,[1]Sheet2!$I$2:$O$544,5,FALSE)</f>
        <v>2024-10-22</v>
      </c>
      <c r="F316" s="13" t="str">
        <f>VLOOKUP($A316,'[2]AHM-Q01-251105-2511051358'!$E$2:$H$376,4,FALSE)</f>
        <v>22/10/2024</v>
      </c>
      <c r="G316" s="15">
        <f t="shared" si="20"/>
        <v>0</v>
      </c>
      <c r="H316" s="24">
        <f t="shared" si="21"/>
        <v>0</v>
      </c>
      <c r="I316" s="13">
        <f t="shared" si="22"/>
        <v>0</v>
      </c>
      <c r="J316" s="17" t="s">
        <v>147</v>
      </c>
      <c r="K316" s="9" t="str">
        <f>VLOOKUP($A316,[1]Sheet2!$I$2:$O$544,6,FALSE)</f>
        <v>2025-10-17</v>
      </c>
      <c r="L316" s="17" t="s">
        <v>835</v>
      </c>
      <c r="M316" s="9">
        <f>VLOOKUP($A316,[1]Sheet2!$I$2:$O$544,4,FALSE)</f>
        <v>11896</v>
      </c>
      <c r="N316" s="10">
        <f t="shared" si="23"/>
        <v>0</v>
      </c>
      <c r="O316" s="10">
        <f t="shared" si="24"/>
        <v>0</v>
      </c>
    </row>
    <row r="317" spans="1:15" x14ac:dyDescent="0.2">
      <c r="A317" s="3" t="s">
        <v>848</v>
      </c>
      <c r="B317" s="17" t="s">
        <v>15</v>
      </c>
      <c r="C317" s="9" t="str">
        <f>VLOOKUP($A317,[1]Sheet2!$I$2:$O$544,3,FALSE)</f>
        <v>KPB1</v>
      </c>
      <c r="D317" s="2" t="s">
        <v>120</v>
      </c>
      <c r="E317" s="15" t="str">
        <f>VLOOKUP($A317,[1]Sheet2!$I$2:$O$544,5,FALSE)</f>
        <v>2025-08-11</v>
      </c>
      <c r="F317" s="13" t="str">
        <f>VLOOKUP($A317,'[2]AHM-Q01-251105-2511051358'!$E$2:$H$376,4,FALSE)</f>
        <v>11/08/2025</v>
      </c>
      <c r="G317" s="15">
        <f t="shared" si="20"/>
        <v>0</v>
      </c>
      <c r="H317" s="24">
        <f t="shared" si="21"/>
        <v>0</v>
      </c>
      <c r="I317" s="13">
        <f t="shared" si="22"/>
        <v>0</v>
      </c>
      <c r="J317" s="17" t="s">
        <v>121</v>
      </c>
      <c r="K317" s="9" t="str">
        <f>VLOOKUP($A317,[1]Sheet2!$I$2:$O$544,6,FALSE)</f>
        <v>2025-10-10</v>
      </c>
      <c r="L317" s="17" t="s">
        <v>849</v>
      </c>
      <c r="M317" s="9">
        <f>VLOOKUP($A317,[1]Sheet2!$I$2:$O$544,4,FALSE)</f>
        <v>429</v>
      </c>
      <c r="N317" s="10">
        <f t="shared" si="23"/>
        <v>0</v>
      </c>
      <c r="O317" s="10">
        <f t="shared" si="24"/>
        <v>0</v>
      </c>
    </row>
    <row r="318" spans="1:15" x14ac:dyDescent="0.2">
      <c r="A318" s="3" t="s">
        <v>840</v>
      </c>
      <c r="B318" s="17" t="s">
        <v>15</v>
      </c>
      <c r="C318" s="9" t="str">
        <f>VLOOKUP($A318,[1]Sheet2!$I$2:$O$544,3,FALSE)</f>
        <v>KPB1</v>
      </c>
      <c r="D318" s="2" t="s">
        <v>124</v>
      </c>
      <c r="E318" s="15" t="str">
        <f>VLOOKUP($A318,[1]Sheet2!$I$2:$O$544,5,FALSE)</f>
        <v>2025-08-07</v>
      </c>
      <c r="F318" s="13" t="str">
        <f>VLOOKUP($A318,'[2]AHM-Q01-251105-2511051358'!$E$2:$H$376,4,FALSE)</f>
        <v>07/08/2025</v>
      </c>
      <c r="G318" s="15">
        <f t="shared" si="20"/>
        <v>-5</v>
      </c>
      <c r="H318" s="24">
        <f t="shared" si="21"/>
        <v>-5</v>
      </c>
      <c r="I318" s="13">
        <f t="shared" si="22"/>
        <v>0</v>
      </c>
      <c r="J318" s="17" t="s">
        <v>179</v>
      </c>
      <c r="K318" s="9" t="str">
        <f>VLOOKUP($A318,[1]Sheet2!$I$2:$O$544,6,FALSE)</f>
        <v>2025-10-04</v>
      </c>
      <c r="L318" s="17" t="s">
        <v>841</v>
      </c>
      <c r="M318" s="9">
        <f>VLOOKUP($A318,[1]Sheet2!$I$2:$O$544,4,FALSE)</f>
        <v>529</v>
      </c>
      <c r="N318" s="10">
        <f t="shared" si="23"/>
        <v>0</v>
      </c>
      <c r="O318" s="10">
        <f t="shared" si="24"/>
        <v>0</v>
      </c>
    </row>
    <row r="319" spans="1:15" x14ac:dyDescent="0.2">
      <c r="A319" s="3" t="s">
        <v>509</v>
      </c>
      <c r="B319" s="17" t="s">
        <v>15</v>
      </c>
      <c r="C319" s="9" t="str">
        <f>VLOOKUP($A319,[1]Sheet2!$I$2:$O$544,3,FALSE)</f>
        <v>KPB1</v>
      </c>
      <c r="D319" s="2" t="s">
        <v>280</v>
      </c>
      <c r="E319" s="15" t="str">
        <f>VLOOKUP($A319,[1]Sheet2!$I$2:$O$544,5,FALSE)</f>
        <v>2025-08-14</v>
      </c>
      <c r="F319" s="13" t="str">
        <f>VLOOKUP($A319,'[2]AHM-Q01-251105-2511051358'!$E$2:$H$376,4,FALSE)</f>
        <v>14/08/2025</v>
      </c>
      <c r="G319" s="15">
        <f t="shared" si="20"/>
        <v>-1</v>
      </c>
      <c r="H319" s="24">
        <f t="shared" si="21"/>
        <v>-1</v>
      </c>
      <c r="I319" s="13">
        <f t="shared" si="22"/>
        <v>0</v>
      </c>
      <c r="J319" s="17" t="s">
        <v>128</v>
      </c>
      <c r="K319" s="9" t="str">
        <f>VLOOKUP($A319,[1]Sheet2!$I$2:$O$544,6,FALSE)</f>
        <v>2025-10-11</v>
      </c>
      <c r="L319" s="17" t="s">
        <v>510</v>
      </c>
      <c r="M319" s="9">
        <f>VLOOKUP($A319,[1]Sheet2!$I$2:$O$544,4,FALSE)</f>
        <v>969</v>
      </c>
      <c r="N319" s="10">
        <f t="shared" si="23"/>
        <v>0</v>
      </c>
      <c r="O319" s="10">
        <f t="shared" si="24"/>
        <v>0</v>
      </c>
    </row>
    <row r="320" spans="1:15" x14ac:dyDescent="0.2">
      <c r="A320" s="3" t="s">
        <v>842</v>
      </c>
      <c r="B320" s="17" t="s">
        <v>15</v>
      </c>
      <c r="C320" s="9" t="str">
        <f>VLOOKUP($A320,[1]Sheet2!$I$2:$O$544,3,FALSE)</f>
        <v>KPB1</v>
      </c>
      <c r="D320" s="2" t="s">
        <v>112</v>
      </c>
      <c r="E320" s="15" t="str">
        <f>VLOOKUP($A320,[1]Sheet2!$I$2:$O$544,5,FALSE)</f>
        <v>2025-08-08</v>
      </c>
      <c r="F320" s="13" t="str">
        <f>VLOOKUP($A320,'[2]AHM-Q01-251105-2511051358'!$E$2:$H$376,4,FALSE)</f>
        <v>08/08/2025</v>
      </c>
      <c r="G320" s="15">
        <f t="shared" si="20"/>
        <v>-1</v>
      </c>
      <c r="H320" s="24">
        <f t="shared" si="21"/>
        <v>-1</v>
      </c>
      <c r="I320" s="13">
        <f t="shared" si="22"/>
        <v>0</v>
      </c>
      <c r="J320" s="17" t="s">
        <v>113</v>
      </c>
      <c r="K320" s="9" t="str">
        <f>VLOOKUP($A320,[1]Sheet2!$I$2:$O$544,6,FALSE)</f>
        <v>2025-10-07</v>
      </c>
      <c r="L320" s="17" t="s">
        <v>843</v>
      </c>
      <c r="M320" s="9">
        <f>VLOOKUP($A320,[1]Sheet2!$I$2:$O$544,4,FALSE)</f>
        <v>753</v>
      </c>
      <c r="N320" s="10">
        <f t="shared" si="23"/>
        <v>0</v>
      </c>
      <c r="O320" s="10">
        <f t="shared" si="24"/>
        <v>0</v>
      </c>
    </row>
    <row r="321" spans="1:15" x14ac:dyDescent="0.2">
      <c r="A321" s="3" t="s">
        <v>844</v>
      </c>
      <c r="B321" s="17" t="s">
        <v>15</v>
      </c>
      <c r="C321" s="9" t="str">
        <f>VLOOKUP($A321,[1]Sheet2!$I$2:$O$544,3,FALSE)</f>
        <v>KPB1</v>
      </c>
      <c r="D321" s="2" t="s">
        <v>295</v>
      </c>
      <c r="E321" s="15" t="str">
        <f>VLOOKUP($A321,[1]Sheet2!$I$2:$O$544,5,FALSE)</f>
        <v>2025-08-08</v>
      </c>
      <c r="F321" s="13" t="str">
        <f>VLOOKUP($A321,'[2]AHM-Q01-251105-2511051358'!$E$2:$H$376,4,FALSE)</f>
        <v>08/08/2025</v>
      </c>
      <c r="G321" s="15">
        <f t="shared" si="20"/>
        <v>0</v>
      </c>
      <c r="H321" s="24">
        <f t="shared" si="21"/>
        <v>0</v>
      </c>
      <c r="I321" s="13">
        <f t="shared" si="22"/>
        <v>0</v>
      </c>
      <c r="J321" s="17" t="s">
        <v>113</v>
      </c>
      <c r="K321" s="9" t="str">
        <f>VLOOKUP($A321,[1]Sheet2!$I$2:$O$544,6,FALSE)</f>
        <v>2025-10-07</v>
      </c>
      <c r="L321" s="17" t="s">
        <v>845</v>
      </c>
      <c r="M321" s="9">
        <f>VLOOKUP($A321,[1]Sheet2!$I$2:$O$544,4,FALSE)</f>
        <v>712</v>
      </c>
      <c r="N321" s="10">
        <f t="shared" si="23"/>
        <v>0</v>
      </c>
      <c r="O321" s="10">
        <f t="shared" si="24"/>
        <v>0</v>
      </c>
    </row>
    <row r="322" spans="1:15" x14ac:dyDescent="0.2">
      <c r="A322" s="3" t="s">
        <v>846</v>
      </c>
      <c r="B322" s="17" t="s">
        <v>15</v>
      </c>
      <c r="C322" s="9" t="str">
        <f>VLOOKUP($A322,[1]Sheet2!$I$2:$O$544,3,FALSE)</f>
        <v>KPB1</v>
      </c>
      <c r="D322" s="2" t="s">
        <v>116</v>
      </c>
      <c r="E322" s="15" t="str">
        <f>VLOOKUP($A322,[1]Sheet2!$I$2:$O$544,5,FALSE)</f>
        <v>2025-08-11</v>
      </c>
      <c r="F322" s="13" t="str">
        <f>VLOOKUP($A322,'[2]AHM-Q01-251105-2511051358'!$E$2:$H$376,4,FALSE)</f>
        <v>11/08/2025</v>
      </c>
      <c r="G322" s="15">
        <f t="shared" ref="G322:G362" si="25">D322-E322</f>
        <v>-2</v>
      </c>
      <c r="H322" s="24">
        <f t="shared" ref="H322:H362" si="26">D322-F322</f>
        <v>-2</v>
      </c>
      <c r="I322" s="13">
        <f t="shared" ref="I322:I362" si="27">E322-F322</f>
        <v>0</v>
      </c>
      <c r="J322" s="17" t="s">
        <v>250</v>
      </c>
      <c r="K322" s="9" t="str">
        <f>VLOOKUP($A322,[1]Sheet2!$I$2:$O$544,6,FALSE)</f>
        <v>2025-10-08</v>
      </c>
      <c r="L322" s="17" t="s">
        <v>847</v>
      </c>
      <c r="M322" s="9">
        <f>VLOOKUP($A322,[1]Sheet2!$I$2:$O$544,4,FALSE)</f>
        <v>324</v>
      </c>
      <c r="N322" s="10">
        <f t="shared" ref="N322:N362" si="28">K322-J322</f>
        <v>0</v>
      </c>
      <c r="O322" s="10">
        <f t="shared" ref="O322:O362" si="29">M322-L322</f>
        <v>0</v>
      </c>
    </row>
    <row r="323" spans="1:15" x14ac:dyDescent="0.2">
      <c r="A323" s="3" t="s">
        <v>289</v>
      </c>
      <c r="B323" s="17" t="s">
        <v>15</v>
      </c>
      <c r="C323" s="9" t="str">
        <f>VLOOKUP($A323,[1]Sheet2!$I$2:$O$544,3,FALSE)</f>
        <v>KPB1</v>
      </c>
      <c r="D323" s="2" t="s">
        <v>290</v>
      </c>
      <c r="E323" s="15" t="str">
        <f>VLOOKUP($A323,[1]Sheet2!$I$2:$O$544,5,FALSE)</f>
        <v>2025-08-08</v>
      </c>
      <c r="F323" s="13" t="str">
        <f>VLOOKUP($A323,'[2]AHM-Q01-251105-2511051358'!$E$2:$H$376,4,FALSE)</f>
        <v>08/08/2025</v>
      </c>
      <c r="G323" s="15">
        <f t="shared" si="25"/>
        <v>-5</v>
      </c>
      <c r="H323" s="24">
        <f t="shared" si="26"/>
        <v>-5</v>
      </c>
      <c r="I323" s="13">
        <f t="shared" si="27"/>
        <v>0</v>
      </c>
      <c r="J323" s="17" t="s">
        <v>179</v>
      </c>
      <c r="K323" s="9" t="str">
        <f>VLOOKUP($A323,[1]Sheet2!$I$2:$O$544,6,FALSE)</f>
        <v>2025-10-04</v>
      </c>
      <c r="L323" s="17" t="s">
        <v>291</v>
      </c>
      <c r="M323" s="9">
        <f>VLOOKUP($A323,[1]Sheet2!$I$2:$O$544,4,FALSE)</f>
        <v>511</v>
      </c>
      <c r="N323" s="10">
        <f t="shared" si="28"/>
        <v>0</v>
      </c>
      <c r="O323" s="10">
        <f t="shared" si="29"/>
        <v>0</v>
      </c>
    </row>
    <row r="324" spans="1:15" x14ac:dyDescent="0.2">
      <c r="A324" s="3" t="s">
        <v>850</v>
      </c>
      <c r="B324" s="17" t="s">
        <v>15</v>
      </c>
      <c r="C324" s="9" t="str">
        <f>VLOOKUP($A324,[1]Sheet2!$I$2:$O$544,3,FALSE)</f>
        <v>KPB1</v>
      </c>
      <c r="D324" s="2" t="s">
        <v>618</v>
      </c>
      <c r="E324" s="15" t="str">
        <f>VLOOKUP($A324,[1]Sheet2!$I$2:$O$544,5,FALSE)</f>
        <v>2025-08-12</v>
      </c>
      <c r="F324" s="13" t="str">
        <f>VLOOKUP($A324,'[2]AHM-Q01-251105-2511051358'!$E$2:$H$376,4,FALSE)</f>
        <v>12/08/2025</v>
      </c>
      <c r="G324" s="15">
        <f t="shared" si="25"/>
        <v>0</v>
      </c>
      <c r="H324" s="24">
        <f t="shared" si="26"/>
        <v>0</v>
      </c>
      <c r="I324" s="13">
        <f t="shared" si="27"/>
        <v>0</v>
      </c>
      <c r="J324" s="17" t="s">
        <v>121</v>
      </c>
      <c r="K324" s="9" t="str">
        <f>VLOOKUP($A324,[1]Sheet2!$I$2:$O$544,6,FALSE)</f>
        <v>2025-10-10</v>
      </c>
      <c r="L324" s="17" t="s">
        <v>851</v>
      </c>
      <c r="M324" s="9">
        <f>VLOOKUP($A324,[1]Sheet2!$I$2:$O$544,4,FALSE)</f>
        <v>469</v>
      </c>
      <c r="N324" s="10">
        <f t="shared" si="28"/>
        <v>0</v>
      </c>
      <c r="O324" s="10">
        <f t="shared" si="29"/>
        <v>0</v>
      </c>
    </row>
    <row r="325" spans="1:15" x14ac:dyDescent="0.2">
      <c r="A325" s="3" t="s">
        <v>852</v>
      </c>
      <c r="B325" s="17" t="s">
        <v>15</v>
      </c>
      <c r="C325" s="9" t="str">
        <f>VLOOKUP($A325,[1]Sheet2!$I$2:$O$544,3,FALSE)</f>
        <v>KPB1</v>
      </c>
      <c r="D325" s="2" t="s">
        <v>127</v>
      </c>
      <c r="E325" s="15" t="str">
        <f>VLOOKUP($A325,[1]Sheet2!$I$2:$O$544,5,FALSE)</f>
        <v>2025-08-15</v>
      </c>
      <c r="F325" s="13" t="str">
        <f>VLOOKUP($A325,'[2]AHM-Q01-251105-2511051358'!$E$2:$H$376,4,FALSE)</f>
        <v>15/08/2025</v>
      </c>
      <c r="G325" s="15">
        <f t="shared" si="25"/>
        <v>-1</v>
      </c>
      <c r="H325" s="24">
        <f t="shared" si="26"/>
        <v>-1</v>
      </c>
      <c r="I325" s="13">
        <f t="shared" si="27"/>
        <v>0</v>
      </c>
      <c r="J325" s="17" t="s">
        <v>128</v>
      </c>
      <c r="K325" s="9" t="str">
        <f>VLOOKUP($A325,[1]Sheet2!$I$2:$O$544,6,FALSE)</f>
        <v>2025-10-11</v>
      </c>
      <c r="L325" s="17" t="s">
        <v>853</v>
      </c>
      <c r="M325" s="9">
        <f>VLOOKUP($A325,[1]Sheet2!$I$2:$O$544,4,FALSE)</f>
        <v>814</v>
      </c>
      <c r="N325" s="10">
        <f t="shared" si="28"/>
        <v>0</v>
      </c>
      <c r="O325" s="10">
        <f t="shared" si="29"/>
        <v>0</v>
      </c>
    </row>
    <row r="326" spans="1:15" x14ac:dyDescent="0.2">
      <c r="A326" s="3" t="s">
        <v>854</v>
      </c>
      <c r="B326" s="17" t="s">
        <v>15</v>
      </c>
      <c r="C326" s="9" t="str">
        <f>VLOOKUP($A326,[1]Sheet2!$I$2:$O$544,3,FALSE)</f>
        <v>KPB1</v>
      </c>
      <c r="D326" s="2" t="s">
        <v>127</v>
      </c>
      <c r="E326" s="15" t="str">
        <f>VLOOKUP($A326,[1]Sheet2!$I$2:$O$544,5,FALSE)</f>
        <v>2025-08-15</v>
      </c>
      <c r="F326" s="13" t="str">
        <f>VLOOKUP($A326,'[2]AHM-Q01-251105-2511051358'!$E$2:$H$376,4,FALSE)</f>
        <v>15/08/2025</v>
      </c>
      <c r="G326" s="15">
        <f t="shared" si="25"/>
        <v>-1</v>
      </c>
      <c r="H326" s="24">
        <f t="shared" si="26"/>
        <v>-1</v>
      </c>
      <c r="I326" s="13">
        <f t="shared" si="27"/>
        <v>0</v>
      </c>
      <c r="J326" s="17" t="s">
        <v>131</v>
      </c>
      <c r="K326" s="9" t="str">
        <f>VLOOKUP($A326,[1]Sheet2!$I$2:$O$544,6,FALSE)</f>
        <v>2025-10-13</v>
      </c>
      <c r="L326" s="17" t="s">
        <v>855</v>
      </c>
      <c r="M326" s="9">
        <f>VLOOKUP($A326,[1]Sheet2!$I$2:$O$544,4,FALSE)</f>
        <v>709</v>
      </c>
      <c r="N326" s="10">
        <f t="shared" si="28"/>
        <v>0</v>
      </c>
      <c r="O326" s="10">
        <f t="shared" si="29"/>
        <v>0</v>
      </c>
    </row>
    <row r="327" spans="1:15" x14ac:dyDescent="0.2">
      <c r="A327" s="3" t="s">
        <v>856</v>
      </c>
      <c r="B327" s="17" t="s">
        <v>15</v>
      </c>
      <c r="C327" s="9" t="str">
        <f>VLOOKUP($A327,[1]Sheet2!$I$2:$O$544,3,FALSE)</f>
        <v>KPB1</v>
      </c>
      <c r="D327" s="2" t="s">
        <v>337</v>
      </c>
      <c r="E327" s="15" t="str">
        <f>VLOOKUP($A327,[1]Sheet2!$I$2:$O$544,5,FALSE)</f>
        <v>2025-08-16</v>
      </c>
      <c r="F327" s="13" t="str">
        <f>VLOOKUP($A327,'[2]AHM-Q01-251105-2511051358'!$E$2:$H$376,4,FALSE)</f>
        <v>16/08/2025</v>
      </c>
      <c r="G327" s="15">
        <f t="shared" si="25"/>
        <v>0</v>
      </c>
      <c r="H327" s="24">
        <f t="shared" si="26"/>
        <v>0</v>
      </c>
      <c r="I327" s="13">
        <f t="shared" si="27"/>
        <v>0</v>
      </c>
      <c r="J327" s="17" t="s">
        <v>141</v>
      </c>
      <c r="K327" s="9" t="str">
        <f>VLOOKUP($A327,[1]Sheet2!$I$2:$O$544,6,FALSE)</f>
        <v>2025-10-15</v>
      </c>
      <c r="L327" s="17" t="s">
        <v>857</v>
      </c>
      <c r="M327" s="9">
        <f>VLOOKUP($A327,[1]Sheet2!$I$2:$O$544,4,FALSE)</f>
        <v>1089</v>
      </c>
      <c r="N327" s="10">
        <f t="shared" si="28"/>
        <v>0</v>
      </c>
      <c r="O327" s="10">
        <f t="shared" si="29"/>
        <v>0</v>
      </c>
    </row>
    <row r="328" spans="1:15" x14ac:dyDescent="0.2">
      <c r="A328" s="3" t="s">
        <v>858</v>
      </c>
      <c r="B328" s="17" t="s">
        <v>15</v>
      </c>
      <c r="C328" s="9" t="str">
        <f>VLOOKUP($A328,[1]Sheet2!$I$2:$O$544,3,FALSE)</f>
        <v>KPB1</v>
      </c>
      <c r="D328" s="2" t="s">
        <v>163</v>
      </c>
      <c r="E328" s="15" t="str">
        <f>VLOOKUP($A328,[1]Sheet2!$I$2:$O$544,5,FALSE)</f>
        <v>2025-08-25</v>
      </c>
      <c r="F328" s="13" t="str">
        <f>VLOOKUP($A328,'[2]AHM-Q01-251105-2511051358'!$E$2:$H$376,4,FALSE)</f>
        <v>25/08/2025</v>
      </c>
      <c r="G328" s="15">
        <f t="shared" si="25"/>
        <v>0</v>
      </c>
      <c r="H328" s="24">
        <f t="shared" si="26"/>
        <v>0</v>
      </c>
      <c r="I328" s="13">
        <f t="shared" si="27"/>
        <v>0</v>
      </c>
      <c r="J328" s="17" t="s">
        <v>147</v>
      </c>
      <c r="K328" s="9" t="str">
        <f>VLOOKUP($A328,[1]Sheet2!$I$2:$O$544,6,FALSE)</f>
        <v>2025-10-17</v>
      </c>
      <c r="L328" s="17" t="s">
        <v>859</v>
      </c>
      <c r="M328" s="9">
        <f>VLOOKUP($A328,[1]Sheet2!$I$2:$O$544,4,FALSE)</f>
        <v>788</v>
      </c>
      <c r="N328" s="10">
        <f t="shared" si="28"/>
        <v>0</v>
      </c>
      <c r="O328" s="10">
        <f t="shared" si="29"/>
        <v>0</v>
      </c>
    </row>
    <row r="329" spans="1:15" x14ac:dyDescent="0.2">
      <c r="A329" s="3" t="s">
        <v>860</v>
      </c>
      <c r="B329" s="17" t="s">
        <v>15</v>
      </c>
      <c r="C329" s="9" t="str">
        <f>VLOOKUP($A329,[1]Sheet2!$I$2:$O$544,3,FALSE)</f>
        <v>KPB1</v>
      </c>
      <c r="D329" s="2" t="s">
        <v>304</v>
      </c>
      <c r="E329" s="15" t="str">
        <f>VLOOKUP($A329,[1]Sheet2!$I$2:$O$544,5,FALSE)</f>
        <v>2025-08-21</v>
      </c>
      <c r="F329" s="13" t="str">
        <f>VLOOKUP($A329,'[2]AHM-Q01-251105-2511051358'!$E$2:$H$376,4,FALSE)</f>
        <v>21/08/2025</v>
      </c>
      <c r="G329" s="15">
        <f t="shared" si="25"/>
        <v>0</v>
      </c>
      <c r="H329" s="24">
        <f t="shared" si="26"/>
        <v>0</v>
      </c>
      <c r="I329" s="13">
        <f t="shared" si="27"/>
        <v>0</v>
      </c>
      <c r="J329" s="17" t="s">
        <v>154</v>
      </c>
      <c r="K329" s="9" t="str">
        <f>VLOOKUP($A329,[1]Sheet2!$I$2:$O$544,6,FALSE)</f>
        <v>2025-10-18</v>
      </c>
      <c r="L329" s="17" t="s">
        <v>861</v>
      </c>
      <c r="M329" s="9">
        <f>VLOOKUP($A329,[1]Sheet2!$I$2:$O$544,4,FALSE)</f>
        <v>604</v>
      </c>
      <c r="N329" s="10">
        <f t="shared" si="28"/>
        <v>0</v>
      </c>
      <c r="O329" s="10">
        <f t="shared" si="29"/>
        <v>0</v>
      </c>
    </row>
    <row r="330" spans="1:15" x14ac:dyDescent="0.2">
      <c r="A330" s="3" t="s">
        <v>863</v>
      </c>
      <c r="B330" s="17" t="s">
        <v>15</v>
      </c>
      <c r="C330" s="9" t="str">
        <f>VLOOKUP($A330,[1]Sheet2!$I$2:$O$544,3,FALSE)</f>
        <v>KPB1</v>
      </c>
      <c r="D330" s="2" t="s">
        <v>309</v>
      </c>
      <c r="E330" s="15" t="str">
        <f>VLOOKUP($A330,[1]Sheet2!$I$2:$O$544,5,FALSE)</f>
        <v>2025-08-23</v>
      </c>
      <c r="F330" s="13" t="str">
        <f>VLOOKUP($A330,'[2]AHM-Q01-251105-2511051358'!$E$2:$H$376,4,FALSE)</f>
        <v>23/08/2025</v>
      </c>
      <c r="G330" s="15">
        <f t="shared" si="25"/>
        <v>0</v>
      </c>
      <c r="H330" s="24">
        <f t="shared" si="26"/>
        <v>0</v>
      </c>
      <c r="I330" s="13">
        <f t="shared" si="27"/>
        <v>0</v>
      </c>
      <c r="J330" s="17" t="s">
        <v>216</v>
      </c>
      <c r="K330" s="9" t="str">
        <f>VLOOKUP($A330,[1]Sheet2!$I$2:$O$544,6,FALSE)</f>
        <v>2025-10-20</v>
      </c>
      <c r="L330" s="17" t="s">
        <v>864</v>
      </c>
      <c r="M330" s="9">
        <f>VLOOKUP($A330,[1]Sheet2!$I$2:$O$544,4,FALSE)</f>
        <v>670</v>
      </c>
      <c r="N330" s="10">
        <f t="shared" si="28"/>
        <v>0</v>
      </c>
      <c r="O330" s="10">
        <f t="shared" si="29"/>
        <v>0</v>
      </c>
    </row>
    <row r="331" spans="1:15" x14ac:dyDescent="0.2">
      <c r="A331" s="3" t="s">
        <v>865</v>
      </c>
      <c r="B331" s="17" t="s">
        <v>15</v>
      </c>
      <c r="C331" s="9" t="str">
        <f>VLOOKUP($A331,[1]Sheet2!$I$2:$O$544,3,FALSE)</f>
        <v>KPB1</v>
      </c>
      <c r="D331" s="2" t="s">
        <v>153</v>
      </c>
      <c r="E331" s="15" t="str">
        <f>VLOOKUP($A331,[1]Sheet2!$I$2:$O$544,5,FALSE)</f>
        <v>2025-08-26</v>
      </c>
      <c r="F331" s="13" t="str">
        <f>VLOOKUP($A331,'[2]AHM-Q01-251105-2511051358'!$E$2:$H$376,4,FALSE)</f>
        <v>26/08/2025</v>
      </c>
      <c r="G331" s="15">
        <f t="shared" si="25"/>
        <v>0</v>
      </c>
      <c r="H331" s="24">
        <f t="shared" si="26"/>
        <v>0</v>
      </c>
      <c r="I331" s="13">
        <f t="shared" si="27"/>
        <v>0</v>
      </c>
      <c r="J331" s="17" t="s">
        <v>164</v>
      </c>
      <c r="K331" s="9" t="str">
        <f>VLOOKUP($A331,[1]Sheet2!$I$2:$O$544,6,FALSE)</f>
        <v>2025-10-21</v>
      </c>
      <c r="L331" s="17" t="s">
        <v>866</v>
      </c>
      <c r="M331" s="9">
        <f>VLOOKUP($A331,[1]Sheet2!$I$2:$O$544,4,FALSE)</f>
        <v>497</v>
      </c>
      <c r="N331" s="10">
        <f t="shared" si="28"/>
        <v>0</v>
      </c>
      <c r="O331" s="10">
        <f t="shared" si="29"/>
        <v>0</v>
      </c>
    </row>
    <row r="332" spans="1:15" x14ac:dyDescent="0.2">
      <c r="A332" s="3" t="s">
        <v>867</v>
      </c>
      <c r="B332" s="17" t="s">
        <v>27</v>
      </c>
      <c r="C332" s="9" t="str">
        <f>VLOOKUP($A332,[1]Sheet2!$I$2:$O$544,3,FALSE)</f>
        <v>KPB2</v>
      </c>
      <c r="D332" s="2" t="s">
        <v>524</v>
      </c>
      <c r="E332" s="15" t="str">
        <f>VLOOKUP($A332,[1]Sheet2!$I$2:$O$544,5,FALSE)</f>
        <v>1970-01-01</v>
      </c>
      <c r="F332" s="13" t="str">
        <f>VLOOKUP($A332,'[2]AHM-Q01-251105-2511051358'!$E$2:$H$376,4,FALSE)</f>
        <v>06/06/2025</v>
      </c>
      <c r="G332" s="15">
        <f t="shared" si="25"/>
        <v>20244</v>
      </c>
      <c r="H332" s="24">
        <f t="shared" si="26"/>
        <v>-1</v>
      </c>
      <c r="I332" s="13">
        <f t="shared" si="27"/>
        <v>-20245</v>
      </c>
      <c r="J332" s="17" t="s">
        <v>113</v>
      </c>
      <c r="K332" s="9" t="str">
        <f>VLOOKUP($A332,[1]Sheet2!$I$2:$O$544,6,FALSE)</f>
        <v>2025-10-07</v>
      </c>
      <c r="L332" s="17" t="s">
        <v>868</v>
      </c>
      <c r="M332" s="9">
        <f>VLOOKUP($A332,[1]Sheet2!$I$2:$O$544,4,FALSE)</f>
        <v>3249</v>
      </c>
      <c r="N332" s="10">
        <f t="shared" si="28"/>
        <v>0</v>
      </c>
      <c r="O332" s="10">
        <f t="shared" si="29"/>
        <v>0</v>
      </c>
    </row>
    <row r="333" spans="1:15" x14ac:dyDescent="0.2">
      <c r="A333" s="3" t="s">
        <v>869</v>
      </c>
      <c r="B333" s="17" t="s">
        <v>27</v>
      </c>
      <c r="C333" s="9" t="str">
        <f>VLOOKUP($A333,[1]Sheet2!$I$2:$O$544,3,FALSE)</f>
        <v>KPB2</v>
      </c>
      <c r="D333" s="2" t="s">
        <v>193</v>
      </c>
      <c r="E333" s="15" t="str">
        <f>VLOOKUP($A333,[1]Sheet2!$I$2:$O$544,5,FALSE)</f>
        <v>1970-01-01</v>
      </c>
      <c r="F333" s="13" t="str">
        <f>VLOOKUP($A333,'[2]AHM-Q01-251105-2511051358'!$E$2:$H$376,4,FALSE)</f>
        <v>10/06/2025</v>
      </c>
      <c r="G333" s="15">
        <f t="shared" si="25"/>
        <v>20249</v>
      </c>
      <c r="H333" s="24">
        <f t="shared" si="26"/>
        <v>0</v>
      </c>
      <c r="I333" s="13">
        <f t="shared" si="27"/>
        <v>-20249</v>
      </c>
      <c r="J333" s="17" t="s">
        <v>117</v>
      </c>
      <c r="K333" s="9" t="str">
        <f>VLOOKUP($A333,[1]Sheet2!$I$2:$O$544,6,FALSE)</f>
        <v>2025-10-09</v>
      </c>
      <c r="L333" s="17" t="s">
        <v>870</v>
      </c>
      <c r="M333" s="9">
        <f>VLOOKUP($A333,[1]Sheet2!$I$2:$O$544,4,FALSE)</f>
        <v>4358</v>
      </c>
      <c r="N333" s="10">
        <f t="shared" si="28"/>
        <v>0</v>
      </c>
      <c r="O333" s="10">
        <f t="shared" si="29"/>
        <v>0</v>
      </c>
    </row>
    <row r="334" spans="1:15" x14ac:dyDescent="0.2">
      <c r="A334" s="3" t="s">
        <v>871</v>
      </c>
      <c r="B334" s="17" t="s">
        <v>27</v>
      </c>
      <c r="C334" s="9" t="str">
        <f>VLOOKUP($A334,[1]Sheet2!$I$2:$O$544,3,FALSE)</f>
        <v>KPB2</v>
      </c>
      <c r="D334" s="2" t="s">
        <v>198</v>
      </c>
      <c r="E334" s="15" t="str">
        <f>VLOOKUP($A334,[1]Sheet2!$I$2:$O$544,5,FALSE)</f>
        <v>2025-06-13</v>
      </c>
      <c r="F334" s="13" t="str">
        <f>VLOOKUP($A334,'[2]AHM-Q01-251105-2511051358'!$E$2:$H$376,4,FALSE)</f>
        <v>13/06/2025</v>
      </c>
      <c r="G334" s="15">
        <f t="shared" si="25"/>
        <v>0</v>
      </c>
      <c r="H334" s="24">
        <f t="shared" si="26"/>
        <v>0</v>
      </c>
      <c r="I334" s="13">
        <f t="shared" si="27"/>
        <v>0</v>
      </c>
      <c r="J334" s="17" t="s">
        <v>128</v>
      </c>
      <c r="K334" s="9" t="str">
        <f>VLOOKUP($A334,[1]Sheet2!$I$2:$O$544,6,FALSE)</f>
        <v>2025-10-11</v>
      </c>
      <c r="L334" s="17" t="s">
        <v>872</v>
      </c>
      <c r="M334" s="9">
        <f>VLOOKUP($A334,[1]Sheet2!$I$2:$O$544,4,FALSE)</f>
        <v>1170</v>
      </c>
      <c r="N334" s="10">
        <f t="shared" si="28"/>
        <v>0</v>
      </c>
      <c r="O334" s="10">
        <f t="shared" si="29"/>
        <v>0</v>
      </c>
    </row>
    <row r="335" spans="1:15" x14ac:dyDescent="0.2">
      <c r="A335" s="3" t="s">
        <v>873</v>
      </c>
      <c r="B335" s="17" t="s">
        <v>27</v>
      </c>
      <c r="C335" s="9" t="str">
        <f>VLOOKUP($A335,[1]Sheet2!$I$2:$O$544,3,FALSE)</f>
        <v>KPB2</v>
      </c>
      <c r="D335" s="2" t="s">
        <v>365</v>
      </c>
      <c r="E335" s="15" t="str">
        <f>VLOOKUP($A335,[1]Sheet2!$I$2:$O$544,5,FALSE)</f>
        <v>2025-06-17</v>
      </c>
      <c r="F335" s="13" t="str">
        <f>VLOOKUP($A335,'[2]AHM-Q01-251105-2511051358'!$E$2:$H$376,4,FALSE)</f>
        <v>17/06/2025</v>
      </c>
      <c r="G335" s="15">
        <f t="shared" si="25"/>
        <v>-2</v>
      </c>
      <c r="H335" s="24">
        <f t="shared" si="26"/>
        <v>-2</v>
      </c>
      <c r="I335" s="13">
        <f t="shared" si="27"/>
        <v>0</v>
      </c>
      <c r="J335" s="17" t="s">
        <v>141</v>
      </c>
      <c r="K335" s="9" t="str">
        <f>VLOOKUP($A335,[1]Sheet2!$I$2:$O$544,6,FALSE)</f>
        <v>2025-10-15</v>
      </c>
      <c r="L335" s="17" t="s">
        <v>874</v>
      </c>
      <c r="M335" s="9">
        <f>VLOOKUP($A335,[1]Sheet2!$I$2:$O$544,4,FALSE)</f>
        <v>3554</v>
      </c>
      <c r="N335" s="10">
        <f t="shared" si="28"/>
        <v>0</v>
      </c>
      <c r="O335" s="10">
        <f t="shared" si="29"/>
        <v>0</v>
      </c>
    </row>
    <row r="336" spans="1:15" x14ac:dyDescent="0.2">
      <c r="A336" s="3" t="s">
        <v>875</v>
      </c>
      <c r="B336" s="17" t="s">
        <v>27</v>
      </c>
      <c r="C336" s="9" t="str">
        <f>VLOOKUP($A336,[1]Sheet2!$I$2:$O$544,3,FALSE)</f>
        <v>KPB2</v>
      </c>
      <c r="D336" s="2" t="s">
        <v>463</v>
      </c>
      <c r="E336" s="15" t="str">
        <f>VLOOKUP($A336,[1]Sheet2!$I$2:$O$544,5,FALSE)</f>
        <v>2025-06-23</v>
      </c>
      <c r="F336" s="13" t="str">
        <f>VLOOKUP($A336,'[2]AHM-Q01-251105-2511051358'!$E$2:$H$376,4,FALSE)</f>
        <v>23/06/2025</v>
      </c>
      <c r="G336" s="15">
        <f t="shared" si="25"/>
        <v>0</v>
      </c>
      <c r="H336" s="24">
        <f t="shared" si="26"/>
        <v>0</v>
      </c>
      <c r="I336" s="13">
        <f t="shared" si="27"/>
        <v>0</v>
      </c>
      <c r="J336" s="17" t="s">
        <v>216</v>
      </c>
      <c r="K336" s="9" t="str">
        <f>VLOOKUP($A336,[1]Sheet2!$I$2:$O$544,6,FALSE)</f>
        <v>2025-10-20</v>
      </c>
      <c r="L336" s="17" t="s">
        <v>876</v>
      </c>
      <c r="M336" s="9">
        <f>VLOOKUP($A336,[1]Sheet2!$I$2:$O$544,4,FALSE)</f>
        <v>4071</v>
      </c>
      <c r="N336" s="10">
        <f t="shared" si="28"/>
        <v>0</v>
      </c>
      <c r="O336" s="10">
        <f t="shared" si="29"/>
        <v>0</v>
      </c>
    </row>
    <row r="337" spans="1:15" x14ac:dyDescent="0.2">
      <c r="A337" s="3" t="s">
        <v>877</v>
      </c>
      <c r="B337" s="17" t="s">
        <v>27</v>
      </c>
      <c r="C337" s="9" t="str">
        <f>VLOOKUP($A337,[1]Sheet2!$I$2:$O$544,3,FALSE)</f>
        <v>KPB2</v>
      </c>
      <c r="D337" s="2" t="s">
        <v>219</v>
      </c>
      <c r="E337" s="15" t="str">
        <f>VLOOKUP($A337,[1]Sheet2!$I$2:$O$544,5,FALSE)</f>
        <v>2025-06-24</v>
      </c>
      <c r="F337" s="13" t="str">
        <f>VLOOKUP($A337,'[2]AHM-Q01-251105-2511051358'!$E$2:$H$376,4,FALSE)</f>
        <v>24/06/2025</v>
      </c>
      <c r="G337" s="15">
        <f t="shared" si="25"/>
        <v>0</v>
      </c>
      <c r="H337" s="24">
        <f t="shared" si="26"/>
        <v>0</v>
      </c>
      <c r="I337" s="13">
        <f t="shared" si="27"/>
        <v>0</v>
      </c>
      <c r="J337" s="17" t="s">
        <v>164</v>
      </c>
      <c r="K337" s="9" t="str">
        <f>VLOOKUP($A337,[1]Sheet2!$I$2:$O$544,6,FALSE)</f>
        <v>2025-10-21</v>
      </c>
      <c r="L337" s="17" t="s">
        <v>878</v>
      </c>
      <c r="M337" s="9">
        <f>VLOOKUP($A337,[1]Sheet2!$I$2:$O$544,4,FALSE)</f>
        <v>1669</v>
      </c>
      <c r="N337" s="10">
        <f t="shared" si="28"/>
        <v>0</v>
      </c>
      <c r="O337" s="10">
        <f t="shared" si="29"/>
        <v>0</v>
      </c>
    </row>
    <row r="338" spans="1:15" x14ac:dyDescent="0.2">
      <c r="A338" s="3" t="s">
        <v>879</v>
      </c>
      <c r="B338" s="17" t="s">
        <v>27</v>
      </c>
      <c r="C338" s="9" t="str">
        <f>VLOOKUP($A338,[1]Sheet2!$I$2:$O$544,3,FALSE)</f>
        <v>KPB2</v>
      </c>
      <c r="D338" s="2" t="s">
        <v>880</v>
      </c>
      <c r="E338" s="15" t="str">
        <f>VLOOKUP($A338,[1]Sheet2!$I$2:$O$544,5,FALSE)</f>
        <v>2025-06-27</v>
      </c>
      <c r="F338" s="13" t="str">
        <f>VLOOKUP($A338,'[2]AHM-Q01-251105-2511051358'!$E$2:$H$376,4,FALSE)</f>
        <v>27/06/2025</v>
      </c>
      <c r="G338" s="15">
        <f t="shared" si="25"/>
        <v>0</v>
      </c>
      <c r="H338" s="24">
        <f t="shared" si="26"/>
        <v>0</v>
      </c>
      <c r="I338" s="13">
        <f t="shared" si="27"/>
        <v>0</v>
      </c>
      <c r="J338" s="17" t="s">
        <v>164</v>
      </c>
      <c r="K338" s="9" t="str">
        <f>VLOOKUP($A338,[1]Sheet2!$I$2:$O$544,6,FALSE)</f>
        <v>2025-10-21</v>
      </c>
      <c r="L338" s="17" t="s">
        <v>881</v>
      </c>
      <c r="M338" s="9">
        <f>VLOOKUP($A338,[1]Sheet2!$I$2:$O$544,4,FALSE)</f>
        <v>3118</v>
      </c>
      <c r="N338" s="10">
        <f t="shared" si="28"/>
        <v>0</v>
      </c>
      <c r="O338" s="10">
        <f t="shared" si="29"/>
        <v>0</v>
      </c>
    </row>
    <row r="339" spans="1:15" x14ac:dyDescent="0.2">
      <c r="A339" s="3" t="s">
        <v>882</v>
      </c>
      <c r="B339" s="17" t="s">
        <v>27</v>
      </c>
      <c r="C339" s="9" t="str">
        <f>VLOOKUP($A339,[1]Sheet2!$I$2:$O$544,3,FALSE)</f>
        <v>KPB2</v>
      </c>
      <c r="D339" s="2" t="s">
        <v>322</v>
      </c>
      <c r="E339" s="15" t="str">
        <f>VLOOKUP($A339,[1]Sheet2!$I$2:$O$544,5,FALSE)</f>
        <v>2025-06-30</v>
      </c>
      <c r="F339" s="13" t="str">
        <f>VLOOKUP($A339,'[2]AHM-Q01-251105-2511051358'!$E$2:$H$376,4,FALSE)</f>
        <v>30/06/2025</v>
      </c>
      <c r="G339" s="15">
        <f t="shared" si="25"/>
        <v>0</v>
      </c>
      <c r="H339" s="24">
        <f t="shared" si="26"/>
        <v>0</v>
      </c>
      <c r="I339" s="13">
        <f t="shared" si="27"/>
        <v>0</v>
      </c>
      <c r="J339" s="17" t="s">
        <v>168</v>
      </c>
      <c r="K339" s="9" t="str">
        <f>VLOOKUP($A339,[1]Sheet2!$I$2:$O$544,6,FALSE)</f>
        <v>2025-10-22</v>
      </c>
      <c r="L339" s="17" t="s">
        <v>883</v>
      </c>
      <c r="M339" s="9">
        <f>VLOOKUP($A339,[1]Sheet2!$I$2:$O$544,4,FALSE)</f>
        <v>5522</v>
      </c>
      <c r="N339" s="10">
        <f t="shared" si="28"/>
        <v>0</v>
      </c>
      <c r="O339" s="10">
        <f t="shared" si="29"/>
        <v>0</v>
      </c>
    </row>
    <row r="340" spans="1:15" x14ac:dyDescent="0.2">
      <c r="A340" s="3" t="s">
        <v>884</v>
      </c>
      <c r="B340" s="17" t="s">
        <v>33</v>
      </c>
      <c r="C340" s="9" t="str">
        <f>VLOOKUP($A340,[1]Sheet2!$I$2:$O$544,3,FALSE)</f>
        <v>KPB3</v>
      </c>
      <c r="D340" s="2" t="s">
        <v>885</v>
      </c>
      <c r="E340" s="15" t="str">
        <f>VLOOKUP($A340,[1]Sheet2!$I$2:$O$544,5,FALSE)</f>
        <v>1970-01-01</v>
      </c>
      <c r="F340" s="13" t="str">
        <f>VLOOKUP($A340,'[2]AHM-Q01-251105-2511051358'!$E$2:$H$376,4,FALSE)</f>
        <v>04/02/2025</v>
      </c>
      <c r="G340" s="15">
        <f t="shared" si="25"/>
        <v>20121</v>
      </c>
      <c r="H340" s="24">
        <f t="shared" si="26"/>
        <v>-2</v>
      </c>
      <c r="I340" s="13">
        <f t="shared" si="27"/>
        <v>-20123</v>
      </c>
      <c r="J340" s="17" t="s">
        <v>179</v>
      </c>
      <c r="K340" s="9" t="str">
        <f>VLOOKUP($A340,[1]Sheet2!$I$2:$O$544,6,FALSE)</f>
        <v>2025-10-04</v>
      </c>
      <c r="L340" s="17" t="s">
        <v>886</v>
      </c>
      <c r="M340" s="9">
        <f>VLOOKUP($A340,[1]Sheet2!$I$2:$O$544,4,FALSE)</f>
        <v>11662</v>
      </c>
      <c r="N340" s="10">
        <f t="shared" si="28"/>
        <v>0</v>
      </c>
      <c r="O340" s="10">
        <f t="shared" si="29"/>
        <v>0</v>
      </c>
    </row>
    <row r="341" spans="1:15" x14ac:dyDescent="0.2">
      <c r="A341" s="3" t="s">
        <v>887</v>
      </c>
      <c r="B341" s="17" t="s">
        <v>33</v>
      </c>
      <c r="C341" s="9" t="str">
        <f>VLOOKUP($A341,[1]Sheet2!$I$2:$O$544,3,FALSE)</f>
        <v>KPB3</v>
      </c>
      <c r="D341" s="2" t="s">
        <v>888</v>
      </c>
      <c r="E341" s="15" t="str">
        <f>VLOOKUP($A341,[1]Sheet2!$I$2:$O$544,5,FALSE)</f>
        <v>2025-01-14</v>
      </c>
      <c r="F341" s="13" t="str">
        <f>VLOOKUP($A341,'[2]AHM-Q01-251105-2511051358'!$E$2:$H$376,4,FALSE)</f>
        <v>14/01/2025</v>
      </c>
      <c r="G341" s="15">
        <f t="shared" si="25"/>
        <v>-4</v>
      </c>
      <c r="H341" s="24">
        <f t="shared" si="26"/>
        <v>-4</v>
      </c>
      <c r="I341" s="13">
        <f t="shared" si="27"/>
        <v>0</v>
      </c>
      <c r="J341" s="17" t="s">
        <v>117</v>
      </c>
      <c r="K341" s="9" t="str">
        <f>VLOOKUP($A341,[1]Sheet2!$I$2:$O$544,6,FALSE)</f>
        <v>2025-10-09</v>
      </c>
      <c r="L341" s="17" t="s">
        <v>889</v>
      </c>
      <c r="M341" s="9">
        <f>VLOOKUP($A341,[1]Sheet2!$I$2:$O$544,4,FALSE)</f>
        <v>10505</v>
      </c>
      <c r="N341" s="10">
        <f t="shared" si="28"/>
        <v>0</v>
      </c>
      <c r="O341" s="10">
        <f t="shared" si="29"/>
        <v>0</v>
      </c>
    </row>
    <row r="342" spans="1:15" x14ac:dyDescent="0.2">
      <c r="A342" s="3" t="s">
        <v>890</v>
      </c>
      <c r="B342" s="17" t="s">
        <v>33</v>
      </c>
      <c r="C342" s="9" t="str">
        <f>VLOOKUP($A342,[1]Sheet2!$I$2:$O$544,3,FALSE)</f>
        <v>KPB3</v>
      </c>
      <c r="D342" s="2" t="s">
        <v>891</v>
      </c>
      <c r="E342" s="15" t="str">
        <f>VLOOKUP($A342,[1]Sheet2!$I$2:$O$544,5,FALSE)</f>
        <v>2025-03-11</v>
      </c>
      <c r="F342" s="13" t="str">
        <f>VLOOKUP($A342,'[2]AHM-Q01-251105-2511051358'!$E$2:$H$376,4,FALSE)</f>
        <v>11/03/2025</v>
      </c>
      <c r="G342" s="15">
        <f t="shared" si="25"/>
        <v>0</v>
      </c>
      <c r="H342" s="24">
        <f t="shared" si="26"/>
        <v>0</v>
      </c>
      <c r="I342" s="13">
        <f t="shared" si="27"/>
        <v>0</v>
      </c>
      <c r="J342" s="17" t="s">
        <v>121</v>
      </c>
      <c r="K342" s="9" t="str">
        <f>VLOOKUP($A342,[1]Sheet2!$I$2:$O$544,6,FALSE)</f>
        <v>2025-10-10</v>
      </c>
      <c r="L342" s="17" t="s">
        <v>892</v>
      </c>
      <c r="M342" s="9">
        <f>VLOOKUP($A342,[1]Sheet2!$I$2:$O$544,4,FALSE)</f>
        <v>6712</v>
      </c>
      <c r="N342" s="10">
        <f t="shared" si="28"/>
        <v>0</v>
      </c>
      <c r="O342" s="10">
        <f t="shared" si="29"/>
        <v>0</v>
      </c>
    </row>
    <row r="343" spans="1:15" x14ac:dyDescent="0.2">
      <c r="A343" s="3" t="s">
        <v>893</v>
      </c>
      <c r="B343" s="17" t="s">
        <v>33</v>
      </c>
      <c r="C343" s="9" t="str">
        <f>VLOOKUP($A343,[1]Sheet2!$I$2:$O$544,3,FALSE)</f>
        <v>KPB3</v>
      </c>
      <c r="D343" s="2" t="s">
        <v>474</v>
      </c>
      <c r="E343" s="15" t="str">
        <f>VLOOKUP($A343,[1]Sheet2!$I$2:$O$544,5,FALSE)</f>
        <v>2025-02-11</v>
      </c>
      <c r="F343" s="13" t="str">
        <f>VLOOKUP($A343,'[2]AHM-Q01-251105-2511051358'!$E$2:$H$376,4,FALSE)</f>
        <v>11/02/2025</v>
      </c>
      <c r="G343" s="15">
        <f t="shared" si="25"/>
        <v>0</v>
      </c>
      <c r="H343" s="24">
        <f t="shared" si="26"/>
        <v>0</v>
      </c>
      <c r="I343" s="13">
        <f t="shared" si="27"/>
        <v>0</v>
      </c>
      <c r="J343" s="17" t="s">
        <v>121</v>
      </c>
      <c r="K343" s="9" t="str">
        <f>VLOOKUP($A343,[1]Sheet2!$I$2:$O$544,6,FALSE)</f>
        <v>2025-10-10</v>
      </c>
      <c r="L343" s="17" t="s">
        <v>894</v>
      </c>
      <c r="M343" s="9">
        <f>VLOOKUP($A343,[1]Sheet2!$I$2:$O$544,4,FALSE)</f>
        <v>3365</v>
      </c>
      <c r="N343" s="10">
        <f t="shared" si="28"/>
        <v>0</v>
      </c>
      <c r="O343" s="10">
        <f t="shared" si="29"/>
        <v>0</v>
      </c>
    </row>
    <row r="344" spans="1:15" x14ac:dyDescent="0.2">
      <c r="A344" s="3" t="s">
        <v>895</v>
      </c>
      <c r="B344" s="17" t="s">
        <v>33</v>
      </c>
      <c r="C344" s="9" t="str">
        <f>VLOOKUP($A344,[1]Sheet2!$I$2:$O$544,3,FALSE)</f>
        <v>KPB3</v>
      </c>
      <c r="D344" s="2" t="s">
        <v>374</v>
      </c>
      <c r="E344" s="15" t="str">
        <f>VLOOKUP($A344,[1]Sheet2!$I$2:$O$544,5,FALSE)</f>
        <v>2025-02-10</v>
      </c>
      <c r="F344" s="13" t="str">
        <f>VLOOKUP($A344,'[2]AHM-Q01-251105-2511051358'!$E$2:$H$376,4,FALSE)</f>
        <v>10/02/2025</v>
      </c>
      <c r="G344" s="15">
        <f t="shared" si="25"/>
        <v>0</v>
      </c>
      <c r="H344" s="24">
        <f t="shared" si="26"/>
        <v>0</v>
      </c>
      <c r="I344" s="13">
        <f t="shared" si="27"/>
        <v>0</v>
      </c>
      <c r="J344" s="17" t="s">
        <v>141</v>
      </c>
      <c r="K344" s="9" t="str">
        <f>VLOOKUP($A344,[1]Sheet2!$I$2:$O$544,6,FALSE)</f>
        <v>2025-10-15</v>
      </c>
      <c r="L344" s="17" t="s">
        <v>896</v>
      </c>
      <c r="M344" s="9">
        <f>VLOOKUP($A344,[1]Sheet2!$I$2:$O$544,4,FALSE)</f>
        <v>8287</v>
      </c>
      <c r="N344" s="10">
        <f t="shared" si="28"/>
        <v>0</v>
      </c>
      <c r="O344" s="10">
        <f t="shared" si="29"/>
        <v>0</v>
      </c>
    </row>
    <row r="345" spans="1:15" x14ac:dyDescent="0.2">
      <c r="A345" s="3" t="s">
        <v>897</v>
      </c>
      <c r="B345" s="17" t="s">
        <v>33</v>
      </c>
      <c r="C345" s="9" t="str">
        <f>VLOOKUP($A345,[1]Sheet2!$I$2:$O$544,3,FALSE)</f>
        <v>KPB3</v>
      </c>
      <c r="D345" s="2" t="s">
        <v>374</v>
      </c>
      <c r="E345" s="15" t="str">
        <f>VLOOKUP($A345,[1]Sheet2!$I$2:$O$544,5,FALSE)</f>
        <v>2025-02-10</v>
      </c>
      <c r="F345" s="13" t="str">
        <f>VLOOKUP($A345,'[2]AHM-Q01-251105-2511051358'!$E$2:$H$376,4,FALSE)</f>
        <v>10/02/2025</v>
      </c>
      <c r="G345" s="15">
        <f t="shared" si="25"/>
        <v>0</v>
      </c>
      <c r="H345" s="24">
        <f t="shared" si="26"/>
        <v>0</v>
      </c>
      <c r="I345" s="13">
        <f t="shared" si="27"/>
        <v>0</v>
      </c>
      <c r="J345" s="17" t="s">
        <v>141</v>
      </c>
      <c r="K345" s="9" t="str">
        <f>VLOOKUP($A345,[1]Sheet2!$I$2:$O$544,6,FALSE)</f>
        <v>2025-10-15</v>
      </c>
      <c r="L345" s="17" t="s">
        <v>898</v>
      </c>
      <c r="M345" s="9">
        <f>VLOOKUP($A345,[1]Sheet2!$I$2:$O$544,4,FALSE)</f>
        <v>7760</v>
      </c>
      <c r="N345" s="10">
        <f t="shared" si="28"/>
        <v>0</v>
      </c>
      <c r="O345" s="10">
        <f t="shared" si="29"/>
        <v>0</v>
      </c>
    </row>
    <row r="346" spans="1:15" x14ac:dyDescent="0.2">
      <c r="A346" s="3" t="s">
        <v>899</v>
      </c>
      <c r="B346" s="17" t="s">
        <v>33</v>
      </c>
      <c r="C346" s="9" t="str">
        <f>VLOOKUP($A346,[1]Sheet2!$I$2:$O$544,3,FALSE)</f>
        <v>KPB3</v>
      </c>
      <c r="D346" s="2" t="s">
        <v>777</v>
      </c>
      <c r="E346" s="15" t="str">
        <f>VLOOKUP($A346,[1]Sheet2!$I$2:$O$544,5,FALSE)</f>
        <v>2025-02-14</v>
      </c>
      <c r="F346" s="13" t="str">
        <f>VLOOKUP($A346,'[2]AHM-Q01-251105-2511051358'!$E$2:$H$376,4,FALSE)</f>
        <v>14/02/2025</v>
      </c>
      <c r="G346" s="15">
        <f t="shared" si="25"/>
        <v>0</v>
      </c>
      <c r="H346" s="24">
        <f t="shared" si="26"/>
        <v>0</v>
      </c>
      <c r="I346" s="13">
        <f t="shared" si="27"/>
        <v>0</v>
      </c>
      <c r="J346" s="17" t="s">
        <v>141</v>
      </c>
      <c r="K346" s="9" t="str">
        <f>VLOOKUP($A346,[1]Sheet2!$I$2:$O$544,6,FALSE)</f>
        <v>2025-10-15</v>
      </c>
      <c r="L346" s="17" t="s">
        <v>900</v>
      </c>
      <c r="M346" s="9">
        <f>VLOOKUP($A346,[1]Sheet2!$I$2:$O$544,4,FALSE)</f>
        <v>9610</v>
      </c>
      <c r="N346" s="10">
        <f t="shared" si="28"/>
        <v>0</v>
      </c>
      <c r="O346" s="10">
        <f t="shared" si="29"/>
        <v>0</v>
      </c>
    </row>
    <row r="347" spans="1:15" x14ac:dyDescent="0.2">
      <c r="A347" s="3" t="s">
        <v>901</v>
      </c>
      <c r="B347" s="17" t="s">
        <v>15</v>
      </c>
      <c r="C347" s="9" t="str">
        <f>VLOOKUP($A347,[1]Sheet2!$I$2:$O$544,3,FALSE)</f>
        <v>KPB1</v>
      </c>
      <c r="D347" s="2" t="s">
        <v>99</v>
      </c>
      <c r="E347" s="15" t="str">
        <f>VLOOKUP($A347,[1]Sheet2!$I$2:$O$544,5,FALSE)</f>
        <v>2025-07-31</v>
      </c>
      <c r="F347" s="13" t="str">
        <f>VLOOKUP($A347,'[2]AHM-Q01-251105-2511051358'!$E$2:$H$376,4,FALSE)</f>
        <v>31/07/2025</v>
      </c>
      <c r="G347" s="15">
        <f t="shared" si="25"/>
        <v>1</v>
      </c>
      <c r="H347" s="24">
        <f t="shared" si="26"/>
        <v>1</v>
      </c>
      <c r="I347" s="13">
        <f t="shared" si="27"/>
        <v>0</v>
      </c>
      <c r="J347" s="17" t="s">
        <v>179</v>
      </c>
      <c r="K347" s="9" t="str">
        <f>VLOOKUP($A347,[1]Sheet2!$I$2:$O$544,6,FALSE)</f>
        <v>2025-10-04</v>
      </c>
      <c r="L347" s="17" t="s">
        <v>902</v>
      </c>
      <c r="M347" s="9">
        <f>VLOOKUP($A347,[1]Sheet2!$I$2:$O$544,4,FALSE)</f>
        <v>687</v>
      </c>
      <c r="N347" s="10">
        <f t="shared" si="28"/>
        <v>0</v>
      </c>
      <c r="O347" s="10">
        <f t="shared" si="29"/>
        <v>0</v>
      </c>
    </row>
    <row r="348" spans="1:15" x14ac:dyDescent="0.2">
      <c r="A348" s="3" t="s">
        <v>903</v>
      </c>
      <c r="B348" s="17" t="s">
        <v>15</v>
      </c>
      <c r="C348" s="9" t="str">
        <f>VLOOKUP($A348,[1]Sheet2!$I$2:$O$544,3,FALSE)</f>
        <v>KPB1</v>
      </c>
      <c r="D348" s="2" t="s">
        <v>112</v>
      </c>
      <c r="E348" s="15" t="str">
        <f>VLOOKUP($A348,[1]Sheet2!$I$2:$O$544,5,FALSE)</f>
        <v>2025-08-08</v>
      </c>
      <c r="F348" s="13" t="str">
        <f>VLOOKUP($A348,'[2]AHM-Q01-251105-2511051358'!$E$2:$H$376,4,FALSE)</f>
        <v>08/08/2025</v>
      </c>
      <c r="G348" s="15">
        <f t="shared" si="25"/>
        <v>-1</v>
      </c>
      <c r="H348" s="24">
        <f t="shared" si="26"/>
        <v>-1</v>
      </c>
      <c r="I348" s="13">
        <f t="shared" si="27"/>
        <v>0</v>
      </c>
      <c r="J348" s="17" t="s">
        <v>113</v>
      </c>
      <c r="K348" s="9" t="str">
        <f>VLOOKUP($A348,[1]Sheet2!$I$2:$O$544,6,FALSE)</f>
        <v>2025-10-07</v>
      </c>
      <c r="L348" s="17" t="s">
        <v>708</v>
      </c>
      <c r="M348" s="9">
        <f>VLOOKUP($A348,[1]Sheet2!$I$2:$O$544,4,FALSE)</f>
        <v>258</v>
      </c>
      <c r="N348" s="10">
        <f t="shared" si="28"/>
        <v>0</v>
      </c>
      <c r="O348" s="10">
        <f t="shared" si="29"/>
        <v>0</v>
      </c>
    </row>
    <row r="349" spans="1:15" x14ac:dyDescent="0.2">
      <c r="A349" s="3" t="s">
        <v>904</v>
      </c>
      <c r="B349" s="17" t="s">
        <v>15</v>
      </c>
      <c r="C349" s="9" t="str">
        <f>VLOOKUP($A349,[1]Sheet2!$I$2:$O$544,3,FALSE)</f>
        <v>KPB1</v>
      </c>
      <c r="D349" s="2" t="s">
        <v>618</v>
      </c>
      <c r="E349" s="15" t="str">
        <f>VLOOKUP($A349,[1]Sheet2!$I$2:$O$544,5,FALSE)</f>
        <v>2025-08-12</v>
      </c>
      <c r="F349" s="13" t="str">
        <f>VLOOKUP($A349,'[2]AHM-Q01-251105-2511051358'!$E$2:$H$376,4,FALSE)</f>
        <v>12/08/2025</v>
      </c>
      <c r="G349" s="15">
        <f t="shared" si="25"/>
        <v>0</v>
      </c>
      <c r="H349" s="24">
        <f t="shared" si="26"/>
        <v>0</v>
      </c>
      <c r="I349" s="13">
        <f t="shared" si="27"/>
        <v>0</v>
      </c>
      <c r="J349" s="17" t="s">
        <v>128</v>
      </c>
      <c r="K349" s="9" t="str">
        <f>VLOOKUP($A349,[1]Sheet2!$I$2:$O$544,6,FALSE)</f>
        <v>2025-10-11</v>
      </c>
      <c r="L349" s="17" t="s">
        <v>905</v>
      </c>
      <c r="M349" s="9">
        <f>VLOOKUP($A349,[1]Sheet2!$I$2:$O$544,4,FALSE)</f>
        <v>423</v>
      </c>
      <c r="N349" s="10">
        <f t="shared" si="28"/>
        <v>0</v>
      </c>
      <c r="O349" s="10">
        <f t="shared" si="29"/>
        <v>0</v>
      </c>
    </row>
    <row r="350" spans="1:15" x14ac:dyDescent="0.2">
      <c r="A350" s="3" t="s">
        <v>906</v>
      </c>
      <c r="B350" s="17" t="s">
        <v>15</v>
      </c>
      <c r="C350" s="9" t="str">
        <f>VLOOKUP($A350,[1]Sheet2!$I$2:$O$544,3,FALSE)</f>
        <v>KPB1</v>
      </c>
      <c r="D350" s="2" t="s">
        <v>618</v>
      </c>
      <c r="E350" s="15" t="str">
        <f>VLOOKUP($A350,[1]Sheet2!$I$2:$O$544,5,FALSE)</f>
        <v>2025-08-12</v>
      </c>
      <c r="F350" s="13" t="str">
        <f>VLOOKUP($A350,'[2]AHM-Q01-251105-2511051358'!$E$2:$H$376,4,FALSE)</f>
        <v>12/08/2025</v>
      </c>
      <c r="G350" s="15">
        <f t="shared" si="25"/>
        <v>0</v>
      </c>
      <c r="H350" s="24">
        <f t="shared" si="26"/>
        <v>0</v>
      </c>
      <c r="I350" s="13">
        <f t="shared" si="27"/>
        <v>0</v>
      </c>
      <c r="J350" s="17" t="s">
        <v>128</v>
      </c>
      <c r="K350" s="9" t="str">
        <f>VLOOKUP($A350,[1]Sheet2!$I$2:$O$544,6,FALSE)</f>
        <v>2025-10-11</v>
      </c>
      <c r="L350" s="17" t="s">
        <v>907</v>
      </c>
      <c r="M350" s="9">
        <f>VLOOKUP($A350,[1]Sheet2!$I$2:$O$544,4,FALSE)</f>
        <v>609</v>
      </c>
      <c r="N350" s="10">
        <f t="shared" si="28"/>
        <v>0</v>
      </c>
      <c r="O350" s="10">
        <f t="shared" si="29"/>
        <v>0</v>
      </c>
    </row>
    <row r="351" spans="1:15" x14ac:dyDescent="0.2">
      <c r="A351" s="3" t="s">
        <v>908</v>
      </c>
      <c r="B351" s="17" t="s">
        <v>15</v>
      </c>
      <c r="C351" s="9" t="str">
        <f>VLOOKUP($A351,[1]Sheet2!$I$2:$O$544,3,FALSE)</f>
        <v>KPB1</v>
      </c>
      <c r="D351" s="2" t="s">
        <v>280</v>
      </c>
      <c r="E351" s="15" t="str">
        <f>VLOOKUP($A351,[1]Sheet2!$I$2:$O$544,5,FALSE)</f>
        <v>2025-08-13</v>
      </c>
      <c r="F351" s="13" t="str">
        <f>VLOOKUP($A351,'[2]AHM-Q01-251105-2511051358'!$E$2:$H$376,4,FALSE)</f>
        <v>13/08/2025</v>
      </c>
      <c r="G351" s="15">
        <f t="shared" si="25"/>
        <v>0</v>
      </c>
      <c r="H351" s="24">
        <f t="shared" si="26"/>
        <v>0</v>
      </c>
      <c r="I351" s="13">
        <f t="shared" si="27"/>
        <v>0</v>
      </c>
      <c r="J351" s="17" t="s">
        <v>128</v>
      </c>
      <c r="K351" s="9" t="str">
        <f>VLOOKUP($A351,[1]Sheet2!$I$2:$O$544,6,FALSE)</f>
        <v>2025-10-11</v>
      </c>
      <c r="L351" s="17" t="s">
        <v>165</v>
      </c>
      <c r="M351" s="9">
        <f>VLOOKUP($A351,[1]Sheet2!$I$2:$O$544,4,FALSE)</f>
        <v>378</v>
      </c>
      <c r="N351" s="10">
        <f t="shared" si="28"/>
        <v>0</v>
      </c>
      <c r="O351" s="10">
        <f t="shared" si="29"/>
        <v>0</v>
      </c>
    </row>
    <row r="352" spans="1:15" x14ac:dyDescent="0.2">
      <c r="A352" s="3" t="s">
        <v>909</v>
      </c>
      <c r="B352" s="17" t="s">
        <v>15</v>
      </c>
      <c r="C352" s="9" t="str">
        <f>VLOOKUP($A352,[1]Sheet2!$I$2:$O$544,3,FALSE)</f>
        <v>KPB1</v>
      </c>
      <c r="D352" s="2" t="s">
        <v>618</v>
      </c>
      <c r="E352" s="15" t="str">
        <f>VLOOKUP($A352,[1]Sheet2!$I$2:$O$544,5,FALSE)</f>
        <v>2025-08-12</v>
      </c>
      <c r="F352" s="13" t="str">
        <f>VLOOKUP($A352,'[2]AHM-Q01-251105-2511051358'!$E$2:$H$376,4,FALSE)</f>
        <v>12/08/2025</v>
      </c>
      <c r="G352" s="15">
        <f t="shared" si="25"/>
        <v>0</v>
      </c>
      <c r="H352" s="24">
        <f t="shared" si="26"/>
        <v>0</v>
      </c>
      <c r="I352" s="13">
        <f t="shared" si="27"/>
        <v>0</v>
      </c>
      <c r="J352" s="17" t="s">
        <v>128</v>
      </c>
      <c r="K352" s="9" t="str">
        <f>VLOOKUP($A352,[1]Sheet2!$I$2:$O$544,6,FALSE)</f>
        <v>2025-10-11</v>
      </c>
      <c r="L352" s="17" t="s">
        <v>910</v>
      </c>
      <c r="M352" s="9">
        <f>VLOOKUP($A352,[1]Sheet2!$I$2:$O$544,4,FALSE)</f>
        <v>898</v>
      </c>
      <c r="N352" s="10">
        <f t="shared" si="28"/>
        <v>0</v>
      </c>
      <c r="O352" s="10">
        <f t="shared" si="29"/>
        <v>0</v>
      </c>
    </row>
    <row r="353" spans="1:15" x14ac:dyDescent="0.2">
      <c r="A353" s="3" t="s">
        <v>911</v>
      </c>
      <c r="B353" s="17" t="s">
        <v>15</v>
      </c>
      <c r="C353" s="9" t="str">
        <f>VLOOKUP($A353,[1]Sheet2!$I$2:$O$544,3,FALSE)</f>
        <v>KPB1</v>
      </c>
      <c r="D353" s="2" t="s">
        <v>134</v>
      </c>
      <c r="E353" s="15" t="str">
        <f>VLOOKUP($A353,[1]Sheet2!$I$2:$O$544,5,FALSE)</f>
        <v>2025-08-15</v>
      </c>
      <c r="F353" s="13" t="str">
        <f>VLOOKUP($A353,'[2]AHM-Q01-251105-2511051358'!$E$2:$H$376,4,FALSE)</f>
        <v>15/08/2025</v>
      </c>
      <c r="G353" s="15">
        <f t="shared" si="25"/>
        <v>0</v>
      </c>
      <c r="H353" s="24">
        <f t="shared" si="26"/>
        <v>0</v>
      </c>
      <c r="I353" s="13">
        <f t="shared" si="27"/>
        <v>0</v>
      </c>
      <c r="J353" s="17" t="s">
        <v>141</v>
      </c>
      <c r="K353" s="9" t="str">
        <f>VLOOKUP($A353,[1]Sheet2!$I$2:$O$544,6,FALSE)</f>
        <v>2025-10-15</v>
      </c>
      <c r="L353" s="17" t="s">
        <v>862</v>
      </c>
      <c r="M353" s="9">
        <f>VLOOKUP($A353,[1]Sheet2!$I$2:$O$544,4,FALSE)</f>
        <v>329</v>
      </c>
      <c r="N353" s="10">
        <f t="shared" si="28"/>
        <v>0</v>
      </c>
      <c r="O353" s="10">
        <f t="shared" si="29"/>
        <v>0</v>
      </c>
    </row>
    <row r="354" spans="1:15" x14ac:dyDescent="0.2">
      <c r="A354" s="3" t="s">
        <v>912</v>
      </c>
      <c r="B354" s="17" t="s">
        <v>15</v>
      </c>
      <c r="C354" s="9" t="str">
        <f>VLOOKUP($A354,[1]Sheet2!$I$2:$O$544,3,FALSE)</f>
        <v>KPB1</v>
      </c>
      <c r="D354" s="2" t="s">
        <v>134</v>
      </c>
      <c r="E354" s="15" t="str">
        <f>VLOOKUP($A354,[1]Sheet2!$I$2:$O$544,5,FALSE)</f>
        <v>2025-08-15</v>
      </c>
      <c r="F354" s="13" t="str">
        <f>VLOOKUP($A354,'[2]AHM-Q01-251105-2511051358'!$E$2:$H$376,4,FALSE)</f>
        <v>15/08/2025</v>
      </c>
      <c r="G354" s="15">
        <f t="shared" si="25"/>
        <v>0</v>
      </c>
      <c r="H354" s="24">
        <f t="shared" si="26"/>
        <v>0</v>
      </c>
      <c r="I354" s="13">
        <f t="shared" si="27"/>
        <v>0</v>
      </c>
      <c r="J354" s="17" t="s">
        <v>141</v>
      </c>
      <c r="K354" s="9" t="str">
        <f>VLOOKUP($A354,[1]Sheet2!$I$2:$O$544,6,FALSE)</f>
        <v>2025-10-15</v>
      </c>
      <c r="L354" s="17" t="s">
        <v>913</v>
      </c>
      <c r="M354" s="9">
        <f>VLOOKUP($A354,[1]Sheet2!$I$2:$O$544,4,FALSE)</f>
        <v>1021</v>
      </c>
      <c r="N354" s="10">
        <f t="shared" si="28"/>
        <v>0</v>
      </c>
      <c r="O354" s="10">
        <f t="shared" si="29"/>
        <v>0</v>
      </c>
    </row>
    <row r="355" spans="1:15" x14ac:dyDescent="0.2">
      <c r="A355" s="3" t="s">
        <v>914</v>
      </c>
      <c r="B355" s="17" t="s">
        <v>15</v>
      </c>
      <c r="C355" s="9" t="str">
        <f>VLOOKUP($A355,[1]Sheet2!$I$2:$O$544,3,FALSE)</f>
        <v>KPB1</v>
      </c>
      <c r="D355" s="2" t="s">
        <v>915</v>
      </c>
      <c r="E355" s="15" t="str">
        <f>VLOOKUP($A355,[1]Sheet2!$I$2:$O$544,5,FALSE)</f>
        <v>2025-08-25</v>
      </c>
      <c r="F355" s="13" t="str">
        <f>VLOOKUP($A355,'[2]AHM-Q01-251105-2511051358'!$E$2:$H$376,4,FALSE)</f>
        <v>25/08/2025</v>
      </c>
      <c r="G355" s="15">
        <f t="shared" si="25"/>
        <v>-1</v>
      </c>
      <c r="H355" s="24">
        <f t="shared" si="26"/>
        <v>-1</v>
      </c>
      <c r="I355" s="13">
        <f t="shared" si="27"/>
        <v>0</v>
      </c>
      <c r="J355" s="17" t="s">
        <v>458</v>
      </c>
      <c r="K355" s="9" t="str">
        <f>VLOOKUP($A355,[1]Sheet2!$I$2:$O$544,6,FALSE)</f>
        <v>2025-10-16</v>
      </c>
      <c r="L355" s="17" t="s">
        <v>339</v>
      </c>
      <c r="M355" s="9">
        <f>VLOOKUP($A355,[1]Sheet2!$I$2:$O$544,4,FALSE)</f>
        <v>84</v>
      </c>
      <c r="N355" s="10">
        <f t="shared" si="28"/>
        <v>0</v>
      </c>
      <c r="O355" s="10">
        <f t="shared" si="29"/>
        <v>0</v>
      </c>
    </row>
    <row r="356" spans="1:15" x14ac:dyDescent="0.2">
      <c r="A356" s="3" t="s">
        <v>916</v>
      </c>
      <c r="B356" s="17" t="s">
        <v>15</v>
      </c>
      <c r="C356" s="9" t="str">
        <f>VLOOKUP($A356,[1]Sheet2!$I$2:$O$544,3,FALSE)</f>
        <v>KPB1</v>
      </c>
      <c r="D356" s="2" t="s">
        <v>618</v>
      </c>
      <c r="E356" s="15" t="str">
        <f>VLOOKUP($A356,[1]Sheet2!$I$2:$O$544,5,FALSE)</f>
        <v>2025-08-12</v>
      </c>
      <c r="F356" s="13" t="str">
        <f>VLOOKUP($A356,'[2]AHM-Q01-251105-2511051358'!$E$2:$H$376,4,FALSE)</f>
        <v>12/08/2025</v>
      </c>
      <c r="G356" s="15">
        <f t="shared" si="25"/>
        <v>0</v>
      </c>
      <c r="H356" s="24">
        <f t="shared" si="26"/>
        <v>0</v>
      </c>
      <c r="I356" s="13">
        <f t="shared" si="27"/>
        <v>0</v>
      </c>
      <c r="J356" s="17" t="s">
        <v>458</v>
      </c>
      <c r="K356" s="9" t="str">
        <f>VLOOKUP($A356,[1]Sheet2!$I$2:$O$544,6,FALSE)</f>
        <v>2025-10-16</v>
      </c>
      <c r="L356" s="17" t="s">
        <v>917</v>
      </c>
      <c r="M356" s="9">
        <f>VLOOKUP($A356,[1]Sheet2!$I$2:$O$544,4,FALSE)</f>
        <v>721</v>
      </c>
      <c r="N356" s="10">
        <f t="shared" si="28"/>
        <v>0</v>
      </c>
      <c r="O356" s="10">
        <f t="shared" si="29"/>
        <v>0</v>
      </c>
    </row>
    <row r="357" spans="1:15" x14ac:dyDescent="0.2">
      <c r="A357" s="3" t="s">
        <v>918</v>
      </c>
      <c r="B357" s="17" t="s">
        <v>15</v>
      </c>
      <c r="C357" s="9" t="str">
        <f>VLOOKUP($A357,[1]Sheet2!$I$2:$O$544,3,FALSE)</f>
        <v>KPB1</v>
      </c>
      <c r="D357" s="2" t="s">
        <v>146</v>
      </c>
      <c r="E357" s="15" t="str">
        <f>VLOOKUP($A357,[1]Sheet2!$I$2:$O$544,5,FALSE)</f>
        <v>2025-08-20</v>
      </c>
      <c r="F357" s="13" t="str">
        <f>VLOOKUP($A357,'[2]AHM-Q01-251105-2511051358'!$E$2:$H$376,4,FALSE)</f>
        <v>20/08/2025</v>
      </c>
      <c r="G357" s="15">
        <f t="shared" si="25"/>
        <v>0</v>
      </c>
      <c r="H357" s="24">
        <f t="shared" si="26"/>
        <v>0</v>
      </c>
      <c r="I357" s="13">
        <f t="shared" si="27"/>
        <v>0</v>
      </c>
      <c r="J357" s="17" t="s">
        <v>458</v>
      </c>
      <c r="K357" s="9" t="str">
        <f>VLOOKUP($A357,[1]Sheet2!$I$2:$O$544,6,FALSE)</f>
        <v>2025-10-16</v>
      </c>
      <c r="L357" s="17" t="s">
        <v>569</v>
      </c>
      <c r="M357" s="9">
        <f>VLOOKUP($A357,[1]Sheet2!$I$2:$O$544,4,FALSE)</f>
        <v>186</v>
      </c>
      <c r="N357" s="10">
        <f t="shared" si="28"/>
        <v>0</v>
      </c>
      <c r="O357" s="10">
        <f t="shared" si="29"/>
        <v>0</v>
      </c>
    </row>
    <row r="358" spans="1:15" x14ac:dyDescent="0.2">
      <c r="A358" s="3" t="s">
        <v>919</v>
      </c>
      <c r="B358" s="17" t="s">
        <v>15</v>
      </c>
      <c r="C358" s="9" t="str">
        <f>VLOOKUP($A358,[1]Sheet2!$I$2:$O$544,3,FALSE)</f>
        <v>KPB1</v>
      </c>
      <c r="D358" s="2" t="s">
        <v>150</v>
      </c>
      <c r="E358" s="15" t="str">
        <f>VLOOKUP($A358,[1]Sheet2!$I$2:$O$544,5,FALSE)</f>
        <v>2025-08-19</v>
      </c>
      <c r="F358" s="13" t="str">
        <f>VLOOKUP($A358,'[2]AHM-Q01-251105-2511051358'!$E$2:$H$376,4,FALSE)</f>
        <v>19/08/2025</v>
      </c>
      <c r="G358" s="15">
        <f t="shared" si="25"/>
        <v>-1</v>
      </c>
      <c r="H358" s="24">
        <f t="shared" si="26"/>
        <v>-1</v>
      </c>
      <c r="I358" s="13">
        <f t="shared" si="27"/>
        <v>0</v>
      </c>
      <c r="J358" s="17" t="s">
        <v>147</v>
      </c>
      <c r="K358" s="9" t="str">
        <f>VLOOKUP($A358,[1]Sheet2!$I$2:$O$544,6,FALSE)</f>
        <v>2025-10-17</v>
      </c>
      <c r="L358" s="17" t="s">
        <v>920</v>
      </c>
      <c r="M358" s="9">
        <f>VLOOKUP($A358,[1]Sheet2!$I$2:$O$544,4,FALSE)</f>
        <v>447</v>
      </c>
      <c r="N358" s="10">
        <f t="shared" si="28"/>
        <v>0</v>
      </c>
      <c r="O358" s="10">
        <f t="shared" si="29"/>
        <v>0</v>
      </c>
    </row>
    <row r="359" spans="1:15" x14ac:dyDescent="0.2">
      <c r="A359" s="3" t="s">
        <v>921</v>
      </c>
      <c r="B359" s="17" t="s">
        <v>15</v>
      </c>
      <c r="C359" s="9" t="str">
        <f>VLOOKUP($A359,[1]Sheet2!$I$2:$O$544,3,FALSE)</f>
        <v>KPB1</v>
      </c>
      <c r="D359" s="2" t="s">
        <v>285</v>
      </c>
      <c r="E359" s="15" t="str">
        <f>VLOOKUP($A359,[1]Sheet2!$I$2:$O$544,5,FALSE)</f>
        <v>2025-08-28</v>
      </c>
      <c r="F359" s="13" t="str">
        <f>VLOOKUP($A359,'[2]AHM-Q01-251105-2511051358'!$E$2:$H$376,4,FALSE)</f>
        <v>28/08/2025</v>
      </c>
      <c r="G359" s="15">
        <f t="shared" si="25"/>
        <v>0</v>
      </c>
      <c r="H359" s="24">
        <f t="shared" si="26"/>
        <v>0</v>
      </c>
      <c r="I359" s="13">
        <f t="shared" si="27"/>
        <v>0</v>
      </c>
      <c r="J359" s="17" t="s">
        <v>154</v>
      </c>
      <c r="K359" s="9" t="str">
        <f>VLOOKUP($A359,[1]Sheet2!$I$2:$O$544,6,FALSE)</f>
        <v>2025-10-18</v>
      </c>
      <c r="L359" s="17" t="s">
        <v>684</v>
      </c>
      <c r="M359" s="9">
        <f>VLOOKUP($A359,[1]Sheet2!$I$2:$O$544,4,FALSE)</f>
        <v>590</v>
      </c>
      <c r="N359" s="10">
        <f t="shared" si="28"/>
        <v>0</v>
      </c>
      <c r="O359" s="10">
        <f t="shared" si="29"/>
        <v>0</v>
      </c>
    </row>
    <row r="360" spans="1:15" x14ac:dyDescent="0.2">
      <c r="A360" s="3" t="s">
        <v>922</v>
      </c>
      <c r="B360" s="17" t="s">
        <v>15</v>
      </c>
      <c r="C360" s="9" t="str">
        <f>VLOOKUP($A360,[1]Sheet2!$I$2:$O$544,3,FALSE)</f>
        <v>KPB1</v>
      </c>
      <c r="D360" s="2" t="s">
        <v>174</v>
      </c>
      <c r="E360" s="15" t="str">
        <f>VLOOKUP($A360,[1]Sheet2!$I$2:$O$544,5,FALSE)</f>
        <v>2025-08-22</v>
      </c>
      <c r="F360" s="13" t="str">
        <f>VLOOKUP($A360,'[2]AHM-Q01-251105-2511051358'!$E$2:$H$376,4,FALSE)</f>
        <v>22/08/2025</v>
      </c>
      <c r="G360" s="15">
        <f t="shared" si="25"/>
        <v>0</v>
      </c>
      <c r="H360" s="24">
        <f t="shared" si="26"/>
        <v>0</v>
      </c>
      <c r="I360" s="13">
        <f t="shared" si="27"/>
        <v>0</v>
      </c>
      <c r="J360" s="17" t="s">
        <v>216</v>
      </c>
      <c r="K360" s="9" t="str">
        <f>VLOOKUP($A360,[1]Sheet2!$I$2:$O$544,6,FALSE)</f>
        <v>2025-10-20</v>
      </c>
      <c r="L360" s="17" t="s">
        <v>923</v>
      </c>
      <c r="M360" s="9">
        <f>VLOOKUP($A360,[1]Sheet2!$I$2:$O$544,4,FALSE)</f>
        <v>589</v>
      </c>
      <c r="N360" s="10">
        <f t="shared" si="28"/>
        <v>0</v>
      </c>
      <c r="O360" s="10">
        <f t="shared" si="29"/>
        <v>0</v>
      </c>
    </row>
    <row r="361" spans="1:15" x14ac:dyDescent="0.2">
      <c r="A361" s="3" t="s">
        <v>924</v>
      </c>
      <c r="B361" s="17" t="s">
        <v>15</v>
      </c>
      <c r="C361" s="9" t="str">
        <f>VLOOKUP($A361,[1]Sheet2!$I$2:$O$544,3,FALSE)</f>
        <v>KPB1</v>
      </c>
      <c r="D361" s="2" t="s">
        <v>150</v>
      </c>
      <c r="E361" s="15" t="str">
        <f>VLOOKUP($A361,[1]Sheet2!$I$2:$O$544,5,FALSE)</f>
        <v>2025-08-18</v>
      </c>
      <c r="F361" s="13" t="str">
        <f>VLOOKUP($A361,'[2]AHM-Q01-251105-2511051358'!$E$2:$H$376,4,FALSE)</f>
        <v>18/08/2025</v>
      </c>
      <c r="G361" s="15">
        <f t="shared" si="25"/>
        <v>0</v>
      </c>
      <c r="H361" s="24">
        <f t="shared" si="26"/>
        <v>0</v>
      </c>
      <c r="I361" s="13">
        <f t="shared" si="27"/>
        <v>0</v>
      </c>
      <c r="J361" s="17" t="s">
        <v>175</v>
      </c>
      <c r="K361" s="9" t="str">
        <f>VLOOKUP($A361,[1]Sheet2!$I$2:$O$544,6,FALSE)</f>
        <v>2025-10-24</v>
      </c>
      <c r="L361" s="17" t="s">
        <v>913</v>
      </c>
      <c r="M361" s="9">
        <f>VLOOKUP($A361,[1]Sheet2!$I$2:$O$544,4,FALSE)</f>
        <v>1021</v>
      </c>
      <c r="N361" s="10">
        <f t="shared" si="28"/>
        <v>0</v>
      </c>
      <c r="O361" s="10">
        <f t="shared" si="29"/>
        <v>0</v>
      </c>
    </row>
    <row r="362" spans="1:15" x14ac:dyDescent="0.2">
      <c r="A362" s="3" t="s">
        <v>287</v>
      </c>
      <c r="B362" s="17" t="s">
        <v>15</v>
      </c>
      <c r="C362" s="9" t="str">
        <f>VLOOKUP($A362,[1]Sheet2!$I$2:$O$544,3,FALSE)</f>
        <v>KPB1</v>
      </c>
      <c r="D362" s="2" t="s">
        <v>124</v>
      </c>
      <c r="E362" s="15" t="str">
        <f>VLOOKUP($A362,[1]Sheet2!$I$2:$O$544,5,FALSE)</f>
        <v>2025-08-06</v>
      </c>
      <c r="F362" s="13" t="str">
        <f>VLOOKUP($A362,'[2]AHM-Q01-251105-2511051358'!$E$2:$H$376,4,FALSE)</f>
        <v>06/08/2025</v>
      </c>
      <c r="G362" s="15">
        <f t="shared" si="25"/>
        <v>-4</v>
      </c>
      <c r="H362" s="24">
        <f t="shared" si="26"/>
        <v>-4</v>
      </c>
      <c r="I362" s="13">
        <f t="shared" si="27"/>
        <v>0</v>
      </c>
      <c r="J362" s="17" t="s">
        <v>179</v>
      </c>
      <c r="K362" s="9" t="str">
        <f>VLOOKUP($A362,[1]Sheet2!$I$2:$O$544,6,FALSE)</f>
        <v>2025-10-04</v>
      </c>
      <c r="L362" s="17" t="s">
        <v>288</v>
      </c>
      <c r="M362" s="9">
        <f>VLOOKUP($A362,[1]Sheet2!$I$2:$O$544,4,FALSE)</f>
        <v>1072</v>
      </c>
      <c r="N362" s="10">
        <f t="shared" si="28"/>
        <v>0</v>
      </c>
      <c r="O362" s="10">
        <f t="shared" si="29"/>
        <v>0</v>
      </c>
    </row>
    <row r="363" spans="1:15" x14ac:dyDescent="0.2">
      <c r="A363" s="3" t="s">
        <v>928</v>
      </c>
      <c r="B363" s="17" t="s">
        <v>27</v>
      </c>
      <c r="C363" s="9" t="str">
        <f>VLOOKUP($A363,[1]Sheet2!$I$2:$O$544,3,FALSE)</f>
        <v>KPB2</v>
      </c>
      <c r="D363" s="2" t="s">
        <v>439</v>
      </c>
      <c r="E363" s="15" t="str">
        <f>VLOOKUP($A363,[1]Sheet2!$I$2:$O$544,5,FALSE)</f>
        <v>2025-06-05</v>
      </c>
      <c r="F363" s="13" t="str">
        <f>VLOOKUP($A363,'[2]AHM-Q01-251105-2511051358'!$E$2:$H$376,4,FALSE)</f>
        <v>05/06/2025</v>
      </c>
      <c r="G363" s="15">
        <f t="shared" ref="G363:G376" si="30">D363-E363</f>
        <v>-1</v>
      </c>
      <c r="H363" s="24">
        <f t="shared" ref="H363:H376" si="31">D363-F363</f>
        <v>-1</v>
      </c>
      <c r="I363" s="13">
        <f t="shared" ref="I363:I376" si="32">E363-F363</f>
        <v>0</v>
      </c>
      <c r="J363" s="17" t="s">
        <v>104</v>
      </c>
      <c r="K363" s="9" t="str">
        <f>VLOOKUP($A363,[1]Sheet2!$I$2:$O$544,6,FALSE)</f>
        <v>2025-10-06</v>
      </c>
      <c r="L363" s="17" t="s">
        <v>929</v>
      </c>
      <c r="M363" s="9">
        <f>VLOOKUP($A363,[1]Sheet2!$I$2:$O$544,4,FALSE)</f>
        <v>2129</v>
      </c>
      <c r="N363" s="10">
        <f t="shared" ref="N363:N376" si="33">K363-J363</f>
        <v>0</v>
      </c>
      <c r="O363" s="10">
        <f t="shared" ref="O363:O376" si="34">M363-L363</f>
        <v>0</v>
      </c>
    </row>
    <row r="364" spans="1:15" x14ac:dyDescent="0.2">
      <c r="A364" s="3" t="s">
        <v>930</v>
      </c>
      <c r="B364" s="17" t="s">
        <v>27</v>
      </c>
      <c r="C364" s="9" t="str">
        <f>VLOOKUP($A364,[1]Sheet2!$I$2:$O$544,3,FALSE)</f>
        <v>KPB2</v>
      </c>
      <c r="D364" s="2" t="s">
        <v>439</v>
      </c>
      <c r="E364" s="15" t="str">
        <f>VLOOKUP($A364,[1]Sheet2!$I$2:$O$544,5,FALSE)</f>
        <v>1970-01-01</v>
      </c>
      <c r="F364" s="13" t="str">
        <f>VLOOKUP($A364,'[2]AHM-Q01-251105-2511051358'!$E$2:$H$376,4,FALSE)</f>
        <v>04/06/2025</v>
      </c>
      <c r="G364" s="15">
        <f t="shared" si="30"/>
        <v>20243</v>
      </c>
      <c r="H364" s="24">
        <f t="shared" si="31"/>
        <v>0</v>
      </c>
      <c r="I364" s="13">
        <f t="shared" si="32"/>
        <v>-20243</v>
      </c>
      <c r="J364" s="17" t="s">
        <v>104</v>
      </c>
      <c r="K364" s="9" t="str">
        <f>VLOOKUP($A364,[1]Sheet2!$I$2:$O$544,6,FALSE)</f>
        <v>2025-10-06</v>
      </c>
      <c r="L364" s="17" t="s">
        <v>931</v>
      </c>
      <c r="M364" s="9">
        <f>VLOOKUP($A364,[1]Sheet2!$I$2:$O$544,4,FALSE)</f>
        <v>1557</v>
      </c>
      <c r="N364" s="10">
        <f t="shared" si="33"/>
        <v>0</v>
      </c>
      <c r="O364" s="10">
        <f t="shared" si="34"/>
        <v>0</v>
      </c>
    </row>
    <row r="365" spans="1:15" x14ac:dyDescent="0.2">
      <c r="A365" s="3" t="s">
        <v>932</v>
      </c>
      <c r="B365" s="17" t="s">
        <v>27</v>
      </c>
      <c r="C365" s="9" t="str">
        <f>VLOOKUP($A365,[1]Sheet2!$I$2:$O$544,3,FALSE)</f>
        <v>KPB2</v>
      </c>
      <c r="D365" s="2" t="s">
        <v>524</v>
      </c>
      <c r="E365" s="15" t="str">
        <f>VLOOKUP($A365,[1]Sheet2!$I$2:$O$544,5,FALSE)</f>
        <v>1970-01-01</v>
      </c>
      <c r="F365" s="13" t="str">
        <f>VLOOKUP($A365,'[2]AHM-Q01-251105-2511051358'!$E$2:$H$376,4,FALSE)</f>
        <v>05/06/2025</v>
      </c>
      <c r="G365" s="15">
        <f t="shared" si="30"/>
        <v>20244</v>
      </c>
      <c r="H365" s="24">
        <f t="shared" si="31"/>
        <v>0</v>
      </c>
      <c r="I365" s="13">
        <f t="shared" si="32"/>
        <v>-20244</v>
      </c>
      <c r="J365" s="17" t="s">
        <v>113</v>
      </c>
      <c r="K365" s="9" t="str">
        <f>VLOOKUP($A365,[1]Sheet2!$I$2:$O$544,6,FALSE)</f>
        <v>2025-10-07</v>
      </c>
      <c r="L365" s="17" t="s">
        <v>933</v>
      </c>
      <c r="M365" s="9">
        <f>VLOOKUP($A365,[1]Sheet2!$I$2:$O$544,4,FALSE)</f>
        <v>2964</v>
      </c>
      <c r="N365" s="10">
        <f t="shared" si="33"/>
        <v>0</v>
      </c>
      <c r="O365" s="10">
        <f t="shared" si="34"/>
        <v>0</v>
      </c>
    </row>
    <row r="366" spans="1:15" x14ac:dyDescent="0.2">
      <c r="A366" s="3" t="s">
        <v>934</v>
      </c>
      <c r="B366" s="17" t="s">
        <v>27</v>
      </c>
      <c r="C366" s="9" t="str">
        <f>VLOOKUP($A366,[1]Sheet2!$I$2:$O$544,3,FALSE)</f>
        <v>KPB2</v>
      </c>
      <c r="D366" s="2" t="s">
        <v>188</v>
      </c>
      <c r="E366" s="15" t="str">
        <f>VLOOKUP($A366,[1]Sheet2!$I$2:$O$544,5,FALSE)</f>
        <v>1970-01-01</v>
      </c>
      <c r="F366" s="13" t="str">
        <f>VLOOKUP($A366,'[2]AHM-Q01-251105-2511051358'!$E$2:$H$376,4,FALSE)</f>
        <v>09/06/2025</v>
      </c>
      <c r="G366" s="15">
        <f t="shared" si="30"/>
        <v>20248</v>
      </c>
      <c r="H366" s="24">
        <f t="shared" si="31"/>
        <v>0</v>
      </c>
      <c r="I366" s="13">
        <f t="shared" si="32"/>
        <v>-20248</v>
      </c>
      <c r="J366" s="17" t="s">
        <v>117</v>
      </c>
      <c r="K366" s="9" t="str">
        <f>VLOOKUP($A366,[1]Sheet2!$I$2:$O$544,6,FALSE)</f>
        <v>2025-10-09</v>
      </c>
      <c r="L366" s="17" t="s">
        <v>935</v>
      </c>
      <c r="M366" s="9">
        <f>VLOOKUP($A366,[1]Sheet2!$I$2:$O$544,4,FALSE)</f>
        <v>1204</v>
      </c>
      <c r="N366" s="10">
        <f t="shared" si="33"/>
        <v>0</v>
      </c>
      <c r="O366" s="10">
        <f t="shared" si="34"/>
        <v>0</v>
      </c>
    </row>
    <row r="367" spans="1:15" x14ac:dyDescent="0.2">
      <c r="A367" s="3" t="s">
        <v>936</v>
      </c>
      <c r="B367" s="17" t="s">
        <v>27</v>
      </c>
      <c r="C367" s="9" t="str">
        <f>VLOOKUP($A367,[1]Sheet2!$I$2:$O$544,3,FALSE)</f>
        <v>KPB2</v>
      </c>
      <c r="D367" s="2" t="s">
        <v>201</v>
      </c>
      <c r="E367" s="15" t="str">
        <f>VLOOKUP($A367,[1]Sheet2!$I$2:$O$544,5,FALSE)</f>
        <v>2025-06-17</v>
      </c>
      <c r="F367" s="13" t="str">
        <f>VLOOKUP($A367,'[2]AHM-Q01-251105-2511051358'!$E$2:$H$376,4,FALSE)</f>
        <v>17/06/2025</v>
      </c>
      <c r="G367" s="15">
        <f t="shared" si="30"/>
        <v>0</v>
      </c>
      <c r="H367" s="24">
        <f t="shared" si="31"/>
        <v>0</v>
      </c>
      <c r="I367" s="13">
        <f t="shared" si="32"/>
        <v>0</v>
      </c>
      <c r="J367" s="17" t="s">
        <v>141</v>
      </c>
      <c r="K367" s="9" t="str">
        <f>VLOOKUP($A367,[1]Sheet2!$I$2:$O$544,6,FALSE)</f>
        <v>2025-10-15</v>
      </c>
      <c r="L367" s="17" t="s">
        <v>937</v>
      </c>
      <c r="M367" s="9">
        <f>VLOOKUP($A367,[1]Sheet2!$I$2:$O$544,4,FALSE)</f>
        <v>2593</v>
      </c>
      <c r="N367" s="10">
        <f t="shared" si="33"/>
        <v>0</v>
      </c>
      <c r="O367" s="10">
        <f t="shared" si="34"/>
        <v>0</v>
      </c>
    </row>
    <row r="368" spans="1:15" x14ac:dyDescent="0.2">
      <c r="A368" s="3" t="s">
        <v>938</v>
      </c>
      <c r="B368" s="17" t="s">
        <v>27</v>
      </c>
      <c r="C368" s="9" t="str">
        <f>VLOOKUP($A368,[1]Sheet2!$I$2:$O$544,3,FALSE)</f>
        <v>KPB2</v>
      </c>
      <c r="D368" s="2" t="s">
        <v>201</v>
      </c>
      <c r="E368" s="15" t="str">
        <f>VLOOKUP($A368,[1]Sheet2!$I$2:$O$544,5,FALSE)</f>
        <v>2025-06-17</v>
      </c>
      <c r="F368" s="13" t="str">
        <f>VLOOKUP($A368,'[2]AHM-Q01-251105-2511051358'!$E$2:$H$376,4,FALSE)</f>
        <v>17/06/2025</v>
      </c>
      <c r="G368" s="15">
        <f t="shared" si="30"/>
        <v>0</v>
      </c>
      <c r="H368" s="24">
        <f t="shared" si="31"/>
        <v>0</v>
      </c>
      <c r="I368" s="13">
        <f t="shared" si="32"/>
        <v>0</v>
      </c>
      <c r="J368" s="17" t="s">
        <v>141</v>
      </c>
      <c r="K368" s="9" t="str">
        <f>VLOOKUP($A368,[1]Sheet2!$I$2:$O$544,6,FALSE)</f>
        <v>2025-10-15</v>
      </c>
      <c r="L368" s="17" t="s">
        <v>939</v>
      </c>
      <c r="M368" s="9">
        <f>VLOOKUP($A368,[1]Sheet2!$I$2:$O$544,4,FALSE)</f>
        <v>2145</v>
      </c>
      <c r="N368" s="10">
        <f t="shared" si="33"/>
        <v>0</v>
      </c>
      <c r="O368" s="10">
        <f t="shared" si="34"/>
        <v>0</v>
      </c>
    </row>
    <row r="369" spans="1:15" x14ac:dyDescent="0.2">
      <c r="A369" s="3" t="s">
        <v>940</v>
      </c>
      <c r="B369" s="17" t="s">
        <v>27</v>
      </c>
      <c r="C369" s="9" t="str">
        <f>VLOOKUP($A369,[1]Sheet2!$I$2:$O$544,3,FALSE)</f>
        <v>KPB2</v>
      </c>
      <c r="D369" s="2" t="s">
        <v>457</v>
      </c>
      <c r="E369" s="15" t="str">
        <f>VLOOKUP($A369,[1]Sheet2!$I$2:$O$544,5,FALSE)</f>
        <v>2025-06-18</v>
      </c>
      <c r="F369" s="13" t="str">
        <f>VLOOKUP($A369,'[2]AHM-Q01-251105-2511051358'!$E$2:$H$376,4,FALSE)</f>
        <v>18/06/2025</v>
      </c>
      <c r="G369" s="15">
        <f t="shared" si="30"/>
        <v>0</v>
      </c>
      <c r="H369" s="24">
        <f t="shared" si="31"/>
        <v>0</v>
      </c>
      <c r="I369" s="13">
        <f t="shared" si="32"/>
        <v>0</v>
      </c>
      <c r="J369" s="17" t="s">
        <v>458</v>
      </c>
      <c r="K369" s="9" t="str">
        <f>VLOOKUP($A369,[1]Sheet2!$I$2:$O$544,6,FALSE)</f>
        <v>2025-10-16</v>
      </c>
      <c r="L369" s="17" t="s">
        <v>941</v>
      </c>
      <c r="M369" s="9">
        <f>VLOOKUP($A369,[1]Sheet2!$I$2:$O$544,4,FALSE)</f>
        <v>2967</v>
      </c>
      <c r="N369" s="10">
        <f t="shared" si="33"/>
        <v>0</v>
      </c>
      <c r="O369" s="10">
        <f t="shared" si="34"/>
        <v>0</v>
      </c>
    </row>
    <row r="370" spans="1:15" x14ac:dyDescent="0.2">
      <c r="A370" s="3" t="s">
        <v>942</v>
      </c>
      <c r="B370" s="17" t="s">
        <v>33</v>
      </c>
      <c r="C370" s="9" t="str">
        <f>VLOOKUP($A370,[1]Sheet2!$I$2:$O$544,3,FALSE)</f>
        <v>KPB3</v>
      </c>
      <c r="D370" s="2" t="s">
        <v>489</v>
      </c>
      <c r="E370" s="15" t="str">
        <f>VLOOKUP($A370,[1]Sheet2!$I$2:$O$544,5,FALSE)</f>
        <v>2025-02-20</v>
      </c>
      <c r="F370" s="13" t="str">
        <f>VLOOKUP($A370,'[2]AHM-Q01-251105-2511051358'!$E$2:$H$376,4,FALSE)</f>
        <v>20/02/2025</v>
      </c>
      <c r="G370" s="15">
        <f t="shared" si="30"/>
        <v>0</v>
      </c>
      <c r="H370" s="24">
        <f t="shared" si="31"/>
        <v>0</v>
      </c>
      <c r="I370" s="13">
        <f t="shared" si="32"/>
        <v>0</v>
      </c>
      <c r="J370" s="17" t="s">
        <v>147</v>
      </c>
      <c r="K370" s="9" t="str">
        <f>VLOOKUP($A370,[1]Sheet2!$I$2:$O$544,6,FALSE)</f>
        <v>2025-10-17</v>
      </c>
      <c r="L370" s="17" t="s">
        <v>943</v>
      </c>
      <c r="M370" s="9">
        <f>VLOOKUP($A370,[1]Sheet2!$I$2:$O$544,4,FALSE)</f>
        <v>7863</v>
      </c>
      <c r="N370" s="10">
        <f t="shared" si="33"/>
        <v>0</v>
      </c>
      <c r="O370" s="10">
        <f t="shared" si="34"/>
        <v>0</v>
      </c>
    </row>
    <row r="371" spans="1:15" x14ac:dyDescent="0.2">
      <c r="A371" s="3" t="s">
        <v>944</v>
      </c>
      <c r="B371" s="17" t="s">
        <v>33</v>
      </c>
      <c r="C371" s="9" t="str">
        <f>VLOOKUP($A371,[1]Sheet2!$I$2:$O$544,3,FALSE)</f>
        <v>KPB3</v>
      </c>
      <c r="D371" s="2" t="s">
        <v>789</v>
      </c>
      <c r="E371" s="15" t="str">
        <f>VLOOKUP($A371,[1]Sheet2!$I$2:$O$544,5,FALSE)</f>
        <v>2025-02-18</v>
      </c>
      <c r="F371" s="13" t="str">
        <f>VLOOKUP($A371,'[2]AHM-Q01-251105-2511051358'!$E$2:$H$376,4,FALSE)</f>
        <v>18/02/2025</v>
      </c>
      <c r="G371" s="15">
        <f t="shared" si="30"/>
        <v>0</v>
      </c>
      <c r="H371" s="24">
        <f t="shared" si="31"/>
        <v>0</v>
      </c>
      <c r="I371" s="13">
        <f t="shared" si="32"/>
        <v>0</v>
      </c>
      <c r="J371" s="17" t="s">
        <v>147</v>
      </c>
      <c r="K371" s="9" t="str">
        <f>VLOOKUP($A371,[1]Sheet2!$I$2:$O$544,6,FALSE)</f>
        <v>2025-10-17</v>
      </c>
      <c r="L371" s="17" t="s">
        <v>945</v>
      </c>
      <c r="M371" s="9">
        <f>VLOOKUP($A371,[1]Sheet2!$I$2:$O$544,4,FALSE)</f>
        <v>7474</v>
      </c>
      <c r="N371" s="10">
        <f t="shared" si="33"/>
        <v>0</v>
      </c>
      <c r="O371" s="10">
        <f t="shared" si="34"/>
        <v>0</v>
      </c>
    </row>
    <row r="372" spans="1:15" x14ac:dyDescent="0.2">
      <c r="A372" s="3" t="s">
        <v>946</v>
      </c>
      <c r="B372" s="17" t="s">
        <v>38</v>
      </c>
      <c r="C372" s="9" t="str">
        <f>VLOOKUP($A372,[1]Sheet2!$I$2:$O$544,3,FALSE)</f>
        <v>KPB4</v>
      </c>
      <c r="D372" s="2" t="s">
        <v>243</v>
      </c>
      <c r="E372" s="15" t="str">
        <f>VLOOKUP($A372,[1]Sheet2!$I$2:$O$544,5,FALSE)</f>
        <v>2024-10-01</v>
      </c>
      <c r="F372" s="13" t="str">
        <f>VLOOKUP($A372,'[2]AHM-Q01-251105-2511051358'!$E$2:$H$376,4,FALSE)</f>
        <v>01/10/2024</v>
      </c>
      <c r="G372" s="15">
        <f t="shared" si="30"/>
        <v>0</v>
      </c>
      <c r="H372" s="24">
        <f t="shared" si="31"/>
        <v>0</v>
      </c>
      <c r="I372" s="13">
        <f t="shared" si="32"/>
        <v>0</v>
      </c>
      <c r="J372" s="17" t="s">
        <v>100</v>
      </c>
      <c r="K372" s="9" t="str">
        <f>VLOOKUP($A372,[1]Sheet2!$I$2:$O$544,6,FALSE)</f>
        <v>2025-10-03</v>
      </c>
      <c r="L372" s="17" t="s">
        <v>947</v>
      </c>
      <c r="M372" s="9">
        <f>VLOOKUP($A372,[1]Sheet2!$I$2:$O$544,4,FALSE)</f>
        <v>8389</v>
      </c>
      <c r="N372" s="10">
        <f t="shared" si="33"/>
        <v>0</v>
      </c>
      <c r="O372" s="10">
        <f t="shared" si="34"/>
        <v>0</v>
      </c>
    </row>
    <row r="373" spans="1:15" x14ac:dyDescent="0.2">
      <c r="A373" s="3" t="s">
        <v>948</v>
      </c>
      <c r="B373" s="17" t="s">
        <v>38</v>
      </c>
      <c r="C373" s="9" t="str">
        <f>VLOOKUP($A373,[1]Sheet2!$I$2:$O$544,3,FALSE)</f>
        <v>KPB4</v>
      </c>
      <c r="D373" s="2" t="s">
        <v>382</v>
      </c>
      <c r="E373" s="15" t="str">
        <f>VLOOKUP($A373,[1]Sheet2!$I$2:$O$544,5,FALSE)</f>
        <v>2024-10-10</v>
      </c>
      <c r="F373" s="13" t="str">
        <f>VLOOKUP($A373,'[2]AHM-Q01-251105-2511051358'!$E$2:$H$376,4,FALSE)</f>
        <v>10/10/2024</v>
      </c>
      <c r="G373" s="15">
        <f t="shared" si="30"/>
        <v>0</v>
      </c>
      <c r="H373" s="24">
        <f t="shared" si="31"/>
        <v>0</v>
      </c>
      <c r="I373" s="13">
        <f t="shared" si="32"/>
        <v>0</v>
      </c>
      <c r="J373" s="17" t="s">
        <v>117</v>
      </c>
      <c r="K373" s="9" t="str">
        <f>VLOOKUP($A373,[1]Sheet2!$I$2:$O$544,6,FALSE)</f>
        <v>2025-10-09</v>
      </c>
      <c r="L373" s="17" t="s">
        <v>949</v>
      </c>
      <c r="M373" s="9">
        <f>VLOOKUP($A373,[1]Sheet2!$I$2:$O$544,4,FALSE)</f>
        <v>10684</v>
      </c>
      <c r="N373" s="10">
        <f t="shared" si="33"/>
        <v>0</v>
      </c>
      <c r="O373" s="10">
        <f t="shared" si="34"/>
        <v>0</v>
      </c>
    </row>
    <row r="374" spans="1:15" x14ac:dyDescent="0.2">
      <c r="A374" s="3" t="s">
        <v>950</v>
      </c>
      <c r="B374" s="17" t="s">
        <v>38</v>
      </c>
      <c r="C374" s="9" t="str">
        <f>VLOOKUP($A374,[1]Sheet2!$I$2:$O$544,3,FALSE)</f>
        <v>KPB4</v>
      </c>
      <c r="D374" s="2" t="s">
        <v>951</v>
      </c>
      <c r="E374" s="15" t="str">
        <f>VLOOKUP($A374,[1]Sheet2!$I$2:$O$544,5,FALSE)</f>
        <v>2024-10-25</v>
      </c>
      <c r="F374" s="13" t="str">
        <f>VLOOKUP($A374,'[2]AHM-Q01-251105-2511051358'!$E$2:$H$376,4,FALSE)</f>
        <v>25/10/2024</v>
      </c>
      <c r="G374" s="15">
        <f t="shared" si="30"/>
        <v>0</v>
      </c>
      <c r="H374" s="24">
        <f t="shared" si="31"/>
        <v>0</v>
      </c>
      <c r="I374" s="13">
        <f t="shared" si="32"/>
        <v>0</v>
      </c>
      <c r="J374" s="17" t="s">
        <v>154</v>
      </c>
      <c r="K374" s="9" t="str">
        <f>VLOOKUP($A374,[1]Sheet2!$I$2:$O$544,6,FALSE)</f>
        <v>2025-10-18</v>
      </c>
      <c r="L374" s="17" t="s">
        <v>952</v>
      </c>
      <c r="M374" s="9">
        <f>VLOOKUP($A374,[1]Sheet2!$I$2:$O$544,4,FALSE)</f>
        <v>8880</v>
      </c>
      <c r="N374" s="10">
        <f t="shared" si="33"/>
        <v>0</v>
      </c>
      <c r="O374" s="10">
        <f t="shared" si="34"/>
        <v>0</v>
      </c>
    </row>
    <row r="375" spans="1:15" x14ac:dyDescent="0.2">
      <c r="A375" s="3" t="s">
        <v>953</v>
      </c>
      <c r="B375" s="17" t="s">
        <v>38</v>
      </c>
      <c r="C375" s="9" t="str">
        <f>VLOOKUP($A375,[1]Sheet2!$I$2:$O$544,3,FALSE)</f>
        <v>KPB4</v>
      </c>
      <c r="D375" s="2" t="s">
        <v>273</v>
      </c>
      <c r="E375" s="15" t="str">
        <f>VLOOKUP($A375,[1]Sheet2!$I$2:$O$544,5,FALSE)</f>
        <v>2024-10-28</v>
      </c>
      <c r="F375" s="13" t="str">
        <f>VLOOKUP($A375,'[2]AHM-Q01-251105-2511051358'!$E$2:$H$376,4,FALSE)</f>
        <v>28/10/2024</v>
      </c>
      <c r="G375" s="15">
        <f t="shared" si="30"/>
        <v>-4</v>
      </c>
      <c r="H375" s="24">
        <f t="shared" si="31"/>
        <v>-4</v>
      </c>
      <c r="I375" s="13">
        <f t="shared" si="32"/>
        <v>0</v>
      </c>
      <c r="J375" s="17" t="s">
        <v>216</v>
      </c>
      <c r="K375" s="9" t="str">
        <f>VLOOKUP($A375,[1]Sheet2!$I$2:$O$544,6,FALSE)</f>
        <v>2025-10-20</v>
      </c>
      <c r="L375" s="17" t="s">
        <v>954</v>
      </c>
      <c r="M375" s="9">
        <f>VLOOKUP($A375,[1]Sheet2!$I$2:$O$544,4,FALSE)</f>
        <v>9037</v>
      </c>
      <c r="N375" s="10">
        <f t="shared" si="33"/>
        <v>0</v>
      </c>
      <c r="O375" s="10">
        <f t="shared" si="34"/>
        <v>0</v>
      </c>
    </row>
    <row r="376" spans="1:15" x14ac:dyDescent="0.2">
      <c r="A376" s="3" t="s">
        <v>955</v>
      </c>
      <c r="B376" s="17" t="s">
        <v>38</v>
      </c>
      <c r="C376" s="9" t="str">
        <f>VLOOKUP($A376,[1]Sheet2!$I$2:$O$544,3,FALSE)</f>
        <v>KPB4</v>
      </c>
      <c r="D376" s="2" t="s">
        <v>956</v>
      </c>
      <c r="E376" s="15" t="str">
        <f>VLOOKUP($A376,[1]Sheet2!$I$2:$O$544,5,FALSE)</f>
        <v>2024-10-27</v>
      </c>
      <c r="F376" s="13" t="str">
        <f>VLOOKUP($A376,'[2]AHM-Q01-251105-2511051358'!$E$2:$H$376,4,FALSE)</f>
        <v>27/10/2024</v>
      </c>
      <c r="G376" s="15">
        <f t="shared" si="30"/>
        <v>0</v>
      </c>
      <c r="H376" s="24">
        <f t="shared" si="31"/>
        <v>0</v>
      </c>
      <c r="I376" s="13">
        <f t="shared" si="32"/>
        <v>0</v>
      </c>
      <c r="J376" s="17" t="s">
        <v>164</v>
      </c>
      <c r="K376" s="9" t="str">
        <f>VLOOKUP($A376,[1]Sheet2!$I$2:$O$544,6,FALSE)</f>
        <v>2025-10-21</v>
      </c>
      <c r="L376" s="17" t="s">
        <v>957</v>
      </c>
      <c r="M376" s="9">
        <f>VLOOKUP($A376,[1]Sheet2!$I$2:$O$544,4,FALSE)</f>
        <v>9276</v>
      </c>
      <c r="N376" s="10">
        <f t="shared" si="33"/>
        <v>0</v>
      </c>
      <c r="O376" s="10">
        <f t="shared" si="34"/>
        <v>0</v>
      </c>
    </row>
  </sheetData>
  <autoFilter ref="A1:O376" xr:uid="{2F676E4E-16BE-48A5-8FE1-F0BD622D221F}">
    <sortState xmlns:xlrd2="http://schemas.microsoft.com/office/spreadsheetml/2017/richdata2" ref="A2:O362">
      <sortCondition ref="A1:A3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Report Rekap KPB</vt:lpstr>
      <vt:lpstr>Report Detail KPB</vt:lpstr>
      <vt:lpstr>Sheet1</vt:lpstr>
      <vt:lpstr>'Report Detail KPB'!Print_Area</vt:lpstr>
      <vt:lpstr>'Report Rekap KPB'!Print_Area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Cindy Aprilia</dc:creator>
  <dc:description/>
  <cp:lastModifiedBy>Cindy Aprilia</cp:lastModifiedBy>
  <dcterms:created xsi:type="dcterms:W3CDTF">2025-11-03T07:43:50Z</dcterms:created>
  <dcterms:modified xsi:type="dcterms:W3CDTF">2025-11-18T09:30:08Z</dcterms:modified>
</cp:coreProperties>
</file>