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11B6B269-4674-436B-8343-8FF2F9C5B115}" xr6:coauthVersionLast="47" xr6:coauthVersionMax="47" xr10:uidLastSave="{00000000-0000-0000-0000-000000000000}"/>
  <bookViews>
    <workbookView xWindow="-108" yWindow="-108" windowWidth="23256" windowHeight="12456" activeTab="3" xr2:uid="{42647811-3EB7-4E23-BDE2-323117485A7E}"/>
  </bookViews>
  <sheets>
    <sheet name="1-10 Mar" sheetId="1" r:id="rId1"/>
    <sheet name="11-20 Mar" sheetId="2" r:id="rId2"/>
    <sheet name="00010-260327_0952" sheetId="3" r:id="rId3"/>
    <sheet name="21-28 Feb" sheetId="4" r:id="rId4"/>
  </sheets>
  <externalReferences>
    <externalReference r:id="rId5"/>
  </externalReferences>
  <definedNames>
    <definedName name="_xlnm._FilterDatabase" localSheetId="2" hidden="1">'00010-260327_0952'!$B$1:$G$1</definedName>
    <definedName name="_xlnm._FilterDatabase" localSheetId="0" hidden="1">'1-10 Mar'!$A$1:$O$10</definedName>
    <definedName name="_xlnm._FilterDatabase" localSheetId="1" hidden="1">'11-20 Mar'!$A$1:$O$10</definedName>
    <definedName name="_xlnm._FilterDatabase" localSheetId="3" hidden="1">'21-28 Feb'!$A$1:$O$8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4" l="1"/>
  <c r="J8" i="4"/>
  <c r="I8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M10" i="2" l="1"/>
  <c r="J10" i="2"/>
  <c r="I10" i="2"/>
  <c r="F10" i="2"/>
  <c r="A10" i="2"/>
  <c r="M9" i="2"/>
  <c r="J9" i="2"/>
  <c r="I9" i="2"/>
  <c r="F9" i="2"/>
  <c r="A9" i="2"/>
  <c r="M8" i="2"/>
  <c r="J8" i="2"/>
  <c r="I8" i="2"/>
  <c r="F8" i="2"/>
  <c r="A8" i="2"/>
  <c r="M7" i="2"/>
  <c r="J7" i="2"/>
  <c r="I7" i="2"/>
  <c r="F7" i="2"/>
  <c r="A7" i="2"/>
  <c r="M6" i="2"/>
  <c r="J6" i="2"/>
  <c r="I6" i="2"/>
  <c r="F6" i="2"/>
  <c r="A6" i="2"/>
  <c r="M5" i="2"/>
  <c r="J5" i="2"/>
  <c r="I5" i="2"/>
  <c r="F5" i="2"/>
  <c r="A5" i="2"/>
  <c r="M4" i="2"/>
  <c r="J4" i="2"/>
  <c r="I4" i="2"/>
  <c r="F4" i="2"/>
  <c r="A4" i="2"/>
  <c r="M3" i="2"/>
  <c r="J3" i="2"/>
  <c r="I3" i="2"/>
  <c r="F3" i="2"/>
  <c r="A3" i="2"/>
  <c r="M2" i="2"/>
  <c r="J2" i="2"/>
  <c r="I2" i="2"/>
  <c r="F2" i="2"/>
  <c r="A2" i="2"/>
  <c r="F10" i="1"/>
  <c r="M10" i="1"/>
  <c r="I10" i="1"/>
  <c r="J10" i="1"/>
  <c r="I3" i="1"/>
  <c r="I4" i="1"/>
  <c r="I5" i="1"/>
  <c r="I6" i="1"/>
  <c r="I7" i="1"/>
  <c r="I8" i="1"/>
  <c r="I9" i="1"/>
  <c r="I2" i="1"/>
  <c r="J3" i="1"/>
  <c r="J4" i="1"/>
  <c r="J5" i="1"/>
  <c r="J6" i="1"/>
  <c r="J7" i="1"/>
  <c r="J8" i="1"/>
  <c r="J9" i="1"/>
  <c r="J2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<sst xmlns="http://schemas.openxmlformats.org/spreadsheetml/2006/main" count="175" uniqueCount="81">
  <si>
    <t>no_mesin</t>
  </si>
  <si>
    <t>kpb_type</t>
  </si>
  <si>
    <t>km</t>
  </si>
  <si>
    <t>tanggal_beli</t>
  </si>
  <si>
    <t>tanggal_claim</t>
  </si>
  <si>
    <t>photo_url</t>
  </si>
  <si>
    <t>JMB1E1240680</t>
  </si>
  <si>
    <t>KPB1</t>
  </si>
  <si>
    <t>https://hana.modakita.com/azd942/avatar/21503150720260307104058QXRAOJ.jpg</t>
  </si>
  <si>
    <t>JMH2E1408023</t>
  </si>
  <si>
    <t>KPB2</t>
  </si>
  <si>
    <t>https://hana.modakita.com/azd942/avatar/21094086920260307092506JRJOLU.jpg</t>
  </si>
  <si>
    <t>JMJ1E1008200</t>
  </si>
  <si>
    <t>KPB3</t>
  </si>
  <si>
    <t>https://hana.modakita.com/azd942/avatar/21482579720260303125046I2FAM8.jpg</t>
  </si>
  <si>
    <t>JMK1E1028203</t>
  </si>
  <si>
    <t>https://hana.modakita.com/azd942/avatar/21506433320260301111601AZKLOE.jpg</t>
  </si>
  <si>
    <t>KF01E1862991</t>
  </si>
  <si>
    <t>https://hana.modakita.com/azd942/avatar/21506830920260302133653D1EFXO.jpg</t>
  </si>
  <si>
    <t>KF01E1960544</t>
  </si>
  <si>
    <t>https://hana.modakita.com/azd942/avatar/21492701120260305075202R5YMSB.jpg</t>
  </si>
  <si>
    <t>KFC1E1214882</t>
  </si>
  <si>
    <t>https://hana.modakita.com/azd942/avatar/21433063020260309134112RIWRUQ.jpg</t>
  </si>
  <si>
    <t>KFE1E1431439</t>
  </si>
  <si>
    <t>https://hana.modakita.com/azd942/avatar/21488926220260303114607EEZBT4.jpg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</si>
  <si>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</si>
  <si>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</si>
  <si>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</si>
  <si>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</si>
  <si>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</si>
  <si>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</si>
  <si>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</si>
  <si>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</si>
  <si>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00010-260312_1048</t>
  </si>
  <si>
    <t>00010-260307_1020</t>
  </si>
  <si>
    <t>Noted</t>
  </si>
  <si>
    <t>Ok (tidak ada fisik)</t>
  </si>
  <si>
    <t>JMJ1E1016883</t>
  </si>
  <si>
    <t>https://hana.modakita.com/azd942/avatar/21484602020260308130312PDUM7J.jpg</t>
  </si>
  <si>
    <t>noted</t>
  </si>
  <si>
    <t>JMC1E1751831</t>
  </si>
  <si>
    <t>https://hana.modakita.com/azd942/avatar/21094086920260311115502UC9ZK1.jpg</t>
  </si>
  <si>
    <t>JME1E1978158</t>
  </si>
  <si>
    <t>https://hana.modakita.com/azd942/avatar/21094086920260317114150DXVF9S.jpg</t>
  </si>
  <si>
    <t>JMG1E1635783</t>
  </si>
  <si>
    <t>https://hana.modakita.com/azd942/avatar/21490048020260319100114HSNYSC.jpg</t>
  </si>
  <si>
    <t>JMH1E1293048</t>
  </si>
  <si>
    <t>https://hana.modakita.com/azd942/avatar/21423101320260311113540PA9EAL.jpg</t>
  </si>
  <si>
    <t>JMH2E1537116</t>
  </si>
  <si>
    <t>https://hana.modakita.com/azd942/avatar/21446356620260311113106O4OSNG.jpg</t>
  </si>
  <si>
    <t>JMK1E1017986</t>
  </si>
  <si>
    <t>KPB4</t>
  </si>
  <si>
    <t>https://hana.modakita.com/azd942/avatar/21486710520260313132746OCSAPT.jpg</t>
  </si>
  <si>
    <t>KC04E1013167</t>
  </si>
  <si>
    <t>https://hana.modakita.com/azd942/avatar/21094086920260318084059USWPVW.jpg</t>
  </si>
  <si>
    <t>KFC1E1260499</t>
  </si>
  <si>
    <t>https://hana.modakita.com/azd942/avatar/21461710720260319110253PRVPOV.jpg</t>
  </si>
  <si>
    <t>KFE3E1099849</t>
  </si>
  <si>
    <t>https://hana.modakita.com/azd942/avatar/21500258420260319123336PRLZH6.jpg</t>
  </si>
  <si>
    <t>KFD1E1220297</t>
  </si>
  <si>
    <t>2</t>
  </si>
  <si>
    <t>12/01/2026</t>
  </si>
  <si>
    <t>24/03/2026</t>
  </si>
  <si>
    <t>1913</t>
  </si>
  <si>
    <t>00010-260327_0952</t>
  </si>
  <si>
    <t>Ok</t>
  </si>
  <si>
    <t>00010-260227_1053</t>
  </si>
  <si>
    <t>JMB1E1233406</t>
  </si>
  <si>
    <t>https://squarix.modakita.com//m2tf6l//avatar/21478867820260208131508C7KJGM.jpg</t>
  </si>
  <si>
    <t>JMC1E1756621</t>
  </si>
  <si>
    <t>https://hana.modakita.com/azd942/avatar/2426598920260224145146JJUAT2.jpg</t>
  </si>
  <si>
    <t>Salah KM di WEBC</t>
  </si>
  <si>
    <t>JME1E1674428</t>
  </si>
  <si>
    <t>https://hana.modakita.com/azd942/avatar/2426598920260222101515LD99MN.jpg</t>
  </si>
  <si>
    <t>JMH2E1556602</t>
  </si>
  <si>
    <t>https://hana.modakita.com/azd942/avatar/21456618820260222103654AITX7N.jpg</t>
  </si>
  <si>
    <t>https://squarix.modakita.com//m2tf6l//avatar/21482579720260209121912MZXONH.jpg</t>
  </si>
  <si>
    <t>KC04E1029921</t>
  </si>
  <si>
    <t>https://hana.modakita.com/azd942/avatar/2739576820260223143344KFXHAS.jpg</t>
  </si>
  <si>
    <t>KFD1E1202839</t>
  </si>
  <si>
    <t>https://squarix.modakita.com//m2tf6l//avatar/21484260120260210121226QHDUTE.jpg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</si>
</sst>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Roboto"/>
    </font>
    <font>
      <sz val="10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0" xfId="1" applyFont="1" applyFill="1" applyAlignment="1">
      <alignment horizontal="center"/>
    </xf>
    <xf numFmtId="0" fontId="5" fillId="0" borderId="0" xfId="1"/>
    <xf numFmtId="14" fontId="5" fillId="0" borderId="0" xfId="1" applyNumberFormat="1"/>
    <xf numFmtId="0" fontId="6" fillId="0" borderId="0" xfId="1" applyFont="1"/>
  </cellXfs>
  <cellStyles count="2">
    <cellStyle name="Normal" xfId="0" builtinId="0"/>
    <cellStyle name="Normal 2" xfId="1" xr:uid="{8AF49953-DEF0-4656-9895-CAE922F0ACDF}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Gabungan%20digi%20SO%20PTM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Rekap KPB"/>
      <sheetName val="Report Detail KPB"/>
    </sheetNames>
    <sheetDataSet>
      <sheetData sheetId="0" refreshError="1"/>
      <sheetData sheetId="1" refreshError="1">
        <row r="2">
          <cell r="A2" t="str">
            <v>JMC1E1751831</v>
          </cell>
          <cell r="B2" t="str">
            <v>2</v>
          </cell>
          <cell r="C2" t="str">
            <v>28/10/2025</v>
          </cell>
          <cell r="D2" t="str">
            <v>11/03/2026</v>
          </cell>
          <cell r="E2" t="str">
            <v>2398</v>
          </cell>
          <cell r="F2" t="str">
            <v>00010-260318_0857</v>
          </cell>
        </row>
        <row r="3">
          <cell r="A3" t="str">
            <v>JME1E1978158</v>
          </cell>
          <cell r="B3" t="str">
            <v>1</v>
          </cell>
          <cell r="C3" t="str">
            <v>19/02/2026</v>
          </cell>
          <cell r="D3" t="str">
            <v>17/03/2026</v>
          </cell>
          <cell r="E3" t="str">
            <v>861</v>
          </cell>
          <cell r="F3" t="str">
            <v>00010-260325_0823</v>
          </cell>
        </row>
        <row r="4">
          <cell r="A4" t="str">
            <v>JMG1E1635783</v>
          </cell>
          <cell r="B4" t="str">
            <v>3</v>
          </cell>
          <cell r="C4" t="str">
            <v>17/12/2025</v>
          </cell>
          <cell r="D4" t="str">
            <v>19/03/2026</v>
          </cell>
          <cell r="E4" t="str">
            <v>3441</v>
          </cell>
          <cell r="F4" t="str">
            <v>00010-260325_0823</v>
          </cell>
        </row>
        <row r="5">
          <cell r="A5" t="str">
            <v>JMH1E1293048</v>
          </cell>
          <cell r="B5" t="str">
            <v>2</v>
          </cell>
          <cell r="C5" t="str">
            <v>22/12/2025</v>
          </cell>
          <cell r="D5" t="str">
            <v>11/03/2026</v>
          </cell>
          <cell r="E5" t="str">
            <v>1443</v>
          </cell>
          <cell r="F5" t="str">
            <v>00010-260318_0857</v>
          </cell>
        </row>
        <row r="6">
          <cell r="A6" t="str">
            <v>JMH2E1537116</v>
          </cell>
          <cell r="B6" t="str">
            <v>2</v>
          </cell>
          <cell r="C6" t="str">
            <v>22/12/2025</v>
          </cell>
          <cell r="D6" t="str">
            <v>11/03/2026</v>
          </cell>
          <cell r="E6" t="str">
            <v>3897</v>
          </cell>
          <cell r="F6" t="str">
            <v>00010-260318_0857</v>
          </cell>
        </row>
        <row r="7">
          <cell r="A7" t="str">
            <v>JMK1E1017986</v>
          </cell>
          <cell r="B7" t="str">
            <v>4</v>
          </cell>
          <cell r="C7" t="str">
            <v>10/01/2026</v>
          </cell>
          <cell r="D7" t="str">
            <v>13/03/2026</v>
          </cell>
          <cell r="E7" t="str">
            <v>7692</v>
          </cell>
          <cell r="F7" t="str">
            <v>00010-260318_0857</v>
          </cell>
        </row>
        <row r="8">
          <cell r="A8" t="str">
            <v>KC04E1013167</v>
          </cell>
          <cell r="B8" t="str">
            <v>3</v>
          </cell>
          <cell r="C8" t="str">
            <v>14/08/2025</v>
          </cell>
          <cell r="D8" t="str">
            <v>18/03/2026</v>
          </cell>
          <cell r="E8" t="str">
            <v>6463</v>
          </cell>
          <cell r="F8" t="str">
            <v>00010-260325_0823</v>
          </cell>
        </row>
        <row r="9">
          <cell r="A9" t="str">
            <v>KFC1E1260499</v>
          </cell>
          <cell r="B9" t="str">
            <v>1</v>
          </cell>
          <cell r="C9" t="str">
            <v>07/02/2026</v>
          </cell>
          <cell r="D9" t="str">
            <v>19/03/2026</v>
          </cell>
          <cell r="E9" t="str">
            <v>852</v>
          </cell>
          <cell r="F9" t="str">
            <v>00010-260325_0823</v>
          </cell>
        </row>
        <row r="10">
          <cell r="A10" t="str">
            <v>KFE3E1099849</v>
          </cell>
          <cell r="B10" t="str">
            <v>1</v>
          </cell>
          <cell r="C10" t="str">
            <v>21/02/2026</v>
          </cell>
          <cell r="D10" t="str">
            <v>19/03/2026</v>
          </cell>
          <cell r="E10" t="str">
            <v>781</v>
          </cell>
          <cell r="F10" t="str">
            <v>00010-260325_0823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>
    <tabColor rgb="FF92D050"/>
  </sheetPr>
  <dimension ref="A1:O10"/>
  <sheetViews>
    <sheetView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109375" customWidth="1"/>
    <col min="4" max="4" width="5" bestFit="1" customWidth="1"/>
    <col min="5" max="6" width="5" customWidth="1"/>
    <col min="7" max="10" width="11.88671875" customWidth="1"/>
    <col min="11" max="13" width="13.33203125" customWidth="1"/>
    <col min="14" max="14" width="75" hidden="1" customWidth="1"/>
  </cols>
  <sheetData>
    <row r="1" spans="1:15" x14ac:dyDescent="0.3">
      <c r="A1" s="3" t="s">
        <v>25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3</v>
      </c>
      <c r="H1" s="1" t="s">
        <v>28</v>
      </c>
      <c r="I1" s="4" t="s">
        <v>32</v>
      </c>
      <c r="J1" s="1" t="s">
        <v>29</v>
      </c>
      <c r="K1" s="1" t="s">
        <v>4</v>
      </c>
      <c r="L1" s="1" t="s">
        <v>30</v>
      </c>
      <c r="M1" s="1" t="s">
        <v>31</v>
      </c>
      <c r="N1" s="1" t="s">
        <v>5</v>
      </c>
      <c r="O1" s="1" t="s">
        <v>35</v>
      </c>
    </row>
    <row r="2" spans="1:15" x14ac:dyDescent="0.3">
      <c r="A2" t="s">
        <v>33</v>
      </c>
      <c r="B2" t="s">
        <v>6</v>
      </c>
      <c r="C2" t="s">
        <v>7</v>
      </c>
      <c r="D2">
        <v>92</v>
      </c>
      <c r="E2">
        <v>92</v>
      </c>
      <c r="F2" t="str">
        <f t="shared" ref="F2:F10" si="0">IF(D2=E2,"OK","Not")</f>
        <v>OK</v>
      </c>
      <c r="G2" s="2">
        <v>46079</v>
      </c>
      <c r="H2" s="2">
        <v>46079</v>
      </c>
      <c r="I2">
        <f t="shared" ref="I2:I9" si="1">H2-G2</f>
        <v>0</v>
      </c>
      <c r="J2" t="str">
        <f t="shared" ref="J2:J9" si="2">IF(H2=G2,"OK","Not")</f>
        <v>OK</v>
      </c>
      <c r="K2" s="2">
        <v>46088</v>
      </c>
      <c r="L2" s="2">
        <v>46088</v>
      </c>
      <c r="M2" t="str">
        <f t="shared" ref="M2:M10" si="3">IF(K2=L2,"OK","Not")</f>
        <v>OK</v>
      </c>
      <c r="N2" t="s">
        <v>8</v>
      </c>
      <c r="O2" t="s">
        <v>36</v>
      </c>
    </row>
    <row r="3" spans="1:15" x14ac:dyDescent="0.3">
      <c r="A3" t="s">
        <v>33</v>
      </c>
      <c r="B3" t="s">
        <v>9</v>
      </c>
      <c r="C3" t="s">
        <v>10</v>
      </c>
      <c r="D3">
        <v>2371</v>
      </c>
      <c r="E3">
        <v>2371</v>
      </c>
      <c r="F3" t="str">
        <f t="shared" si="0"/>
        <v>OK</v>
      </c>
      <c r="G3" s="2">
        <v>45985</v>
      </c>
      <c r="H3" s="2">
        <v>45985</v>
      </c>
      <c r="I3">
        <f t="shared" si="1"/>
        <v>0</v>
      </c>
      <c r="J3" t="str">
        <f t="shared" si="2"/>
        <v>OK</v>
      </c>
      <c r="K3" s="2">
        <v>46088</v>
      </c>
      <c r="L3" s="2">
        <v>46088</v>
      </c>
      <c r="M3" t="str">
        <f t="shared" si="3"/>
        <v>OK</v>
      </c>
      <c r="N3" t="s">
        <v>11</v>
      </c>
      <c r="O3" t="s">
        <v>36</v>
      </c>
    </row>
    <row r="4" spans="1:15" x14ac:dyDescent="0.3">
      <c r="A4" t="s">
        <v>34</v>
      </c>
      <c r="B4" t="s">
        <v>12</v>
      </c>
      <c r="C4" t="s">
        <v>13</v>
      </c>
      <c r="D4">
        <v>5056</v>
      </c>
      <c r="E4">
        <v>5056</v>
      </c>
      <c r="F4" t="str">
        <f t="shared" si="0"/>
        <v>OK</v>
      </c>
      <c r="G4" s="2">
        <v>46028</v>
      </c>
      <c r="H4" s="2">
        <v>46028</v>
      </c>
      <c r="I4">
        <f t="shared" si="1"/>
        <v>0</v>
      </c>
      <c r="J4" t="str">
        <f t="shared" si="2"/>
        <v>OK</v>
      </c>
      <c r="K4" s="2">
        <v>46084</v>
      </c>
      <c r="L4" s="2">
        <v>46084</v>
      </c>
      <c r="M4" t="str">
        <f t="shared" si="3"/>
        <v>OK</v>
      </c>
      <c r="N4" t="s">
        <v>14</v>
      </c>
      <c r="O4" t="s">
        <v>36</v>
      </c>
    </row>
    <row r="5" spans="1:15" x14ac:dyDescent="0.3">
      <c r="A5" t="s">
        <v>34</v>
      </c>
      <c r="B5" t="s">
        <v>15</v>
      </c>
      <c r="C5" t="s">
        <v>10</v>
      </c>
      <c r="D5">
        <v>1555</v>
      </c>
      <c r="E5">
        <v>1555</v>
      </c>
      <c r="F5" t="str">
        <f t="shared" si="0"/>
        <v>OK</v>
      </c>
      <c r="G5" s="2">
        <v>46044</v>
      </c>
      <c r="H5" s="2">
        <v>46044</v>
      </c>
      <c r="I5">
        <f t="shared" si="1"/>
        <v>0</v>
      </c>
      <c r="J5" t="str">
        <f t="shared" si="2"/>
        <v>OK</v>
      </c>
      <c r="K5" s="2">
        <v>46082</v>
      </c>
      <c r="L5" s="2">
        <v>46082</v>
      </c>
      <c r="M5" t="str">
        <f t="shared" si="3"/>
        <v>OK</v>
      </c>
      <c r="N5" t="s">
        <v>16</v>
      </c>
      <c r="O5" t="s">
        <v>36</v>
      </c>
    </row>
    <row r="6" spans="1:15" x14ac:dyDescent="0.3">
      <c r="A6" t="s">
        <v>34</v>
      </c>
      <c r="B6" t="s">
        <v>17</v>
      </c>
      <c r="C6" t="s">
        <v>13</v>
      </c>
      <c r="D6">
        <v>1852</v>
      </c>
      <c r="E6">
        <v>1852</v>
      </c>
      <c r="F6" t="str">
        <f t="shared" si="0"/>
        <v>OK</v>
      </c>
      <c r="G6" s="2">
        <v>45735</v>
      </c>
      <c r="H6" s="2">
        <v>45735</v>
      </c>
      <c r="I6">
        <f t="shared" si="1"/>
        <v>0</v>
      </c>
      <c r="J6" t="str">
        <f t="shared" si="2"/>
        <v>OK</v>
      </c>
      <c r="K6" s="2">
        <v>46083</v>
      </c>
      <c r="L6" s="2">
        <v>46083</v>
      </c>
      <c r="M6" t="str">
        <f t="shared" si="3"/>
        <v>OK</v>
      </c>
      <c r="N6" t="s">
        <v>18</v>
      </c>
      <c r="O6" t="s">
        <v>36</v>
      </c>
    </row>
    <row r="7" spans="1:15" x14ac:dyDescent="0.3">
      <c r="A7" t="s">
        <v>34</v>
      </c>
      <c r="B7" t="s">
        <v>19</v>
      </c>
      <c r="C7" t="s">
        <v>7</v>
      </c>
      <c r="D7">
        <v>944</v>
      </c>
      <c r="E7">
        <v>944</v>
      </c>
      <c r="F7" t="str">
        <f t="shared" si="0"/>
        <v>OK</v>
      </c>
      <c r="G7" s="2">
        <v>46062</v>
      </c>
      <c r="H7" s="2">
        <v>46062</v>
      </c>
      <c r="I7">
        <f t="shared" si="1"/>
        <v>0</v>
      </c>
      <c r="J7" t="str">
        <f t="shared" si="2"/>
        <v>OK</v>
      </c>
      <c r="K7" s="2">
        <v>46086</v>
      </c>
      <c r="L7" s="2">
        <v>46086</v>
      </c>
      <c r="M7" t="str">
        <f t="shared" si="3"/>
        <v>OK</v>
      </c>
      <c r="N7" t="s">
        <v>20</v>
      </c>
      <c r="O7" t="s">
        <v>36</v>
      </c>
    </row>
    <row r="8" spans="1:15" x14ac:dyDescent="0.3">
      <c r="A8" t="s">
        <v>33</v>
      </c>
      <c r="B8" t="s">
        <v>21</v>
      </c>
      <c r="C8" t="s">
        <v>13</v>
      </c>
      <c r="D8">
        <v>2951</v>
      </c>
      <c r="E8">
        <v>2951</v>
      </c>
      <c r="F8" t="str">
        <f t="shared" si="0"/>
        <v>OK</v>
      </c>
      <c r="G8" s="2">
        <v>45961</v>
      </c>
      <c r="H8" s="2">
        <v>45961</v>
      </c>
      <c r="I8">
        <f t="shared" si="1"/>
        <v>0</v>
      </c>
      <c r="J8" t="str">
        <f t="shared" si="2"/>
        <v>OK</v>
      </c>
      <c r="K8" s="2">
        <v>46090</v>
      </c>
      <c r="L8" s="2">
        <v>46090</v>
      </c>
      <c r="M8" t="str">
        <f t="shared" si="3"/>
        <v>OK</v>
      </c>
      <c r="N8" t="s">
        <v>22</v>
      </c>
      <c r="O8" t="s">
        <v>36</v>
      </c>
    </row>
    <row r="9" spans="1:15" x14ac:dyDescent="0.3">
      <c r="A9" t="s">
        <v>34</v>
      </c>
      <c r="B9" t="s">
        <v>23</v>
      </c>
      <c r="C9" t="s">
        <v>7</v>
      </c>
      <c r="D9">
        <v>1028</v>
      </c>
      <c r="E9">
        <v>1028</v>
      </c>
      <c r="F9" t="str">
        <f t="shared" si="0"/>
        <v>OK</v>
      </c>
      <c r="G9" s="2">
        <v>46053</v>
      </c>
      <c r="H9" s="2">
        <v>46053</v>
      </c>
      <c r="I9">
        <f t="shared" si="1"/>
        <v>0</v>
      </c>
      <c r="J9" t="str">
        <f t="shared" si="2"/>
        <v>OK</v>
      </c>
      <c r="K9" s="2">
        <v>46084</v>
      </c>
      <c r="L9" s="2">
        <v>46084</v>
      </c>
      <c r="M9" t="str">
        <f t="shared" si="3"/>
        <v>OK</v>
      </c>
      <c r="N9" t="s">
        <v>24</v>
      </c>
      <c r="O9" t="s">
        <v>36</v>
      </c>
    </row>
    <row r="10" spans="1:15" x14ac:dyDescent="0.3">
      <c r="A10" t="s">
        <v>33</v>
      </c>
      <c r="B10" t="s">
        <v>37</v>
      </c>
      <c r="C10" t="s">
        <v>10</v>
      </c>
      <c r="D10">
        <v>1874</v>
      </c>
      <c r="E10">
        <v>1874</v>
      </c>
      <c r="F10" t="str">
        <f t="shared" si="0"/>
        <v>OK</v>
      </c>
      <c r="G10" s="2">
        <v>46048</v>
      </c>
      <c r="H10" s="2">
        <v>46048</v>
      </c>
      <c r="I10">
        <f t="shared" ref="I10" si="4">H10-G10</f>
        <v>0</v>
      </c>
      <c r="J10" t="str">
        <f t="shared" ref="J10" si="5">IF(H10=G10,"OK","Not")</f>
        <v>OK</v>
      </c>
      <c r="K10" s="2">
        <v>46089</v>
      </c>
      <c r="L10" s="2">
        <v>46089</v>
      </c>
      <c r="M10" t="str">
        <f t="shared" si="3"/>
        <v>OK</v>
      </c>
      <c r="N10" t="s">
        <v>38</v>
      </c>
      <c r="O10" t="s">
        <v>36</v>
      </c>
    </row>
  </sheetData>
  <autoFilter ref="A1:O10" xr:uid="{F03D4818-817D-46B3-8BB8-85F6F99F16F3}">
    <sortState xmlns:xlrd2="http://schemas.microsoft.com/office/spreadsheetml/2017/richdata2" ref="A2:O9">
      <sortCondition ref="B1:B9"/>
    </sortState>
  </autoFilter>
  <conditionalFormatting sqref="B1:B9">
    <cfRule type="duplicateValues" dxfId="29" priority="11"/>
  </conditionalFormatting>
  <conditionalFormatting sqref="B1:B1048576">
    <cfRule type="duplicateValues" dxfId="28" priority="2"/>
  </conditionalFormatting>
  <conditionalFormatting sqref="D1:D1048576">
    <cfRule type="duplicateValues" dxfId="27" priority="1"/>
  </conditionalFormatting>
  <conditionalFormatting sqref="F1:F1048576">
    <cfRule type="containsText" dxfId="26" priority="7" operator="containsText" text="Not">
      <formula>NOT(ISERROR(SEARCH("Not",F1)))</formula>
    </cfRule>
    <cfRule type="containsText" dxfId="25" priority="8" operator="containsText" text="OK">
      <formula>NOT(ISERROR(SEARCH("OK",F1)))</formula>
    </cfRule>
  </conditionalFormatting>
  <conditionalFormatting sqref="J2:J10">
    <cfRule type="containsText" dxfId="24" priority="5" operator="containsText" text="Not">
      <formula>NOT(ISERROR(SEARCH("Not",J2)))</formula>
    </cfRule>
    <cfRule type="containsText" dxfId="23" priority="6" operator="containsText" text="OK">
      <formula>NOT(ISERROR(SEARCH("OK",J2)))</formula>
    </cfRule>
  </conditionalFormatting>
  <conditionalFormatting sqref="M2:M10">
    <cfRule type="containsText" dxfId="22" priority="3" operator="containsText" text="Not">
      <formula>NOT(ISERROR(SEARCH("Not",M2)))</formula>
    </cfRule>
    <cfRule type="containsText" dxfId="21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FC27-C74D-4F7C-9280-C8A3BC0C35B7}">
  <sheetPr>
    <tabColor rgb="FF92D050"/>
  </sheetPr>
  <dimension ref="A1:O10"/>
  <sheetViews>
    <sheetView zoomScale="85" zoomScaleNormal="85" workbookViewId="0">
      <selection activeCell="O1" sqref="O1"/>
    </sheetView>
  </sheetViews>
  <sheetFormatPr defaultRowHeight="14.4" x14ac:dyDescent="0.3"/>
  <cols>
    <col min="1" max="1" width="18" bestFit="1" customWidth="1"/>
    <col min="2" max="2" width="14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6.88671875" hidden="1" customWidth="1"/>
    <col min="15" max="15" width="6.33203125" bestFit="1" customWidth="1"/>
  </cols>
  <sheetData>
    <row r="1" spans="1:15" x14ac:dyDescent="0.3">
      <c r="A1" s="3" t="s">
        <v>25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3</v>
      </c>
      <c r="H1" s="1" t="s">
        <v>28</v>
      </c>
      <c r="I1" s="4" t="s">
        <v>32</v>
      </c>
      <c r="J1" s="1" t="s">
        <v>29</v>
      </c>
      <c r="K1" s="1" t="s">
        <v>4</v>
      </c>
      <c r="L1" s="1" t="s">
        <v>30</v>
      </c>
      <c r="M1" s="1" t="s">
        <v>31</v>
      </c>
      <c r="N1" s="1" t="s">
        <v>5</v>
      </c>
      <c r="O1" s="1" t="s">
        <v>39</v>
      </c>
    </row>
    <row r="2" spans="1:15" x14ac:dyDescent="0.3">
      <c r="A2" t="str">
        <f>VLOOKUP(B2,'[1]Report Detail KPB'!$A$2:$F$10,6,0)</f>
        <v>00010-260318_0857</v>
      </c>
      <c r="B2" t="s">
        <v>40</v>
      </c>
      <c r="C2" t="s">
        <v>10</v>
      </c>
      <c r="D2">
        <v>2398</v>
      </c>
      <c r="E2">
        <v>2398</v>
      </c>
      <c r="F2" t="str">
        <f t="shared" ref="F2:F10" si="0">IF(D2=E2,"OK","Not")</f>
        <v>OK</v>
      </c>
      <c r="G2" s="2">
        <v>45958</v>
      </c>
      <c r="H2" s="2">
        <v>45958</v>
      </c>
      <c r="I2">
        <f t="shared" ref="I2:I10" si="1">H2-G2</f>
        <v>0</v>
      </c>
      <c r="J2" t="str">
        <f t="shared" ref="J2:J10" si="2">IF(H2=G2,"OK","Not")</f>
        <v>OK</v>
      </c>
      <c r="K2" s="2">
        <v>46092</v>
      </c>
      <c r="L2" s="2">
        <v>46092</v>
      </c>
      <c r="M2" t="str">
        <f t="shared" ref="M2:M10" si="3">IF(K2=L2,"OK","Not")</f>
        <v>OK</v>
      </c>
      <c r="N2" t="s">
        <v>41</v>
      </c>
      <c r="O2" t="s">
        <v>36</v>
      </c>
    </row>
    <row r="3" spans="1:15" x14ac:dyDescent="0.3">
      <c r="A3" t="str">
        <f>VLOOKUP(B3,'[1]Report Detail KPB'!$A$2:$F$10,6,0)</f>
        <v>00010-260325_0823</v>
      </c>
      <c r="B3" t="s">
        <v>42</v>
      </c>
      <c r="C3" t="s">
        <v>7</v>
      </c>
      <c r="D3">
        <v>861</v>
      </c>
      <c r="E3">
        <v>861</v>
      </c>
      <c r="F3" t="str">
        <f t="shared" si="0"/>
        <v>OK</v>
      </c>
      <c r="G3" s="2">
        <v>46072</v>
      </c>
      <c r="H3" s="2">
        <v>46072</v>
      </c>
      <c r="I3">
        <f t="shared" si="1"/>
        <v>0</v>
      </c>
      <c r="J3" t="str">
        <f t="shared" si="2"/>
        <v>OK</v>
      </c>
      <c r="K3" s="2">
        <v>46098</v>
      </c>
      <c r="L3" s="2">
        <v>46098</v>
      </c>
      <c r="M3" t="str">
        <f t="shared" si="3"/>
        <v>OK</v>
      </c>
      <c r="N3" t="s">
        <v>43</v>
      </c>
      <c r="O3" t="s">
        <v>36</v>
      </c>
    </row>
    <row r="4" spans="1:15" x14ac:dyDescent="0.3">
      <c r="A4" t="str">
        <f>VLOOKUP(B4,'[1]Report Detail KPB'!$A$2:$F$10,6,0)</f>
        <v>00010-260325_0823</v>
      </c>
      <c r="B4" t="s">
        <v>44</v>
      </c>
      <c r="C4" t="s">
        <v>13</v>
      </c>
      <c r="D4">
        <v>3441</v>
      </c>
      <c r="E4">
        <v>3441</v>
      </c>
      <c r="F4" t="str">
        <f t="shared" si="0"/>
        <v>OK</v>
      </c>
      <c r="G4" s="2">
        <v>46008</v>
      </c>
      <c r="H4" s="2">
        <v>46008</v>
      </c>
      <c r="I4">
        <f t="shared" si="1"/>
        <v>0</v>
      </c>
      <c r="J4" t="str">
        <f t="shared" si="2"/>
        <v>OK</v>
      </c>
      <c r="K4" s="2">
        <v>46100</v>
      </c>
      <c r="L4" s="2">
        <v>46100</v>
      </c>
      <c r="M4" t="str">
        <f t="shared" si="3"/>
        <v>OK</v>
      </c>
      <c r="N4" t="s">
        <v>45</v>
      </c>
      <c r="O4" t="s">
        <v>36</v>
      </c>
    </row>
    <row r="5" spans="1:15" x14ac:dyDescent="0.3">
      <c r="A5" t="str">
        <f>VLOOKUP(B5,'[1]Report Detail KPB'!$A$2:$F$10,6,0)</f>
        <v>00010-260318_0857</v>
      </c>
      <c r="B5" t="s">
        <v>46</v>
      </c>
      <c r="C5" t="s">
        <v>10</v>
      </c>
      <c r="D5">
        <v>1443</v>
      </c>
      <c r="E5">
        <v>1443</v>
      </c>
      <c r="F5" t="str">
        <f t="shared" si="0"/>
        <v>OK</v>
      </c>
      <c r="G5" s="2">
        <v>46013</v>
      </c>
      <c r="H5" s="2">
        <v>46013</v>
      </c>
      <c r="I5">
        <f t="shared" si="1"/>
        <v>0</v>
      </c>
      <c r="J5" t="str">
        <f t="shared" si="2"/>
        <v>OK</v>
      </c>
      <c r="K5" s="2">
        <v>46092</v>
      </c>
      <c r="L5" s="2">
        <v>46092</v>
      </c>
      <c r="M5" t="str">
        <f t="shared" si="3"/>
        <v>OK</v>
      </c>
      <c r="N5" t="s">
        <v>47</v>
      </c>
      <c r="O5" t="s">
        <v>36</v>
      </c>
    </row>
    <row r="6" spans="1:15" x14ac:dyDescent="0.3">
      <c r="A6" t="str">
        <f>VLOOKUP(B6,'[1]Report Detail KPB'!$A$2:$F$10,6,0)</f>
        <v>00010-260318_0857</v>
      </c>
      <c r="B6" t="s">
        <v>48</v>
      </c>
      <c r="C6" t="s">
        <v>10</v>
      </c>
      <c r="D6">
        <v>3897</v>
      </c>
      <c r="E6">
        <v>3897</v>
      </c>
      <c r="F6" t="str">
        <f t="shared" si="0"/>
        <v>OK</v>
      </c>
      <c r="G6" s="2">
        <v>46013</v>
      </c>
      <c r="H6" s="2">
        <v>46013</v>
      </c>
      <c r="I6">
        <f t="shared" si="1"/>
        <v>0</v>
      </c>
      <c r="J6" t="str">
        <f t="shared" si="2"/>
        <v>OK</v>
      </c>
      <c r="K6" s="2">
        <v>46092</v>
      </c>
      <c r="L6" s="2">
        <v>46092</v>
      </c>
      <c r="M6" t="str">
        <f t="shared" si="3"/>
        <v>OK</v>
      </c>
      <c r="N6" t="s">
        <v>49</v>
      </c>
      <c r="O6" t="s">
        <v>36</v>
      </c>
    </row>
    <row r="7" spans="1:15" x14ac:dyDescent="0.3">
      <c r="A7" t="str">
        <f>VLOOKUP(B7,'[1]Report Detail KPB'!$A$2:$F$10,6,0)</f>
        <v>00010-260318_0857</v>
      </c>
      <c r="B7" t="s">
        <v>50</v>
      </c>
      <c r="C7" t="s">
        <v>51</v>
      </c>
      <c r="D7">
        <v>7692</v>
      </c>
      <c r="E7">
        <v>7692</v>
      </c>
      <c r="F7" t="str">
        <f t="shared" si="0"/>
        <v>OK</v>
      </c>
      <c r="G7" s="2">
        <v>46032</v>
      </c>
      <c r="H7" s="2">
        <v>46032</v>
      </c>
      <c r="I7">
        <f t="shared" si="1"/>
        <v>0</v>
      </c>
      <c r="J7" t="str">
        <f t="shared" si="2"/>
        <v>OK</v>
      </c>
      <c r="K7" s="2">
        <v>46094</v>
      </c>
      <c r="L7" s="2">
        <v>46094</v>
      </c>
      <c r="M7" t="str">
        <f t="shared" si="3"/>
        <v>OK</v>
      </c>
      <c r="N7" t="s">
        <v>52</v>
      </c>
      <c r="O7" t="s">
        <v>36</v>
      </c>
    </row>
    <row r="8" spans="1:15" x14ac:dyDescent="0.3">
      <c r="A8" t="str">
        <f>VLOOKUP(B8,'[1]Report Detail KPB'!$A$2:$F$10,6,0)</f>
        <v>00010-260325_0823</v>
      </c>
      <c r="B8" t="s">
        <v>53</v>
      </c>
      <c r="C8" t="s">
        <v>13</v>
      </c>
      <c r="D8">
        <v>6463</v>
      </c>
      <c r="E8">
        <v>6463</v>
      </c>
      <c r="F8" t="str">
        <f t="shared" si="0"/>
        <v>OK</v>
      </c>
      <c r="G8" s="2">
        <v>45883</v>
      </c>
      <c r="H8" s="2">
        <v>45883</v>
      </c>
      <c r="I8">
        <f t="shared" si="1"/>
        <v>0</v>
      </c>
      <c r="J8" t="str">
        <f t="shared" si="2"/>
        <v>OK</v>
      </c>
      <c r="K8" s="2">
        <v>46099</v>
      </c>
      <c r="L8" s="2">
        <v>46099</v>
      </c>
      <c r="M8" t="str">
        <f t="shared" si="3"/>
        <v>OK</v>
      </c>
      <c r="N8" t="s">
        <v>54</v>
      </c>
      <c r="O8" t="s">
        <v>36</v>
      </c>
    </row>
    <row r="9" spans="1:15" x14ac:dyDescent="0.3">
      <c r="A9" t="str">
        <f>VLOOKUP(B9,'[1]Report Detail KPB'!$A$2:$F$10,6,0)</f>
        <v>00010-260325_0823</v>
      </c>
      <c r="B9" t="s">
        <v>55</v>
      </c>
      <c r="C9" t="s">
        <v>7</v>
      </c>
      <c r="D9">
        <v>852</v>
      </c>
      <c r="E9">
        <v>852</v>
      </c>
      <c r="F9" t="str">
        <f t="shared" si="0"/>
        <v>OK</v>
      </c>
      <c r="G9" s="2">
        <v>46060</v>
      </c>
      <c r="H9" s="2">
        <v>46060</v>
      </c>
      <c r="I9">
        <f t="shared" si="1"/>
        <v>0</v>
      </c>
      <c r="J9" t="str">
        <f t="shared" si="2"/>
        <v>OK</v>
      </c>
      <c r="K9" s="2">
        <v>46100</v>
      </c>
      <c r="L9" s="2">
        <v>46100</v>
      </c>
      <c r="M9" t="str">
        <f t="shared" si="3"/>
        <v>OK</v>
      </c>
      <c r="N9" t="s">
        <v>56</v>
      </c>
      <c r="O9" t="s">
        <v>36</v>
      </c>
    </row>
    <row r="10" spans="1:15" x14ac:dyDescent="0.3">
      <c r="A10" t="str">
        <f>VLOOKUP(B10,'[1]Report Detail KPB'!$A$2:$F$10,6,0)</f>
        <v>00010-260325_0823</v>
      </c>
      <c r="B10" t="s">
        <v>57</v>
      </c>
      <c r="C10" t="s">
        <v>7</v>
      </c>
      <c r="D10">
        <v>781</v>
      </c>
      <c r="E10">
        <v>781</v>
      </c>
      <c r="F10" t="str">
        <f t="shared" si="0"/>
        <v>OK</v>
      </c>
      <c r="G10" s="2">
        <v>46074</v>
      </c>
      <c r="H10" s="2">
        <v>46074</v>
      </c>
      <c r="I10">
        <f t="shared" si="1"/>
        <v>0</v>
      </c>
      <c r="J10" t="str">
        <f t="shared" si="2"/>
        <v>OK</v>
      </c>
      <c r="K10" s="2">
        <v>46100</v>
      </c>
      <c r="L10" s="2">
        <v>46100</v>
      </c>
      <c r="M10" t="str">
        <f t="shared" si="3"/>
        <v>OK</v>
      </c>
      <c r="N10" t="s">
        <v>58</v>
      </c>
      <c r="O10" t="s">
        <v>36</v>
      </c>
    </row>
  </sheetData>
  <autoFilter ref="A1:O10" xr:uid="{CA63FC27-C74D-4F7C-9280-C8A3BC0C35B7}"/>
  <conditionalFormatting sqref="B1:B1048576">
    <cfRule type="duplicateValues" dxfId="20" priority="2"/>
    <cfRule type="duplicateValues" dxfId="19" priority="9"/>
  </conditionalFormatting>
  <conditionalFormatting sqref="D1:D1048576">
    <cfRule type="duplicateValues" dxfId="18" priority="1"/>
  </conditionalFormatting>
  <conditionalFormatting sqref="F1:F1048576">
    <cfRule type="containsText" dxfId="17" priority="7" operator="containsText" text="Not">
      <formula>NOT(ISERROR(SEARCH("Not",F1)))</formula>
    </cfRule>
    <cfRule type="containsText" dxfId="16" priority="8" operator="containsText" text="OK">
      <formula>NOT(ISERROR(SEARCH("OK",F1)))</formula>
    </cfRule>
  </conditionalFormatting>
  <conditionalFormatting sqref="J2:J10">
    <cfRule type="containsText" dxfId="15" priority="3" operator="containsText" text="Not">
      <formula>NOT(ISERROR(SEARCH("Not",J2)))</formula>
    </cfRule>
    <cfRule type="containsText" dxfId="14" priority="4" operator="containsText" text="OK">
      <formula>NOT(ISERROR(SEARCH("OK",J2)))</formula>
    </cfRule>
  </conditionalFormatting>
  <conditionalFormatting sqref="M2:M10">
    <cfRule type="containsText" dxfId="13" priority="5" operator="containsText" text="Not">
      <formula>NOT(ISERROR(SEARCH("Not",M2)))</formula>
    </cfRule>
    <cfRule type="containsText" dxfId="12" priority="6" operator="containsText" text="OK">
      <formula>NOT(ISERROR(SEARCH("OK",M2)))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E266-4092-4C26-8DAD-60D611839055}">
  <sheetPr>
    <tabColor theme="8" tint="-0.499984740745262"/>
  </sheetPr>
  <dimension ref="A1:G12"/>
  <sheetViews>
    <sheetView workbookViewId="0">
      <selection activeCell="H2" sqref="H2"/>
    </sheetView>
  </sheetViews>
  <sheetFormatPr defaultRowHeight="14.4" x14ac:dyDescent="0.3"/>
  <cols>
    <col min="1" max="1" width="17.6640625" bestFit="1" customWidth="1"/>
    <col min="2" max="2" width="14.88671875" customWidth="1"/>
    <col min="4" max="4" width="11.33203125" customWidth="1"/>
  </cols>
  <sheetData>
    <row r="1" spans="1:7" x14ac:dyDescent="0.3">
      <c r="A1" s="3" t="s">
        <v>25</v>
      </c>
      <c r="B1" s="1" t="s">
        <v>0</v>
      </c>
      <c r="C1" s="1" t="s">
        <v>1</v>
      </c>
      <c r="D1" s="1" t="s">
        <v>28</v>
      </c>
      <c r="E1" s="1" t="s">
        <v>30</v>
      </c>
      <c r="F1" s="1" t="s">
        <v>26</v>
      </c>
      <c r="G1" s="1" t="s">
        <v>39</v>
      </c>
    </row>
    <row r="2" spans="1:7" ht="26.4" x14ac:dyDescent="0.3">
      <c r="A2" s="10" t="s">
        <v>64</v>
      </c>
      <c r="B2" s="8" t="s">
        <v>59</v>
      </c>
      <c r="C2" s="5" t="s">
        <v>60</v>
      </c>
      <c r="D2" s="5" t="s">
        <v>61</v>
      </c>
      <c r="E2" s="5" t="s">
        <v>62</v>
      </c>
      <c r="F2" s="6" t="s">
        <v>63</v>
      </c>
      <c r="G2" s="7" t="s">
        <v>65</v>
      </c>
    </row>
    <row r="12" spans="1:7" x14ac:dyDescent="0.3">
      <c r="D12" s="9"/>
    </row>
  </sheetData>
  <autoFilter ref="B1:G1" xr:uid="{2A05E266-4092-4C26-8DAD-60D611839055}"/>
  <conditionalFormatting sqref="B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95B2-FE3F-4336-8408-A407631A5943}">
  <dimension ref="A1:O8"/>
  <sheetViews>
    <sheetView tabSelected="1" workbookViewId="0">
      <pane ySplit="1" topLeftCell="A3" activePane="bottomLeft" state="frozen"/>
      <selection pane="bottomLeft" activeCell="G24" sqref="G24"/>
    </sheetView>
  </sheetViews>
  <sheetFormatPr defaultColWidth="9.44140625" defaultRowHeight="14.4" x14ac:dyDescent="0.3"/>
  <cols>
    <col min="1" max="1" width="19.33203125" style="13" bestFit="1" customWidth="1"/>
    <col min="2" max="2" width="13.88671875" style="13" bestFit="1" customWidth="1"/>
    <col min="3" max="3" width="9.33203125" style="13" bestFit="1" customWidth="1"/>
    <col min="4" max="4" width="5" style="13" bestFit="1" customWidth="1"/>
    <col min="5" max="6" width="5" style="13" customWidth="1"/>
    <col min="7" max="10" width="11.88671875" style="13" customWidth="1"/>
    <col min="11" max="13" width="13.33203125" style="13" customWidth="1"/>
    <col min="14" max="14" width="79.5546875" style="13" hidden="1" customWidth="1"/>
    <col min="15" max="16384" width="9.44140625" style="13"/>
  </cols>
  <sheetData>
    <row r="1" spans="1:15" x14ac:dyDescent="0.3">
      <c r="A1" s="11" t="s">
        <v>25</v>
      </c>
      <c r="B1" s="11" t="s">
        <v>0</v>
      </c>
      <c r="C1" s="11" t="s">
        <v>1</v>
      </c>
      <c r="D1" s="11" t="s">
        <v>2</v>
      </c>
      <c r="E1" s="11" t="s">
        <v>26</v>
      </c>
      <c r="F1" s="11" t="s">
        <v>27</v>
      </c>
      <c r="G1" s="11" t="s">
        <v>3</v>
      </c>
      <c r="H1" s="11" t="s">
        <v>28</v>
      </c>
      <c r="I1" s="12" t="s">
        <v>32</v>
      </c>
      <c r="J1" s="11" t="s">
        <v>29</v>
      </c>
      <c r="K1" s="11" t="s">
        <v>4</v>
      </c>
      <c r="L1" s="11" t="s">
        <v>30</v>
      </c>
      <c r="M1" s="11" t="s">
        <v>31</v>
      </c>
      <c r="N1" s="11" t="s">
        <v>5</v>
      </c>
      <c r="O1" s="11" t="s">
        <v>39</v>
      </c>
    </row>
    <row r="2" spans="1:15" x14ac:dyDescent="0.3">
      <c r="A2" s="13" t="s">
        <v>66</v>
      </c>
      <c r="B2" s="13" t="s">
        <v>67</v>
      </c>
      <c r="C2" s="13" t="s">
        <v>7</v>
      </c>
      <c r="D2" s="13">
        <v>886</v>
      </c>
      <c r="E2" s="13">
        <v>886</v>
      </c>
      <c r="F2" s="13" t="str">
        <f t="shared" ref="F2:F8" si="0">IF(D2=E2,"OK","Not")</f>
        <v>OK</v>
      </c>
      <c r="G2" s="14">
        <v>46039</v>
      </c>
      <c r="H2" s="14">
        <v>46039</v>
      </c>
      <c r="I2" s="13">
        <f t="shared" ref="I2:I8" si="1">H2-G2</f>
        <v>0</v>
      </c>
      <c r="J2" s="13" t="str">
        <f t="shared" ref="J2:J8" si="2">IF(H2=G2,"OK","Not")</f>
        <v>OK</v>
      </c>
      <c r="K2" s="14">
        <v>46061</v>
      </c>
      <c r="L2" s="14">
        <v>46061</v>
      </c>
      <c r="M2" s="13" t="str">
        <f t="shared" ref="M2:M8" si="3">IF(K2=L2,"OK","Not")</f>
        <v>OK</v>
      </c>
      <c r="N2" s="13" t="s">
        <v>68</v>
      </c>
      <c r="O2" s="15" t="s">
        <v>36</v>
      </c>
    </row>
    <row r="3" spans="1:15" x14ac:dyDescent="0.3">
      <c r="A3" s="13" t="s">
        <v>66</v>
      </c>
      <c r="B3" s="13" t="s">
        <v>69</v>
      </c>
      <c r="C3" s="13" t="s">
        <v>10</v>
      </c>
      <c r="D3" s="13">
        <v>3576</v>
      </c>
      <c r="E3" s="13">
        <v>3546</v>
      </c>
      <c r="F3" s="13" t="str">
        <f t="shared" si="0"/>
        <v>Not</v>
      </c>
      <c r="G3" s="14">
        <v>45961</v>
      </c>
      <c r="H3" s="14">
        <v>45961</v>
      </c>
      <c r="I3" s="13">
        <f t="shared" si="1"/>
        <v>0</v>
      </c>
      <c r="J3" s="13" t="str">
        <f t="shared" si="2"/>
        <v>OK</v>
      </c>
      <c r="K3" s="14">
        <v>46077</v>
      </c>
      <c r="L3" s="14">
        <v>46077</v>
      </c>
      <c r="M3" s="13" t="str">
        <f t="shared" si="3"/>
        <v>OK</v>
      </c>
      <c r="N3" s="13" t="s">
        <v>70</v>
      </c>
      <c r="O3" s="15" t="s">
        <v>71</v>
      </c>
    </row>
    <row r="4" spans="1:15" x14ac:dyDescent="0.3">
      <c r="A4" s="13" t="s">
        <v>66</v>
      </c>
      <c r="B4" s="13" t="s">
        <v>72</v>
      </c>
      <c r="C4" s="13" t="s">
        <v>51</v>
      </c>
      <c r="D4" s="13">
        <v>4826</v>
      </c>
      <c r="E4" s="13">
        <v>4826</v>
      </c>
      <c r="F4" s="13" t="str">
        <f t="shared" si="0"/>
        <v>OK</v>
      </c>
      <c r="G4" s="14">
        <v>45930</v>
      </c>
      <c r="H4" s="14">
        <v>45930</v>
      </c>
      <c r="I4" s="13">
        <f t="shared" si="1"/>
        <v>0</v>
      </c>
      <c r="J4" s="13" t="str">
        <f t="shared" si="2"/>
        <v>OK</v>
      </c>
      <c r="K4" s="14">
        <v>46075</v>
      </c>
      <c r="L4" s="14">
        <v>46075</v>
      </c>
      <c r="M4" s="13" t="str">
        <f t="shared" si="3"/>
        <v>OK</v>
      </c>
      <c r="N4" s="13" t="s">
        <v>73</v>
      </c>
      <c r="O4" s="15" t="s">
        <v>36</v>
      </c>
    </row>
    <row r="5" spans="1:15" x14ac:dyDescent="0.3">
      <c r="A5" s="13" t="s">
        <v>66</v>
      </c>
      <c r="B5" s="13" t="s">
        <v>74</v>
      </c>
      <c r="C5" s="13" t="s">
        <v>10</v>
      </c>
      <c r="D5" s="13">
        <v>2647</v>
      </c>
      <c r="E5" s="13">
        <v>2647</v>
      </c>
      <c r="F5" s="13" t="str">
        <f t="shared" si="0"/>
        <v>OK</v>
      </c>
      <c r="G5" s="14">
        <v>45994</v>
      </c>
      <c r="H5" s="14">
        <v>45994</v>
      </c>
      <c r="I5" s="13">
        <f t="shared" si="1"/>
        <v>0</v>
      </c>
      <c r="J5" s="13" t="str">
        <f t="shared" si="2"/>
        <v>OK</v>
      </c>
      <c r="K5" s="14">
        <v>46075</v>
      </c>
      <c r="L5" s="14">
        <v>46075</v>
      </c>
      <c r="M5" s="13" t="str">
        <f t="shared" si="3"/>
        <v>OK</v>
      </c>
      <c r="N5" s="13" t="s">
        <v>75</v>
      </c>
      <c r="O5" s="15" t="s">
        <v>36</v>
      </c>
    </row>
    <row r="6" spans="1:15" x14ac:dyDescent="0.3">
      <c r="A6" s="13" t="s">
        <v>66</v>
      </c>
      <c r="B6" s="13" t="s">
        <v>12</v>
      </c>
      <c r="C6" s="13" t="s">
        <v>10</v>
      </c>
      <c r="D6" s="13">
        <v>2967</v>
      </c>
      <c r="E6" s="13">
        <v>2967</v>
      </c>
      <c r="F6" s="13" t="str">
        <f t="shared" si="0"/>
        <v>OK</v>
      </c>
      <c r="G6" s="14">
        <v>46028</v>
      </c>
      <c r="H6" s="14">
        <v>46028</v>
      </c>
      <c r="I6" s="13">
        <f t="shared" si="1"/>
        <v>0</v>
      </c>
      <c r="J6" s="13" t="str">
        <f t="shared" si="2"/>
        <v>OK</v>
      </c>
      <c r="K6" s="14">
        <v>46062</v>
      </c>
      <c r="L6" s="14">
        <v>46062</v>
      </c>
      <c r="M6" s="13" t="str">
        <f t="shared" si="3"/>
        <v>OK</v>
      </c>
      <c r="N6" s="13" t="s">
        <v>76</v>
      </c>
      <c r="O6" s="15" t="s">
        <v>36</v>
      </c>
    </row>
    <row r="7" spans="1:15" x14ac:dyDescent="0.3">
      <c r="A7" s="13" t="s">
        <v>66</v>
      </c>
      <c r="B7" s="13" t="s">
        <v>77</v>
      </c>
      <c r="C7" s="13" t="s">
        <v>13</v>
      </c>
      <c r="D7" s="13">
        <v>2447</v>
      </c>
      <c r="E7" s="13">
        <v>2447</v>
      </c>
      <c r="F7" s="13" t="str">
        <f t="shared" si="0"/>
        <v>OK</v>
      </c>
      <c r="G7" s="14">
        <v>46015</v>
      </c>
      <c r="H7" s="14">
        <v>46015</v>
      </c>
      <c r="I7" s="13">
        <f t="shared" si="1"/>
        <v>0</v>
      </c>
      <c r="J7" s="13" t="str">
        <f t="shared" si="2"/>
        <v>OK</v>
      </c>
      <c r="K7" s="14">
        <v>46076</v>
      </c>
      <c r="L7" s="14">
        <v>46076</v>
      </c>
      <c r="M7" s="13" t="str">
        <f t="shared" si="3"/>
        <v>OK</v>
      </c>
      <c r="N7" s="13" t="s">
        <v>78</v>
      </c>
      <c r="O7" s="15" t="s">
        <v>36</v>
      </c>
    </row>
    <row r="8" spans="1:15" x14ac:dyDescent="0.3">
      <c r="A8" s="15" t="s">
        <v>66</v>
      </c>
      <c r="B8" s="13" t="s">
        <v>79</v>
      </c>
      <c r="C8" s="13" t="s">
        <v>10</v>
      </c>
      <c r="D8" s="13">
        <v>2140</v>
      </c>
      <c r="E8" s="13">
        <v>2140</v>
      </c>
      <c r="F8" s="13" t="str">
        <f t="shared" si="0"/>
        <v>OK</v>
      </c>
      <c r="G8" s="14">
        <v>45989</v>
      </c>
      <c r="H8" s="14">
        <v>45989</v>
      </c>
      <c r="I8" s="13">
        <f t="shared" si="1"/>
        <v>0</v>
      </c>
      <c r="J8" s="13" t="str">
        <f t="shared" si="2"/>
        <v>OK</v>
      </c>
      <c r="K8" s="14">
        <v>46063</v>
      </c>
      <c r="L8" s="14">
        <v>46063</v>
      </c>
      <c r="M8" s="13" t="str">
        <f t="shared" si="3"/>
        <v>OK</v>
      </c>
      <c r="N8" s="13" t="s">
        <v>80</v>
      </c>
      <c r="O8" s="15" t="s">
        <v>36</v>
      </c>
    </row>
  </sheetData>
  <autoFilter ref="A1:O8" xr:uid="{E637A73D-EA93-47E8-A8A3-B43D14A581A3}">
    <sortState xmlns:xlrd2="http://schemas.microsoft.com/office/spreadsheetml/2017/richdata2" ref="A2:O8">
      <sortCondition ref="B1:B8"/>
    </sortState>
  </autoFilter>
  <conditionalFormatting sqref="B1:B8">
    <cfRule type="duplicateValues" dxfId="9" priority="10"/>
  </conditionalFormatting>
  <conditionalFormatting sqref="B1:B1048576">
    <cfRule type="duplicateValues" dxfId="8" priority="3"/>
  </conditionalFormatting>
  <conditionalFormatting sqref="D1:D1048576">
    <cfRule type="duplicateValues" dxfId="7" priority="1"/>
    <cfRule type="duplicateValues" dxfId="6" priority="2"/>
  </conditionalFormatting>
  <conditionalFormatting sqref="F2:F8">
    <cfRule type="containsText" dxfId="5" priority="8" operator="containsText" text="Not">
      <formula>NOT(ISERROR(SEARCH("Not",F2)))</formula>
    </cfRule>
    <cfRule type="containsText" dxfId="4" priority="9" operator="containsText" text="OK">
      <formula>NOT(ISERROR(SEARCH("OK",F2)))</formula>
    </cfRule>
  </conditionalFormatting>
  <conditionalFormatting sqref="J2:J8">
    <cfRule type="containsText" dxfId="3" priority="4" operator="containsText" text="Not">
      <formula>NOT(ISERROR(SEARCH("Not",J2)))</formula>
    </cfRule>
    <cfRule type="containsText" dxfId="2" priority="5" operator="containsText" text="OK">
      <formula>NOT(ISERROR(SEARCH("OK",J2)))</formula>
    </cfRule>
  </conditionalFormatting>
  <conditionalFormatting sqref="M2:M8">
    <cfRule type="containsText" dxfId="1" priority="6" operator="containsText" text="Not">
      <formula>NOT(ISERROR(SEARCH("Not",M2)))</formula>
    </cfRule>
    <cfRule type="containsText" dxfId="0" priority="7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1-10 Mar</vt:lpstr>
      <vt:lpstr>11-20 Mar</vt:lpstr>
      <vt:lpstr>00010-260327_0952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2026-03-31T02:16:00Z</dcterms:modified>
</cp:coreProperties>
</file>