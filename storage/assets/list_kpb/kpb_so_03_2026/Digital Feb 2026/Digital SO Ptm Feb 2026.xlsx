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 Feb 2026\"/>
    </mc:Choice>
  </mc:AlternateContent>
  <xr:revisionPtr revIDLastSave="0" documentId="13_ncr:1_{235468B5-7B4A-4553-88D5-A12DF10CBD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-10 Feb" sheetId="4" r:id="rId1"/>
    <sheet name="11-20 Feb" sheetId="6" r:id="rId2"/>
    <sheet name="21-28 Feb" sheetId="7" r:id="rId3"/>
  </sheets>
  <definedNames>
    <definedName name="_xlnm._FilterDatabase" localSheetId="0" hidden="1">'1-10 Feb'!$A$1:$O$4</definedName>
    <definedName name="_xlnm._FilterDatabase" localSheetId="1" hidden="1">'11-20 Feb'!$A$1:$O$6</definedName>
    <definedName name="_xlnm._FilterDatabase" localSheetId="2" hidden="1">'21-28 Feb'!$A$1:$O$8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2" i="7"/>
  <c r="J5" i="7"/>
  <c r="J3" i="7"/>
  <c r="J4" i="7"/>
  <c r="J6" i="7"/>
  <c r="J7" i="7"/>
  <c r="J8" i="7"/>
  <c r="J2" i="7"/>
  <c r="M4" i="7"/>
  <c r="M8" i="7"/>
  <c r="M7" i="7"/>
  <c r="M6" i="7"/>
  <c r="M5" i="7"/>
  <c r="M3" i="7"/>
  <c r="M2" i="7"/>
  <c r="F3" i="7"/>
  <c r="F4" i="7"/>
  <c r="F5" i="7"/>
  <c r="F6" i="7"/>
  <c r="F7" i="7"/>
  <c r="F8" i="7"/>
  <c r="F2" i="7"/>
  <c r="M5" i="6"/>
  <c r="M6" i="6"/>
  <c r="I5" i="6"/>
  <c r="J5" i="6"/>
  <c r="I6" i="6"/>
  <c r="J6" i="6"/>
  <c r="F2" i="6"/>
  <c r="F5" i="6"/>
  <c r="F6" i="6"/>
  <c r="I4" i="6"/>
  <c r="F3" i="6"/>
  <c r="F4" i="6"/>
  <c r="M4" i="6"/>
  <c r="J4" i="6"/>
  <c r="M3" i="6"/>
  <c r="J3" i="6"/>
  <c r="I3" i="6"/>
  <c r="J3" i="4" l="1"/>
  <c r="J4" i="4"/>
  <c r="J2" i="4"/>
  <c r="I3" i="4"/>
  <c r="I4" i="4"/>
  <c r="I2" i="4"/>
  <c r="M2" i="4"/>
  <c r="M4" i="4"/>
  <c r="M3" i="4"/>
  <c r="F3" i="4"/>
  <c r="F4" i="4"/>
  <c r="F2" i="4"/>
  <c r="J2" i="6" l="1"/>
  <c r="I2" i="6"/>
  <c r="M2" i="6" s="1"/>
</calcChain>
</file>

<file path=xl/sharedStrings.xml><?xml version="1.0" encoding="utf-8"?>
<sst xmlns="http://schemas.openxmlformats.org/spreadsheetml/2006/main" count="120" uniqueCount="56">
  <si>
    <t>no_mesin</t>
  </si>
  <si>
    <t>kpb_type</t>
  </si>
  <si>
    <t>km</t>
  </si>
  <si>
    <t>tanggal_beli</t>
  </si>
  <si>
    <t>tanggal_claim</t>
  </si>
  <si>
    <t>photo_url</t>
  </si>
  <si>
    <t>KPB2</t>
  </si>
  <si>
    <t>KPB3</t>
  </si>
  <si>
    <t>JMC1E1689845</t>
  </si>
  <si>
    <t>https://squarix.modakita.com//m2tf6l//avatar/21305051120260205083443RFNOJP.jpg</t>
  </si>
  <si>
    <t>JMH2E1502057</t>
  </si>
  <si>
    <t>https://squarix.modakita.com//m2tf6l//avatar/21462247420260203110133KMYKN5.jpg</t>
  </si>
  <si>
    <t>JMG1E1635783</t>
  </si>
  <si>
    <t>https://squarix.modakita.com//m2tf6l//avatar/21490048020260203075639QTEFJY.jpg</t>
  </si>
  <si>
    <t>noted</t>
  </si>
  <si>
    <t>No. Surat Klaim</t>
  </si>
  <si>
    <t>00010-260207_1101</t>
  </si>
  <si>
    <t>KM STAR</t>
  </si>
  <si>
    <t>Cek KM</t>
  </si>
  <si>
    <t>Tglb STAR</t>
  </si>
  <si>
    <t>Selisih</t>
  </si>
  <si>
    <t>Cek Tglb</t>
  </si>
  <si>
    <t>Tgls STAR</t>
  </si>
  <si>
    <t>Cek Tgls</t>
  </si>
  <si>
    <t>Tgl di speedo tidak sesuai dgn tgl servis</t>
  </si>
  <si>
    <t>Ok (tidak ada fisik)</t>
  </si>
  <si>
    <t>JBP1E2115528</t>
  </si>
  <si>
    <t>JMH2E1682867</t>
  </si>
  <si>
    <t>KPB1</t>
  </si>
  <si>
    <t>JMK1E1017986</t>
  </si>
  <si>
    <t>KF01E1991306</t>
  </si>
  <si>
    <t>KFE3E1080617</t>
  </si>
  <si>
    <t>https://hana.modakita.com/azd942/avatar/21497222020260216133750HMZWVZ.jpg</t>
  </si>
  <si>
    <t>https://hana.modakita.com/azd942/avatar/21094086920260218130052BJIEWV.jpg</t>
  </si>
  <si>
    <t>https://hana.modakita.com/azd942/avatar/21486710520260214134619ODVNEO.jpg</t>
  </si>
  <si>
    <t>https://hana.modakita.com/azd942/avatar/21094086920260216140634DLRWTH.jpg</t>
  </si>
  <si>
    <t>https://hana.modakita.com/azd942/avatar/21472651220260217100531VXUSJ9.jpg</t>
  </si>
  <si>
    <t>00010-260221_1331</t>
  </si>
  <si>
    <t>00010-260216_1300</t>
  </si>
  <si>
    <t>JMB1E1233406</t>
  </si>
  <si>
    <t>https://squarix.modakita.com//m2tf6l//avatar/21478867820260208131508C7KJGM.jpg</t>
  </si>
  <si>
    <t>JMC1E1756621</t>
  </si>
  <si>
    <t>https://hana.modakita.com/azd942/avatar/2426598920260224145146JJUAT2.jpg</t>
  </si>
  <si>
    <t>JME1E1674428</t>
  </si>
  <si>
    <t>KPB4</t>
  </si>
  <si>
    <t>https://hana.modakita.com/azd942/avatar/2426598920260222101515LD99MN.jpg</t>
  </si>
  <si>
    <t>JMH2E1556602</t>
  </si>
  <si>
    <t>https://hana.modakita.com/azd942/avatar/21456618820260222103654AITX7N.jpg</t>
  </si>
  <si>
    <t>JMJ1E1008200</t>
  </si>
  <si>
    <t>https://squarix.modakita.com//m2tf6l//avatar/21482579720260209121912MZXONH.jpg</t>
  </si>
  <si>
    <t>KC04E1029921</t>
  </si>
  <si>
    <t>https://hana.modakita.com/azd942/avatar/2739576820260223143344KFXHAS.jpg</t>
  </si>
  <si>
    <t>KFD1E1202839</t>
  </si>
  <si>
    <t>https://squarix.modakita.com//m2tf6l//avatar/21484260120260210121226QHDUTE.jpg</t>
  </si>
  <si>
    <t>00010-260227_1053</t>
  </si>
  <si>
    <t>Salah KM di 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</si>
</sst>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80CD-6844-44B1-9A0C-D639B427B483}">
  <sheetPr filterMode="1"/>
  <dimension ref="A1:O4"/>
  <sheetViews>
    <sheetView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80" hidden="1" customWidth="1"/>
    <col min="15" max="15" width="6.33203125" bestFit="1" customWidth="1"/>
  </cols>
  <sheetData>
    <row r="1" spans="1:1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18</v>
      </c>
      <c r="G1" s="1" t="s">
        <v>3</v>
      </c>
      <c r="H1" s="1" t="s">
        <v>19</v>
      </c>
      <c r="I1" s="4" t="s">
        <v>20</v>
      </c>
      <c r="J1" s="1" t="s">
        <v>21</v>
      </c>
      <c r="K1" s="1" t="s">
        <v>4</v>
      </c>
      <c r="L1" s="1" t="s">
        <v>22</v>
      </c>
      <c r="M1" s="1" t="s">
        <v>23</v>
      </c>
      <c r="N1" s="1" t="s">
        <v>5</v>
      </c>
      <c r="O1" s="1" t="s">
        <v>14</v>
      </c>
    </row>
    <row r="2" spans="1:15" hidden="1" x14ac:dyDescent="0.3">
      <c r="A2" t="s">
        <v>16</v>
      </c>
      <c r="B2" t="s">
        <v>10</v>
      </c>
      <c r="C2" t="s">
        <v>7</v>
      </c>
      <c r="D2">
        <v>2822</v>
      </c>
      <c r="E2">
        <v>2822</v>
      </c>
      <c r="F2" t="str">
        <f>IF(D2=E2,"OK","Not")</f>
        <v>OK</v>
      </c>
      <c r="G2" s="2">
        <v>45969</v>
      </c>
      <c r="H2" s="2">
        <v>45969</v>
      </c>
      <c r="I2">
        <f>H2-G2</f>
        <v>0</v>
      </c>
      <c r="J2" t="str">
        <f>IF(H2=G2,"OK","Not")</f>
        <v>OK</v>
      </c>
      <c r="K2" s="2">
        <v>46056</v>
      </c>
      <c r="L2" s="2">
        <v>46056</v>
      </c>
      <c r="M2" t="str">
        <f>IF(K2=L2,"OK","Not")</f>
        <v>OK</v>
      </c>
      <c r="N2" s="3" t="s">
        <v>11</v>
      </c>
      <c r="O2" s="3" t="s">
        <v>25</v>
      </c>
    </row>
    <row r="3" spans="1:15" hidden="1" x14ac:dyDescent="0.3">
      <c r="A3" t="s">
        <v>16</v>
      </c>
      <c r="B3" t="s">
        <v>12</v>
      </c>
      <c r="C3" t="s">
        <v>6</v>
      </c>
      <c r="D3">
        <v>1620</v>
      </c>
      <c r="E3">
        <v>1620</v>
      </c>
      <c r="F3" t="str">
        <f t="shared" ref="F3:F4" si="0">IF(D3=E3,"OK","Not")</f>
        <v>OK</v>
      </c>
      <c r="G3" s="2">
        <v>46008</v>
      </c>
      <c r="H3" s="2">
        <v>46008</v>
      </c>
      <c r="I3">
        <f t="shared" ref="I3:I4" si="1">H3-G3</f>
        <v>0</v>
      </c>
      <c r="J3" t="str">
        <f t="shared" ref="J3:J4" si="2">IF(H3=G3,"OK","Not")</f>
        <v>OK</v>
      </c>
      <c r="K3" s="2">
        <v>46056</v>
      </c>
      <c r="L3" s="2">
        <v>46056</v>
      </c>
      <c r="M3" t="str">
        <f t="shared" ref="M3:M4" si="3">IF(K3=L3,"OK","Not")</f>
        <v>OK</v>
      </c>
      <c r="N3" t="s">
        <v>13</v>
      </c>
      <c r="O3" s="3" t="s">
        <v>25</v>
      </c>
    </row>
    <row r="4" spans="1:15" x14ac:dyDescent="0.3">
      <c r="A4" t="s">
        <v>16</v>
      </c>
      <c r="B4" t="s">
        <v>8</v>
      </c>
      <c r="C4" t="s">
        <v>7</v>
      </c>
      <c r="D4">
        <v>7802</v>
      </c>
      <c r="E4">
        <v>7802</v>
      </c>
      <c r="F4" t="str">
        <f t="shared" si="0"/>
        <v>OK</v>
      </c>
      <c r="G4" s="2">
        <v>45883</v>
      </c>
      <c r="H4" s="2">
        <v>45883</v>
      </c>
      <c r="I4">
        <f t="shared" si="1"/>
        <v>0</v>
      </c>
      <c r="J4" t="str">
        <f t="shared" si="2"/>
        <v>OK</v>
      </c>
      <c r="K4" s="2">
        <v>46058</v>
      </c>
      <c r="L4" s="2">
        <v>46058</v>
      </c>
      <c r="M4" t="str">
        <f t="shared" si="3"/>
        <v>OK</v>
      </c>
      <c r="N4" t="s">
        <v>9</v>
      </c>
      <c r="O4" s="3" t="s">
        <v>24</v>
      </c>
    </row>
  </sheetData>
  <autoFilter ref="A1:O4" xr:uid="{51C31056-3679-44F7-820D-E2E0AEBDB2B8}">
    <filterColumn colId="14">
      <filters>
        <filter val="Tgl di speedo tidak sesuai dgn tgl servis"/>
      </filters>
    </filterColumn>
  </autoFilter>
  <conditionalFormatting sqref="B1:B1048576">
    <cfRule type="duplicateValues" dxfId="25" priority="7"/>
  </conditionalFormatting>
  <conditionalFormatting sqref="F1:F1048576">
    <cfRule type="containsText" dxfId="24" priority="5" operator="containsText" text="Not">
      <formula>NOT(ISERROR(SEARCH("Not",F1)))</formula>
    </cfRule>
    <cfRule type="containsText" dxfId="23" priority="6" operator="containsText" text="OK">
      <formula>NOT(ISERROR(SEARCH("OK",F1)))</formula>
    </cfRule>
  </conditionalFormatting>
  <conditionalFormatting sqref="J2:J4">
    <cfRule type="containsText" dxfId="22" priority="1" operator="containsText" text="Not">
      <formula>NOT(ISERROR(SEARCH("Not",J2)))</formula>
    </cfRule>
    <cfRule type="containsText" dxfId="21" priority="2" operator="containsText" text="OK">
      <formula>NOT(ISERROR(SEARCH("OK",J2)))</formula>
    </cfRule>
  </conditionalFormatting>
  <conditionalFormatting sqref="M2:M4">
    <cfRule type="containsText" dxfId="20" priority="3" operator="containsText" text="Not">
      <formula>NOT(ISERROR(SEARCH("Not",M2)))</formula>
    </cfRule>
    <cfRule type="containsText" dxfId="19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3939-5E5A-4121-9232-58826EA169B6}">
  <dimension ref="A1:O6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80" hidden="1" customWidth="1"/>
    <col min="15" max="15" width="6.33203125" bestFit="1" customWidth="1"/>
  </cols>
  <sheetData>
    <row r="1" spans="1:1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18</v>
      </c>
      <c r="G1" s="5" t="s">
        <v>3</v>
      </c>
      <c r="H1" s="1" t="s">
        <v>19</v>
      </c>
      <c r="I1" s="4" t="s">
        <v>20</v>
      </c>
      <c r="J1" s="1" t="s">
        <v>21</v>
      </c>
      <c r="K1" s="5" t="s">
        <v>4</v>
      </c>
      <c r="L1" s="1" t="s">
        <v>22</v>
      </c>
      <c r="M1" s="1" t="s">
        <v>23</v>
      </c>
      <c r="N1" s="1" t="s">
        <v>5</v>
      </c>
      <c r="O1" s="1" t="s">
        <v>14</v>
      </c>
    </row>
    <row r="2" spans="1:15" x14ac:dyDescent="0.3">
      <c r="A2" t="s">
        <v>37</v>
      </c>
      <c r="B2" t="s">
        <v>26</v>
      </c>
      <c r="C2" t="s">
        <v>7</v>
      </c>
      <c r="D2">
        <v>2098</v>
      </c>
      <c r="E2">
        <v>2098</v>
      </c>
      <c r="F2" t="str">
        <f>IF(D2=E2,"OK","Not")</f>
        <v>OK</v>
      </c>
      <c r="G2" s="2">
        <v>45868</v>
      </c>
      <c r="H2" s="2">
        <v>45868</v>
      </c>
      <c r="I2">
        <f>H2-G2</f>
        <v>0</v>
      </c>
      <c r="J2" t="str">
        <f>IF(H2=G2,"OK","Not")</f>
        <v>OK</v>
      </c>
      <c r="K2" s="2">
        <v>46069</v>
      </c>
      <c r="L2" s="2">
        <v>46069</v>
      </c>
      <c r="M2" t="str">
        <f>IF(K2=L2,"OK","Not")</f>
        <v>OK</v>
      </c>
      <c r="N2" s="3" t="s">
        <v>32</v>
      </c>
      <c r="O2" s="3" t="s">
        <v>25</v>
      </c>
    </row>
    <row r="3" spans="1:15" x14ac:dyDescent="0.3">
      <c r="A3" t="s">
        <v>37</v>
      </c>
      <c r="B3" t="s">
        <v>27</v>
      </c>
      <c r="C3" t="s">
        <v>28</v>
      </c>
      <c r="D3">
        <v>583</v>
      </c>
      <c r="E3">
        <v>583</v>
      </c>
      <c r="F3" t="str">
        <f>IF(D3=E3,"OK","Not")</f>
        <v>OK</v>
      </c>
      <c r="G3" s="2">
        <v>46035</v>
      </c>
      <c r="H3" s="2">
        <v>46035</v>
      </c>
      <c r="I3">
        <f>H3-G3</f>
        <v>0</v>
      </c>
      <c r="J3" t="str">
        <f>IF(H3=G3,"OK","Not")</f>
        <v>OK</v>
      </c>
      <c r="K3" s="2">
        <v>46071</v>
      </c>
      <c r="L3" s="2">
        <v>46071</v>
      </c>
      <c r="M3" t="str">
        <f>IF(K3=L3,"OK","Not")</f>
        <v>OK</v>
      </c>
      <c r="N3" t="s">
        <v>33</v>
      </c>
      <c r="O3" s="3" t="s">
        <v>25</v>
      </c>
    </row>
    <row r="4" spans="1:15" x14ac:dyDescent="0.3">
      <c r="A4" t="s">
        <v>38</v>
      </c>
      <c r="B4" t="s">
        <v>29</v>
      </c>
      <c r="C4" t="s">
        <v>7</v>
      </c>
      <c r="D4">
        <v>3633</v>
      </c>
      <c r="E4">
        <v>3633</v>
      </c>
      <c r="F4" t="str">
        <f>IF(D4=E4,"OK","Not")</f>
        <v>OK</v>
      </c>
      <c r="G4" s="2">
        <v>46032</v>
      </c>
      <c r="H4" s="2">
        <v>46032</v>
      </c>
      <c r="I4">
        <f>H4-G4</f>
        <v>0</v>
      </c>
      <c r="J4" t="str">
        <f>IF(H4=G4,"OK","Not")</f>
        <v>OK</v>
      </c>
      <c r="K4" s="2">
        <v>46067</v>
      </c>
      <c r="L4" s="2">
        <v>46067</v>
      </c>
      <c r="M4" t="str">
        <f>IF(K4=L4,"OK","Not")</f>
        <v>OK</v>
      </c>
      <c r="N4" t="s">
        <v>34</v>
      </c>
      <c r="O4" s="3" t="s">
        <v>25</v>
      </c>
    </row>
    <row r="5" spans="1:15" x14ac:dyDescent="0.3">
      <c r="A5" t="s">
        <v>37</v>
      </c>
      <c r="B5" t="s">
        <v>30</v>
      </c>
      <c r="C5" t="s">
        <v>6</v>
      </c>
      <c r="D5">
        <v>1229</v>
      </c>
      <c r="E5">
        <v>1229</v>
      </c>
      <c r="F5" t="str">
        <f>IF(D5=E5,"OK","Not")</f>
        <v>OK</v>
      </c>
      <c r="G5" s="2">
        <v>45999</v>
      </c>
      <c r="H5" s="2">
        <v>45999</v>
      </c>
      <c r="I5">
        <f>H5-G5</f>
        <v>0</v>
      </c>
      <c r="J5" t="str">
        <f>IF(H5=G5,"OK","Not")</f>
        <v>OK</v>
      </c>
      <c r="K5" s="2">
        <v>46069</v>
      </c>
      <c r="L5" s="2">
        <v>46069</v>
      </c>
      <c r="M5" t="str">
        <f>IF(K5=L5,"OK","Not")</f>
        <v>OK</v>
      </c>
      <c r="N5" t="s">
        <v>35</v>
      </c>
      <c r="O5" s="3" t="s">
        <v>25</v>
      </c>
    </row>
    <row r="6" spans="1:15" x14ac:dyDescent="0.3">
      <c r="A6" t="s">
        <v>37</v>
      </c>
      <c r="B6" t="s">
        <v>31</v>
      </c>
      <c r="C6" t="s">
        <v>6</v>
      </c>
      <c r="D6">
        <v>1329</v>
      </c>
      <c r="E6">
        <v>1329</v>
      </c>
      <c r="F6" t="str">
        <f>IF(D6=E6,"OK","Not")</f>
        <v>OK</v>
      </c>
      <c r="G6" s="2">
        <v>46027</v>
      </c>
      <c r="H6" s="2">
        <v>46027</v>
      </c>
      <c r="I6">
        <f>H6-G6</f>
        <v>0</v>
      </c>
      <c r="J6" t="str">
        <f>IF(H6=G6,"OK","Not")</f>
        <v>OK</v>
      </c>
      <c r="K6" s="2">
        <v>46070</v>
      </c>
      <c r="L6" s="2">
        <v>46070</v>
      </c>
      <c r="M6" t="str">
        <f>IF(K6=L6,"OK","Not")</f>
        <v>OK</v>
      </c>
      <c r="N6" t="s">
        <v>36</v>
      </c>
      <c r="O6" s="3" t="s">
        <v>25</v>
      </c>
    </row>
  </sheetData>
  <autoFilter ref="A1:O6" xr:uid="{51C31056-3679-44F7-820D-E2E0AEBDB2B8}">
    <sortState xmlns:xlrd2="http://schemas.microsoft.com/office/spreadsheetml/2017/richdata2" ref="A2:O6">
      <sortCondition ref="B1:B4"/>
    </sortState>
  </autoFilter>
  <conditionalFormatting sqref="B1:B1048576">
    <cfRule type="duplicateValues" dxfId="18" priority="2"/>
    <cfRule type="duplicateValues" dxfId="17" priority="9"/>
  </conditionalFormatting>
  <conditionalFormatting sqref="D1:D1048576">
    <cfRule type="duplicateValues" dxfId="16" priority="1"/>
  </conditionalFormatting>
  <conditionalFormatting sqref="F1:F1048576">
    <cfRule type="containsText" dxfId="15" priority="7" operator="containsText" text="Not">
      <formula>NOT(ISERROR(SEARCH("Not",F1)))</formula>
    </cfRule>
    <cfRule type="containsText" dxfId="14" priority="8" operator="containsText" text="OK">
      <formula>NOT(ISERROR(SEARCH("OK",F1)))</formula>
    </cfRule>
  </conditionalFormatting>
  <conditionalFormatting sqref="J2:J6">
    <cfRule type="containsText" dxfId="13" priority="3" operator="containsText" text="Not">
      <formula>NOT(ISERROR(SEARCH("Not",J2)))</formula>
    </cfRule>
    <cfRule type="containsText" dxfId="12" priority="4" operator="containsText" text="OK">
      <formula>NOT(ISERROR(SEARCH("OK",J2)))</formula>
    </cfRule>
  </conditionalFormatting>
  <conditionalFormatting sqref="M2:M6">
    <cfRule type="containsText" dxfId="11" priority="5" operator="containsText" text="Not">
      <formula>NOT(ISERROR(SEARCH("Not",M2)))</formula>
    </cfRule>
    <cfRule type="containsText" dxfId="10" priority="6" operator="containsText" text="OK">
      <formula>NOT(ISERROR(SEARCH("OK",M2)))</formula>
    </cfRule>
  </conditionalFormatting>
  <pageMargins left="0.7" right="0.7" top="0.75" bottom="0.75" header="0.3" footer="0.3"/>
  <pageSetup paperSize="172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A73D-EA93-47E8-A8A3-B43D14A581A3}">
  <dimension ref="A1:O8"/>
  <sheetViews>
    <sheetView tabSelected="1" workbookViewId="0">
      <pane ySplit="1" topLeftCell="A3" activePane="bottomLeft" state="frozen"/>
      <selection pane="bottomLeft" activeCell="F11" sqref="E10:F11"/>
    </sheetView>
  </sheetViews>
  <sheetFormatPr defaultColWidth="9.44140625"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5" bestFit="1" customWidth="1"/>
    <col min="5" max="6" width="5" customWidth="1"/>
    <col min="7" max="10" width="11.88671875" customWidth="1"/>
    <col min="11" max="13" width="13.33203125" customWidth="1"/>
    <col min="14" max="14" width="79.5546875" hidden="1" customWidth="1"/>
  </cols>
  <sheetData>
    <row r="1" spans="1:15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18</v>
      </c>
      <c r="G1" s="1" t="s">
        <v>3</v>
      </c>
      <c r="H1" s="1" t="s">
        <v>19</v>
      </c>
      <c r="I1" s="4" t="s">
        <v>20</v>
      </c>
      <c r="J1" s="1" t="s">
        <v>21</v>
      </c>
      <c r="K1" s="1" t="s">
        <v>4</v>
      </c>
      <c r="L1" s="1" t="s">
        <v>22</v>
      </c>
      <c r="M1" s="1" t="s">
        <v>23</v>
      </c>
      <c r="N1" s="1" t="s">
        <v>5</v>
      </c>
      <c r="O1" s="1" t="s">
        <v>14</v>
      </c>
    </row>
    <row r="2" spans="1:15" x14ac:dyDescent="0.3">
      <c r="A2" t="s">
        <v>54</v>
      </c>
      <c r="B2" t="s">
        <v>39</v>
      </c>
      <c r="C2" t="s">
        <v>28</v>
      </c>
      <c r="D2">
        <v>886</v>
      </c>
      <c r="E2">
        <v>886</v>
      </c>
      <c r="F2" t="str">
        <f t="shared" ref="F2:F8" si="0">IF(D2=E2,"OK","Not")</f>
        <v>OK</v>
      </c>
      <c r="G2" s="2">
        <v>46039</v>
      </c>
      <c r="H2" s="2">
        <v>46039</v>
      </c>
      <c r="I2">
        <f t="shared" ref="I2:I8" si="1">H2-G2</f>
        <v>0</v>
      </c>
      <c r="J2" t="str">
        <f t="shared" ref="J2:J8" si="2">IF(H2=G2,"OK","Not")</f>
        <v>OK</v>
      </c>
      <c r="K2" s="2">
        <v>46061</v>
      </c>
      <c r="L2" s="2">
        <v>46061</v>
      </c>
      <c r="M2" t="str">
        <f t="shared" ref="M2:M8" si="3">IF(K2=L2,"OK","Not")</f>
        <v>OK</v>
      </c>
      <c r="N2" t="s">
        <v>40</v>
      </c>
      <c r="O2" s="3" t="s">
        <v>25</v>
      </c>
    </row>
    <row r="3" spans="1:15" x14ac:dyDescent="0.3">
      <c r="A3" t="s">
        <v>54</v>
      </c>
      <c r="B3" t="s">
        <v>41</v>
      </c>
      <c r="C3" t="s">
        <v>6</v>
      </c>
      <c r="D3">
        <v>3576</v>
      </c>
      <c r="E3">
        <v>3546</v>
      </c>
      <c r="F3" t="str">
        <f t="shared" si="0"/>
        <v>Not</v>
      </c>
      <c r="G3" s="2">
        <v>45961</v>
      </c>
      <c r="H3" s="2">
        <v>45961</v>
      </c>
      <c r="I3">
        <f t="shared" si="1"/>
        <v>0</v>
      </c>
      <c r="J3" t="str">
        <f t="shared" si="2"/>
        <v>OK</v>
      </c>
      <c r="K3" s="2">
        <v>46077</v>
      </c>
      <c r="L3" s="2">
        <v>46077</v>
      </c>
      <c r="M3" t="str">
        <f t="shared" si="3"/>
        <v>OK</v>
      </c>
      <c r="N3" t="s">
        <v>42</v>
      </c>
      <c r="O3" s="3" t="s">
        <v>55</v>
      </c>
    </row>
    <row r="4" spans="1:15" x14ac:dyDescent="0.3">
      <c r="A4" t="s">
        <v>54</v>
      </c>
      <c r="B4" t="s">
        <v>43</v>
      </c>
      <c r="C4" t="s">
        <v>44</v>
      </c>
      <c r="D4">
        <v>4826</v>
      </c>
      <c r="E4">
        <v>4826</v>
      </c>
      <c r="F4" t="str">
        <f t="shared" si="0"/>
        <v>OK</v>
      </c>
      <c r="G4" s="2">
        <v>45930</v>
      </c>
      <c r="H4" s="2">
        <v>45930</v>
      </c>
      <c r="I4">
        <f t="shared" si="1"/>
        <v>0</v>
      </c>
      <c r="J4" t="str">
        <f t="shared" si="2"/>
        <v>OK</v>
      </c>
      <c r="K4" s="2">
        <v>46075</v>
      </c>
      <c r="L4" s="2">
        <v>46075</v>
      </c>
      <c r="M4" t="str">
        <f t="shared" si="3"/>
        <v>OK</v>
      </c>
      <c r="N4" t="s">
        <v>45</v>
      </c>
      <c r="O4" s="3" t="s">
        <v>25</v>
      </c>
    </row>
    <row r="5" spans="1:15" x14ac:dyDescent="0.3">
      <c r="A5" t="s">
        <v>54</v>
      </c>
      <c r="B5" t="s">
        <v>46</v>
      </c>
      <c r="C5" t="s">
        <v>6</v>
      </c>
      <c r="D5">
        <v>2647</v>
      </c>
      <c r="E5">
        <v>2647</v>
      </c>
      <c r="F5" t="str">
        <f t="shared" si="0"/>
        <v>OK</v>
      </c>
      <c r="G5" s="2">
        <v>45994</v>
      </c>
      <c r="H5" s="2">
        <v>45994</v>
      </c>
      <c r="I5">
        <f t="shared" si="1"/>
        <v>0</v>
      </c>
      <c r="J5" t="str">
        <f t="shared" si="2"/>
        <v>OK</v>
      </c>
      <c r="K5" s="2">
        <v>46075</v>
      </c>
      <c r="L5" s="2">
        <v>46075</v>
      </c>
      <c r="M5" t="str">
        <f t="shared" si="3"/>
        <v>OK</v>
      </c>
      <c r="N5" t="s">
        <v>47</v>
      </c>
      <c r="O5" s="3" t="s">
        <v>25</v>
      </c>
    </row>
    <row r="6" spans="1:15" x14ac:dyDescent="0.3">
      <c r="A6" t="s">
        <v>54</v>
      </c>
      <c r="B6" t="s">
        <v>48</v>
      </c>
      <c r="C6" t="s">
        <v>6</v>
      </c>
      <c r="D6">
        <v>2967</v>
      </c>
      <c r="E6">
        <v>2967</v>
      </c>
      <c r="F6" t="str">
        <f t="shared" si="0"/>
        <v>OK</v>
      </c>
      <c r="G6" s="2">
        <v>46028</v>
      </c>
      <c r="H6" s="2">
        <v>46028</v>
      </c>
      <c r="I6">
        <f t="shared" si="1"/>
        <v>0</v>
      </c>
      <c r="J6" t="str">
        <f t="shared" si="2"/>
        <v>OK</v>
      </c>
      <c r="K6" s="2">
        <v>46062</v>
      </c>
      <c r="L6" s="2">
        <v>46062</v>
      </c>
      <c r="M6" t="str">
        <f t="shared" si="3"/>
        <v>OK</v>
      </c>
      <c r="N6" t="s">
        <v>49</v>
      </c>
      <c r="O6" s="3" t="s">
        <v>25</v>
      </c>
    </row>
    <row r="7" spans="1:15" x14ac:dyDescent="0.3">
      <c r="A7" t="s">
        <v>54</v>
      </c>
      <c r="B7" t="s">
        <v>50</v>
      </c>
      <c r="C7" t="s">
        <v>7</v>
      </c>
      <c r="D7">
        <v>2447</v>
      </c>
      <c r="E7">
        <v>2447</v>
      </c>
      <c r="F7" t="str">
        <f t="shared" si="0"/>
        <v>OK</v>
      </c>
      <c r="G7" s="2">
        <v>46015</v>
      </c>
      <c r="H7" s="2">
        <v>46015</v>
      </c>
      <c r="I7">
        <f t="shared" si="1"/>
        <v>0</v>
      </c>
      <c r="J7" t="str">
        <f t="shared" si="2"/>
        <v>OK</v>
      </c>
      <c r="K7" s="2">
        <v>46076</v>
      </c>
      <c r="L7" s="2">
        <v>46076</v>
      </c>
      <c r="M7" t="str">
        <f t="shared" si="3"/>
        <v>OK</v>
      </c>
      <c r="N7" t="s">
        <v>51</v>
      </c>
      <c r="O7" s="3" t="s">
        <v>25</v>
      </c>
    </row>
    <row r="8" spans="1:15" x14ac:dyDescent="0.3">
      <c r="A8" s="3" t="s">
        <v>54</v>
      </c>
      <c r="B8" t="s">
        <v>52</v>
      </c>
      <c r="C8" t="s">
        <v>6</v>
      </c>
      <c r="D8">
        <v>2140</v>
      </c>
      <c r="E8">
        <v>2140</v>
      </c>
      <c r="F8" t="str">
        <f t="shared" si="0"/>
        <v>OK</v>
      </c>
      <c r="G8" s="2">
        <v>45989</v>
      </c>
      <c r="H8" s="2">
        <v>45989</v>
      </c>
      <c r="I8">
        <f t="shared" si="1"/>
        <v>0</v>
      </c>
      <c r="J8" t="str">
        <f t="shared" si="2"/>
        <v>OK</v>
      </c>
      <c r="K8" s="2">
        <v>46063</v>
      </c>
      <c r="L8" s="2">
        <v>46063</v>
      </c>
      <c r="M8" t="str">
        <f t="shared" si="3"/>
        <v>OK</v>
      </c>
      <c r="N8" t="s">
        <v>53</v>
      </c>
      <c r="O8" s="3" t="s">
        <v>25</v>
      </c>
    </row>
  </sheetData>
  <autoFilter ref="A1:O8" xr:uid="{E637A73D-EA93-47E8-A8A3-B43D14A581A3}">
    <sortState xmlns:xlrd2="http://schemas.microsoft.com/office/spreadsheetml/2017/richdata2" ref="A2:O8">
      <sortCondition ref="B1:B8"/>
    </sortState>
  </autoFilter>
  <phoneticPr fontId="3" type="noConversion"/>
  <conditionalFormatting sqref="B1:B8">
    <cfRule type="duplicateValues" dxfId="9" priority="23"/>
  </conditionalFormatting>
  <conditionalFormatting sqref="B1:B1048576">
    <cfRule type="duplicateValues" dxfId="8" priority="3"/>
  </conditionalFormatting>
  <conditionalFormatting sqref="D1:D1048576">
    <cfRule type="duplicateValues" dxfId="7" priority="1"/>
    <cfRule type="duplicateValues" dxfId="6" priority="2"/>
  </conditionalFormatting>
  <conditionalFormatting sqref="F2:F8">
    <cfRule type="containsText" dxfId="5" priority="8" operator="containsText" text="Not">
      <formula>NOT(ISERROR(SEARCH("Not",F2)))</formula>
    </cfRule>
    <cfRule type="containsText" dxfId="4" priority="9" operator="containsText" text="OK">
      <formula>NOT(ISERROR(SEARCH("OK",F2)))</formula>
    </cfRule>
  </conditionalFormatting>
  <conditionalFormatting sqref="J2:J8">
    <cfRule type="containsText" dxfId="3" priority="4" operator="containsText" text="Not">
      <formula>NOT(ISERROR(SEARCH("Not",J2)))</formula>
    </cfRule>
    <cfRule type="containsText" dxfId="2" priority="5" operator="containsText" text="OK">
      <formula>NOT(ISERROR(SEARCH("OK",J2)))</formula>
    </cfRule>
  </conditionalFormatting>
  <conditionalFormatting sqref="M2:M8">
    <cfRule type="containsText" dxfId="1" priority="6" operator="containsText" text="Not">
      <formula>NOT(ISERROR(SEARCH("Not",M2)))</formula>
    </cfRule>
    <cfRule type="containsText" dxfId="0" priority="7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2026-02-14T04:34:08Z</dcterms:created>
  <dcterms:modified xsi:type="dcterms:W3CDTF">2026-03-31T02:15:46Z</dcterms:modified>
  <cp:category/>
</cp:coreProperties>
</file>