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6\Feb 2026\"/>
    </mc:Choice>
  </mc:AlternateContent>
  <xr:revisionPtr revIDLastSave="0" documentId="13_ncr:1_{07AAC70A-E86D-47DE-9943-314A9626DA46}" xr6:coauthVersionLast="47" xr6:coauthVersionMax="47" xr10:uidLastSave="{00000000-0000-0000-0000-000000000000}"/>
  <bookViews>
    <workbookView xWindow="-120" yWindow="-120" windowWidth="20730" windowHeight="11040" xr2:uid="{C6AE38C3-0687-45C1-AAFD-B41DD44F7863}"/>
  </bookViews>
  <sheets>
    <sheet name="1-10 Feb" sheetId="1" r:id="rId1"/>
  </sheets>
  <definedNames>
    <definedName name="_xlnm._FilterDatabase" localSheetId="0" hidden="1">'1-10 Feb'!$A$1:$O$9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8" i="1"/>
  <c r="I5" i="1"/>
  <c r="I6" i="1"/>
  <c r="I7" i="1"/>
  <c r="I9" i="1"/>
  <c r="I2" i="1"/>
  <c r="M3" i="1"/>
  <c r="M4" i="1"/>
  <c r="M8" i="1"/>
  <c r="M5" i="1"/>
  <c r="M6" i="1"/>
  <c r="M7" i="1"/>
  <c r="M9" i="1"/>
  <c r="M2" i="1"/>
  <c r="J3" i="1"/>
  <c r="J4" i="1"/>
  <c r="J8" i="1"/>
  <c r="J5" i="1"/>
  <c r="J6" i="1"/>
  <c r="J7" i="1"/>
  <c r="J9" i="1"/>
  <c r="J2" i="1"/>
  <c r="F2" i="1"/>
  <c r="F3" i="1"/>
  <c r="F4" i="1"/>
  <c r="F8" i="1"/>
  <c r="F5" i="1"/>
  <c r="F6" i="1"/>
  <c r="F7" i="1"/>
  <c r="F9" i="1"/>
</calcChain>
</file>

<file path=xl/sharedStrings.xml><?xml version="1.0" encoding="utf-8"?>
<sst xmlns="http://schemas.openxmlformats.org/spreadsheetml/2006/main" count="55" uniqueCount="39">
  <si>
    <t>no_mesin</t>
  </si>
  <si>
    <t>kpb_type</t>
  </si>
  <si>
    <t>km</t>
  </si>
  <si>
    <t>tanggal_beli</t>
  </si>
  <si>
    <t>tanggal_claim</t>
  </si>
  <si>
    <t>photo_url</t>
  </si>
  <si>
    <t>noted</t>
  </si>
  <si>
    <t>KPB2</t>
  </si>
  <si>
    <t>KPB1</t>
  </si>
  <si>
    <t>KPB4</t>
  </si>
  <si>
    <t>JMD1E1903510</t>
  </si>
  <si>
    <t>https://squarix.modakita.com//m2tf6l//avatar/2465021220260204073944ILFSAO.jpg</t>
  </si>
  <si>
    <t>JMD1E2165839</t>
  </si>
  <si>
    <t>https://squarix.modakita.com//m2tf6l//avatar/21157371720260202112312FWKDIP.jpg</t>
  </si>
  <si>
    <t>JME1E1838991</t>
  </si>
  <si>
    <t>https://squarix.modakita.com//m2tf6l//avatar/211579658202602021516273OGUYJ.jpg</t>
  </si>
  <si>
    <t>JMF1E1217945</t>
  </si>
  <si>
    <t>https://squarix.modakita.com//m2tf6l//avatar/21157967920260204133222RLXGPD.jpg</t>
  </si>
  <si>
    <t>JMF2E1574744</t>
  </si>
  <si>
    <t>https://squarix.modakita.com//m2tf6l//avatar/2465021220260204141255PX0FZB.jpg</t>
  </si>
  <si>
    <t>JMH2E1302840</t>
  </si>
  <si>
    <t>https://squarix.modakita.com//m2tf6l//avatar/21157371720260206095815MFTGSB.jpg</t>
  </si>
  <si>
    <t>JMH2E1583711</t>
  </si>
  <si>
    <t>https://squarix.modakita.com//m2tf6l//avatar/21157967920260205104857KTFVPE.jpg</t>
  </si>
  <si>
    <t>KFC1E1227812</t>
  </si>
  <si>
    <t>https://squarix.modakita.com//m2tf6l//avatar/246502122026020411251118MCFM.jpg</t>
  </si>
  <si>
    <t>No. Surat Klaim</t>
  </si>
  <si>
    <t>KM STAR</t>
  </si>
  <si>
    <t>Cek KM</t>
  </si>
  <si>
    <t>Tglb STAR</t>
  </si>
  <si>
    <t>Cek Tglb</t>
  </si>
  <si>
    <t>Selisih</t>
  </si>
  <si>
    <t>Tgls STAR</t>
  </si>
  <si>
    <t>Cek Tgls</t>
  </si>
  <si>
    <t>04017-260206_0030</t>
  </si>
  <si>
    <t>04017-260211_0913</t>
  </si>
  <si>
    <t>KM nabrak dgn servis ID 3 (6758)</t>
  </si>
  <si>
    <t>Ok</t>
  </si>
  <si>
    <t>Ok (tidak ada fisik)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</si>
</sst>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DB27-C1FA-4F38-BC86-EA54B5F33CCE}">
  <sheetPr filterMode="1"/>
  <dimension ref="A1:O9"/>
  <sheetViews>
    <sheetView tabSelected="1" workbookViewId="0">
      <selection activeCell="O8" sqref="O8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9.28515625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80.28515625" hidden="1" customWidth="1"/>
    <col min="15" max="15" width="6.28515625" bestFit="1" customWidth="1"/>
  </cols>
  <sheetData>
    <row r="1" spans="1:15" x14ac:dyDescent="0.25">
      <c r="A1" s="3" t="s">
        <v>26</v>
      </c>
      <c r="B1" s="1" t="s">
        <v>0</v>
      </c>
      <c r="C1" s="1" t="s">
        <v>1</v>
      </c>
      <c r="D1" s="1" t="s">
        <v>2</v>
      </c>
      <c r="E1" s="1" t="s">
        <v>27</v>
      </c>
      <c r="F1" s="1" t="s">
        <v>28</v>
      </c>
      <c r="G1" s="1" t="s">
        <v>3</v>
      </c>
      <c r="H1" s="1" t="s">
        <v>29</v>
      </c>
      <c r="I1" s="4" t="s">
        <v>31</v>
      </c>
      <c r="J1" s="1" t="s">
        <v>30</v>
      </c>
      <c r="K1" s="1" t="s">
        <v>4</v>
      </c>
      <c r="L1" s="1" t="s">
        <v>32</v>
      </c>
      <c r="M1" s="1" t="s">
        <v>33</v>
      </c>
      <c r="N1" s="1" t="s">
        <v>5</v>
      </c>
      <c r="O1" s="1" t="s">
        <v>6</v>
      </c>
    </row>
    <row r="2" spans="1:15" hidden="1" x14ac:dyDescent="0.25">
      <c r="A2" t="s">
        <v>34</v>
      </c>
      <c r="B2" t="s">
        <v>10</v>
      </c>
      <c r="C2" t="s">
        <v>9</v>
      </c>
      <c r="D2">
        <v>8110</v>
      </c>
      <c r="E2">
        <v>8110</v>
      </c>
      <c r="F2" t="str">
        <f t="shared" ref="F2:F9" si="0">IF(D2=E2,"OK","Not")</f>
        <v>OK</v>
      </c>
      <c r="G2" s="2">
        <v>45775</v>
      </c>
      <c r="H2" s="2">
        <v>45775</v>
      </c>
      <c r="I2">
        <f t="shared" ref="I2:I9" si="1">H2-G2</f>
        <v>0</v>
      </c>
      <c r="J2" t="str">
        <f t="shared" ref="J2:J9" si="2">IF(H2=G2,"OK","Not")</f>
        <v>OK</v>
      </c>
      <c r="K2" s="2">
        <v>46057</v>
      </c>
      <c r="L2" s="2">
        <v>46057</v>
      </c>
      <c r="M2" t="str">
        <f t="shared" ref="M2:M9" si="3">IF(K2=L2,"OK","Not")</f>
        <v>OK</v>
      </c>
      <c r="N2" t="s">
        <v>11</v>
      </c>
      <c r="O2" t="s">
        <v>37</v>
      </c>
    </row>
    <row r="3" spans="1:15" hidden="1" x14ac:dyDescent="0.25">
      <c r="A3" t="s">
        <v>34</v>
      </c>
      <c r="B3" t="s">
        <v>12</v>
      </c>
      <c r="C3" t="s">
        <v>8</v>
      </c>
      <c r="D3">
        <v>709</v>
      </c>
      <c r="E3">
        <v>709</v>
      </c>
      <c r="F3" t="str">
        <f t="shared" si="0"/>
        <v>OK</v>
      </c>
      <c r="G3" s="2">
        <v>46006</v>
      </c>
      <c r="H3" s="2">
        <v>46006</v>
      </c>
      <c r="I3">
        <f t="shared" si="1"/>
        <v>0</v>
      </c>
      <c r="J3" t="str">
        <f t="shared" si="2"/>
        <v>OK</v>
      </c>
      <c r="K3" s="2">
        <v>46055</v>
      </c>
      <c r="L3" s="2">
        <v>46055</v>
      </c>
      <c r="M3" t="str">
        <f t="shared" si="3"/>
        <v>OK</v>
      </c>
      <c r="N3" t="s">
        <v>13</v>
      </c>
      <c r="O3" t="s">
        <v>37</v>
      </c>
    </row>
    <row r="4" spans="1:15" hidden="1" x14ac:dyDescent="0.25">
      <c r="A4" t="s">
        <v>34</v>
      </c>
      <c r="B4" t="s">
        <v>14</v>
      </c>
      <c r="C4" t="s">
        <v>7</v>
      </c>
      <c r="D4">
        <v>3030</v>
      </c>
      <c r="E4">
        <v>3030</v>
      </c>
      <c r="F4" t="str">
        <f t="shared" si="0"/>
        <v>OK</v>
      </c>
      <c r="G4" s="2">
        <v>45974</v>
      </c>
      <c r="H4" s="2">
        <v>45974</v>
      </c>
      <c r="I4">
        <f t="shared" si="1"/>
        <v>0</v>
      </c>
      <c r="J4" t="str">
        <f t="shared" si="2"/>
        <v>OK</v>
      </c>
      <c r="K4" s="2">
        <v>46055</v>
      </c>
      <c r="L4" s="2">
        <v>46055</v>
      </c>
      <c r="M4" t="str">
        <f t="shared" si="3"/>
        <v>OK</v>
      </c>
      <c r="N4" t="s">
        <v>15</v>
      </c>
      <c r="O4" t="s">
        <v>37</v>
      </c>
    </row>
    <row r="5" spans="1:15" hidden="1" x14ac:dyDescent="0.25">
      <c r="A5" t="s">
        <v>34</v>
      </c>
      <c r="B5" t="s">
        <v>18</v>
      </c>
      <c r="C5" t="s">
        <v>7</v>
      </c>
      <c r="D5">
        <v>1166</v>
      </c>
      <c r="E5">
        <v>1166</v>
      </c>
      <c r="F5" t="str">
        <f t="shared" si="0"/>
        <v>OK</v>
      </c>
      <c r="G5" s="2">
        <v>45934</v>
      </c>
      <c r="H5" s="2">
        <v>45934</v>
      </c>
      <c r="I5">
        <f t="shared" si="1"/>
        <v>0</v>
      </c>
      <c r="J5" t="str">
        <f t="shared" si="2"/>
        <v>OK</v>
      </c>
      <c r="K5" s="2">
        <v>46057</v>
      </c>
      <c r="L5" s="2">
        <v>46057</v>
      </c>
      <c r="M5" t="str">
        <f t="shared" si="3"/>
        <v>OK</v>
      </c>
      <c r="N5" t="s">
        <v>19</v>
      </c>
      <c r="O5" t="s">
        <v>37</v>
      </c>
    </row>
    <row r="6" spans="1:15" hidden="1" x14ac:dyDescent="0.25">
      <c r="A6" t="s">
        <v>35</v>
      </c>
      <c r="B6" t="s">
        <v>20</v>
      </c>
      <c r="C6" t="s">
        <v>9</v>
      </c>
      <c r="D6">
        <v>3484</v>
      </c>
      <c r="E6">
        <v>3484</v>
      </c>
      <c r="F6" t="str">
        <f t="shared" si="0"/>
        <v>OK</v>
      </c>
      <c r="G6" s="2">
        <v>45792</v>
      </c>
      <c r="H6" s="2">
        <v>45792</v>
      </c>
      <c r="I6">
        <f t="shared" si="1"/>
        <v>0</v>
      </c>
      <c r="J6" t="str">
        <f t="shared" si="2"/>
        <v>OK</v>
      </c>
      <c r="K6" s="2">
        <v>46059</v>
      </c>
      <c r="L6" s="2">
        <v>46059</v>
      </c>
      <c r="M6" t="str">
        <f t="shared" si="3"/>
        <v>OK</v>
      </c>
      <c r="N6" t="s">
        <v>21</v>
      </c>
      <c r="O6" t="s">
        <v>38</v>
      </c>
    </row>
    <row r="7" spans="1:15" hidden="1" x14ac:dyDescent="0.25">
      <c r="A7" t="s">
        <v>34</v>
      </c>
      <c r="B7" t="s">
        <v>22</v>
      </c>
      <c r="C7" t="s">
        <v>7</v>
      </c>
      <c r="D7">
        <v>3983</v>
      </c>
      <c r="E7">
        <v>3983</v>
      </c>
      <c r="F7" t="str">
        <f t="shared" si="0"/>
        <v>OK</v>
      </c>
      <c r="G7" s="2">
        <v>45959</v>
      </c>
      <c r="H7" s="2">
        <v>45959</v>
      </c>
      <c r="I7">
        <f t="shared" si="1"/>
        <v>0</v>
      </c>
      <c r="J7" t="str">
        <f t="shared" si="2"/>
        <v>OK</v>
      </c>
      <c r="K7" s="2">
        <v>46058</v>
      </c>
      <c r="L7" s="2">
        <v>46058</v>
      </c>
      <c r="M7" t="str">
        <f t="shared" si="3"/>
        <v>OK</v>
      </c>
      <c r="N7" t="s">
        <v>23</v>
      </c>
      <c r="O7" t="s">
        <v>37</v>
      </c>
    </row>
    <row r="8" spans="1:15" x14ac:dyDescent="0.25">
      <c r="A8" t="s">
        <v>34</v>
      </c>
      <c r="B8" t="s">
        <v>16</v>
      </c>
      <c r="C8" t="s">
        <v>9</v>
      </c>
      <c r="D8">
        <v>5714</v>
      </c>
      <c r="E8">
        <v>5714</v>
      </c>
      <c r="F8" t="str">
        <f t="shared" si="0"/>
        <v>OK</v>
      </c>
      <c r="G8" s="2">
        <v>45864</v>
      </c>
      <c r="H8" s="2">
        <v>45864</v>
      </c>
      <c r="I8">
        <f t="shared" si="1"/>
        <v>0</v>
      </c>
      <c r="J8" t="str">
        <f t="shared" si="2"/>
        <v>OK</v>
      </c>
      <c r="K8" s="2">
        <v>46057</v>
      </c>
      <c r="L8" s="2">
        <v>46057</v>
      </c>
      <c r="M8" t="str">
        <f t="shared" si="3"/>
        <v>OK</v>
      </c>
      <c r="N8" t="s">
        <v>17</v>
      </c>
      <c r="O8" t="s">
        <v>36</v>
      </c>
    </row>
    <row r="9" spans="1:15" hidden="1" x14ac:dyDescent="0.25">
      <c r="A9" t="s">
        <v>34</v>
      </c>
      <c r="B9" t="s">
        <v>24</v>
      </c>
      <c r="C9" t="s">
        <v>7</v>
      </c>
      <c r="D9">
        <v>1289</v>
      </c>
      <c r="E9">
        <v>1289</v>
      </c>
      <c r="F9" t="str">
        <f t="shared" si="0"/>
        <v>OK</v>
      </c>
      <c r="G9" s="2">
        <v>45987</v>
      </c>
      <c r="H9" s="2">
        <v>45987</v>
      </c>
      <c r="I9">
        <f t="shared" si="1"/>
        <v>0</v>
      </c>
      <c r="J9" t="str">
        <f t="shared" si="2"/>
        <v>OK</v>
      </c>
      <c r="K9" s="2">
        <v>46057</v>
      </c>
      <c r="L9" s="2">
        <v>46057</v>
      </c>
      <c r="M9" t="str">
        <f t="shared" si="3"/>
        <v>OK</v>
      </c>
      <c r="N9" t="s">
        <v>25</v>
      </c>
      <c r="O9" t="s">
        <v>37</v>
      </c>
    </row>
  </sheetData>
  <autoFilter ref="A1:O9" xr:uid="{7FD6C9CE-FE62-4BE4-A344-F4134526F2D1}">
    <filterColumn colId="14">
      <filters>
        <filter val="KM nabrak dgn servis ID 3 (6758)"/>
      </filters>
    </filterColumn>
    <sortState xmlns:xlrd2="http://schemas.microsoft.com/office/spreadsheetml/2017/richdata2" ref="A2:O9">
      <sortCondition ref="B1:B9"/>
    </sortState>
  </autoFilter>
  <conditionalFormatting sqref="D1:D1048576">
    <cfRule type="duplicateValues" dxfId="3" priority="1"/>
  </conditionalFormatting>
  <conditionalFormatting sqref="F1:F1048576">
    <cfRule type="containsText" dxfId="2" priority="4" operator="containsText" text="OK">
      <formula>NOT(ISERROR(SEARCH("OK",F1)))</formula>
    </cfRule>
  </conditionalFormatting>
  <conditionalFormatting sqref="J2:J9">
    <cfRule type="containsText" dxfId="1" priority="3" operator="containsText" text="OK">
      <formula>NOT(ISERROR(SEARCH("OK",J2)))</formula>
    </cfRule>
  </conditionalFormatting>
  <conditionalFormatting sqref="M2:M9">
    <cfRule type="containsText" dxfId="0" priority="2" operator="containsText" text="OK">
      <formula>NOT(ISERROR(SEARCH("OK",M2)))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1-10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Meiliana Kristina</cp:lastModifiedBy>
  <dcterms:created xsi:type="dcterms:W3CDTF">2026-02-19T04:13:36Z</dcterms:created>
  <dcterms:modified xsi:type="dcterms:W3CDTF">2026-02-21T04:58:33Z</dcterms:modified>
</cp:coreProperties>
</file>