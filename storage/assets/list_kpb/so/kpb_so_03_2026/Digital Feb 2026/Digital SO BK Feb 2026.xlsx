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6\Feb 2026\"/>
    </mc:Choice>
  </mc:AlternateContent>
  <xr:revisionPtr revIDLastSave="0" documentId="13_ncr:1_{2001F086-4E75-4681-8742-9C87726A7A34}" xr6:coauthVersionLast="47" xr6:coauthVersionMax="47" xr10:uidLastSave="{00000000-0000-0000-0000-000000000000}"/>
  <bookViews>
    <workbookView xWindow="-120" yWindow="-120" windowWidth="20730" windowHeight="11040" activeTab="2" xr2:uid="{02A04D22-B05A-448E-BB8D-6A3F7DC89C45}"/>
  </bookViews>
  <sheets>
    <sheet name="1-10 Feb" sheetId="1" r:id="rId1"/>
    <sheet name="11-20 Feb" sheetId="2" r:id="rId2"/>
    <sheet name="21-28 Feb" sheetId="3" r:id="rId3"/>
  </sheets>
  <definedNames>
    <definedName name="_xlnm._FilterDatabase" localSheetId="0" hidden="1">'1-10 Feb'!$A$1:$O$14</definedName>
    <definedName name="_xlnm._FilterDatabase" localSheetId="1" hidden="1">'11-20 Feb'!$A$1:$O$14</definedName>
    <definedName name="_xlnm._FilterDatabase" localSheetId="2" hidden="1">'21-28 Feb'!$A$1:$O$15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M15" i="3"/>
  <c r="I15" i="3"/>
  <c r="J15" i="3"/>
  <c r="F9" i="3"/>
  <c r="F10" i="3"/>
  <c r="J4" i="3"/>
  <c r="J6" i="3"/>
  <c r="J8" i="3"/>
  <c r="J10" i="3"/>
  <c r="J12" i="3"/>
  <c r="J13" i="3"/>
  <c r="J14" i="3"/>
  <c r="M14" i="3"/>
  <c r="I14" i="3"/>
  <c r="F14" i="3"/>
  <c r="M13" i="3"/>
  <c r="I13" i="3"/>
  <c r="F13" i="3"/>
  <c r="M12" i="3"/>
  <c r="I12" i="3"/>
  <c r="F12" i="3"/>
  <c r="M11" i="3"/>
  <c r="J11" i="3"/>
  <c r="I11" i="3"/>
  <c r="F11" i="3"/>
  <c r="M10" i="3"/>
  <c r="I10" i="3"/>
  <c r="M9" i="3"/>
  <c r="J9" i="3"/>
  <c r="I9" i="3"/>
  <c r="M8" i="3"/>
  <c r="I8" i="3"/>
  <c r="F8" i="3"/>
  <c r="M7" i="3"/>
  <c r="J7" i="3"/>
  <c r="I7" i="3"/>
  <c r="F7" i="3"/>
  <c r="M6" i="3"/>
  <c r="I6" i="3"/>
  <c r="F6" i="3"/>
  <c r="M5" i="3"/>
  <c r="J5" i="3"/>
  <c r="I5" i="3"/>
  <c r="F5" i="3"/>
  <c r="M4" i="3"/>
  <c r="I4" i="3"/>
  <c r="F4" i="3"/>
  <c r="M3" i="3"/>
  <c r="J3" i="3"/>
  <c r="I3" i="3"/>
  <c r="F3" i="3"/>
  <c r="M13" i="2"/>
  <c r="M14" i="2"/>
  <c r="I13" i="2"/>
  <c r="J13" i="2"/>
  <c r="I14" i="2"/>
  <c r="J14" i="2"/>
  <c r="F13" i="2"/>
  <c r="F14" i="2"/>
  <c r="F7" i="2"/>
  <c r="F9" i="2"/>
  <c r="F10" i="2"/>
  <c r="J9" i="2"/>
  <c r="J10" i="2"/>
  <c r="M7" i="2"/>
  <c r="M9" i="2"/>
  <c r="M10" i="2"/>
  <c r="F2" i="2"/>
  <c r="M12" i="2"/>
  <c r="J12" i="2"/>
  <c r="I12" i="2"/>
  <c r="F12" i="2"/>
  <c r="M11" i="2"/>
  <c r="J11" i="2"/>
  <c r="I11" i="2"/>
  <c r="F11" i="2"/>
  <c r="M8" i="2"/>
  <c r="J8" i="2"/>
  <c r="I8" i="2"/>
  <c r="F8" i="2"/>
  <c r="J7" i="2"/>
  <c r="I7" i="2"/>
  <c r="M6" i="2"/>
  <c r="J6" i="2"/>
  <c r="I6" i="2"/>
  <c r="F6" i="2"/>
  <c r="M5" i="2"/>
  <c r="J5" i="2"/>
  <c r="I5" i="2"/>
  <c r="F5" i="2"/>
  <c r="M4" i="2"/>
  <c r="J4" i="2"/>
  <c r="I4" i="2"/>
  <c r="F4" i="2"/>
  <c r="M3" i="2"/>
  <c r="J3" i="2"/>
  <c r="I3" i="2"/>
  <c r="F3" i="2"/>
  <c r="I3" i="1"/>
  <c r="I4" i="1"/>
  <c r="I5" i="1"/>
  <c r="I6" i="1"/>
  <c r="I7" i="1"/>
  <c r="I8" i="1"/>
  <c r="I9" i="1"/>
  <c r="I10" i="1"/>
  <c r="I11" i="1"/>
  <c r="I12" i="1"/>
  <c r="I13" i="1"/>
  <c r="I14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2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F14" i="1"/>
  <c r="F3" i="1"/>
  <c r="F4" i="1"/>
  <c r="F5" i="1"/>
  <c r="F6" i="1"/>
  <c r="F7" i="1"/>
  <c r="F8" i="1"/>
  <c r="F9" i="1"/>
  <c r="F10" i="1"/>
  <c r="F11" i="1"/>
  <c r="F12" i="1"/>
  <c r="F13" i="1"/>
  <c r="F2" i="1"/>
  <c r="J2" i="3" l="1"/>
  <c r="I2" i="3"/>
  <c r="M2" i="3" s="1"/>
  <c r="F2" i="3"/>
  <c r="I9" i="2"/>
  <c r="I10" i="2"/>
  <c r="J2" i="2" l="1"/>
  <c r="I2" i="2"/>
  <c r="M2" i="2" s="1"/>
</calcChain>
</file>

<file path=xl/sharedStrings.xml><?xml version="1.0" encoding="utf-8"?>
<sst xmlns="http://schemas.openxmlformats.org/spreadsheetml/2006/main" count="245" uniqueCount="111">
  <si>
    <t>no_mesin</t>
  </si>
  <si>
    <t>kpb_type</t>
  </si>
  <si>
    <t>km</t>
  </si>
  <si>
    <t>tanggal_beli</t>
  </si>
  <si>
    <t>tanggal_claim</t>
  </si>
  <si>
    <t>photo_url</t>
  </si>
  <si>
    <t>noted</t>
  </si>
  <si>
    <t>KPB4</t>
  </si>
  <si>
    <t>KPB1</t>
  </si>
  <si>
    <t>KPB2</t>
  </si>
  <si>
    <t>KPB3</t>
  </si>
  <si>
    <t>JMC1E1721371</t>
  </si>
  <si>
    <t>https://squarix.modakita.com//m2tf6l//avatar/2533946520260203143925SQBPRB.jpg</t>
  </si>
  <si>
    <t>JMC1E1775972</t>
  </si>
  <si>
    <t>https://squarix.modakita.com//m2tf6l//avatar/21478122820260204120250VZC7OL.jpg</t>
  </si>
  <si>
    <t>JMD1E2052811</t>
  </si>
  <si>
    <t>https://squarix.modakita.com//m2tf6l//avatar/21086577720260202145116RW41FP.jpg</t>
  </si>
  <si>
    <t>JMD1E2102501</t>
  </si>
  <si>
    <t>https://squarix.modakita.com//m2tf6l//avatar/21476112420260207122150BCCK4Y.jpg</t>
  </si>
  <si>
    <t>JME1E1905404</t>
  </si>
  <si>
    <t>https://squarix.modakita.com//m2tf6l//avatar/21489906320260202142257R9F9D2.jpg</t>
  </si>
  <si>
    <t>JMF1E1290431</t>
  </si>
  <si>
    <t>https://squarix.modakita.com//m2tf6l//avatar/21364457620260203115030SH8RZP.jpg</t>
  </si>
  <si>
    <t>JMH2E1667942</t>
  </si>
  <si>
    <t>https://squarix.modakita.com//m2tf6l//avatar/21011110720260207100341GXI8EC.jpg</t>
  </si>
  <si>
    <t>KFC1E1244800</t>
  </si>
  <si>
    <t>https://squarix.modakita.com//m2tf6l//avatar/21490145020260203102839I5U3L0.jpg</t>
  </si>
  <si>
    <t>KFE1E1242226</t>
  </si>
  <si>
    <t>https://squarix.modakita.com//m2tf6l//avatar/21493392720260210134723ZEDSVB.jpg</t>
  </si>
  <si>
    <t>KFE1E1276954</t>
  </si>
  <si>
    <t>https://squarix.modakita.com//m2tf6l//avatar/21489758220260202103646UDQ6KU.jpg</t>
  </si>
  <si>
    <t>KFE1E1330118</t>
  </si>
  <si>
    <t>https://squarix.modakita.com//m2tf6l//avatar/21490680620260204140442U9XHKH.jpg</t>
  </si>
  <si>
    <t>KFE1E1358887</t>
  </si>
  <si>
    <t>https://squarix.modakita.com//m2tf6l//avatar/21480795120260204115254XWUH5Y.jpg</t>
  </si>
  <si>
    <t>KFE2E1058673</t>
  </si>
  <si>
    <t>https://squarix.modakita.com//m2tf6l//avatar/21490168020260203110000TVIK55.jpg</t>
  </si>
  <si>
    <t>No. Surat Klaim</t>
  </si>
  <si>
    <t>Tglb STAR</t>
  </si>
  <si>
    <t>Cek Tglb</t>
  </si>
  <si>
    <t>Selisih</t>
  </si>
  <si>
    <t>Tgls STAR</t>
  </si>
  <si>
    <t>Cek Tgls</t>
  </si>
  <si>
    <t>KM STAR</t>
  </si>
  <si>
    <t>Cek KM</t>
  </si>
  <si>
    <t>12804-260205_2306</t>
  </si>
  <si>
    <t>12804-260210_1602</t>
  </si>
  <si>
    <t>Ok</t>
  </si>
  <si>
    <t>JBK3E1620825</t>
  </si>
  <si>
    <t>JMA1E1209539</t>
  </si>
  <si>
    <t>JMD1E1991702</t>
  </si>
  <si>
    <t>JMH1E1343201</t>
  </si>
  <si>
    <t>JMH2E1399309</t>
  </si>
  <si>
    <t>JMK1E1034726</t>
  </si>
  <si>
    <t>KB22E1059506</t>
  </si>
  <si>
    <t>KC04E1037386</t>
  </si>
  <si>
    <t>KD11E1660004</t>
  </si>
  <si>
    <t>KD11E1663702</t>
  </si>
  <si>
    <t>KD11E1666897</t>
  </si>
  <si>
    <t>KF01E1999642</t>
  </si>
  <si>
    <t>KFE3E1063731</t>
  </si>
  <si>
    <t>https://hana.modakita.com/azd942/avatar/21499458420260220084408BEM7FE.jpg</t>
  </si>
  <si>
    <t>https://hana.modakita.com/azd942/avatar/21086577720260219150327RFVAEK.jpg</t>
  </si>
  <si>
    <t>https://hana.modakita.com/azd942/avatar/214965140202602141104342QWU69.jpg</t>
  </si>
  <si>
    <t>https://hana.modakita.com/azd942/avatar/21499803020260220141558QPMESW.jpg</t>
  </si>
  <si>
    <t>https://hana.modakita.com/azd942/avatar/21086577720260220090553N5IX0D.jpg</t>
  </si>
  <si>
    <t>https://hana.modakita.com/azd942/avatar/21498261820260218110100GV2JK6.jpg</t>
  </si>
  <si>
    <t>https://hana.modakita.com/azd942/avatar/21496477020260214102530MO2TLD.jpg</t>
  </si>
  <si>
    <t>https://hana.modakita.com/azd942/avatar/21498260620260218103357M6DMRT.jpg</t>
  </si>
  <si>
    <t>https://hana.modakita.com/azd942/avatar/21498280120260218113226SOVPJN.jpg</t>
  </si>
  <si>
    <t>https://hana.modakita.com/azd942/avatar/21499462420260220084911ZEQUB2.jpg</t>
  </si>
  <si>
    <t>https://hana.modakita.com/azd942/avatar/21499118520260219143921VIRXZO.jpg</t>
  </si>
  <si>
    <t>https://hana.modakita.com/azd942/avatar/21496505520260214104721MQMFF5.jpg</t>
  </si>
  <si>
    <t>https://hana.modakita.com/azd942/avatar/21431928820260214120719ZMTGYW.jpg</t>
  </si>
  <si>
    <t>12804-260220_1638</t>
  </si>
  <si>
    <t>12804-260216_2233</t>
  </si>
  <si>
    <t>KM trip</t>
  </si>
  <si>
    <t>Salah tgl servis di WEBC</t>
  </si>
  <si>
    <t>JBP1E2140619</t>
  </si>
  <si>
    <t>JBP1E2141491</t>
  </si>
  <si>
    <t>JBP1E2145228</t>
  </si>
  <si>
    <t>JMD1E2157337</t>
  </si>
  <si>
    <t>JME1E1670226</t>
  </si>
  <si>
    <t>JMH1E1346053</t>
  </si>
  <si>
    <t>JMH2E1652447</t>
  </si>
  <si>
    <t>JMH2E1669211</t>
  </si>
  <si>
    <t>KC04E1036526</t>
  </si>
  <si>
    <t>KC04E1037169</t>
  </si>
  <si>
    <t>KC04E1038095</t>
  </si>
  <si>
    <t>KFA1E1330979</t>
  </si>
  <si>
    <t>KFC1E1250259</t>
  </si>
  <si>
    <t>KFC1E1253708</t>
  </si>
  <si>
    <t>https://hana.modakita.com/azd942/avatar/2516581120260223103633MI7AQD.jpg</t>
  </si>
  <si>
    <t>https://hana.modakita.com/azd942/avatar/21501361120260223120617BWY2MO.jpg</t>
  </si>
  <si>
    <t>https://hana.modakita.com/azd942/avatar/21505413420260228091649W5HDLO.jpg</t>
  </si>
  <si>
    <t>https://hana.modakita.com/azd942/avatar/210865777202602240928161R7ABT.jpg</t>
  </si>
  <si>
    <t>https://hana.modakita.com/azd942/avatar/2914187020260224084959PB55QX.jpg</t>
  </si>
  <si>
    <t>https://hana.modakita.com/azd942/avatar/21503541620260226094829VE29ZP.jpg</t>
  </si>
  <si>
    <t>https://hana.modakita.com/azd942/avatar/21484278720260224090452CGXTLM.jpg</t>
  </si>
  <si>
    <t>https://hana.modakita.com/azd942/avatar/21501902920260224091559DF2KMN.jpg</t>
  </si>
  <si>
    <t>https://hana.modakita.com/azd942/avatar/21501261920260223104908MKAWRS.jpg</t>
  </si>
  <si>
    <t>https://hana.modakita.com/azd942/avatar/25339465202602240938591BMSVQ.jpg</t>
  </si>
  <si>
    <t>https://hana.modakita.com/azd942/avatar/21501955820260224102044CTE5AV.jpg</t>
  </si>
  <si>
    <t>https://hana.modakita.com/azd942/avatar/21500293520260221110114H8KTX2.jpg</t>
  </si>
  <si>
    <t>https://hana.modakita.com/azd942/avatar/21502868520260225113616DFRQI0.jpg</t>
  </si>
  <si>
    <t>https://hana.modakita.com/azd942/avatar/2485526920260223091909ZIFX96.jpg</t>
  </si>
  <si>
    <t>12804-260225_1626</t>
  </si>
  <si>
    <t>12804-260228_1044</t>
  </si>
  <si>
    <t>Salah KM di WEBC</t>
  </si>
  <si>
    <t>KM average</t>
  </si>
  <si>
    <t>Speedo tidak sesuai tipe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</si>
</sst>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2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B160-BC11-424E-AE3A-F59A065A4E3C}">
  <dimension ref="A1:O14"/>
  <sheetViews>
    <sheetView workbookViewId="0">
      <pane ySplit="1" topLeftCell="A2" activePane="bottomLeft" state="frozen"/>
      <selection pane="bottomLeft" activeCell="B2" sqref="B2:B14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5703125" hidden="1" customWidth="1"/>
    <col min="15" max="15" width="6.28515625" bestFit="1" customWidth="1"/>
  </cols>
  <sheetData>
    <row r="1" spans="1:15" x14ac:dyDescent="0.25">
      <c r="A1" s="4" t="s">
        <v>37</v>
      </c>
      <c r="B1" s="1" t="s">
        <v>0</v>
      </c>
      <c r="C1" s="1" t="s">
        <v>1</v>
      </c>
      <c r="D1" s="1" t="s">
        <v>2</v>
      </c>
      <c r="E1" s="1" t="s">
        <v>43</v>
      </c>
      <c r="F1" s="1" t="s">
        <v>44</v>
      </c>
      <c r="G1" s="1" t="s">
        <v>3</v>
      </c>
      <c r="H1" s="1" t="s">
        <v>38</v>
      </c>
      <c r="I1" s="3" t="s">
        <v>40</v>
      </c>
      <c r="J1" s="1" t="s">
        <v>39</v>
      </c>
      <c r="K1" s="1" t="s">
        <v>4</v>
      </c>
      <c r="L1" s="1" t="s">
        <v>41</v>
      </c>
      <c r="M1" s="1" t="s">
        <v>42</v>
      </c>
      <c r="N1" s="1" t="s">
        <v>5</v>
      </c>
      <c r="O1" s="1" t="s">
        <v>6</v>
      </c>
    </row>
    <row r="2" spans="1:15" x14ac:dyDescent="0.25">
      <c r="A2" t="s">
        <v>45</v>
      </c>
      <c r="B2" t="s">
        <v>11</v>
      </c>
      <c r="C2" t="s">
        <v>10</v>
      </c>
      <c r="D2">
        <v>6532</v>
      </c>
      <c r="E2">
        <v>6532</v>
      </c>
      <c r="F2" t="str">
        <f t="shared" ref="F2:F14" si="0">IF(D2=E2,"OK","Not")</f>
        <v>OK</v>
      </c>
      <c r="G2" s="2">
        <v>45924</v>
      </c>
      <c r="H2" s="2">
        <v>45924</v>
      </c>
      <c r="I2">
        <f t="shared" ref="I2:I14" si="1">H2-G2</f>
        <v>0</v>
      </c>
      <c r="J2" t="str">
        <f t="shared" ref="J2:J14" si="2">IF(H2=G2,"OK","Not")</f>
        <v>OK</v>
      </c>
      <c r="K2" s="2">
        <v>46056</v>
      </c>
      <c r="L2" s="2">
        <v>46056</v>
      </c>
      <c r="M2" t="str">
        <f t="shared" ref="M2:M14" si="3">IF(K2=L2,"OK","Not")</f>
        <v>OK</v>
      </c>
      <c r="N2" t="s">
        <v>12</v>
      </c>
      <c r="O2" t="s">
        <v>47</v>
      </c>
    </row>
    <row r="3" spans="1:15" x14ac:dyDescent="0.25">
      <c r="A3" t="s">
        <v>45</v>
      </c>
      <c r="B3" t="s">
        <v>13</v>
      </c>
      <c r="C3" t="s">
        <v>9</v>
      </c>
      <c r="D3">
        <v>2190</v>
      </c>
      <c r="E3">
        <v>2190</v>
      </c>
      <c r="F3" t="str">
        <f t="shared" si="0"/>
        <v>OK</v>
      </c>
      <c r="G3" s="2">
        <v>45993</v>
      </c>
      <c r="H3" s="2">
        <v>45993</v>
      </c>
      <c r="I3">
        <f t="shared" si="1"/>
        <v>0</v>
      </c>
      <c r="J3" t="str">
        <f t="shared" si="2"/>
        <v>OK</v>
      </c>
      <c r="K3" s="2">
        <v>46057</v>
      </c>
      <c r="L3" s="2">
        <v>46057</v>
      </c>
      <c r="M3" t="str">
        <f t="shared" si="3"/>
        <v>OK</v>
      </c>
      <c r="N3" t="s">
        <v>14</v>
      </c>
      <c r="O3" t="s">
        <v>47</v>
      </c>
    </row>
    <row r="4" spans="1:15" x14ac:dyDescent="0.25">
      <c r="A4" t="s">
        <v>45</v>
      </c>
      <c r="B4" t="s">
        <v>15</v>
      </c>
      <c r="C4" t="s">
        <v>9</v>
      </c>
      <c r="D4">
        <v>2433</v>
      </c>
      <c r="E4">
        <v>2433</v>
      </c>
      <c r="F4" t="str">
        <f t="shared" si="0"/>
        <v>OK</v>
      </c>
      <c r="G4" s="2">
        <v>45981</v>
      </c>
      <c r="H4" s="2">
        <v>45982</v>
      </c>
      <c r="I4">
        <f t="shared" si="1"/>
        <v>1</v>
      </c>
      <c r="J4" t="str">
        <f t="shared" si="2"/>
        <v>Not</v>
      </c>
      <c r="K4" s="2">
        <v>46055</v>
      </c>
      <c r="L4" s="2">
        <v>46055</v>
      </c>
      <c r="M4" t="str">
        <f t="shared" si="3"/>
        <v>OK</v>
      </c>
      <c r="N4" t="s">
        <v>16</v>
      </c>
      <c r="O4" t="s">
        <v>47</v>
      </c>
    </row>
    <row r="5" spans="1:15" x14ac:dyDescent="0.25">
      <c r="A5" t="s">
        <v>46</v>
      </c>
      <c r="B5" t="s">
        <v>17</v>
      </c>
      <c r="C5" t="s">
        <v>10</v>
      </c>
      <c r="D5">
        <v>3704</v>
      </c>
      <c r="E5">
        <v>3704</v>
      </c>
      <c r="F5" t="str">
        <f t="shared" si="0"/>
        <v>OK</v>
      </c>
      <c r="G5" s="2">
        <v>45971</v>
      </c>
      <c r="H5" s="2">
        <v>45969</v>
      </c>
      <c r="I5">
        <f t="shared" si="1"/>
        <v>-2</v>
      </c>
      <c r="J5" t="str">
        <f t="shared" si="2"/>
        <v>Not</v>
      </c>
      <c r="K5" s="2">
        <v>46060</v>
      </c>
      <c r="L5" s="2">
        <v>46060</v>
      </c>
      <c r="M5" t="str">
        <f t="shared" si="3"/>
        <v>OK</v>
      </c>
      <c r="N5" t="s">
        <v>18</v>
      </c>
      <c r="O5" t="s">
        <v>47</v>
      </c>
    </row>
    <row r="6" spans="1:15" x14ac:dyDescent="0.25">
      <c r="A6" t="s">
        <v>45</v>
      </c>
      <c r="B6" t="s">
        <v>19</v>
      </c>
      <c r="C6" t="s">
        <v>8</v>
      </c>
      <c r="D6">
        <v>787</v>
      </c>
      <c r="E6">
        <v>787</v>
      </c>
      <c r="F6" t="str">
        <f t="shared" si="0"/>
        <v>OK</v>
      </c>
      <c r="G6" s="2">
        <v>46030</v>
      </c>
      <c r="H6" s="2">
        <v>46030</v>
      </c>
      <c r="I6">
        <f t="shared" si="1"/>
        <v>0</v>
      </c>
      <c r="J6" t="str">
        <f t="shared" si="2"/>
        <v>OK</v>
      </c>
      <c r="K6" s="2">
        <v>46055</v>
      </c>
      <c r="L6" s="2">
        <v>46055</v>
      </c>
      <c r="M6" t="str">
        <f t="shared" si="3"/>
        <v>OK</v>
      </c>
      <c r="N6" t="s">
        <v>20</v>
      </c>
      <c r="O6" t="s">
        <v>47</v>
      </c>
    </row>
    <row r="7" spans="1:15" x14ac:dyDescent="0.25">
      <c r="A7" t="s">
        <v>45</v>
      </c>
      <c r="B7" t="s">
        <v>21</v>
      </c>
      <c r="C7" t="s">
        <v>7</v>
      </c>
      <c r="D7">
        <v>5816</v>
      </c>
      <c r="E7">
        <v>5816</v>
      </c>
      <c r="F7" t="str">
        <f t="shared" si="0"/>
        <v>OK</v>
      </c>
      <c r="G7" s="2">
        <v>45863</v>
      </c>
      <c r="H7" s="2">
        <v>45863</v>
      </c>
      <c r="I7">
        <f t="shared" si="1"/>
        <v>0</v>
      </c>
      <c r="J7" t="str">
        <f t="shared" si="2"/>
        <v>OK</v>
      </c>
      <c r="K7" s="2">
        <v>46056</v>
      </c>
      <c r="L7" s="2">
        <v>46056</v>
      </c>
      <c r="M7" t="str">
        <f t="shared" si="3"/>
        <v>OK</v>
      </c>
      <c r="N7" t="s">
        <v>22</v>
      </c>
      <c r="O7" t="s">
        <v>47</v>
      </c>
    </row>
    <row r="8" spans="1:15" x14ac:dyDescent="0.25">
      <c r="A8" t="s">
        <v>46</v>
      </c>
      <c r="B8" t="s">
        <v>23</v>
      </c>
      <c r="C8" t="s">
        <v>9</v>
      </c>
      <c r="D8">
        <v>1353</v>
      </c>
      <c r="E8">
        <v>1353</v>
      </c>
      <c r="F8" t="str">
        <f t="shared" si="0"/>
        <v>OK</v>
      </c>
      <c r="G8" s="2">
        <v>46018</v>
      </c>
      <c r="H8" s="2">
        <v>46018</v>
      </c>
      <c r="I8">
        <f t="shared" si="1"/>
        <v>0</v>
      </c>
      <c r="J8" t="str">
        <f t="shared" si="2"/>
        <v>OK</v>
      </c>
      <c r="K8" s="2">
        <v>46060</v>
      </c>
      <c r="L8" s="2">
        <v>46060</v>
      </c>
      <c r="M8" t="str">
        <f t="shared" si="3"/>
        <v>OK</v>
      </c>
      <c r="N8" t="s">
        <v>24</v>
      </c>
      <c r="O8" t="s">
        <v>47</v>
      </c>
    </row>
    <row r="9" spans="1:15" x14ac:dyDescent="0.25">
      <c r="A9" t="s">
        <v>45</v>
      </c>
      <c r="B9" t="s">
        <v>25</v>
      </c>
      <c r="C9" t="s">
        <v>8</v>
      </c>
      <c r="D9">
        <v>594</v>
      </c>
      <c r="E9">
        <v>594</v>
      </c>
      <c r="F9" t="str">
        <f t="shared" si="0"/>
        <v>OK</v>
      </c>
      <c r="G9" s="2">
        <v>46039</v>
      </c>
      <c r="H9" s="2">
        <v>46037</v>
      </c>
      <c r="I9">
        <f t="shared" si="1"/>
        <v>-2</v>
      </c>
      <c r="J9" t="str">
        <f t="shared" si="2"/>
        <v>Not</v>
      </c>
      <c r="K9" s="2">
        <v>46056</v>
      </c>
      <c r="L9" s="2">
        <v>46056</v>
      </c>
      <c r="M9" t="str">
        <f t="shared" si="3"/>
        <v>OK</v>
      </c>
      <c r="N9" t="s">
        <v>26</v>
      </c>
      <c r="O9" t="s">
        <v>47</v>
      </c>
    </row>
    <row r="10" spans="1:15" x14ac:dyDescent="0.25">
      <c r="A10" t="s">
        <v>46</v>
      </c>
      <c r="B10" t="s">
        <v>27</v>
      </c>
      <c r="C10" t="s">
        <v>8</v>
      </c>
      <c r="D10">
        <v>935</v>
      </c>
      <c r="E10">
        <v>935</v>
      </c>
      <c r="F10" t="str">
        <f t="shared" si="0"/>
        <v>OK</v>
      </c>
      <c r="G10" s="2">
        <v>46021</v>
      </c>
      <c r="H10" s="2">
        <v>46021</v>
      </c>
      <c r="I10">
        <f t="shared" si="1"/>
        <v>0</v>
      </c>
      <c r="J10" t="str">
        <f t="shared" si="2"/>
        <v>OK</v>
      </c>
      <c r="K10" s="2">
        <v>46063</v>
      </c>
      <c r="L10" s="2">
        <v>46063</v>
      </c>
      <c r="M10" t="str">
        <f t="shared" si="3"/>
        <v>OK</v>
      </c>
      <c r="N10" t="s">
        <v>28</v>
      </c>
      <c r="O10" t="s">
        <v>47</v>
      </c>
    </row>
    <row r="11" spans="1:15" x14ac:dyDescent="0.25">
      <c r="A11" t="s">
        <v>45</v>
      </c>
      <c r="B11" s="5" t="s">
        <v>29</v>
      </c>
      <c r="C11" t="s">
        <v>8</v>
      </c>
      <c r="D11">
        <v>937</v>
      </c>
      <c r="E11">
        <v>937</v>
      </c>
      <c r="F11" t="str">
        <f t="shared" si="0"/>
        <v>OK</v>
      </c>
      <c r="G11" s="2">
        <v>46017</v>
      </c>
      <c r="H11" s="2">
        <v>46017</v>
      </c>
      <c r="I11">
        <f t="shared" si="1"/>
        <v>0</v>
      </c>
      <c r="J11" t="str">
        <f t="shared" si="2"/>
        <v>OK</v>
      </c>
      <c r="K11" s="2">
        <v>46055</v>
      </c>
      <c r="L11" s="2">
        <v>46055</v>
      </c>
      <c r="M11" t="str">
        <f t="shared" si="3"/>
        <v>OK</v>
      </c>
      <c r="N11" t="s">
        <v>30</v>
      </c>
      <c r="O11" t="s">
        <v>47</v>
      </c>
    </row>
    <row r="12" spans="1:15" x14ac:dyDescent="0.25">
      <c r="A12" t="s">
        <v>45</v>
      </c>
      <c r="B12" t="s">
        <v>31</v>
      </c>
      <c r="C12" t="s">
        <v>8</v>
      </c>
      <c r="D12">
        <v>939</v>
      </c>
      <c r="E12">
        <v>939</v>
      </c>
      <c r="F12" t="str">
        <f t="shared" si="0"/>
        <v>OK</v>
      </c>
      <c r="G12" s="2">
        <v>46030</v>
      </c>
      <c r="H12" s="2">
        <v>46030</v>
      </c>
      <c r="I12">
        <f t="shared" si="1"/>
        <v>0</v>
      </c>
      <c r="J12" t="str">
        <f t="shared" si="2"/>
        <v>OK</v>
      </c>
      <c r="K12" s="2">
        <v>46057</v>
      </c>
      <c r="L12" s="2">
        <v>46057</v>
      </c>
      <c r="M12" t="str">
        <f t="shared" si="3"/>
        <v>OK</v>
      </c>
      <c r="N12" t="s">
        <v>32</v>
      </c>
      <c r="O12" t="s">
        <v>47</v>
      </c>
    </row>
    <row r="13" spans="1:15" x14ac:dyDescent="0.25">
      <c r="A13" t="s">
        <v>45</v>
      </c>
      <c r="B13" t="s">
        <v>33</v>
      </c>
      <c r="C13" t="s">
        <v>9</v>
      </c>
      <c r="D13">
        <v>2817</v>
      </c>
      <c r="E13">
        <v>2817</v>
      </c>
      <c r="F13" t="str">
        <f t="shared" si="0"/>
        <v>OK</v>
      </c>
      <c r="G13" s="2">
        <v>46028</v>
      </c>
      <c r="H13" s="2">
        <v>46027</v>
      </c>
      <c r="I13">
        <f t="shared" si="1"/>
        <v>-1</v>
      </c>
      <c r="J13" t="str">
        <f t="shared" si="2"/>
        <v>Not</v>
      </c>
      <c r="K13" s="2">
        <v>46057</v>
      </c>
      <c r="L13" s="2">
        <v>46057</v>
      </c>
      <c r="M13" t="str">
        <f t="shared" si="3"/>
        <v>OK</v>
      </c>
      <c r="N13" t="s">
        <v>34</v>
      </c>
      <c r="O13" t="s">
        <v>47</v>
      </c>
    </row>
    <row r="14" spans="1:15" x14ac:dyDescent="0.25">
      <c r="A14" t="s">
        <v>45</v>
      </c>
      <c r="B14" t="s">
        <v>35</v>
      </c>
      <c r="C14" t="s">
        <v>8</v>
      </c>
      <c r="D14">
        <v>817</v>
      </c>
      <c r="E14">
        <v>817</v>
      </c>
      <c r="F14" t="str">
        <f t="shared" si="0"/>
        <v>OK</v>
      </c>
      <c r="G14" s="2">
        <v>46020</v>
      </c>
      <c r="H14" s="2">
        <v>46020</v>
      </c>
      <c r="I14">
        <f t="shared" si="1"/>
        <v>0</v>
      </c>
      <c r="J14" t="str">
        <f t="shared" si="2"/>
        <v>OK</v>
      </c>
      <c r="K14" s="2">
        <v>46056</v>
      </c>
      <c r="L14" s="2">
        <v>46056</v>
      </c>
      <c r="M14" t="str">
        <f t="shared" si="3"/>
        <v>OK</v>
      </c>
      <c r="N14" t="s">
        <v>36</v>
      </c>
      <c r="O14" t="s">
        <v>47</v>
      </c>
    </row>
  </sheetData>
  <autoFilter ref="A1:O14" xr:uid="{95DF6ECD-0B5A-4594-B543-01064A439100}">
    <sortState xmlns:xlrd2="http://schemas.microsoft.com/office/spreadsheetml/2017/richdata2" ref="A2:O14">
      <sortCondition ref="B1:B14"/>
    </sortState>
  </autoFilter>
  <conditionalFormatting sqref="D1:D1048576">
    <cfRule type="duplicateValues" dxfId="24" priority="1"/>
    <cfRule type="duplicateValues" dxfId="23" priority="2"/>
  </conditionalFormatting>
  <conditionalFormatting sqref="F1:F1048576">
    <cfRule type="containsText" dxfId="22" priority="7" operator="containsText" text="Not">
      <formula>NOT(ISERROR(SEARCH("Not",F1)))</formula>
    </cfRule>
    <cfRule type="containsText" dxfId="21" priority="8" operator="containsText" text="OK">
      <formula>NOT(ISERROR(SEARCH("OK",F1)))</formula>
    </cfRule>
  </conditionalFormatting>
  <conditionalFormatting sqref="J2:J14">
    <cfRule type="containsText" dxfId="20" priority="5" operator="containsText" text="Not">
      <formula>NOT(ISERROR(SEARCH("Not",J2)))</formula>
    </cfRule>
    <cfRule type="containsText" dxfId="19" priority="6" operator="containsText" text="OK">
      <formula>NOT(ISERROR(SEARCH("OK",J2)))</formula>
    </cfRule>
  </conditionalFormatting>
  <conditionalFormatting sqref="M2:M14">
    <cfRule type="containsText" dxfId="18" priority="3" operator="containsText" text="Not">
      <formula>NOT(ISERROR(SEARCH("Not",M2)))</formula>
    </cfRule>
    <cfRule type="containsText" dxfId="17" priority="4" operator="containsText" text="OK">
      <formula>NOT(ISERROR(SEARCH("OK",M2)))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BA82-443A-448F-B24E-2E9FD61E50F8}">
  <sheetPr filterMode="1"/>
  <dimension ref="A1:O14"/>
  <sheetViews>
    <sheetView workbookViewId="0">
      <pane ySplit="1" topLeftCell="A13" activePane="bottomLeft" state="frozen"/>
      <selection pane="bottomLeft" activeCell="G15" sqref="G15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5703125" hidden="1" customWidth="1"/>
    <col min="15" max="15" width="6.28515625" bestFit="1" customWidth="1"/>
  </cols>
  <sheetData>
    <row r="1" spans="1:15" x14ac:dyDescent="0.25">
      <c r="A1" s="4" t="s">
        <v>37</v>
      </c>
      <c r="B1" s="1" t="s">
        <v>0</v>
      </c>
      <c r="C1" s="1" t="s">
        <v>1</v>
      </c>
      <c r="D1" s="1" t="s">
        <v>2</v>
      </c>
      <c r="E1" s="1" t="s">
        <v>43</v>
      </c>
      <c r="F1" s="1" t="s">
        <v>44</v>
      </c>
      <c r="G1" s="1" t="s">
        <v>3</v>
      </c>
      <c r="H1" s="1" t="s">
        <v>38</v>
      </c>
      <c r="I1" s="3" t="s">
        <v>40</v>
      </c>
      <c r="J1" s="1" t="s">
        <v>39</v>
      </c>
      <c r="K1" s="1" t="s">
        <v>4</v>
      </c>
      <c r="L1" s="1" t="s">
        <v>41</v>
      </c>
      <c r="M1" s="1" t="s">
        <v>42</v>
      </c>
      <c r="N1" s="1" t="s">
        <v>5</v>
      </c>
      <c r="O1" s="1" t="s">
        <v>6</v>
      </c>
    </row>
    <row r="2" spans="1:15" hidden="1" x14ac:dyDescent="0.25">
      <c r="A2" t="s">
        <v>74</v>
      </c>
      <c r="B2" t="s">
        <v>48</v>
      </c>
      <c r="C2" t="s">
        <v>8</v>
      </c>
      <c r="D2">
        <v>780</v>
      </c>
      <c r="E2">
        <v>780</v>
      </c>
      <c r="F2" t="str">
        <f t="shared" ref="F2:F14" si="0">IF(D2=E2,"OK","Not")</f>
        <v>OK</v>
      </c>
      <c r="G2" s="2">
        <v>46046</v>
      </c>
      <c r="H2" s="2">
        <v>46046</v>
      </c>
      <c r="I2">
        <f t="shared" ref="I2:I14" si="1">H2-G2</f>
        <v>0</v>
      </c>
      <c r="J2" t="str">
        <f t="shared" ref="J2:J14" si="2">IF(H2=G2,"OK","Not")</f>
        <v>OK</v>
      </c>
      <c r="K2" s="2">
        <v>46073</v>
      </c>
      <c r="L2" s="2">
        <v>46073</v>
      </c>
      <c r="M2" t="str">
        <f t="shared" ref="M2:M14" si="3">IF(K2=L2,"OK","Not")</f>
        <v>OK</v>
      </c>
      <c r="N2" t="s">
        <v>61</v>
      </c>
      <c r="O2" t="s">
        <v>47</v>
      </c>
    </row>
    <row r="3" spans="1:15" hidden="1" x14ac:dyDescent="0.25">
      <c r="A3" t="s">
        <v>74</v>
      </c>
      <c r="B3" t="s">
        <v>49</v>
      </c>
      <c r="C3" t="s">
        <v>10</v>
      </c>
      <c r="D3">
        <v>2068</v>
      </c>
      <c r="E3">
        <v>2068</v>
      </c>
      <c r="F3" t="str">
        <f t="shared" si="0"/>
        <v>OK</v>
      </c>
      <c r="G3" s="2">
        <v>45946</v>
      </c>
      <c r="H3" s="2">
        <v>45946</v>
      </c>
      <c r="I3">
        <f t="shared" si="1"/>
        <v>0</v>
      </c>
      <c r="J3" t="str">
        <f t="shared" si="2"/>
        <v>OK</v>
      </c>
      <c r="K3" s="2">
        <v>46072</v>
      </c>
      <c r="L3" s="2">
        <v>46072</v>
      </c>
      <c r="M3" t="str">
        <f t="shared" si="3"/>
        <v>OK</v>
      </c>
      <c r="N3" t="s">
        <v>62</v>
      </c>
      <c r="O3" t="s">
        <v>47</v>
      </c>
    </row>
    <row r="4" spans="1:15" hidden="1" x14ac:dyDescent="0.25">
      <c r="A4" t="s">
        <v>75</v>
      </c>
      <c r="B4" t="s">
        <v>50</v>
      </c>
      <c r="C4" t="s">
        <v>10</v>
      </c>
      <c r="D4">
        <v>4439</v>
      </c>
      <c r="E4">
        <v>4439</v>
      </c>
      <c r="F4" t="str">
        <f t="shared" si="0"/>
        <v>OK</v>
      </c>
      <c r="G4" s="2">
        <v>45857</v>
      </c>
      <c r="H4" s="2">
        <v>45857</v>
      </c>
      <c r="I4">
        <f t="shared" si="1"/>
        <v>0</v>
      </c>
      <c r="J4" t="str">
        <f t="shared" si="2"/>
        <v>OK</v>
      </c>
      <c r="K4" s="2">
        <v>46067</v>
      </c>
      <c r="L4" s="2">
        <v>46067</v>
      </c>
      <c r="M4" t="str">
        <f t="shared" si="3"/>
        <v>OK</v>
      </c>
      <c r="N4" t="s">
        <v>63</v>
      </c>
      <c r="O4" t="s">
        <v>47</v>
      </c>
    </row>
    <row r="5" spans="1:15" hidden="1" x14ac:dyDescent="0.25">
      <c r="A5" t="s">
        <v>74</v>
      </c>
      <c r="B5" t="s">
        <v>51</v>
      </c>
      <c r="C5" t="s">
        <v>8</v>
      </c>
      <c r="D5">
        <v>675</v>
      </c>
      <c r="E5">
        <v>675</v>
      </c>
      <c r="F5" t="str">
        <f t="shared" si="0"/>
        <v>OK</v>
      </c>
      <c r="G5" s="2">
        <v>46050</v>
      </c>
      <c r="H5" s="2">
        <v>46049</v>
      </c>
      <c r="I5">
        <f t="shared" si="1"/>
        <v>-1</v>
      </c>
      <c r="J5" t="str">
        <f t="shared" si="2"/>
        <v>Not</v>
      </c>
      <c r="K5" s="2">
        <v>46073</v>
      </c>
      <c r="L5" s="2">
        <v>46073</v>
      </c>
      <c r="M5" t="str">
        <f t="shared" si="3"/>
        <v>OK</v>
      </c>
      <c r="N5" t="s">
        <v>64</v>
      </c>
      <c r="O5" t="s">
        <v>47</v>
      </c>
    </row>
    <row r="6" spans="1:15" hidden="1" x14ac:dyDescent="0.25">
      <c r="A6" t="s">
        <v>74</v>
      </c>
      <c r="B6" t="s">
        <v>52</v>
      </c>
      <c r="C6" t="s">
        <v>10</v>
      </c>
      <c r="D6">
        <v>7939</v>
      </c>
      <c r="E6">
        <v>7939</v>
      </c>
      <c r="F6" t="str">
        <f t="shared" si="0"/>
        <v>OK</v>
      </c>
      <c r="G6" s="2">
        <v>45852</v>
      </c>
      <c r="H6" s="2">
        <v>45852</v>
      </c>
      <c r="I6">
        <f t="shared" si="1"/>
        <v>0</v>
      </c>
      <c r="J6" t="str">
        <f t="shared" si="2"/>
        <v>OK</v>
      </c>
      <c r="K6" s="2">
        <v>46073</v>
      </c>
      <c r="L6" s="2">
        <v>46073</v>
      </c>
      <c r="M6" t="str">
        <f t="shared" si="3"/>
        <v>OK</v>
      </c>
      <c r="N6" t="s">
        <v>65</v>
      </c>
      <c r="O6" t="s">
        <v>47</v>
      </c>
    </row>
    <row r="7" spans="1:15" hidden="1" x14ac:dyDescent="0.25">
      <c r="A7" t="s">
        <v>74</v>
      </c>
      <c r="B7" t="s">
        <v>53</v>
      </c>
      <c r="C7" t="s">
        <v>8</v>
      </c>
      <c r="D7">
        <v>169</v>
      </c>
      <c r="E7">
        <v>169</v>
      </c>
      <c r="F7" t="str">
        <f t="shared" si="0"/>
        <v>OK</v>
      </c>
      <c r="G7" s="2">
        <v>46060</v>
      </c>
      <c r="H7" s="2">
        <v>46060</v>
      </c>
      <c r="I7">
        <f t="shared" si="1"/>
        <v>0</v>
      </c>
      <c r="J7" t="str">
        <f t="shared" si="2"/>
        <v>OK</v>
      </c>
      <c r="K7" s="2">
        <v>46071</v>
      </c>
      <c r="L7" s="2">
        <v>46071</v>
      </c>
      <c r="M7" t="str">
        <f t="shared" si="3"/>
        <v>OK</v>
      </c>
      <c r="N7" t="s">
        <v>66</v>
      </c>
      <c r="O7" t="s">
        <v>47</v>
      </c>
    </row>
    <row r="8" spans="1:15" hidden="1" x14ac:dyDescent="0.25">
      <c r="A8" t="s">
        <v>75</v>
      </c>
      <c r="B8" t="s">
        <v>54</v>
      </c>
      <c r="C8" t="s">
        <v>10</v>
      </c>
      <c r="D8">
        <v>6039</v>
      </c>
      <c r="E8">
        <v>6039</v>
      </c>
      <c r="F8" t="str">
        <f t="shared" si="0"/>
        <v>OK</v>
      </c>
      <c r="G8" s="2">
        <v>45939</v>
      </c>
      <c r="H8" s="2">
        <v>45938</v>
      </c>
      <c r="I8">
        <f t="shared" si="1"/>
        <v>-1</v>
      </c>
      <c r="J8" t="str">
        <f t="shared" si="2"/>
        <v>Not</v>
      </c>
      <c r="K8" s="2">
        <v>46067</v>
      </c>
      <c r="L8" s="2">
        <v>46067</v>
      </c>
      <c r="M8" t="str">
        <f t="shared" si="3"/>
        <v>OK</v>
      </c>
      <c r="N8" t="s">
        <v>67</v>
      </c>
      <c r="O8" t="s">
        <v>47</v>
      </c>
    </row>
    <row r="9" spans="1:15" hidden="1" x14ac:dyDescent="0.25">
      <c r="A9" t="s">
        <v>74</v>
      </c>
      <c r="B9" t="s">
        <v>55</v>
      </c>
      <c r="C9" t="s">
        <v>8</v>
      </c>
      <c r="D9">
        <v>711</v>
      </c>
      <c r="E9">
        <v>711</v>
      </c>
      <c r="F9" t="str">
        <f t="shared" si="0"/>
        <v>OK</v>
      </c>
      <c r="G9" s="2">
        <v>46034</v>
      </c>
      <c r="H9" s="2">
        <v>46032</v>
      </c>
      <c r="I9">
        <f t="shared" si="1"/>
        <v>-2</v>
      </c>
      <c r="J9" t="str">
        <f t="shared" si="2"/>
        <v>Not</v>
      </c>
      <c r="K9" s="2">
        <v>46071</v>
      </c>
      <c r="L9" s="2">
        <v>46071</v>
      </c>
      <c r="M9" t="str">
        <f t="shared" si="3"/>
        <v>OK</v>
      </c>
      <c r="N9" t="s">
        <v>68</v>
      </c>
      <c r="O9" t="s">
        <v>47</v>
      </c>
    </row>
    <row r="10" spans="1:15" hidden="1" x14ac:dyDescent="0.25">
      <c r="A10" t="s">
        <v>74</v>
      </c>
      <c r="B10" t="s">
        <v>56</v>
      </c>
      <c r="C10" t="s">
        <v>9</v>
      </c>
      <c r="D10">
        <v>1670</v>
      </c>
      <c r="E10">
        <v>1670</v>
      </c>
      <c r="F10" t="str">
        <f t="shared" si="0"/>
        <v>OK</v>
      </c>
      <c r="G10" s="2">
        <v>46009</v>
      </c>
      <c r="H10" s="2">
        <v>46007</v>
      </c>
      <c r="I10">
        <f t="shared" si="1"/>
        <v>-2</v>
      </c>
      <c r="J10" t="str">
        <f t="shared" si="2"/>
        <v>Not</v>
      </c>
      <c r="K10" s="2">
        <v>46071</v>
      </c>
      <c r="L10" s="2">
        <v>46071</v>
      </c>
      <c r="M10" t="str">
        <f t="shared" si="3"/>
        <v>OK</v>
      </c>
      <c r="N10" t="s">
        <v>69</v>
      </c>
      <c r="O10" t="s">
        <v>47</v>
      </c>
    </row>
    <row r="11" spans="1:15" hidden="1" x14ac:dyDescent="0.25">
      <c r="A11" t="s">
        <v>74</v>
      </c>
      <c r="B11" s="5" t="s">
        <v>57</v>
      </c>
      <c r="C11" t="s">
        <v>9</v>
      </c>
      <c r="D11">
        <v>1198</v>
      </c>
      <c r="E11">
        <v>1198</v>
      </c>
      <c r="F11" t="str">
        <f t="shared" si="0"/>
        <v>OK</v>
      </c>
      <c r="G11" s="2">
        <v>46018</v>
      </c>
      <c r="H11" s="2">
        <v>46018</v>
      </c>
      <c r="I11">
        <f t="shared" si="1"/>
        <v>0</v>
      </c>
      <c r="J11" t="str">
        <f t="shared" si="2"/>
        <v>OK</v>
      </c>
      <c r="K11" s="2">
        <v>46073</v>
      </c>
      <c r="L11" s="2">
        <v>46073</v>
      </c>
      <c r="M11" t="str">
        <f t="shared" si="3"/>
        <v>OK</v>
      </c>
      <c r="N11" t="s">
        <v>70</v>
      </c>
      <c r="O11" t="s">
        <v>47</v>
      </c>
    </row>
    <row r="12" spans="1:15" hidden="1" x14ac:dyDescent="0.25">
      <c r="A12" t="s">
        <v>74</v>
      </c>
      <c r="B12" t="s">
        <v>58</v>
      </c>
      <c r="C12" t="s">
        <v>8</v>
      </c>
      <c r="D12">
        <v>977</v>
      </c>
      <c r="E12">
        <v>977</v>
      </c>
      <c r="F12" t="str">
        <f t="shared" si="0"/>
        <v>OK</v>
      </c>
      <c r="G12" s="2">
        <v>46042</v>
      </c>
      <c r="H12" s="2">
        <v>46042</v>
      </c>
      <c r="I12">
        <f t="shared" si="1"/>
        <v>0</v>
      </c>
      <c r="J12" t="str">
        <f t="shared" si="2"/>
        <v>OK</v>
      </c>
      <c r="K12" s="2">
        <v>46072</v>
      </c>
      <c r="L12" s="2">
        <v>46072</v>
      </c>
      <c r="M12" t="str">
        <f t="shared" si="3"/>
        <v>OK</v>
      </c>
      <c r="N12" t="s">
        <v>71</v>
      </c>
      <c r="O12" t="s">
        <v>47</v>
      </c>
    </row>
    <row r="13" spans="1:15" x14ac:dyDescent="0.25">
      <c r="A13" t="s">
        <v>75</v>
      </c>
      <c r="B13" t="s">
        <v>59</v>
      </c>
      <c r="C13" t="s">
        <v>9</v>
      </c>
      <c r="D13">
        <v>1964</v>
      </c>
      <c r="E13">
        <v>1964</v>
      </c>
      <c r="F13" t="str">
        <f t="shared" si="0"/>
        <v>OK</v>
      </c>
      <c r="G13">
        <v>46007</v>
      </c>
      <c r="H13" s="2">
        <v>46006</v>
      </c>
      <c r="I13">
        <f t="shared" si="1"/>
        <v>-1</v>
      </c>
      <c r="J13" t="str">
        <f t="shared" si="2"/>
        <v>Not</v>
      </c>
      <c r="K13" s="2">
        <v>46071</v>
      </c>
      <c r="L13" s="2">
        <v>46067</v>
      </c>
      <c r="M13" t="str">
        <f t="shared" si="3"/>
        <v>Not</v>
      </c>
      <c r="N13" t="s">
        <v>72</v>
      </c>
      <c r="O13" t="s">
        <v>77</v>
      </c>
    </row>
    <row r="14" spans="1:15" x14ac:dyDescent="0.25">
      <c r="A14" t="s">
        <v>75</v>
      </c>
      <c r="B14" t="s">
        <v>60</v>
      </c>
      <c r="C14" t="s">
        <v>9</v>
      </c>
      <c r="D14">
        <v>747</v>
      </c>
      <c r="E14">
        <v>745</v>
      </c>
      <c r="F14" t="str">
        <f t="shared" si="0"/>
        <v>Not</v>
      </c>
      <c r="G14">
        <v>46027</v>
      </c>
      <c r="H14" s="2">
        <v>46025</v>
      </c>
      <c r="I14">
        <f t="shared" si="1"/>
        <v>-2</v>
      </c>
      <c r="J14" t="str">
        <f t="shared" si="2"/>
        <v>Not</v>
      </c>
      <c r="K14" s="2">
        <v>46070</v>
      </c>
      <c r="L14" s="2">
        <v>46067</v>
      </c>
      <c r="M14" t="str">
        <f t="shared" si="3"/>
        <v>Not</v>
      </c>
      <c r="N14" t="s">
        <v>73</v>
      </c>
      <c r="O14" t="s">
        <v>76</v>
      </c>
    </row>
  </sheetData>
  <autoFilter ref="A1:O14" xr:uid="{95DF6ECD-0B5A-4594-B543-01064A439100}">
    <filterColumn colId="14">
      <filters>
        <filter val="KM trip"/>
        <filter val="Salah tgl servis di WEBC"/>
      </filters>
    </filterColumn>
    <sortState xmlns:xlrd2="http://schemas.microsoft.com/office/spreadsheetml/2017/richdata2" ref="A2:O14">
      <sortCondition ref="B1:B12"/>
    </sortState>
  </autoFilter>
  <conditionalFormatting sqref="B1:B1048576">
    <cfRule type="duplicateValues" dxfId="16" priority="8"/>
  </conditionalFormatting>
  <conditionalFormatting sqref="D1:D1048576">
    <cfRule type="duplicateValues" dxfId="15" priority="7"/>
    <cfRule type="duplicateValues" dxfId="14" priority="9"/>
    <cfRule type="duplicateValues" dxfId="13" priority="10"/>
  </conditionalFormatting>
  <conditionalFormatting sqref="E4">
    <cfRule type="duplicateValues" dxfId="12" priority="1"/>
    <cfRule type="duplicateValues" dxfId="11" priority="2"/>
    <cfRule type="duplicateValues" dxfId="10" priority="3"/>
  </conditionalFormatting>
  <conditionalFormatting sqref="F1:F1048576 J2:J14 M2:M14">
    <cfRule type="containsText" dxfId="9" priority="15" operator="containsText" text="Not">
      <formula>NOT(ISERROR(SEARCH("Not",F1)))</formula>
    </cfRule>
    <cfRule type="containsText" dxfId="8" priority="16" operator="containsText" text="OK">
      <formula>NOT(ISERROR(SEARCH("OK",F1)))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0858-E058-4A4D-A8AA-F18EC854A64A}">
  <sheetPr filterMode="1"/>
  <dimension ref="A1:O15"/>
  <sheetViews>
    <sheetView tabSelected="1" workbookViewId="0">
      <pane ySplit="1" topLeftCell="A4" activePane="bottomLeft" state="frozen"/>
      <selection pane="bottomLeft" activeCell="O4" sqref="O4:O9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5703125" hidden="1" customWidth="1"/>
    <col min="15" max="15" width="6.28515625" bestFit="1" customWidth="1"/>
  </cols>
  <sheetData>
    <row r="1" spans="1:15" x14ac:dyDescent="0.25">
      <c r="A1" s="4" t="s">
        <v>37</v>
      </c>
      <c r="B1" s="1" t="s">
        <v>0</v>
      </c>
      <c r="C1" s="1" t="s">
        <v>1</v>
      </c>
      <c r="D1" s="1" t="s">
        <v>2</v>
      </c>
      <c r="E1" s="1" t="s">
        <v>43</v>
      </c>
      <c r="F1" s="1" t="s">
        <v>44</v>
      </c>
      <c r="G1" s="1" t="s">
        <v>3</v>
      </c>
      <c r="H1" s="1" t="s">
        <v>38</v>
      </c>
      <c r="I1" s="3" t="s">
        <v>40</v>
      </c>
      <c r="J1" s="1" t="s">
        <v>39</v>
      </c>
      <c r="K1" s="1" t="s">
        <v>4</v>
      </c>
      <c r="L1" s="1" t="s">
        <v>41</v>
      </c>
      <c r="M1" s="1" t="s">
        <v>42</v>
      </c>
      <c r="N1" s="1" t="s">
        <v>5</v>
      </c>
      <c r="O1" s="1" t="s">
        <v>6</v>
      </c>
    </row>
    <row r="2" spans="1:15" hidden="1" x14ac:dyDescent="0.25">
      <c r="A2" t="s">
        <v>106</v>
      </c>
      <c r="B2" t="s">
        <v>78</v>
      </c>
      <c r="C2" t="s">
        <v>9</v>
      </c>
      <c r="D2">
        <v>834</v>
      </c>
      <c r="E2">
        <v>834</v>
      </c>
      <c r="F2" t="str">
        <f t="shared" ref="F2:F15" si="0">IF(D2=E2,"OK","Not")</f>
        <v>OK</v>
      </c>
      <c r="G2" s="2">
        <v>46018</v>
      </c>
      <c r="H2" s="2">
        <v>46018</v>
      </c>
      <c r="I2">
        <f t="shared" ref="I2:I15" si="1">H2-G2</f>
        <v>0</v>
      </c>
      <c r="J2" t="str">
        <f t="shared" ref="J2:J15" si="2">IF(H2=G2,"OK","Not")</f>
        <v>OK</v>
      </c>
      <c r="K2" s="2">
        <v>46076</v>
      </c>
      <c r="L2" s="2">
        <v>46076</v>
      </c>
      <c r="M2" t="str">
        <f t="shared" ref="M2:M15" si="3">IF(K2=L2,"OK","Not")</f>
        <v>OK</v>
      </c>
      <c r="N2" t="s">
        <v>92</v>
      </c>
      <c r="O2" t="s">
        <v>47</v>
      </c>
    </row>
    <row r="3" spans="1:15" hidden="1" x14ac:dyDescent="0.25">
      <c r="A3" t="s">
        <v>106</v>
      </c>
      <c r="B3" t="s">
        <v>79</v>
      </c>
      <c r="C3" t="s">
        <v>8</v>
      </c>
      <c r="D3">
        <v>740</v>
      </c>
      <c r="E3">
        <v>740</v>
      </c>
      <c r="F3" t="str">
        <f t="shared" si="0"/>
        <v>OK</v>
      </c>
      <c r="G3" s="2">
        <v>46029</v>
      </c>
      <c r="H3" s="2">
        <v>46029</v>
      </c>
      <c r="I3">
        <f t="shared" si="1"/>
        <v>0</v>
      </c>
      <c r="J3" t="str">
        <f t="shared" si="2"/>
        <v>OK</v>
      </c>
      <c r="K3" s="2">
        <v>46076</v>
      </c>
      <c r="L3" s="2">
        <v>46076</v>
      </c>
      <c r="M3" t="str">
        <f t="shared" si="3"/>
        <v>OK</v>
      </c>
      <c r="N3" t="s">
        <v>93</v>
      </c>
      <c r="O3" t="s">
        <v>47</v>
      </c>
    </row>
    <row r="4" spans="1:15" x14ac:dyDescent="0.25">
      <c r="A4" t="s">
        <v>107</v>
      </c>
      <c r="B4" t="s">
        <v>80</v>
      </c>
      <c r="C4" t="s">
        <v>8</v>
      </c>
      <c r="D4">
        <v>758</v>
      </c>
      <c r="E4">
        <v>758</v>
      </c>
      <c r="F4" t="str">
        <f t="shared" si="0"/>
        <v>OK</v>
      </c>
      <c r="G4" s="2">
        <v>46051</v>
      </c>
      <c r="H4" s="2">
        <v>46051</v>
      </c>
      <c r="I4">
        <f t="shared" si="1"/>
        <v>0</v>
      </c>
      <c r="J4" t="str">
        <f t="shared" si="2"/>
        <v>OK</v>
      </c>
      <c r="K4" s="2">
        <v>46081</v>
      </c>
      <c r="L4" s="2">
        <v>46081</v>
      </c>
      <c r="M4" t="str">
        <f t="shared" si="3"/>
        <v>OK</v>
      </c>
      <c r="N4" t="s">
        <v>94</v>
      </c>
      <c r="O4" t="s">
        <v>108</v>
      </c>
    </row>
    <row r="5" spans="1:15" hidden="1" x14ac:dyDescent="0.25">
      <c r="A5" t="s">
        <v>106</v>
      </c>
      <c r="B5" t="s">
        <v>81</v>
      </c>
      <c r="C5" t="s">
        <v>10</v>
      </c>
      <c r="D5">
        <v>3616</v>
      </c>
      <c r="E5">
        <v>3616</v>
      </c>
      <c r="F5" t="str">
        <f t="shared" si="0"/>
        <v>OK</v>
      </c>
      <c r="G5" s="2">
        <v>45989</v>
      </c>
      <c r="H5" s="2">
        <v>45989</v>
      </c>
      <c r="I5">
        <f t="shared" si="1"/>
        <v>0</v>
      </c>
      <c r="J5" t="str">
        <f t="shared" si="2"/>
        <v>OK</v>
      </c>
      <c r="K5" s="2">
        <v>46077</v>
      </c>
      <c r="L5" s="2">
        <v>46077</v>
      </c>
      <c r="M5" t="str">
        <f t="shared" si="3"/>
        <v>OK</v>
      </c>
      <c r="N5" t="s">
        <v>95</v>
      </c>
      <c r="O5" t="s">
        <v>47</v>
      </c>
    </row>
    <row r="6" spans="1:15" hidden="1" x14ac:dyDescent="0.25">
      <c r="A6" t="s">
        <v>106</v>
      </c>
      <c r="B6" t="s">
        <v>82</v>
      </c>
      <c r="C6" t="s">
        <v>7</v>
      </c>
      <c r="D6">
        <v>9543</v>
      </c>
      <c r="E6">
        <v>9543</v>
      </c>
      <c r="F6" t="str">
        <f t="shared" si="0"/>
        <v>OK</v>
      </c>
      <c r="G6" s="2">
        <v>45890</v>
      </c>
      <c r="H6" s="2">
        <v>45890</v>
      </c>
      <c r="I6">
        <f t="shared" si="1"/>
        <v>0</v>
      </c>
      <c r="J6" t="str">
        <f t="shared" si="2"/>
        <v>OK</v>
      </c>
      <c r="K6" s="2">
        <v>46077</v>
      </c>
      <c r="L6" s="2">
        <v>46077</v>
      </c>
      <c r="M6" t="str">
        <f t="shared" si="3"/>
        <v>OK</v>
      </c>
      <c r="N6" t="s">
        <v>96</v>
      </c>
      <c r="O6" t="s">
        <v>47</v>
      </c>
    </row>
    <row r="7" spans="1:15" x14ac:dyDescent="0.25">
      <c r="A7" t="s">
        <v>107</v>
      </c>
      <c r="B7" t="s">
        <v>83</v>
      </c>
      <c r="C7" t="s">
        <v>8</v>
      </c>
      <c r="D7">
        <v>514</v>
      </c>
      <c r="E7">
        <v>514</v>
      </c>
      <c r="F7" t="str">
        <f t="shared" si="0"/>
        <v>OK</v>
      </c>
      <c r="G7" s="2">
        <v>46048</v>
      </c>
      <c r="H7" s="2">
        <v>46047</v>
      </c>
      <c r="I7">
        <f t="shared" si="1"/>
        <v>-1</v>
      </c>
      <c r="J7" t="str">
        <f t="shared" si="2"/>
        <v>Not</v>
      </c>
      <c r="K7" s="2">
        <v>46079</v>
      </c>
      <c r="L7" s="2">
        <v>46079</v>
      </c>
      <c r="M7" t="str">
        <f t="shared" si="3"/>
        <v>OK</v>
      </c>
      <c r="N7" t="s">
        <v>97</v>
      </c>
      <c r="O7" t="s">
        <v>110</v>
      </c>
    </row>
    <row r="8" spans="1:15" hidden="1" x14ac:dyDescent="0.25">
      <c r="A8" t="s">
        <v>106</v>
      </c>
      <c r="B8" t="s">
        <v>84</v>
      </c>
      <c r="C8" t="s">
        <v>9</v>
      </c>
      <c r="D8">
        <v>1782</v>
      </c>
      <c r="E8">
        <v>1782</v>
      </c>
      <c r="F8" t="str">
        <f t="shared" si="0"/>
        <v>OK</v>
      </c>
      <c r="G8" s="2">
        <v>46014</v>
      </c>
      <c r="H8" s="2">
        <v>46014</v>
      </c>
      <c r="I8">
        <f t="shared" si="1"/>
        <v>0</v>
      </c>
      <c r="J8" t="str">
        <f t="shared" si="2"/>
        <v>OK</v>
      </c>
      <c r="K8" s="2">
        <v>46077</v>
      </c>
      <c r="L8" s="2">
        <v>46077</v>
      </c>
      <c r="M8" t="str">
        <f t="shared" si="3"/>
        <v>OK</v>
      </c>
      <c r="N8" t="s">
        <v>98</v>
      </c>
      <c r="O8" t="s">
        <v>47</v>
      </c>
    </row>
    <row r="9" spans="1:15" x14ac:dyDescent="0.25">
      <c r="A9" t="s">
        <v>106</v>
      </c>
      <c r="B9" t="s">
        <v>85</v>
      </c>
      <c r="C9" t="s">
        <v>9</v>
      </c>
      <c r="D9">
        <v>614</v>
      </c>
      <c r="E9">
        <v>614</v>
      </c>
      <c r="F9" t="str">
        <f t="shared" si="0"/>
        <v>OK</v>
      </c>
      <c r="G9" s="2">
        <v>46017</v>
      </c>
      <c r="H9" s="2">
        <v>46017</v>
      </c>
      <c r="I9">
        <f t="shared" si="1"/>
        <v>0</v>
      </c>
      <c r="J9" t="str">
        <f t="shared" si="2"/>
        <v>OK</v>
      </c>
      <c r="K9" s="2">
        <v>46077</v>
      </c>
      <c r="L9" s="2">
        <v>46077</v>
      </c>
      <c r="M9" t="str">
        <f t="shared" si="3"/>
        <v>OK</v>
      </c>
      <c r="N9" t="s">
        <v>99</v>
      </c>
      <c r="O9" t="s">
        <v>109</v>
      </c>
    </row>
    <row r="10" spans="1:15" hidden="1" x14ac:dyDescent="0.25">
      <c r="A10" t="s">
        <v>106</v>
      </c>
      <c r="B10" t="s">
        <v>86</v>
      </c>
      <c r="C10" t="s">
        <v>8</v>
      </c>
      <c r="D10">
        <v>776</v>
      </c>
      <c r="E10">
        <v>776</v>
      </c>
      <c r="F10" t="str">
        <f t="shared" si="0"/>
        <v>OK</v>
      </c>
      <c r="G10" s="2">
        <v>46034</v>
      </c>
      <c r="H10" s="2">
        <v>46034</v>
      </c>
      <c r="I10">
        <f t="shared" si="1"/>
        <v>0</v>
      </c>
      <c r="J10" t="str">
        <f t="shared" si="2"/>
        <v>OK</v>
      </c>
      <c r="K10" s="2">
        <v>46076</v>
      </c>
      <c r="L10" s="2">
        <v>46076</v>
      </c>
      <c r="M10" t="str">
        <f t="shared" si="3"/>
        <v>OK</v>
      </c>
      <c r="N10" t="s">
        <v>100</v>
      </c>
      <c r="O10" t="s">
        <v>47</v>
      </c>
    </row>
    <row r="11" spans="1:15" hidden="1" x14ac:dyDescent="0.25">
      <c r="A11" t="s">
        <v>106</v>
      </c>
      <c r="B11" t="s">
        <v>87</v>
      </c>
      <c r="C11" t="s">
        <v>9</v>
      </c>
      <c r="D11">
        <v>2615</v>
      </c>
      <c r="E11">
        <v>2615</v>
      </c>
      <c r="F11" t="str">
        <f t="shared" si="0"/>
        <v>OK</v>
      </c>
      <c r="G11" s="2">
        <v>46037</v>
      </c>
      <c r="H11" s="2">
        <v>46037</v>
      </c>
      <c r="I11">
        <f t="shared" si="1"/>
        <v>0</v>
      </c>
      <c r="J11" t="str">
        <f t="shared" si="2"/>
        <v>OK</v>
      </c>
      <c r="K11" s="2">
        <v>46077</v>
      </c>
      <c r="L11" s="2">
        <v>46077</v>
      </c>
      <c r="M11" t="str">
        <f t="shared" si="3"/>
        <v>OK</v>
      </c>
      <c r="N11" t="s">
        <v>101</v>
      </c>
      <c r="O11" t="s">
        <v>47</v>
      </c>
    </row>
    <row r="12" spans="1:15" hidden="1" x14ac:dyDescent="0.25">
      <c r="A12" t="s">
        <v>106</v>
      </c>
      <c r="B12" t="s">
        <v>88</v>
      </c>
      <c r="C12" t="s">
        <v>8</v>
      </c>
      <c r="D12">
        <v>444</v>
      </c>
      <c r="E12">
        <v>444</v>
      </c>
      <c r="F12" t="str">
        <f t="shared" si="0"/>
        <v>OK</v>
      </c>
      <c r="G12" s="2">
        <v>46042</v>
      </c>
      <c r="H12" s="2">
        <v>46042</v>
      </c>
      <c r="I12">
        <f t="shared" si="1"/>
        <v>0</v>
      </c>
      <c r="J12" t="str">
        <f t="shared" si="2"/>
        <v>OK</v>
      </c>
      <c r="K12" s="2">
        <v>46077</v>
      </c>
      <c r="L12" s="2">
        <v>46077</v>
      </c>
      <c r="M12" t="str">
        <f t="shared" si="3"/>
        <v>OK</v>
      </c>
      <c r="N12" t="s">
        <v>102</v>
      </c>
      <c r="O12" t="s">
        <v>47</v>
      </c>
    </row>
    <row r="13" spans="1:15" hidden="1" x14ac:dyDescent="0.25">
      <c r="A13" t="s">
        <v>106</v>
      </c>
      <c r="B13" t="s">
        <v>89</v>
      </c>
      <c r="C13" t="s">
        <v>8</v>
      </c>
      <c r="D13">
        <v>659</v>
      </c>
      <c r="E13">
        <v>659</v>
      </c>
      <c r="F13" t="str">
        <f t="shared" si="0"/>
        <v>OK</v>
      </c>
      <c r="G13" s="2">
        <v>46053</v>
      </c>
      <c r="H13" s="2">
        <v>46053</v>
      </c>
      <c r="I13">
        <f t="shared" si="1"/>
        <v>0</v>
      </c>
      <c r="J13" t="str">
        <f t="shared" si="2"/>
        <v>OK</v>
      </c>
      <c r="K13" s="2">
        <v>46074</v>
      </c>
      <c r="L13" s="2">
        <v>46074</v>
      </c>
      <c r="M13" t="str">
        <f t="shared" si="3"/>
        <v>OK</v>
      </c>
      <c r="N13" t="s">
        <v>103</v>
      </c>
      <c r="O13" t="s">
        <v>47</v>
      </c>
    </row>
    <row r="14" spans="1:15" hidden="1" x14ac:dyDescent="0.25">
      <c r="A14" t="s">
        <v>106</v>
      </c>
      <c r="B14" t="s">
        <v>90</v>
      </c>
      <c r="C14" t="s">
        <v>8</v>
      </c>
      <c r="D14">
        <v>712</v>
      </c>
      <c r="E14">
        <v>712</v>
      </c>
      <c r="F14" t="str">
        <f t="shared" si="0"/>
        <v>OK</v>
      </c>
      <c r="G14" s="2">
        <v>46042</v>
      </c>
      <c r="H14" s="2">
        <v>46042</v>
      </c>
      <c r="I14">
        <f t="shared" si="1"/>
        <v>0</v>
      </c>
      <c r="J14" t="str">
        <f t="shared" si="2"/>
        <v>OK</v>
      </c>
      <c r="K14" s="2">
        <v>46078</v>
      </c>
      <c r="L14" s="2">
        <v>46078</v>
      </c>
      <c r="M14" t="str">
        <f t="shared" si="3"/>
        <v>OK</v>
      </c>
      <c r="N14" t="s">
        <v>104</v>
      </c>
      <c r="O14" t="s">
        <v>47</v>
      </c>
    </row>
    <row r="15" spans="1:15" hidden="1" x14ac:dyDescent="0.25">
      <c r="A15" t="s">
        <v>106</v>
      </c>
      <c r="B15" t="s">
        <v>91</v>
      </c>
      <c r="C15" t="s">
        <v>8</v>
      </c>
      <c r="D15">
        <v>484</v>
      </c>
      <c r="E15">
        <v>484</v>
      </c>
      <c r="F15" t="str">
        <f t="shared" si="0"/>
        <v>OK</v>
      </c>
      <c r="G15" s="2">
        <v>46053</v>
      </c>
      <c r="H15" s="2">
        <v>46053</v>
      </c>
      <c r="I15">
        <f t="shared" si="1"/>
        <v>0</v>
      </c>
      <c r="J15" t="str">
        <f t="shared" si="2"/>
        <v>OK</v>
      </c>
      <c r="K15" s="2">
        <v>46076</v>
      </c>
      <c r="L15" s="2">
        <v>46076</v>
      </c>
      <c r="M15" t="str">
        <f t="shared" si="3"/>
        <v>OK</v>
      </c>
      <c r="N15" t="s">
        <v>105</v>
      </c>
      <c r="O15" t="s">
        <v>47</v>
      </c>
    </row>
  </sheetData>
  <autoFilter ref="A1:O15" xr:uid="{95DF6ECD-0B5A-4594-B543-01064A439100}">
    <filterColumn colId="14">
      <filters>
        <filter val="KM average"/>
        <filter val="Salah KM di WEBC"/>
        <filter val="Speedo tidak sesuai tipe"/>
      </filters>
    </filterColumn>
    <sortState xmlns:xlrd2="http://schemas.microsoft.com/office/spreadsheetml/2017/richdata2" ref="A2:O15">
      <sortCondition ref="B1:B15"/>
    </sortState>
  </autoFilter>
  <conditionalFormatting sqref="B1:B1048576">
    <cfRule type="duplicateValues" dxfId="7" priority="2"/>
    <cfRule type="duplicateValues" dxfId="6" priority="7"/>
  </conditionalFormatting>
  <conditionalFormatting sqref="D1:D1048576">
    <cfRule type="duplicateValues" dxfId="5" priority="1"/>
    <cfRule type="duplicateValues" dxfId="4" priority="6"/>
    <cfRule type="duplicateValues" dxfId="3" priority="8"/>
    <cfRule type="duplicateValues" dxfId="2" priority="9"/>
  </conditionalFormatting>
  <conditionalFormatting sqref="F1:F1048576 J2:J15 M2:M15">
    <cfRule type="containsText" dxfId="1" priority="10" operator="containsText" text="Not">
      <formula>NOT(ISERROR(SEARCH("Not",F1)))</formula>
    </cfRule>
    <cfRule type="containsText" dxfId="0" priority="11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1-10 Feb</vt:lpstr>
      <vt:lpstr>11-20 Feb</vt:lpstr>
      <vt:lpstr>21-28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Meiliana Kristina</cp:lastModifiedBy>
  <dcterms:created xsi:type="dcterms:W3CDTF">2026-02-19T04:38:05Z</dcterms:created>
  <dcterms:modified xsi:type="dcterms:W3CDTF">2026-03-12T08:59:28Z</dcterms:modified>
</cp:coreProperties>
</file>