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551648B8-981E-46C5-87DA-29EBAD3519E1}" xr6:coauthVersionLast="47" xr6:coauthVersionMax="47" xr10:uidLastSave="{00000000-0000-0000-0000-000000000000}"/>
  <bookViews>
    <workbookView xWindow="-120" yWindow="-120" windowWidth="20730" windowHeight="11040" xr2:uid="{417E5D6D-54F0-4B42-A3DC-C138E5890CF8}"/>
  </bookViews>
  <sheets>
    <sheet name="1-10 Feb" sheetId="1" r:id="rId1"/>
  </sheets>
  <definedNames>
    <definedName name="_xlnm._FilterDatabase" localSheetId="0" hidden="1">'1-10 Feb'!$A$1:$O$5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J3" i="1"/>
  <c r="J4" i="1"/>
  <c r="J5" i="1"/>
  <c r="J2" i="1"/>
  <c r="M5" i="1"/>
  <c r="M4" i="1"/>
  <c r="M3" i="1"/>
  <c r="M2" i="1"/>
  <c r="F3" i="1"/>
  <c r="F4" i="1"/>
  <c r="F5" i="1"/>
  <c r="F2" i="1"/>
</calcChain>
</file>

<file path=xl/sharedStrings.xml><?xml version="1.0" encoding="utf-8"?>
<sst xmlns="http://schemas.openxmlformats.org/spreadsheetml/2006/main" count="35" uniqueCount="28">
  <si>
    <t>no_mesin</t>
  </si>
  <si>
    <t>kpb_type</t>
  </si>
  <si>
    <t>km</t>
  </si>
  <si>
    <t>tanggal_beli</t>
  </si>
  <si>
    <t>tanggal_claim</t>
  </si>
  <si>
    <t>photo_url</t>
  </si>
  <si>
    <t>noted</t>
  </si>
  <si>
    <t>KPB1</t>
  </si>
  <si>
    <t>KPB3</t>
  </si>
  <si>
    <t>JMC1E1695733</t>
  </si>
  <si>
    <t>https://squarix.modakita.com//m2tf6l//avatar/21201050820260206162333U1TCCM.jpg</t>
  </si>
  <si>
    <t>JMF1E1362753</t>
  </si>
  <si>
    <t>https://squarix.modakita.com//m2tf6l//avatar/21201050820260206162611HQH2KC.jpg</t>
  </si>
  <si>
    <t>JMF2E1503379</t>
  </si>
  <si>
    <t>https://squarix.modakita.com//m2tf6l//avatar/21201050820260206162443JC1WJN.jpg</t>
  </si>
  <si>
    <t>JMH2E1458963</t>
  </si>
  <si>
    <t>https://squarix.modakita.com//m2tf6l//avatar/21170211020260206162132CSARBO.jpg</t>
  </si>
  <si>
    <t>No. Surat Klaim</t>
  </si>
  <si>
    <t>Tgls STAR</t>
  </si>
  <si>
    <t>Cek Tgls</t>
  </si>
  <si>
    <t>Tglb STAR</t>
  </si>
  <si>
    <t>Selisih</t>
  </si>
  <si>
    <t>Cek Tglb</t>
  </si>
  <si>
    <t>KM STAR</t>
  </si>
  <si>
    <t>Cek KM</t>
  </si>
  <si>
    <t>09887-260210_2215</t>
  </si>
  <si>
    <t>Ok</t>
  </si>
  <si>
    <t>Speedo terpotong dan tidak foto langsung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</si>
</sst>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9EBE-0EEB-4E87-95A3-68777ECA1DE1}">
  <sheetPr filterMode="1"/>
  <dimension ref="A1:O5"/>
  <sheetViews>
    <sheetView tabSelected="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customWidth="1"/>
    <col min="4" max="4" width="5" bestFit="1" customWidth="1"/>
    <col min="5" max="6" width="5" customWidth="1"/>
    <col min="7" max="10" width="11.85546875" customWidth="1"/>
    <col min="11" max="13" width="13.28515625" customWidth="1"/>
    <col min="14" max="14" width="80.28515625" hidden="1" customWidth="1"/>
    <col min="15" max="15" width="6.28515625" bestFit="1" customWidth="1"/>
  </cols>
  <sheetData>
    <row r="1" spans="1:15" x14ac:dyDescent="0.25">
      <c r="A1" s="3" t="s">
        <v>17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  <c r="G1" s="1" t="s">
        <v>3</v>
      </c>
      <c r="H1" s="1" t="s">
        <v>20</v>
      </c>
      <c r="I1" s="4" t="s">
        <v>21</v>
      </c>
      <c r="J1" s="1" t="s">
        <v>22</v>
      </c>
      <c r="K1" s="1" t="s">
        <v>4</v>
      </c>
      <c r="L1" s="1" t="s">
        <v>18</v>
      </c>
      <c r="M1" s="1" t="s">
        <v>19</v>
      </c>
      <c r="N1" s="1" t="s">
        <v>5</v>
      </c>
      <c r="O1" s="1" t="s">
        <v>6</v>
      </c>
    </row>
    <row r="2" spans="1:15" x14ac:dyDescent="0.25">
      <c r="A2" t="s">
        <v>25</v>
      </c>
      <c r="B2" t="s">
        <v>9</v>
      </c>
      <c r="C2" t="s">
        <v>8</v>
      </c>
      <c r="D2">
        <v>2477</v>
      </c>
      <c r="E2">
        <v>2477</v>
      </c>
      <c r="F2" t="str">
        <f>IF(D2=E2,"OK","Not")</f>
        <v>OK</v>
      </c>
      <c r="G2" s="2">
        <v>45889</v>
      </c>
      <c r="H2" s="2">
        <v>45889</v>
      </c>
      <c r="I2">
        <f>H2-G2</f>
        <v>0</v>
      </c>
      <c r="J2" t="str">
        <f>IF(H2=G2,"OK","Not")</f>
        <v>OK</v>
      </c>
      <c r="K2" s="2">
        <v>46059</v>
      </c>
      <c r="L2" s="2">
        <v>46059</v>
      </c>
      <c r="M2" t="str">
        <f>IF(K2=L2,"OK","Not")</f>
        <v>OK</v>
      </c>
      <c r="N2" t="s">
        <v>10</v>
      </c>
      <c r="O2" t="s">
        <v>27</v>
      </c>
    </row>
    <row r="3" spans="1:15" hidden="1" x14ac:dyDescent="0.25">
      <c r="A3" t="s">
        <v>25</v>
      </c>
      <c r="B3" t="s">
        <v>11</v>
      </c>
      <c r="C3" t="s">
        <v>7</v>
      </c>
      <c r="D3">
        <v>939</v>
      </c>
      <c r="E3">
        <v>939</v>
      </c>
      <c r="F3" t="str">
        <f>IF(D3=E3,"OK","Not")</f>
        <v>OK</v>
      </c>
      <c r="G3" s="2">
        <v>45999</v>
      </c>
      <c r="H3" s="2">
        <v>45999</v>
      </c>
      <c r="I3">
        <f>H3-G3</f>
        <v>0</v>
      </c>
      <c r="J3" t="str">
        <f>IF(H3=G3,"OK","Not")</f>
        <v>OK</v>
      </c>
      <c r="K3" s="2">
        <v>46059</v>
      </c>
      <c r="L3" s="2">
        <v>46059</v>
      </c>
      <c r="M3" t="str">
        <f>IF(K3=L3,"OK","Not")</f>
        <v>OK</v>
      </c>
      <c r="N3" t="s">
        <v>12</v>
      </c>
      <c r="O3" t="s">
        <v>26</v>
      </c>
    </row>
    <row r="4" spans="1:15" hidden="1" x14ac:dyDescent="0.25">
      <c r="A4" t="s">
        <v>25</v>
      </c>
      <c r="B4" t="s">
        <v>13</v>
      </c>
      <c r="C4" t="s">
        <v>8</v>
      </c>
      <c r="D4">
        <v>4822</v>
      </c>
      <c r="E4">
        <v>4822</v>
      </c>
      <c r="F4" t="str">
        <f>IF(D4=E4,"OK","Not")</f>
        <v>OK</v>
      </c>
      <c r="G4" s="2">
        <v>45861</v>
      </c>
      <c r="H4" s="2">
        <v>45861</v>
      </c>
      <c r="I4">
        <f>H4-G4</f>
        <v>0</v>
      </c>
      <c r="J4" t="str">
        <f>IF(H4=G4,"OK","Not")</f>
        <v>OK</v>
      </c>
      <c r="K4" s="2">
        <v>46059</v>
      </c>
      <c r="L4" s="2">
        <v>46059</v>
      </c>
      <c r="M4" t="str">
        <f>IF(K4=L4,"OK","Not")</f>
        <v>OK</v>
      </c>
      <c r="N4" t="s">
        <v>14</v>
      </c>
      <c r="O4" t="s">
        <v>26</v>
      </c>
    </row>
    <row r="5" spans="1:15" hidden="1" x14ac:dyDescent="0.25">
      <c r="A5" t="s">
        <v>25</v>
      </c>
      <c r="B5" t="s">
        <v>15</v>
      </c>
      <c r="C5" t="s">
        <v>8</v>
      </c>
      <c r="D5">
        <v>3408</v>
      </c>
      <c r="E5">
        <v>3408</v>
      </c>
      <c r="F5" t="str">
        <f>IF(D5=E5,"OK","Not")</f>
        <v>OK</v>
      </c>
      <c r="G5" s="2">
        <v>45960</v>
      </c>
      <c r="H5" s="2">
        <v>45960</v>
      </c>
      <c r="I5">
        <f>H5-G5</f>
        <v>0</v>
      </c>
      <c r="J5" t="str">
        <f>IF(H5=G5,"OK","Not")</f>
        <v>OK</v>
      </c>
      <c r="K5" s="2">
        <v>46059</v>
      </c>
      <c r="L5" s="2">
        <v>46059</v>
      </c>
      <c r="M5" t="str">
        <f>IF(K5=L5,"OK","Not")</f>
        <v>OK</v>
      </c>
      <c r="N5" t="s">
        <v>16</v>
      </c>
      <c r="O5" t="s">
        <v>26</v>
      </c>
    </row>
  </sheetData>
  <autoFilter ref="A1:O5" xr:uid="{369C32FA-A418-4CDB-B3C1-3411506AC6E0}">
    <filterColumn colId="14">
      <filters>
        <filter val="Speedo terpotong dan tidak foto langsung (tidak ada fisik)"/>
      </filters>
    </filterColumn>
    <sortState xmlns:xlrd2="http://schemas.microsoft.com/office/spreadsheetml/2017/richdata2" ref="A2:O5">
      <sortCondition ref="B1:B5"/>
    </sortState>
  </autoFilter>
  <conditionalFormatting sqref="D1:D1048576">
    <cfRule type="duplicateValues" dxfId="6" priority="1"/>
  </conditionalFormatting>
  <conditionalFormatting sqref="F1:F1048576">
    <cfRule type="containsText" dxfId="5" priority="6" operator="containsText" text="Not">
      <formula>NOT(ISERROR(SEARCH("Not",F1)))</formula>
    </cfRule>
    <cfRule type="containsText" dxfId="4" priority="7" operator="containsText" text="OK">
      <formula>NOT(ISERROR(SEARCH("OK",F1)))</formula>
    </cfRule>
  </conditionalFormatting>
  <conditionalFormatting sqref="J2:J5">
    <cfRule type="containsText" dxfId="3" priority="4" operator="containsText" text="Not">
      <formula>NOT(ISERROR(SEARCH("Not",J2)))</formula>
    </cfRule>
    <cfRule type="containsText" dxfId="2" priority="5" operator="containsText" text="OK">
      <formula>NOT(ISERROR(SEARCH("OK",J2)))</formula>
    </cfRule>
  </conditionalFormatting>
  <conditionalFormatting sqref="M2:M5">
    <cfRule type="containsText" dxfId="1" priority="2" operator="containsText" text="Not">
      <formula>NOT(ISERROR(SEARCH("Not",M2)))</formula>
    </cfRule>
    <cfRule type="containsText" dxfId="0" priority="3" operator="containsText" text="OK">
      <formula>NOT(ISERROR(SEARCH("OK",M2)))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1-10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2026-02-19T04:29:41Z</dcterms:created>
  <dcterms:modified xsi:type="dcterms:W3CDTF">2026-02-21T05:02:27Z</dcterms:modified>
</cp:coreProperties>
</file>