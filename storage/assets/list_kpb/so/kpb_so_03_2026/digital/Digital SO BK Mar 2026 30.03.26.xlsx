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\cek-gambar-astra\storage\assets\list_kpb\kpb_so_03_2026\digital\"/>
    </mc:Choice>
  </mc:AlternateContent>
  <xr:revisionPtr revIDLastSave="0" documentId="13_ncr:1_{519BE6EC-519B-4308-852C-06F7F158C2F4}" xr6:coauthVersionLast="47" xr6:coauthVersionMax="47" xr10:uidLastSave="{00000000-0000-0000-0000-000000000000}"/>
  <bookViews>
    <workbookView xWindow="-108" yWindow="-108" windowWidth="23256" windowHeight="12456" activeTab="2" xr2:uid="{42647811-3EB7-4E23-BDE2-323117485A7E}"/>
  </bookViews>
  <sheets>
    <sheet name="1-10 Mar" sheetId="1" r:id="rId1"/>
    <sheet name="12804-260316_1239" sheetId="2" r:id="rId2"/>
    <sheet name="21-28 Feb" sheetId="3" r:id="rId3"/>
  </sheets>
  <definedNames>
    <definedName name="_xlnm._FilterDatabase" localSheetId="0" hidden="1">'1-10 Mar'!$A$1:$O$40</definedName>
    <definedName name="_xlnm._FilterDatabase" localSheetId="1" hidden="1">'12804-260316_1239'!$B$1:$G$1</definedName>
    <definedName name="_xlnm._FilterDatabase" localSheetId="2" hidden="1">'21-28 Feb'!$A$1:$O$15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5" i="3" l="1"/>
  <c r="J15" i="3"/>
  <c r="I15" i="3"/>
  <c r="F15" i="3"/>
  <c r="M14" i="3"/>
  <c r="J14" i="3"/>
  <c r="I14" i="3"/>
  <c r="F14" i="3"/>
  <c r="M13" i="3"/>
  <c r="J13" i="3"/>
  <c r="I13" i="3"/>
  <c r="F13" i="3"/>
  <c r="M12" i="3"/>
  <c r="J12" i="3"/>
  <c r="I12" i="3"/>
  <c r="F12" i="3"/>
  <c r="M11" i="3"/>
  <c r="J11" i="3"/>
  <c r="I11" i="3"/>
  <c r="F11" i="3"/>
  <c r="M10" i="3"/>
  <c r="J10" i="3"/>
  <c r="I10" i="3"/>
  <c r="F10" i="3"/>
  <c r="M9" i="3"/>
  <c r="J9" i="3"/>
  <c r="I9" i="3"/>
  <c r="F9" i="3"/>
  <c r="M8" i="3"/>
  <c r="J8" i="3"/>
  <c r="I8" i="3"/>
  <c r="F8" i="3"/>
  <c r="M7" i="3"/>
  <c r="J7" i="3"/>
  <c r="I7" i="3"/>
  <c r="F7" i="3"/>
  <c r="M6" i="3"/>
  <c r="J6" i="3"/>
  <c r="I6" i="3"/>
  <c r="F6" i="3"/>
  <c r="M5" i="3"/>
  <c r="J5" i="3"/>
  <c r="I5" i="3"/>
  <c r="F5" i="3"/>
  <c r="M4" i="3"/>
  <c r="J4" i="3"/>
  <c r="I4" i="3"/>
  <c r="F4" i="3"/>
  <c r="M3" i="3"/>
  <c r="J3" i="3"/>
  <c r="I3" i="3"/>
  <c r="F3" i="3"/>
  <c r="M2" i="3"/>
  <c r="J2" i="3"/>
  <c r="I2" i="3"/>
  <c r="F2" i="3"/>
  <c r="M28" i="1"/>
  <c r="I28" i="1"/>
  <c r="J28" i="1"/>
  <c r="F28" i="1"/>
  <c r="M18" i="1"/>
  <c r="M26" i="1"/>
  <c r="M35" i="1"/>
  <c r="M40" i="1"/>
  <c r="I9" i="1"/>
  <c r="I10" i="1"/>
  <c r="I13" i="1"/>
  <c r="J17" i="1"/>
  <c r="J18" i="1"/>
  <c r="I20" i="1"/>
  <c r="J22" i="1"/>
  <c r="I26" i="1"/>
  <c r="I30" i="1"/>
  <c r="J34" i="1"/>
  <c r="I35" i="1"/>
  <c r="J37" i="1"/>
  <c r="I39" i="1"/>
  <c r="F8" i="1"/>
  <c r="F10" i="1"/>
  <c r="F18" i="1"/>
  <c r="F24" i="1"/>
  <c r="F26" i="1"/>
  <c r="F35" i="1"/>
  <c r="F9" i="1"/>
  <c r="F16" i="1"/>
  <c r="F17" i="1"/>
  <c r="F25" i="1"/>
  <c r="F31" i="1"/>
  <c r="F32" i="1"/>
  <c r="F33" i="1"/>
  <c r="F39" i="1"/>
  <c r="F40" i="1"/>
  <c r="I11" i="1"/>
  <c r="J19" i="1"/>
  <c r="J27" i="1"/>
  <c r="J33" i="1"/>
  <c r="M9" i="1"/>
  <c r="M10" i="1"/>
  <c r="M17" i="1"/>
  <c r="M25" i="1"/>
  <c r="M32" i="1"/>
  <c r="M33" i="1"/>
  <c r="M8" i="1"/>
  <c r="M11" i="1"/>
  <c r="M12" i="1"/>
  <c r="M13" i="1"/>
  <c r="M14" i="1"/>
  <c r="M15" i="1"/>
  <c r="M16" i="1"/>
  <c r="M19" i="1"/>
  <c r="M20" i="1"/>
  <c r="M21" i="1"/>
  <c r="M22" i="1"/>
  <c r="M23" i="1"/>
  <c r="M24" i="1"/>
  <c r="M27" i="1"/>
  <c r="M29" i="1"/>
  <c r="M30" i="1"/>
  <c r="M31" i="1"/>
  <c r="M34" i="1"/>
  <c r="M36" i="1"/>
  <c r="M37" i="1"/>
  <c r="M38" i="1"/>
  <c r="M39" i="1"/>
  <c r="I8" i="1"/>
  <c r="J8" i="1"/>
  <c r="J9" i="1"/>
  <c r="I12" i="1"/>
  <c r="J12" i="1"/>
  <c r="I14" i="1"/>
  <c r="J14" i="1"/>
  <c r="I15" i="1"/>
  <c r="J15" i="1"/>
  <c r="I16" i="1"/>
  <c r="J16" i="1"/>
  <c r="I17" i="1"/>
  <c r="I19" i="1"/>
  <c r="J20" i="1"/>
  <c r="I21" i="1"/>
  <c r="J21" i="1"/>
  <c r="I22" i="1"/>
  <c r="I23" i="1"/>
  <c r="J23" i="1"/>
  <c r="I24" i="1"/>
  <c r="J24" i="1"/>
  <c r="I25" i="1"/>
  <c r="J25" i="1"/>
  <c r="I27" i="1"/>
  <c r="I29" i="1"/>
  <c r="J29" i="1"/>
  <c r="J30" i="1"/>
  <c r="I31" i="1"/>
  <c r="J31" i="1"/>
  <c r="I32" i="1"/>
  <c r="J32" i="1"/>
  <c r="I33" i="1"/>
  <c r="I34" i="1"/>
  <c r="I36" i="1"/>
  <c r="J36" i="1"/>
  <c r="I37" i="1"/>
  <c r="I38" i="1"/>
  <c r="J38" i="1"/>
  <c r="J39" i="1"/>
  <c r="I40" i="1"/>
  <c r="J40" i="1"/>
  <c r="F11" i="1"/>
  <c r="F12" i="1"/>
  <c r="F13" i="1"/>
  <c r="F14" i="1"/>
  <c r="F15" i="1"/>
  <c r="F19" i="1"/>
  <c r="F20" i="1"/>
  <c r="F21" i="1"/>
  <c r="F22" i="1"/>
  <c r="F23" i="1"/>
  <c r="F27" i="1"/>
  <c r="F29" i="1"/>
  <c r="F30" i="1"/>
  <c r="F34" i="1"/>
  <c r="F36" i="1"/>
  <c r="F37" i="1"/>
  <c r="F38" i="1"/>
  <c r="I7" i="1"/>
  <c r="F7" i="1"/>
  <c r="I3" i="1"/>
  <c r="I4" i="1"/>
  <c r="I5" i="1"/>
  <c r="I6" i="1"/>
  <c r="J3" i="1"/>
  <c r="J4" i="1"/>
  <c r="J5" i="1"/>
  <c r="J6" i="1"/>
  <c r="J7" i="1"/>
  <c r="M7" i="1"/>
  <c r="M6" i="1"/>
  <c r="M5" i="1"/>
  <c r="M4" i="1"/>
  <c r="M3" i="1"/>
  <c r="F3" i="1"/>
  <c r="F4" i="1"/>
  <c r="F5" i="1"/>
  <c r="F6" i="1"/>
  <c r="I18" i="1" l="1"/>
  <c r="J13" i="1"/>
  <c r="J26" i="1"/>
  <c r="J35" i="1"/>
  <c r="F2" i="1"/>
  <c r="J11" i="1"/>
  <c r="J10" i="1"/>
  <c r="I2" i="1"/>
  <c r="J2" i="1"/>
  <c r="M2" i="1" l="1"/>
</calcChain>
</file>

<file path=xl/sharedStrings.xml><?xml version="1.0" encoding="utf-8"?>
<sst xmlns="http://schemas.openxmlformats.org/spreadsheetml/2006/main" count="421" uniqueCount="194">
  <si>
    <t>no_mesin</t>
  </si>
  <si>
    <t>kpb_type</t>
  </si>
  <si>
    <t>km</t>
  </si>
  <si>
    <t>tanggal_beli</t>
  </si>
  <si>
    <t>tanggal_claim</t>
  </si>
  <si>
    <t>photo_url</t>
  </si>
  <si>
    <t>KPB1</t>
  </si>
  <si>
    <t>KPB2</t>
  </si>
  <si>
    <t>KPB3</t>
  </si>
  <si>
    <t>No. Surat Klaim</t>
  </si>
  <si>
    <t>KM STAR</t>
  </si>
  <si>
    <t>Cek KM</t>
  </si>
  <si>
    <t>Tglb STAR</t>
  </si>
  <si>
    <t>Cek Tglb</t>
  </si>
  <si>
    <t>Tgls STAR</t>
  </si>
  <si>
    <t>Cek Tgls</t>
  </si>
  <si>
    <t>Selisih</t>
  </si>
  <si>
    <t>Noted</t>
  </si>
  <si>
    <t>KPB4</t>
  </si>
  <si>
    <t>JBK1E2149671</t>
  </si>
  <si>
    <t>JMA1E1225828</t>
  </si>
  <si>
    <t>JMB1E1232456</t>
  </si>
  <si>
    <t>JMC1E1754580</t>
  </si>
  <si>
    <t>JMC1E1772394</t>
  </si>
  <si>
    <t>JMC1E1779025</t>
  </si>
  <si>
    <t>JMD1E2060054</t>
  </si>
  <si>
    <t>JMD1E2157285</t>
  </si>
  <si>
    <t>JMD1E2168304</t>
  </si>
  <si>
    <t>JME1E1750529</t>
  </si>
  <si>
    <t>JME1E1864539</t>
  </si>
  <si>
    <t>JMF1E1336728</t>
  </si>
  <si>
    <t>JMF1E1384659</t>
  </si>
  <si>
    <t>JMG1E1752955</t>
  </si>
  <si>
    <t>JMH1E1342178</t>
  </si>
  <si>
    <t>JMH1E1359220</t>
  </si>
  <si>
    <t>JMH1E1367238</t>
  </si>
  <si>
    <t>JMH1E1371769</t>
  </si>
  <si>
    <t>JMH1E1378082</t>
  </si>
  <si>
    <t>JMH2E1389594</t>
  </si>
  <si>
    <t>JMH2E1459281</t>
  </si>
  <si>
    <t>JMH2E1533690</t>
  </si>
  <si>
    <t>JMH2E1601170</t>
  </si>
  <si>
    <t>JMH2E1662923</t>
  </si>
  <si>
    <t>JMH2E1668111</t>
  </si>
  <si>
    <t>JMH2E1680965</t>
  </si>
  <si>
    <t>JMJ1E1008127</t>
  </si>
  <si>
    <t>JMJ1E1021033</t>
  </si>
  <si>
    <t>JMK1E1026767</t>
  </si>
  <si>
    <t>KC04E1043121</t>
  </si>
  <si>
    <t>KF01E1917496</t>
  </si>
  <si>
    <t>KF01E2007954</t>
  </si>
  <si>
    <t>KFA1E1283037</t>
  </si>
  <si>
    <t>KFC1E1235481</t>
  </si>
  <si>
    <t>KFC1E1254469</t>
  </si>
  <si>
    <t>KFD1E1193325</t>
  </si>
  <si>
    <t>KFE1E1330118</t>
  </si>
  <si>
    <t>KFE1E1408840</t>
  </si>
  <si>
    <t>KFE3E1099684</t>
  </si>
  <si>
    <t>https://hana.modakita.com/azd942/avatar/21086577720260302135459Y6WOBE.jpg</t>
  </si>
  <si>
    <t>https://hana.modakita.com/azd942/avatar/21510902620260310100100CSYDG5.jpg</t>
  </si>
  <si>
    <t>https://hana.modakita.com/azd942/avatar/2914187020260302140946J7V5VY.jpg</t>
  </si>
  <si>
    <t>https://hana.modakita.com/azd942/avatar/21483607820260309113047C0YNXN.jpg</t>
  </si>
  <si>
    <t>https://hana.modakita.com/azd942/avatar/2430124120260306105657VGAGNB.jpg</t>
  </si>
  <si>
    <t>https://hana.modakita.com/azd942/avatar/2430124120260306105603EFCHZV.jpg</t>
  </si>
  <si>
    <t>https://hana.modakita.com/azd942/avatar/215104689202603091420476NLKXN.jpg</t>
  </si>
  <si>
    <t>https://hana.modakita.com/azd942/avatar/21474541620260303084017TVCV0C.jpg</t>
  </si>
  <si>
    <t>https://hana.modakita.com/azd942/avatar/21479168320260310112905TMDFPG.jpg</t>
  </si>
  <si>
    <t>https://hana.modakita.com/azd942/avatar/2914187020260304113720JKWGZW.jpg</t>
  </si>
  <si>
    <t>https://hana.modakita.com/azd942/avatar/21493730920260304114926DKBNWW.jpg</t>
  </si>
  <si>
    <t>https://hana.modakita.com/azd942/avatar/21460993020260302100005UDHI2T.jpg</t>
  </si>
  <si>
    <t>https://hana.modakita.com/azd942/avatar/21509405820260307104904ZPZLAD.jpg</t>
  </si>
  <si>
    <t>https://hana.modakita.com/azd942/avatar/215086637202603060850254QDCE4.jpg</t>
  </si>
  <si>
    <t>https://hana.modakita.com/azd942/avatar/21510139120260309090221JHELU1.jpg</t>
  </si>
  <si>
    <t>https://hana.modakita.com/azd942/avatar/215076811202603041124349194GM.jpg</t>
  </si>
  <si>
    <t>https://hana.modakita.com/azd942/avatar/21509424720260307110047SWKDY3.jpg</t>
  </si>
  <si>
    <t>https://hana.modakita.com/azd942/avatar/21506748820260302115435YQL1T8.jpg</t>
  </si>
  <si>
    <t>https://hana.modakita.com/azd942/avatar/21506582620260302084634J8NZKQ.jpg</t>
  </si>
  <si>
    <t>https://hana.modakita.com/azd942/avatar/2914187020260309131621H3ZM8J.jpg</t>
  </si>
  <si>
    <t>https://hana.modakita.com/azd942/avatar/21507165020260303105709IXA0KS.jpg</t>
  </si>
  <si>
    <t>https://hana.modakita.com/azd942/avatar/2914187020260304113444UF5HYU.jpg</t>
  </si>
  <si>
    <t>https://hana.modakita.com/azd942/avatar/21469581720260302102312EJNNL2.jpg</t>
  </si>
  <si>
    <t>https://hana.modakita.com/azd942/avatar/21508160820260305101649V5MQ36.jpg</t>
  </si>
  <si>
    <t>https://hana.modakita.com/azd942/avatar/21506735420260302114730HEHKZP.jpg</t>
  </si>
  <si>
    <t>https://hana.modakita.com/azd942/avatar/2914187020260306100624V2ZXZH.jpg</t>
  </si>
  <si>
    <t>https://hana.modakita.com/azd942/avatar/21510268620260309110117MSW0SE.jpg</t>
  </si>
  <si>
    <t>https://hana.modakita.com/azd942/avatar/215110391202603101204016XZ2VR.jpg</t>
  </si>
  <si>
    <t>https://hana.modakita.com/azd942/avatar/21510432620260309132543JS7F4L.jpg</t>
  </si>
  <si>
    <t>https://hana.modakita.com/azd942/avatar/2486959120260310130533BQ7AYJ.jpg</t>
  </si>
  <si>
    <t>https://hana.modakita.com/azd942/avatar/21086577720260302135613CHWRFF.jpg</t>
  </si>
  <si>
    <t>https://hana.modakita.com/azd942/avatar/25695794202603021440434SYJ8Y.jpg</t>
  </si>
  <si>
    <t>https://hana.modakita.com/azd942/avatar/21506872320260302142600UTGRQJ.jpg</t>
  </si>
  <si>
    <t>https://hana.modakita.com/azd942/avatar/21507729020260304122400DXPAVL.jpg</t>
  </si>
  <si>
    <t>https://hana.modakita.com/azd942/avatar/21510869920260310093819IQVBHS.jpg</t>
  </si>
  <si>
    <t>https://hana.modakita.com/azd942/avatar/21510308420260309112352MIIZ9H.heic</t>
  </si>
  <si>
    <t>https://hana.modakita.com/azd942/avatar/21490680620260304141547AKGXIX.jpg</t>
  </si>
  <si>
    <t>https://hana.modakita.com/azd942/avatar/21509313720260307093002QXYFLR.jpg</t>
  </si>
  <si>
    <t>https://hana.modakita.com/azd942/avatar/21506823020260302133219IEZJXN.jpg</t>
  </si>
  <si>
    <t>12804-260306_0850</t>
  </si>
  <si>
    <t>12804-260311_0903</t>
  </si>
  <si>
    <t>KM nabrak dgn servis ID 3 (7860)</t>
  </si>
  <si>
    <t>Ok</t>
  </si>
  <si>
    <t>JMF1E1376778</t>
  </si>
  <si>
    <t>2</t>
  </si>
  <si>
    <t>14/01/2026</t>
  </si>
  <si>
    <t>11/03/2026</t>
  </si>
  <si>
    <t>1801</t>
  </si>
  <si>
    <t>JME1E1905300</t>
  </si>
  <si>
    <t>3</t>
  </si>
  <si>
    <t>10/01/2026</t>
  </si>
  <si>
    <t>14/03/2026</t>
  </si>
  <si>
    <t>2778</t>
  </si>
  <si>
    <t>KD11E1659655</t>
  </si>
  <si>
    <t>20/12/2025</t>
  </si>
  <si>
    <t>3006</t>
  </si>
  <si>
    <t>KFE3E1082005</t>
  </si>
  <si>
    <t>01/12/2025</t>
  </si>
  <si>
    <t>1678</t>
  </si>
  <si>
    <t>JMH1E1373561</t>
  </si>
  <si>
    <t>1</t>
  </si>
  <si>
    <t>12/02/2026</t>
  </si>
  <si>
    <t>863</t>
  </si>
  <si>
    <t>JMH1E1369447</t>
  </si>
  <si>
    <t>13/02/2026</t>
  </si>
  <si>
    <t>12/03/2026</t>
  </si>
  <si>
    <t>628</t>
  </si>
  <si>
    <t>JMH1E1381280</t>
  </si>
  <si>
    <t>24/02/2026</t>
  </si>
  <si>
    <t>895</t>
  </si>
  <si>
    <t>JMH2E1571247</t>
  </si>
  <si>
    <t>21/11/2025</t>
  </si>
  <si>
    <t>13/03/2026</t>
  </si>
  <si>
    <t>1975</t>
  </si>
  <si>
    <t>JMH2E1609135</t>
  </si>
  <si>
    <t>4</t>
  </si>
  <si>
    <t>17/11/2025</t>
  </si>
  <si>
    <t>11584</t>
  </si>
  <si>
    <t>KFD1E1237510</t>
  </si>
  <si>
    <t>11/02/2026</t>
  </si>
  <si>
    <t>966</t>
  </si>
  <si>
    <t>KFC1E1258116</t>
  </si>
  <si>
    <t>986</t>
  </si>
  <si>
    <t>JBP1E2148382</t>
  </si>
  <si>
    <t>16/02/2026</t>
  </si>
  <si>
    <t>348</t>
  </si>
  <si>
    <t>JBP1E2137924</t>
  </si>
  <si>
    <t>11/12/2025</t>
  </si>
  <si>
    <t>5522</t>
  </si>
  <si>
    <t>JBP1E2118800</t>
  </si>
  <si>
    <t>30/08/2025</t>
  </si>
  <si>
    <t>3161</t>
  </si>
  <si>
    <t>JMC1E1661136</t>
  </si>
  <si>
    <t>07/07/2025</t>
  </si>
  <si>
    <t>6942</t>
  </si>
  <si>
    <t>KC04E1031013</t>
  </si>
  <si>
    <t>28/11/2025</t>
  </si>
  <si>
    <t>1864</t>
  </si>
  <si>
    <t>KC04E1036521</t>
  </si>
  <si>
    <t>13/01/2026</t>
  </si>
  <si>
    <t>1899</t>
  </si>
  <si>
    <t>12804-260316_1239</t>
  </si>
  <si>
    <t>noted</t>
  </si>
  <si>
    <t>12804-260225_1626</t>
  </si>
  <si>
    <t>JBP1E2140619</t>
  </si>
  <si>
    <t>https://hana.modakita.com/azd942/avatar/2516581120260223103633MI7AQD.jpg</t>
  </si>
  <si>
    <t>JBP1E2141491</t>
  </si>
  <si>
    <t>https://hana.modakita.com/azd942/avatar/21501361120260223120617BWY2MO.jpg</t>
  </si>
  <si>
    <t>12804-260228_1044</t>
  </si>
  <si>
    <t>JBP1E2145228</t>
  </si>
  <si>
    <t>https://hana.modakita.com/azd942/avatar/21505413420260228091649W5HDLO.jpg</t>
  </si>
  <si>
    <t>Salah KM di WEBC</t>
  </si>
  <si>
    <t>JMD1E2157337</t>
  </si>
  <si>
    <t>https://hana.modakita.com/azd942/avatar/210865777202602240928161R7ABT.jpg</t>
  </si>
  <si>
    <t>JME1E1670226</t>
  </si>
  <si>
    <t>https://hana.modakita.com/azd942/avatar/2914187020260224084959PB55QX.jpg</t>
  </si>
  <si>
    <t>JMH1E1346053</t>
  </si>
  <si>
    <t>https://hana.modakita.com/azd942/avatar/21503541620260226094829VE29ZP.jpg</t>
  </si>
  <si>
    <t>Speedo tidak sesuai tipe</t>
  </si>
  <si>
    <t>JMH2E1652447</t>
  </si>
  <si>
    <t>https://hana.modakita.com/azd942/avatar/21484278720260224090452CGXTLM.jpg</t>
  </si>
  <si>
    <t>JMH2E1669211</t>
  </si>
  <si>
    <t>https://hana.modakita.com/azd942/avatar/21501902920260224091559DF2KMN.jpg</t>
  </si>
  <si>
    <t>KM average</t>
  </si>
  <si>
    <t>KC04E1036526</t>
  </si>
  <si>
    <t>https://hana.modakita.com/azd942/avatar/21501261920260223104908MKAWRS.jpg</t>
  </si>
  <si>
    <t>KC04E1037169</t>
  </si>
  <si>
    <t>https://hana.modakita.com/azd942/avatar/25339465202602240938591BMSVQ.jpg</t>
  </si>
  <si>
    <t>KC04E1038095</t>
  </si>
  <si>
    <t>https://hana.modakita.com/azd942/avatar/21501955820260224102044CTE5AV.jpg</t>
  </si>
  <si>
    <t>KFA1E1330979</t>
  </si>
  <si>
    <t>https://hana.modakita.com/azd942/avatar/21500293520260221110114H8KTX2.jpg</t>
  </si>
  <si>
    <t>KFC1E1250259</t>
  </si>
  <si>
    <t>https://hana.modakita.com/azd942/avatar/21502868520260225113616DFRQI0.jpg</t>
  </si>
  <si>
    <t>KFC1E1253708</t>
  </si>
  <si>
    <t>https://hana.modakita.com/azd942/avatar/2485526920260223091909ZIFX96.jpg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</si>
</sst>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FF0000"/>
      <name val="Aptos Narrow"/>
      <family val="2"/>
      <scheme val="minor"/>
    </font>
    <font>
      <sz val="10"/>
      <color rgb="FF000000"/>
      <name val="Roboto"/>
      <charset val="1"/>
    </font>
    <font>
      <sz val="10"/>
      <color rgb="FF000000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/>
    </xf>
    <xf numFmtId="0" fontId="0" fillId="0" borderId="2" xfId="0" applyBorder="1"/>
    <xf numFmtId="0" fontId="4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D4818-817D-46B3-8BB8-85F6F99F16F3}">
  <sheetPr filterMode="1"/>
  <dimension ref="A1:O40"/>
  <sheetViews>
    <sheetView workbookViewId="0">
      <pane ySplit="1" topLeftCell="A11" activePane="bottomLeft" state="frozen"/>
      <selection pane="bottomLeft" activeCell="E1" sqref="E1"/>
    </sheetView>
  </sheetViews>
  <sheetFormatPr defaultRowHeight="14.4" x14ac:dyDescent="0.3"/>
  <cols>
    <col min="1" max="1" width="17.88671875" bestFit="1" customWidth="1"/>
    <col min="2" max="2" width="13.6640625" bestFit="1" customWidth="1"/>
    <col min="3" max="3" width="9.33203125" bestFit="1" customWidth="1"/>
    <col min="4" max="4" width="6" bestFit="1" customWidth="1"/>
    <col min="5" max="5" width="8.5546875" customWidth="1"/>
    <col min="6" max="6" width="5" customWidth="1"/>
    <col min="7" max="7" width="11.88671875" style="2" customWidth="1"/>
    <col min="8" max="10" width="11.88671875" customWidth="1"/>
    <col min="11" max="11" width="13.33203125" style="2" customWidth="1"/>
    <col min="12" max="13" width="13.33203125" customWidth="1"/>
    <col min="14" max="14" width="75" hidden="1" customWidth="1"/>
  </cols>
  <sheetData>
    <row r="1" spans="1:15" x14ac:dyDescent="0.3">
      <c r="A1" s="3" t="s">
        <v>9</v>
      </c>
      <c r="B1" s="1" t="s">
        <v>0</v>
      </c>
      <c r="C1" s="1" t="s">
        <v>1</v>
      </c>
      <c r="D1" s="1" t="s">
        <v>2</v>
      </c>
      <c r="E1" s="1" t="s">
        <v>10</v>
      </c>
      <c r="F1" s="1" t="s">
        <v>11</v>
      </c>
      <c r="G1" s="5" t="s">
        <v>3</v>
      </c>
      <c r="H1" s="1" t="s">
        <v>12</v>
      </c>
      <c r="I1" s="4" t="s">
        <v>16</v>
      </c>
      <c r="J1" s="1" t="s">
        <v>13</v>
      </c>
      <c r="K1" s="5" t="s">
        <v>4</v>
      </c>
      <c r="L1" s="1" t="s">
        <v>14</v>
      </c>
      <c r="M1" s="1" t="s">
        <v>15</v>
      </c>
      <c r="N1" s="1" t="s">
        <v>5</v>
      </c>
      <c r="O1" s="1" t="s">
        <v>17</v>
      </c>
    </row>
    <row r="2" spans="1:15" hidden="1" x14ac:dyDescent="0.3">
      <c r="A2" t="s">
        <v>97</v>
      </c>
      <c r="B2" t="s">
        <v>19</v>
      </c>
      <c r="C2" t="s">
        <v>8</v>
      </c>
      <c r="D2">
        <v>2845</v>
      </c>
      <c r="E2">
        <v>2845</v>
      </c>
      <c r="F2" t="str">
        <f t="shared" ref="F2:F40" si="0">IF(D2=E2,"OK","Not")</f>
        <v>OK</v>
      </c>
      <c r="G2" s="2">
        <v>45987</v>
      </c>
      <c r="H2" s="2">
        <v>45987</v>
      </c>
      <c r="I2">
        <f t="shared" ref="I2:I40" si="1">H2-G2</f>
        <v>0</v>
      </c>
      <c r="J2" t="str">
        <f t="shared" ref="J2:J40" si="2">IF(H2=G2,"OK","Not")</f>
        <v>OK</v>
      </c>
      <c r="K2" s="2">
        <v>46083</v>
      </c>
      <c r="L2" s="2">
        <v>46083</v>
      </c>
      <c r="M2" t="str">
        <f t="shared" ref="M2:M40" si="3">IF(K2=L2,"OK","Not")</f>
        <v>OK</v>
      </c>
      <c r="N2" t="s">
        <v>58</v>
      </c>
      <c r="O2" t="s">
        <v>100</v>
      </c>
    </row>
    <row r="3" spans="1:15" hidden="1" x14ac:dyDescent="0.3">
      <c r="A3" t="s">
        <v>98</v>
      </c>
      <c r="B3" t="s">
        <v>20</v>
      </c>
      <c r="C3" t="s">
        <v>7</v>
      </c>
      <c r="D3">
        <v>810</v>
      </c>
      <c r="E3">
        <v>810</v>
      </c>
      <c r="F3" t="str">
        <f t="shared" si="0"/>
        <v>OK</v>
      </c>
      <c r="G3" s="2">
        <v>46052</v>
      </c>
      <c r="H3" s="2">
        <v>46052</v>
      </c>
      <c r="I3">
        <f t="shared" si="1"/>
        <v>0</v>
      </c>
      <c r="J3" t="str">
        <f t="shared" si="2"/>
        <v>OK</v>
      </c>
      <c r="K3" s="2">
        <v>46091</v>
      </c>
      <c r="L3" s="2">
        <v>46091</v>
      </c>
      <c r="M3" t="str">
        <f t="shared" si="3"/>
        <v>OK</v>
      </c>
      <c r="N3" t="s">
        <v>59</v>
      </c>
      <c r="O3" t="s">
        <v>100</v>
      </c>
    </row>
    <row r="4" spans="1:15" hidden="1" x14ac:dyDescent="0.3">
      <c r="A4" t="s">
        <v>97</v>
      </c>
      <c r="B4" t="s">
        <v>21</v>
      </c>
      <c r="C4" t="s">
        <v>7</v>
      </c>
      <c r="D4">
        <v>1243</v>
      </c>
      <c r="E4">
        <v>1243</v>
      </c>
      <c r="F4" t="str">
        <f t="shared" si="0"/>
        <v>OK</v>
      </c>
      <c r="G4" s="2">
        <v>46058</v>
      </c>
      <c r="H4" s="2">
        <v>46058</v>
      </c>
      <c r="I4">
        <f t="shared" si="1"/>
        <v>0</v>
      </c>
      <c r="J4" t="str">
        <f t="shared" si="2"/>
        <v>OK</v>
      </c>
      <c r="K4" s="2">
        <v>46083</v>
      </c>
      <c r="L4" s="2">
        <v>46083</v>
      </c>
      <c r="M4" t="str">
        <f t="shared" si="3"/>
        <v>OK</v>
      </c>
      <c r="N4" t="s">
        <v>60</v>
      </c>
      <c r="O4" t="s">
        <v>100</v>
      </c>
    </row>
    <row r="5" spans="1:15" hidden="1" x14ac:dyDescent="0.3">
      <c r="A5" t="s">
        <v>98</v>
      </c>
      <c r="B5" t="s">
        <v>22</v>
      </c>
      <c r="C5" t="s">
        <v>8</v>
      </c>
      <c r="D5">
        <v>3633</v>
      </c>
      <c r="E5">
        <v>3633</v>
      </c>
      <c r="F5" t="str">
        <f t="shared" si="0"/>
        <v>OK</v>
      </c>
      <c r="G5" s="2">
        <v>45960</v>
      </c>
      <c r="H5" s="2">
        <v>45960</v>
      </c>
      <c r="I5">
        <f t="shared" si="1"/>
        <v>0</v>
      </c>
      <c r="J5" t="str">
        <f t="shared" si="2"/>
        <v>OK</v>
      </c>
      <c r="K5" s="2">
        <v>46090</v>
      </c>
      <c r="L5" s="2">
        <v>46090</v>
      </c>
      <c r="M5" t="str">
        <f t="shared" si="3"/>
        <v>OK</v>
      </c>
      <c r="N5" t="s">
        <v>61</v>
      </c>
      <c r="O5" t="s">
        <v>100</v>
      </c>
    </row>
    <row r="6" spans="1:15" hidden="1" x14ac:dyDescent="0.3">
      <c r="A6" t="s">
        <v>98</v>
      </c>
      <c r="B6" t="s">
        <v>23</v>
      </c>
      <c r="C6" t="s">
        <v>7</v>
      </c>
      <c r="D6">
        <v>673</v>
      </c>
      <c r="E6">
        <v>673</v>
      </c>
      <c r="F6" t="str">
        <f t="shared" si="0"/>
        <v>OK</v>
      </c>
      <c r="G6" s="2">
        <v>45985</v>
      </c>
      <c r="H6" s="2">
        <v>45985</v>
      </c>
      <c r="I6">
        <f t="shared" si="1"/>
        <v>0</v>
      </c>
      <c r="J6" t="str">
        <f t="shared" si="2"/>
        <v>OK</v>
      </c>
      <c r="K6" s="2">
        <v>46087</v>
      </c>
      <c r="L6" s="2">
        <v>46087</v>
      </c>
      <c r="M6" t="str">
        <f t="shared" si="3"/>
        <v>OK</v>
      </c>
      <c r="N6" t="s">
        <v>62</v>
      </c>
      <c r="O6" t="s">
        <v>100</v>
      </c>
    </row>
    <row r="7" spans="1:15" hidden="1" x14ac:dyDescent="0.3">
      <c r="A7" t="s">
        <v>98</v>
      </c>
      <c r="B7" t="s">
        <v>24</v>
      </c>
      <c r="C7" t="s">
        <v>7</v>
      </c>
      <c r="D7">
        <v>1594</v>
      </c>
      <c r="E7">
        <v>1594</v>
      </c>
      <c r="F7" t="str">
        <f t="shared" si="0"/>
        <v>OK</v>
      </c>
      <c r="G7" s="2">
        <v>45993</v>
      </c>
      <c r="H7" s="2">
        <v>45993</v>
      </c>
      <c r="I7">
        <f t="shared" si="1"/>
        <v>0</v>
      </c>
      <c r="J7" t="str">
        <f t="shared" si="2"/>
        <v>OK</v>
      </c>
      <c r="K7" s="2">
        <v>46087</v>
      </c>
      <c r="L7" s="2">
        <v>46087</v>
      </c>
      <c r="M7" t="str">
        <f t="shared" si="3"/>
        <v>OK</v>
      </c>
      <c r="N7" t="s">
        <v>63</v>
      </c>
      <c r="O7" t="s">
        <v>100</v>
      </c>
    </row>
    <row r="8" spans="1:15" hidden="1" x14ac:dyDescent="0.3">
      <c r="A8" t="s">
        <v>98</v>
      </c>
      <c r="B8" t="s">
        <v>25</v>
      </c>
      <c r="C8" t="s">
        <v>8</v>
      </c>
      <c r="D8">
        <v>7716</v>
      </c>
      <c r="E8">
        <v>7716</v>
      </c>
      <c r="F8" t="str">
        <f t="shared" si="0"/>
        <v>OK</v>
      </c>
      <c r="G8" s="2">
        <v>45929</v>
      </c>
      <c r="H8" s="2">
        <v>45929</v>
      </c>
      <c r="I8">
        <f t="shared" si="1"/>
        <v>0</v>
      </c>
      <c r="J8" t="str">
        <f t="shared" si="2"/>
        <v>OK</v>
      </c>
      <c r="K8" s="2">
        <v>46090</v>
      </c>
      <c r="L8" s="2">
        <v>46090</v>
      </c>
      <c r="M8" t="str">
        <f t="shared" si="3"/>
        <v>OK</v>
      </c>
      <c r="N8" t="s">
        <v>64</v>
      </c>
      <c r="O8" t="s">
        <v>100</v>
      </c>
    </row>
    <row r="9" spans="1:15" hidden="1" x14ac:dyDescent="0.3">
      <c r="A9" t="s">
        <v>97</v>
      </c>
      <c r="B9" t="s">
        <v>26</v>
      </c>
      <c r="C9" t="s">
        <v>7</v>
      </c>
      <c r="D9">
        <v>3890</v>
      </c>
      <c r="E9">
        <v>3890</v>
      </c>
      <c r="F9" t="str">
        <f t="shared" si="0"/>
        <v>OK</v>
      </c>
      <c r="G9" s="2">
        <v>46001</v>
      </c>
      <c r="H9" s="2">
        <v>46001</v>
      </c>
      <c r="I9">
        <f t="shared" si="1"/>
        <v>0</v>
      </c>
      <c r="J9" t="str">
        <f t="shared" si="2"/>
        <v>OK</v>
      </c>
      <c r="K9" s="2">
        <v>46084</v>
      </c>
      <c r="L9" s="2">
        <v>46084</v>
      </c>
      <c r="M9" t="str">
        <f t="shared" si="3"/>
        <v>OK</v>
      </c>
      <c r="N9" t="s">
        <v>65</v>
      </c>
      <c r="O9" t="s">
        <v>100</v>
      </c>
    </row>
    <row r="10" spans="1:15" hidden="1" x14ac:dyDescent="0.3">
      <c r="A10" t="s">
        <v>98</v>
      </c>
      <c r="B10" t="s">
        <v>27</v>
      </c>
      <c r="C10" t="s">
        <v>7</v>
      </c>
      <c r="D10">
        <v>3649</v>
      </c>
      <c r="E10">
        <v>3649</v>
      </c>
      <c r="F10" t="str">
        <f t="shared" si="0"/>
        <v>OK</v>
      </c>
      <c r="G10" s="2">
        <v>46001</v>
      </c>
      <c r="H10" s="2">
        <v>46000</v>
      </c>
      <c r="I10">
        <f t="shared" si="1"/>
        <v>-1</v>
      </c>
      <c r="J10" t="str">
        <f t="shared" si="2"/>
        <v>Not</v>
      </c>
      <c r="K10" s="2">
        <v>46091</v>
      </c>
      <c r="L10" s="2">
        <v>46091</v>
      </c>
      <c r="M10" t="str">
        <f t="shared" si="3"/>
        <v>OK</v>
      </c>
      <c r="N10" t="s">
        <v>66</v>
      </c>
      <c r="O10" t="s">
        <v>100</v>
      </c>
    </row>
    <row r="11" spans="1:15" x14ac:dyDescent="0.3">
      <c r="A11" t="s">
        <v>97</v>
      </c>
      <c r="B11" t="s">
        <v>28</v>
      </c>
      <c r="C11" t="s">
        <v>18</v>
      </c>
      <c r="D11" s="6">
        <v>7344</v>
      </c>
      <c r="E11" s="6">
        <v>7344</v>
      </c>
      <c r="F11" t="str">
        <f t="shared" si="0"/>
        <v>OK</v>
      </c>
      <c r="G11" s="2">
        <v>45965</v>
      </c>
      <c r="H11" s="2">
        <v>45965</v>
      </c>
      <c r="I11">
        <f t="shared" si="1"/>
        <v>0</v>
      </c>
      <c r="J11" t="str">
        <f t="shared" si="2"/>
        <v>OK</v>
      </c>
      <c r="K11" s="2">
        <v>46085</v>
      </c>
      <c r="L11" s="2">
        <v>46085</v>
      </c>
      <c r="M11" t="str">
        <f t="shared" si="3"/>
        <v>OK</v>
      </c>
      <c r="N11" t="s">
        <v>67</v>
      </c>
      <c r="O11" t="s">
        <v>99</v>
      </c>
    </row>
    <row r="12" spans="1:15" hidden="1" x14ac:dyDescent="0.3">
      <c r="A12" t="s">
        <v>97</v>
      </c>
      <c r="B12" t="s">
        <v>29</v>
      </c>
      <c r="C12" t="s">
        <v>8</v>
      </c>
      <c r="D12">
        <v>4145</v>
      </c>
      <c r="E12">
        <v>4145</v>
      </c>
      <c r="F12" t="str">
        <f t="shared" si="0"/>
        <v>OK</v>
      </c>
      <c r="G12" s="2">
        <v>45994</v>
      </c>
      <c r="H12" s="2">
        <v>45994</v>
      </c>
      <c r="I12">
        <f t="shared" si="1"/>
        <v>0</v>
      </c>
      <c r="J12" t="str">
        <f t="shared" si="2"/>
        <v>OK</v>
      </c>
      <c r="K12" s="2">
        <v>46085</v>
      </c>
      <c r="L12" s="2">
        <v>46085</v>
      </c>
      <c r="M12" t="str">
        <f t="shared" si="3"/>
        <v>OK</v>
      </c>
      <c r="N12" t="s">
        <v>68</v>
      </c>
      <c r="O12" t="s">
        <v>100</v>
      </c>
    </row>
    <row r="13" spans="1:15" hidden="1" x14ac:dyDescent="0.3">
      <c r="A13" t="s">
        <v>97</v>
      </c>
      <c r="B13" t="s">
        <v>30</v>
      </c>
      <c r="C13" t="s">
        <v>7</v>
      </c>
      <c r="D13">
        <v>2800</v>
      </c>
      <c r="E13">
        <v>2800</v>
      </c>
      <c r="F13" t="str">
        <f t="shared" si="0"/>
        <v>OK</v>
      </c>
      <c r="G13" s="2">
        <v>46002</v>
      </c>
      <c r="H13" s="2">
        <v>46002</v>
      </c>
      <c r="I13">
        <f t="shared" si="1"/>
        <v>0</v>
      </c>
      <c r="J13" t="str">
        <f t="shared" si="2"/>
        <v>OK</v>
      </c>
      <c r="K13" s="2">
        <v>46083</v>
      </c>
      <c r="L13" s="2">
        <v>46083</v>
      </c>
      <c r="M13" t="str">
        <f t="shared" si="3"/>
        <v>OK</v>
      </c>
      <c r="N13" t="s">
        <v>69</v>
      </c>
      <c r="O13" t="s">
        <v>100</v>
      </c>
    </row>
    <row r="14" spans="1:15" hidden="1" x14ac:dyDescent="0.3">
      <c r="A14" t="s">
        <v>98</v>
      </c>
      <c r="B14" t="s">
        <v>31</v>
      </c>
      <c r="C14" t="s">
        <v>6</v>
      </c>
      <c r="D14">
        <v>237</v>
      </c>
      <c r="E14">
        <v>237</v>
      </c>
      <c r="F14" t="str">
        <f t="shared" si="0"/>
        <v>OK</v>
      </c>
      <c r="G14" s="2">
        <v>46060</v>
      </c>
      <c r="H14" s="2">
        <v>46060</v>
      </c>
      <c r="I14">
        <f t="shared" si="1"/>
        <v>0</v>
      </c>
      <c r="J14" t="str">
        <f t="shared" si="2"/>
        <v>OK</v>
      </c>
      <c r="K14" s="2">
        <v>46088</v>
      </c>
      <c r="L14" s="2">
        <v>46088</v>
      </c>
      <c r="M14" t="str">
        <f t="shared" si="3"/>
        <v>OK</v>
      </c>
      <c r="N14" t="s">
        <v>70</v>
      </c>
      <c r="O14" t="s">
        <v>100</v>
      </c>
    </row>
    <row r="15" spans="1:15" hidden="1" x14ac:dyDescent="0.3">
      <c r="A15" t="s">
        <v>98</v>
      </c>
      <c r="B15" t="s">
        <v>32</v>
      </c>
      <c r="C15" t="s">
        <v>6</v>
      </c>
      <c r="D15">
        <v>966</v>
      </c>
      <c r="E15">
        <v>966</v>
      </c>
      <c r="F15" t="str">
        <f t="shared" si="0"/>
        <v>OK</v>
      </c>
      <c r="G15" s="2">
        <v>46067</v>
      </c>
      <c r="H15" s="2">
        <v>46066</v>
      </c>
      <c r="I15">
        <f t="shared" si="1"/>
        <v>-1</v>
      </c>
      <c r="J15" t="str">
        <f t="shared" si="2"/>
        <v>Not</v>
      </c>
      <c r="K15" s="2">
        <v>46087</v>
      </c>
      <c r="L15" s="2">
        <v>46087</v>
      </c>
      <c r="M15" t="str">
        <f t="shared" si="3"/>
        <v>OK</v>
      </c>
      <c r="N15" t="s">
        <v>71</v>
      </c>
      <c r="O15" t="s">
        <v>100</v>
      </c>
    </row>
    <row r="16" spans="1:15" hidden="1" x14ac:dyDescent="0.3">
      <c r="A16" t="s">
        <v>98</v>
      </c>
      <c r="B16" t="s">
        <v>33</v>
      </c>
      <c r="C16" t="s">
        <v>6</v>
      </c>
      <c r="D16">
        <v>348</v>
      </c>
      <c r="E16">
        <v>348</v>
      </c>
      <c r="F16" t="str">
        <f t="shared" si="0"/>
        <v>OK</v>
      </c>
      <c r="G16" s="2">
        <v>46046</v>
      </c>
      <c r="H16" s="2">
        <v>46046</v>
      </c>
      <c r="I16">
        <f t="shared" si="1"/>
        <v>0</v>
      </c>
      <c r="J16" t="str">
        <f t="shared" si="2"/>
        <v>OK</v>
      </c>
      <c r="K16" s="2">
        <v>46090</v>
      </c>
      <c r="L16" s="2">
        <v>46090</v>
      </c>
      <c r="M16" t="str">
        <f t="shared" si="3"/>
        <v>OK</v>
      </c>
      <c r="N16" t="s">
        <v>72</v>
      </c>
      <c r="O16" t="s">
        <v>100</v>
      </c>
    </row>
    <row r="17" spans="1:15" hidden="1" x14ac:dyDescent="0.3">
      <c r="A17" t="s">
        <v>97</v>
      </c>
      <c r="B17" t="s">
        <v>34</v>
      </c>
      <c r="C17" t="s">
        <v>6</v>
      </c>
      <c r="D17">
        <v>901</v>
      </c>
      <c r="E17">
        <v>901</v>
      </c>
      <c r="F17" t="str">
        <f t="shared" si="0"/>
        <v>OK</v>
      </c>
      <c r="G17" s="2">
        <v>46057</v>
      </c>
      <c r="H17" s="2">
        <v>46056</v>
      </c>
      <c r="I17">
        <f t="shared" si="1"/>
        <v>-1</v>
      </c>
      <c r="J17" t="str">
        <f t="shared" si="2"/>
        <v>Not</v>
      </c>
      <c r="K17" s="2">
        <v>46085</v>
      </c>
      <c r="L17" s="2">
        <v>46085</v>
      </c>
      <c r="M17" t="str">
        <f t="shared" si="3"/>
        <v>OK</v>
      </c>
      <c r="N17" t="s">
        <v>73</v>
      </c>
      <c r="O17" t="s">
        <v>100</v>
      </c>
    </row>
    <row r="18" spans="1:15" hidden="1" x14ac:dyDescent="0.3">
      <c r="A18" t="s">
        <v>98</v>
      </c>
      <c r="B18" t="s">
        <v>35</v>
      </c>
      <c r="C18" t="s">
        <v>6</v>
      </c>
      <c r="D18">
        <v>531</v>
      </c>
      <c r="E18">
        <v>531</v>
      </c>
      <c r="F18" t="str">
        <f t="shared" si="0"/>
        <v>OK</v>
      </c>
      <c r="G18" s="2">
        <v>46064</v>
      </c>
      <c r="H18" s="2">
        <v>46064</v>
      </c>
      <c r="I18">
        <f t="shared" si="1"/>
        <v>0</v>
      </c>
      <c r="J18" t="str">
        <f t="shared" si="2"/>
        <v>OK</v>
      </c>
      <c r="K18" s="2">
        <v>46088</v>
      </c>
      <c r="L18" s="2">
        <v>46088</v>
      </c>
      <c r="M18" t="str">
        <f t="shared" si="3"/>
        <v>OK</v>
      </c>
      <c r="N18" t="s">
        <v>74</v>
      </c>
      <c r="O18" t="s">
        <v>100</v>
      </c>
    </row>
    <row r="19" spans="1:15" hidden="1" x14ac:dyDescent="0.3">
      <c r="A19" t="s">
        <v>97</v>
      </c>
      <c r="B19" t="s">
        <v>36</v>
      </c>
      <c r="C19" t="s">
        <v>6</v>
      </c>
      <c r="D19">
        <v>359</v>
      </c>
      <c r="E19">
        <v>359</v>
      </c>
      <c r="F19" t="str">
        <f t="shared" si="0"/>
        <v>OK</v>
      </c>
      <c r="G19" s="2">
        <v>46055</v>
      </c>
      <c r="H19" s="2">
        <v>46055</v>
      </c>
      <c r="I19">
        <f t="shared" si="1"/>
        <v>0</v>
      </c>
      <c r="J19" t="str">
        <f t="shared" si="2"/>
        <v>OK</v>
      </c>
      <c r="K19" s="2">
        <v>46083</v>
      </c>
      <c r="L19" s="2">
        <v>46083</v>
      </c>
      <c r="M19" t="str">
        <f t="shared" si="3"/>
        <v>OK</v>
      </c>
      <c r="N19" t="s">
        <v>75</v>
      </c>
      <c r="O19" t="s">
        <v>100</v>
      </c>
    </row>
    <row r="20" spans="1:15" hidden="1" x14ac:dyDescent="0.3">
      <c r="A20" t="s">
        <v>97</v>
      </c>
      <c r="B20" t="s">
        <v>37</v>
      </c>
      <c r="C20" t="s">
        <v>6</v>
      </c>
      <c r="D20">
        <v>700</v>
      </c>
      <c r="E20">
        <v>700</v>
      </c>
      <c r="F20" t="str">
        <f t="shared" si="0"/>
        <v>OK</v>
      </c>
      <c r="G20" s="2">
        <v>46062</v>
      </c>
      <c r="H20" s="2">
        <v>46060</v>
      </c>
      <c r="I20">
        <f t="shared" si="1"/>
        <v>-2</v>
      </c>
      <c r="J20" t="str">
        <f t="shared" si="2"/>
        <v>Not</v>
      </c>
      <c r="K20" s="2">
        <v>46083</v>
      </c>
      <c r="L20" s="2">
        <v>46083</v>
      </c>
      <c r="M20" t="str">
        <f t="shared" si="3"/>
        <v>OK</v>
      </c>
      <c r="N20" t="s">
        <v>76</v>
      </c>
      <c r="O20" t="s">
        <v>100</v>
      </c>
    </row>
    <row r="21" spans="1:15" hidden="1" x14ac:dyDescent="0.3">
      <c r="A21" t="s">
        <v>98</v>
      </c>
      <c r="B21" t="s">
        <v>38</v>
      </c>
      <c r="C21" t="s">
        <v>8</v>
      </c>
      <c r="D21">
        <v>4659</v>
      </c>
      <c r="E21">
        <v>4659</v>
      </c>
      <c r="F21" t="str">
        <f t="shared" si="0"/>
        <v>OK</v>
      </c>
      <c r="G21" s="2">
        <v>45947</v>
      </c>
      <c r="H21" s="2">
        <v>45947</v>
      </c>
      <c r="I21">
        <f t="shared" si="1"/>
        <v>0</v>
      </c>
      <c r="J21" t="str">
        <f t="shared" si="2"/>
        <v>OK</v>
      </c>
      <c r="K21" s="2">
        <v>46090</v>
      </c>
      <c r="L21" s="2">
        <v>46090</v>
      </c>
      <c r="M21" t="str">
        <f t="shared" si="3"/>
        <v>OK</v>
      </c>
      <c r="N21" t="s">
        <v>77</v>
      </c>
      <c r="O21" t="s">
        <v>100</v>
      </c>
    </row>
    <row r="22" spans="1:15" hidden="1" x14ac:dyDescent="0.3">
      <c r="A22" t="s">
        <v>97</v>
      </c>
      <c r="B22" t="s">
        <v>39</v>
      </c>
      <c r="C22" t="s">
        <v>8</v>
      </c>
      <c r="D22">
        <v>3764</v>
      </c>
      <c r="E22">
        <v>3764</v>
      </c>
      <c r="F22" t="str">
        <f t="shared" si="0"/>
        <v>OK</v>
      </c>
      <c r="G22" s="2">
        <v>45904</v>
      </c>
      <c r="H22" s="2">
        <v>45904</v>
      </c>
      <c r="I22">
        <f t="shared" si="1"/>
        <v>0</v>
      </c>
      <c r="J22" t="str">
        <f t="shared" si="2"/>
        <v>OK</v>
      </c>
      <c r="K22" s="2">
        <v>46084</v>
      </c>
      <c r="L22" s="2">
        <v>46084</v>
      </c>
      <c r="M22" t="str">
        <f t="shared" si="3"/>
        <v>OK</v>
      </c>
      <c r="N22" t="s">
        <v>78</v>
      </c>
      <c r="O22" t="s">
        <v>100</v>
      </c>
    </row>
    <row r="23" spans="1:15" hidden="1" x14ac:dyDescent="0.3">
      <c r="A23" t="s">
        <v>97</v>
      </c>
      <c r="B23" t="s">
        <v>40</v>
      </c>
      <c r="C23" t="s">
        <v>7</v>
      </c>
      <c r="D23">
        <v>2430</v>
      </c>
      <c r="E23">
        <v>2430</v>
      </c>
      <c r="F23" t="str">
        <f t="shared" si="0"/>
        <v>OK</v>
      </c>
      <c r="G23" s="2">
        <v>46000</v>
      </c>
      <c r="H23" s="2">
        <v>46000</v>
      </c>
      <c r="I23">
        <f t="shared" si="1"/>
        <v>0</v>
      </c>
      <c r="J23" t="str">
        <f t="shared" si="2"/>
        <v>OK</v>
      </c>
      <c r="K23" s="2">
        <v>46085</v>
      </c>
      <c r="L23" s="2">
        <v>46085</v>
      </c>
      <c r="M23" t="str">
        <f t="shared" si="3"/>
        <v>OK</v>
      </c>
      <c r="N23" t="s">
        <v>79</v>
      </c>
      <c r="O23" t="s">
        <v>100</v>
      </c>
    </row>
    <row r="24" spans="1:15" hidden="1" x14ac:dyDescent="0.3">
      <c r="A24" t="s">
        <v>97</v>
      </c>
      <c r="B24" t="s">
        <v>41</v>
      </c>
      <c r="C24" t="s">
        <v>7</v>
      </c>
      <c r="D24">
        <v>3293</v>
      </c>
      <c r="E24">
        <v>3293</v>
      </c>
      <c r="F24" t="str">
        <f t="shared" si="0"/>
        <v>OK</v>
      </c>
      <c r="G24" s="2">
        <v>45990</v>
      </c>
      <c r="H24" s="2">
        <v>45990</v>
      </c>
      <c r="I24">
        <f t="shared" si="1"/>
        <v>0</v>
      </c>
      <c r="J24" t="str">
        <f t="shared" si="2"/>
        <v>OK</v>
      </c>
      <c r="K24" s="2">
        <v>46083</v>
      </c>
      <c r="L24" s="2">
        <v>46083</v>
      </c>
      <c r="M24" t="str">
        <f t="shared" si="3"/>
        <v>OK</v>
      </c>
      <c r="N24" t="s">
        <v>80</v>
      </c>
      <c r="O24" t="s">
        <v>100</v>
      </c>
    </row>
    <row r="25" spans="1:15" hidden="1" x14ac:dyDescent="0.3">
      <c r="A25" t="s">
        <v>97</v>
      </c>
      <c r="B25" t="s">
        <v>42</v>
      </c>
      <c r="C25" t="s">
        <v>6</v>
      </c>
      <c r="D25">
        <v>708</v>
      </c>
      <c r="E25">
        <v>708</v>
      </c>
      <c r="F25" t="str">
        <f t="shared" si="0"/>
        <v>OK</v>
      </c>
      <c r="G25" s="2">
        <v>46029</v>
      </c>
      <c r="H25" s="2">
        <v>46029</v>
      </c>
      <c r="I25">
        <f t="shared" si="1"/>
        <v>0</v>
      </c>
      <c r="J25" t="str">
        <f t="shared" si="2"/>
        <v>OK</v>
      </c>
      <c r="K25" s="2">
        <v>46086</v>
      </c>
      <c r="L25" s="2">
        <v>46086</v>
      </c>
      <c r="M25" t="str">
        <f t="shared" si="3"/>
        <v>OK</v>
      </c>
      <c r="N25" t="s">
        <v>81</v>
      </c>
      <c r="O25" t="s">
        <v>100</v>
      </c>
    </row>
    <row r="26" spans="1:15" hidden="1" x14ac:dyDescent="0.3">
      <c r="A26" t="s">
        <v>97</v>
      </c>
      <c r="B26" t="s">
        <v>43</v>
      </c>
      <c r="C26" t="s">
        <v>7</v>
      </c>
      <c r="D26">
        <v>3487</v>
      </c>
      <c r="E26">
        <v>3487</v>
      </c>
      <c r="F26" t="str">
        <f t="shared" si="0"/>
        <v>OK</v>
      </c>
      <c r="G26" s="2">
        <v>46014</v>
      </c>
      <c r="H26" s="2">
        <v>46014</v>
      </c>
      <c r="I26">
        <f t="shared" si="1"/>
        <v>0</v>
      </c>
      <c r="J26" t="str">
        <f t="shared" si="2"/>
        <v>OK</v>
      </c>
      <c r="K26" s="2">
        <v>46083</v>
      </c>
      <c r="L26" s="2">
        <v>46083</v>
      </c>
      <c r="M26" t="str">
        <f t="shared" si="3"/>
        <v>OK</v>
      </c>
      <c r="N26" t="s">
        <v>82</v>
      </c>
      <c r="O26" t="s">
        <v>100</v>
      </c>
    </row>
    <row r="27" spans="1:15" hidden="1" x14ac:dyDescent="0.3">
      <c r="A27" t="s">
        <v>98</v>
      </c>
      <c r="B27" t="s">
        <v>44</v>
      </c>
      <c r="C27" t="s">
        <v>6</v>
      </c>
      <c r="D27">
        <v>999</v>
      </c>
      <c r="E27">
        <v>999</v>
      </c>
      <c r="F27" t="str">
        <f t="shared" si="0"/>
        <v>OK</v>
      </c>
      <c r="G27" s="2">
        <v>46036</v>
      </c>
      <c r="H27" s="2">
        <v>46035</v>
      </c>
      <c r="I27">
        <f t="shared" si="1"/>
        <v>-1</v>
      </c>
      <c r="J27" t="str">
        <f t="shared" si="2"/>
        <v>Not</v>
      </c>
      <c r="K27" s="2">
        <v>46087</v>
      </c>
      <c r="L27" s="2">
        <v>46087</v>
      </c>
      <c r="M27" t="str">
        <f t="shared" si="3"/>
        <v>OK</v>
      </c>
      <c r="N27" t="s">
        <v>83</v>
      </c>
      <c r="O27" t="s">
        <v>100</v>
      </c>
    </row>
    <row r="28" spans="1:15" hidden="1" x14ac:dyDescent="0.3">
      <c r="A28" t="s">
        <v>98</v>
      </c>
      <c r="B28" t="s">
        <v>45</v>
      </c>
      <c r="C28" t="s">
        <v>7</v>
      </c>
      <c r="D28">
        <v>2070</v>
      </c>
      <c r="E28">
        <v>2070</v>
      </c>
      <c r="F28" t="str">
        <f t="shared" si="0"/>
        <v>OK</v>
      </c>
      <c r="G28" s="2">
        <v>46029</v>
      </c>
      <c r="H28" s="2">
        <v>46029</v>
      </c>
      <c r="I28">
        <f t="shared" si="1"/>
        <v>0</v>
      </c>
      <c r="J28" t="str">
        <f t="shared" si="2"/>
        <v>OK</v>
      </c>
      <c r="K28" s="2">
        <v>46090</v>
      </c>
      <c r="L28" s="2">
        <v>46090</v>
      </c>
      <c r="M28" t="str">
        <f t="shared" si="3"/>
        <v>OK</v>
      </c>
      <c r="N28" t="s">
        <v>84</v>
      </c>
      <c r="O28" t="s">
        <v>100</v>
      </c>
    </row>
    <row r="29" spans="1:15" hidden="1" x14ac:dyDescent="0.3">
      <c r="A29" t="s">
        <v>98</v>
      </c>
      <c r="B29" t="s">
        <v>46</v>
      </c>
      <c r="C29" t="s">
        <v>6</v>
      </c>
      <c r="D29">
        <v>928</v>
      </c>
      <c r="E29">
        <v>928</v>
      </c>
      <c r="F29" t="str">
        <f t="shared" si="0"/>
        <v>OK</v>
      </c>
      <c r="G29" s="2">
        <v>46062</v>
      </c>
      <c r="H29" s="2">
        <v>46062</v>
      </c>
      <c r="I29">
        <f t="shared" si="1"/>
        <v>0</v>
      </c>
      <c r="J29" t="str">
        <f t="shared" si="2"/>
        <v>OK</v>
      </c>
      <c r="K29" s="2">
        <v>46091</v>
      </c>
      <c r="L29" s="2">
        <v>46091</v>
      </c>
      <c r="M29" t="str">
        <f t="shared" si="3"/>
        <v>OK</v>
      </c>
      <c r="N29" t="s">
        <v>85</v>
      </c>
      <c r="O29" t="s">
        <v>100</v>
      </c>
    </row>
    <row r="30" spans="1:15" hidden="1" x14ac:dyDescent="0.3">
      <c r="A30" t="s">
        <v>98</v>
      </c>
      <c r="B30" t="s">
        <v>47</v>
      </c>
      <c r="C30" t="s">
        <v>6</v>
      </c>
      <c r="D30">
        <v>795</v>
      </c>
      <c r="E30">
        <v>795</v>
      </c>
      <c r="F30" t="str">
        <f t="shared" si="0"/>
        <v>OK</v>
      </c>
      <c r="G30" s="2">
        <v>46041</v>
      </c>
      <c r="H30" s="2">
        <v>46040</v>
      </c>
      <c r="I30">
        <f t="shared" si="1"/>
        <v>-1</v>
      </c>
      <c r="J30" t="str">
        <f t="shared" si="2"/>
        <v>Not</v>
      </c>
      <c r="K30" s="2">
        <v>46090</v>
      </c>
      <c r="L30" s="2">
        <v>46090</v>
      </c>
      <c r="M30" t="str">
        <f t="shared" si="3"/>
        <v>OK</v>
      </c>
      <c r="N30" t="s">
        <v>86</v>
      </c>
      <c r="O30" t="s">
        <v>100</v>
      </c>
    </row>
    <row r="31" spans="1:15" hidden="1" x14ac:dyDescent="0.3">
      <c r="A31" t="s">
        <v>98</v>
      </c>
      <c r="B31" t="s">
        <v>48</v>
      </c>
      <c r="C31" t="s">
        <v>6</v>
      </c>
      <c r="D31">
        <v>823</v>
      </c>
      <c r="E31">
        <v>823</v>
      </c>
      <c r="F31" t="str">
        <f t="shared" si="0"/>
        <v>OK</v>
      </c>
      <c r="G31" s="2">
        <v>46078</v>
      </c>
      <c r="H31" s="2">
        <v>46078</v>
      </c>
      <c r="I31">
        <f t="shared" si="1"/>
        <v>0</v>
      </c>
      <c r="J31" t="str">
        <f t="shared" si="2"/>
        <v>OK</v>
      </c>
      <c r="K31" s="2">
        <v>46091</v>
      </c>
      <c r="L31" s="2">
        <v>46091</v>
      </c>
      <c r="M31" t="str">
        <f t="shared" si="3"/>
        <v>OK</v>
      </c>
      <c r="N31" t="s">
        <v>87</v>
      </c>
      <c r="O31" t="s">
        <v>100</v>
      </c>
    </row>
    <row r="32" spans="1:15" hidden="1" x14ac:dyDescent="0.3">
      <c r="A32" t="s">
        <v>97</v>
      </c>
      <c r="B32" t="s">
        <v>49</v>
      </c>
      <c r="C32" t="s">
        <v>7</v>
      </c>
      <c r="D32">
        <v>1404</v>
      </c>
      <c r="E32">
        <v>1404</v>
      </c>
      <c r="F32" t="str">
        <f t="shared" si="0"/>
        <v>OK</v>
      </c>
      <c r="G32" s="2">
        <v>46023</v>
      </c>
      <c r="H32" s="2">
        <v>46022</v>
      </c>
      <c r="I32">
        <f t="shared" si="1"/>
        <v>-1</v>
      </c>
      <c r="J32" t="str">
        <f t="shared" si="2"/>
        <v>Not</v>
      </c>
      <c r="K32" s="2">
        <v>46083</v>
      </c>
      <c r="L32" s="2">
        <v>46083</v>
      </c>
      <c r="M32" t="str">
        <f t="shared" si="3"/>
        <v>OK</v>
      </c>
      <c r="N32" t="s">
        <v>88</v>
      </c>
      <c r="O32" t="s">
        <v>100</v>
      </c>
    </row>
    <row r="33" spans="1:15" hidden="1" x14ac:dyDescent="0.3">
      <c r="A33" t="s">
        <v>97</v>
      </c>
      <c r="B33" t="s">
        <v>50</v>
      </c>
      <c r="C33" t="s">
        <v>7</v>
      </c>
      <c r="D33">
        <v>1712</v>
      </c>
      <c r="E33">
        <v>1712</v>
      </c>
      <c r="F33" t="str">
        <f t="shared" si="0"/>
        <v>OK</v>
      </c>
      <c r="G33" s="2">
        <v>46015</v>
      </c>
      <c r="H33" s="2">
        <v>46015</v>
      </c>
      <c r="I33">
        <f t="shared" si="1"/>
        <v>0</v>
      </c>
      <c r="J33" t="str">
        <f t="shared" si="2"/>
        <v>OK</v>
      </c>
      <c r="K33" s="2">
        <v>46083</v>
      </c>
      <c r="L33" s="2">
        <v>46083</v>
      </c>
      <c r="M33" t="str">
        <f t="shared" si="3"/>
        <v>OK</v>
      </c>
      <c r="N33" t="s">
        <v>89</v>
      </c>
      <c r="O33" t="s">
        <v>100</v>
      </c>
    </row>
    <row r="34" spans="1:15" hidden="1" x14ac:dyDescent="0.3">
      <c r="A34" t="s">
        <v>97</v>
      </c>
      <c r="B34" t="s">
        <v>51</v>
      </c>
      <c r="C34" t="s">
        <v>6</v>
      </c>
      <c r="D34">
        <v>286</v>
      </c>
      <c r="E34">
        <v>286</v>
      </c>
      <c r="F34" t="str">
        <f t="shared" si="0"/>
        <v>OK</v>
      </c>
      <c r="G34" s="2">
        <v>46064</v>
      </c>
      <c r="H34" s="2">
        <v>46063</v>
      </c>
      <c r="I34">
        <f t="shared" si="1"/>
        <v>-1</v>
      </c>
      <c r="J34" t="str">
        <f t="shared" si="2"/>
        <v>Not</v>
      </c>
      <c r="K34" s="2">
        <v>46083</v>
      </c>
      <c r="L34" s="2">
        <v>46083</v>
      </c>
      <c r="M34" t="str">
        <f t="shared" si="3"/>
        <v>OK</v>
      </c>
      <c r="N34" t="s">
        <v>90</v>
      </c>
      <c r="O34" t="s">
        <v>100</v>
      </c>
    </row>
    <row r="35" spans="1:15" hidden="1" x14ac:dyDescent="0.3">
      <c r="A35" t="s">
        <v>97</v>
      </c>
      <c r="B35" t="s">
        <v>52</v>
      </c>
      <c r="C35" t="s">
        <v>7</v>
      </c>
      <c r="D35">
        <v>1650</v>
      </c>
      <c r="E35">
        <v>1650</v>
      </c>
      <c r="F35" t="str">
        <f t="shared" si="0"/>
        <v>OK</v>
      </c>
      <c r="G35" s="2">
        <v>46009</v>
      </c>
      <c r="H35" s="2">
        <v>46009</v>
      </c>
      <c r="I35">
        <f t="shared" si="1"/>
        <v>0</v>
      </c>
      <c r="J35" t="str">
        <f t="shared" si="2"/>
        <v>OK</v>
      </c>
      <c r="K35" s="2">
        <v>46085</v>
      </c>
      <c r="L35" s="2">
        <v>46085</v>
      </c>
      <c r="M35" t="str">
        <f t="shared" si="3"/>
        <v>OK</v>
      </c>
      <c r="N35" t="s">
        <v>91</v>
      </c>
      <c r="O35" t="s">
        <v>100</v>
      </c>
    </row>
    <row r="36" spans="1:15" hidden="1" x14ac:dyDescent="0.3">
      <c r="A36" t="s">
        <v>98</v>
      </c>
      <c r="B36" t="s">
        <v>53</v>
      </c>
      <c r="C36" t="s">
        <v>6</v>
      </c>
      <c r="D36">
        <v>637</v>
      </c>
      <c r="E36">
        <v>637</v>
      </c>
      <c r="F36" t="str">
        <f t="shared" si="0"/>
        <v>OK</v>
      </c>
      <c r="G36" s="2">
        <v>46060</v>
      </c>
      <c r="H36" s="2">
        <v>46060</v>
      </c>
      <c r="I36">
        <f t="shared" si="1"/>
        <v>0</v>
      </c>
      <c r="J36" t="str">
        <f t="shared" si="2"/>
        <v>OK</v>
      </c>
      <c r="K36" s="2">
        <v>46091</v>
      </c>
      <c r="L36" s="2">
        <v>46091</v>
      </c>
      <c r="M36" t="str">
        <f t="shared" si="3"/>
        <v>OK</v>
      </c>
      <c r="N36" t="s">
        <v>92</v>
      </c>
      <c r="O36" t="s">
        <v>100</v>
      </c>
    </row>
    <row r="37" spans="1:15" hidden="1" x14ac:dyDescent="0.3">
      <c r="A37" t="s">
        <v>98</v>
      </c>
      <c r="B37" t="s">
        <v>54</v>
      </c>
      <c r="C37" t="s">
        <v>7</v>
      </c>
      <c r="D37">
        <v>5767</v>
      </c>
      <c r="E37">
        <v>5767</v>
      </c>
      <c r="F37" t="str">
        <f t="shared" si="0"/>
        <v>OK</v>
      </c>
      <c r="G37" s="2">
        <v>45978</v>
      </c>
      <c r="H37" s="2">
        <v>45978</v>
      </c>
      <c r="I37">
        <f t="shared" si="1"/>
        <v>0</v>
      </c>
      <c r="J37" t="str">
        <f t="shared" si="2"/>
        <v>OK</v>
      </c>
      <c r="K37" s="2">
        <v>46090</v>
      </c>
      <c r="L37" s="2">
        <v>46090</v>
      </c>
      <c r="M37" t="str">
        <f t="shared" si="3"/>
        <v>OK</v>
      </c>
      <c r="N37" t="s">
        <v>93</v>
      </c>
      <c r="O37" t="s">
        <v>100</v>
      </c>
    </row>
    <row r="38" spans="1:15" hidden="1" x14ac:dyDescent="0.3">
      <c r="A38" t="s">
        <v>97</v>
      </c>
      <c r="B38" t="s">
        <v>55</v>
      </c>
      <c r="C38" t="s">
        <v>7</v>
      </c>
      <c r="D38">
        <v>1795</v>
      </c>
      <c r="E38">
        <v>1795</v>
      </c>
      <c r="F38" t="str">
        <f t="shared" si="0"/>
        <v>OK</v>
      </c>
      <c r="G38" s="2">
        <v>46030</v>
      </c>
      <c r="H38" s="2">
        <v>46030</v>
      </c>
      <c r="I38">
        <f t="shared" si="1"/>
        <v>0</v>
      </c>
      <c r="J38" t="str">
        <f t="shared" si="2"/>
        <v>OK</v>
      </c>
      <c r="K38" s="2">
        <v>46085</v>
      </c>
      <c r="L38" s="2">
        <v>46085</v>
      </c>
      <c r="M38" t="str">
        <f t="shared" si="3"/>
        <v>OK</v>
      </c>
      <c r="N38" t="s">
        <v>94</v>
      </c>
      <c r="O38" t="s">
        <v>100</v>
      </c>
    </row>
    <row r="39" spans="1:15" hidden="1" x14ac:dyDescent="0.3">
      <c r="A39" t="s">
        <v>98</v>
      </c>
      <c r="B39" t="s">
        <v>56</v>
      </c>
      <c r="C39" t="s">
        <v>6</v>
      </c>
      <c r="D39">
        <v>710</v>
      </c>
      <c r="E39">
        <v>710</v>
      </c>
      <c r="F39" t="str">
        <f t="shared" si="0"/>
        <v>OK</v>
      </c>
      <c r="G39" s="2">
        <v>46060</v>
      </c>
      <c r="H39" s="2">
        <v>46060</v>
      </c>
      <c r="I39">
        <f t="shared" si="1"/>
        <v>0</v>
      </c>
      <c r="J39" t="str">
        <f t="shared" si="2"/>
        <v>OK</v>
      </c>
      <c r="K39" s="2">
        <v>46088</v>
      </c>
      <c r="L39" s="2">
        <v>46088</v>
      </c>
      <c r="M39" t="str">
        <f t="shared" si="3"/>
        <v>OK</v>
      </c>
      <c r="N39" t="s">
        <v>95</v>
      </c>
      <c r="O39" t="s">
        <v>100</v>
      </c>
    </row>
    <row r="40" spans="1:15" hidden="1" x14ac:dyDescent="0.3">
      <c r="A40" t="s">
        <v>97</v>
      </c>
      <c r="B40" t="s">
        <v>57</v>
      </c>
      <c r="C40" t="s">
        <v>6</v>
      </c>
      <c r="D40">
        <v>495</v>
      </c>
      <c r="E40">
        <v>495</v>
      </c>
      <c r="F40" t="str">
        <f t="shared" si="0"/>
        <v>OK</v>
      </c>
      <c r="G40" s="2">
        <v>46073</v>
      </c>
      <c r="H40" s="2">
        <v>46072</v>
      </c>
      <c r="I40">
        <f t="shared" si="1"/>
        <v>-1</v>
      </c>
      <c r="J40" t="str">
        <f t="shared" si="2"/>
        <v>Not</v>
      </c>
      <c r="K40" s="2">
        <v>46083</v>
      </c>
      <c r="L40" s="2">
        <v>46083</v>
      </c>
      <c r="M40" t="str">
        <f t="shared" si="3"/>
        <v>OK</v>
      </c>
      <c r="N40" t="s">
        <v>96</v>
      </c>
      <c r="O40" t="s">
        <v>100</v>
      </c>
    </row>
  </sheetData>
  <autoFilter ref="A1:O40" xr:uid="{F03D4818-817D-46B3-8BB8-85F6F99F16F3}">
    <filterColumn colId="14">
      <filters>
        <filter val="KM nabrak dgn servis ID 3 (7860)"/>
      </filters>
    </filterColumn>
    <sortState xmlns:xlrd2="http://schemas.microsoft.com/office/spreadsheetml/2017/richdata2" ref="A2:O40">
      <sortCondition ref="B1:B39"/>
    </sortState>
  </autoFilter>
  <conditionalFormatting sqref="B1">
    <cfRule type="duplicateValues" dxfId="25" priority="19"/>
  </conditionalFormatting>
  <conditionalFormatting sqref="B1:B1048576">
    <cfRule type="duplicateValues" dxfId="24" priority="4"/>
    <cfRule type="duplicateValues" dxfId="23" priority="5"/>
  </conditionalFormatting>
  <conditionalFormatting sqref="B2:B39">
    <cfRule type="duplicateValues" dxfId="22" priority="37"/>
  </conditionalFormatting>
  <conditionalFormatting sqref="B40:B1048576 B1">
    <cfRule type="duplicateValues" dxfId="21" priority="7"/>
    <cfRule type="duplicateValues" dxfId="20" priority="8"/>
    <cfRule type="duplicateValues" dxfId="19" priority="9"/>
  </conditionalFormatting>
  <conditionalFormatting sqref="D1:D1048576">
    <cfRule type="duplicateValues" dxfId="18" priority="3"/>
  </conditionalFormatting>
  <conditionalFormatting sqref="E5">
    <cfRule type="duplicateValues" dxfId="17" priority="2"/>
  </conditionalFormatting>
  <conditionalFormatting sqref="E37">
    <cfRule type="duplicateValues" dxfId="16" priority="1"/>
  </conditionalFormatting>
  <conditionalFormatting sqref="F1:F1048576 J2:J40 M2:M40">
    <cfRule type="containsText" dxfId="15" priority="14" operator="containsText" text="Not">
      <formula>NOT(ISERROR(SEARCH("Not",F1)))</formula>
    </cfRule>
    <cfRule type="containsText" dxfId="14" priority="15" operator="containsText" text="OK">
      <formula>NOT(ISERROR(SEARCH("OK",F1)))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C6E70-13BA-495F-9A9D-A5F1CC0D84C7}">
  <sheetPr>
    <tabColor theme="8" tint="-0.499984740745262"/>
  </sheetPr>
  <dimension ref="A1:G18"/>
  <sheetViews>
    <sheetView workbookViewId="0">
      <selection activeCell="I19" sqref="I19"/>
    </sheetView>
  </sheetViews>
  <sheetFormatPr defaultRowHeight="14.4" x14ac:dyDescent="0.3"/>
  <cols>
    <col min="1" max="1" width="17.6640625" bestFit="1" customWidth="1"/>
    <col min="2" max="2" width="16.109375" bestFit="1" customWidth="1"/>
    <col min="4" max="4" width="13.44140625" bestFit="1" customWidth="1"/>
    <col min="5" max="5" width="13.109375" bestFit="1" customWidth="1"/>
  </cols>
  <sheetData>
    <row r="1" spans="1:7" x14ac:dyDescent="0.3">
      <c r="A1" s="12" t="s">
        <v>9</v>
      </c>
      <c r="B1" s="13" t="s">
        <v>0</v>
      </c>
      <c r="C1" s="1" t="s">
        <v>1</v>
      </c>
      <c r="D1" s="1" t="s">
        <v>12</v>
      </c>
      <c r="E1" s="1" t="s">
        <v>14</v>
      </c>
      <c r="F1" s="1" t="s">
        <v>10</v>
      </c>
      <c r="G1" s="1" t="s">
        <v>17</v>
      </c>
    </row>
    <row r="2" spans="1:7" x14ac:dyDescent="0.3">
      <c r="A2" s="10" t="s">
        <v>159</v>
      </c>
      <c r="B2" s="14" t="s">
        <v>101</v>
      </c>
      <c r="C2" s="11" t="s">
        <v>102</v>
      </c>
      <c r="D2" s="7" t="s">
        <v>103</v>
      </c>
      <c r="E2" s="7" t="s">
        <v>104</v>
      </c>
      <c r="F2" s="8" t="s">
        <v>105</v>
      </c>
      <c r="G2" s="9" t="s">
        <v>100</v>
      </c>
    </row>
    <row r="3" spans="1:7" x14ac:dyDescent="0.3">
      <c r="A3" s="10" t="s">
        <v>159</v>
      </c>
      <c r="B3" s="14" t="s">
        <v>106</v>
      </c>
      <c r="C3" s="11" t="s">
        <v>107</v>
      </c>
      <c r="D3" s="7" t="s">
        <v>108</v>
      </c>
      <c r="E3" s="7" t="s">
        <v>109</v>
      </c>
      <c r="F3" s="8" t="s">
        <v>110</v>
      </c>
      <c r="G3" s="9" t="s">
        <v>100</v>
      </c>
    </row>
    <row r="4" spans="1:7" x14ac:dyDescent="0.3">
      <c r="A4" s="10" t="s">
        <v>159</v>
      </c>
      <c r="B4" s="14" t="s">
        <v>111</v>
      </c>
      <c r="C4" s="11" t="s">
        <v>102</v>
      </c>
      <c r="D4" s="7" t="s">
        <v>112</v>
      </c>
      <c r="E4" s="7" t="s">
        <v>109</v>
      </c>
      <c r="F4" s="8" t="s">
        <v>113</v>
      </c>
      <c r="G4" s="9" t="s">
        <v>100</v>
      </c>
    </row>
    <row r="5" spans="1:7" x14ac:dyDescent="0.3">
      <c r="A5" s="10" t="s">
        <v>159</v>
      </c>
      <c r="B5" s="14" t="s">
        <v>114</v>
      </c>
      <c r="C5" s="11" t="s">
        <v>102</v>
      </c>
      <c r="D5" s="7" t="s">
        <v>115</v>
      </c>
      <c r="E5" s="7" t="s">
        <v>104</v>
      </c>
      <c r="F5" s="8" t="s">
        <v>116</v>
      </c>
      <c r="G5" s="9" t="s">
        <v>100</v>
      </c>
    </row>
    <row r="6" spans="1:7" x14ac:dyDescent="0.3">
      <c r="A6" s="10" t="s">
        <v>159</v>
      </c>
      <c r="B6" s="14" t="s">
        <v>117</v>
      </c>
      <c r="C6" s="11" t="s">
        <v>118</v>
      </c>
      <c r="D6" s="7" t="s">
        <v>119</v>
      </c>
      <c r="E6" s="7" t="s">
        <v>104</v>
      </c>
      <c r="F6" s="8" t="s">
        <v>120</v>
      </c>
      <c r="G6" s="9" t="s">
        <v>100</v>
      </c>
    </row>
    <row r="7" spans="1:7" x14ac:dyDescent="0.3">
      <c r="A7" s="10" t="s">
        <v>159</v>
      </c>
      <c r="B7" s="14" t="s">
        <v>121</v>
      </c>
      <c r="C7" s="11" t="s">
        <v>118</v>
      </c>
      <c r="D7" s="7" t="s">
        <v>122</v>
      </c>
      <c r="E7" s="7" t="s">
        <v>123</v>
      </c>
      <c r="F7" s="8" t="s">
        <v>124</v>
      </c>
      <c r="G7" s="9" t="s">
        <v>100</v>
      </c>
    </row>
    <row r="8" spans="1:7" x14ac:dyDescent="0.3">
      <c r="A8" s="10" t="s">
        <v>159</v>
      </c>
      <c r="B8" s="14" t="s">
        <v>125</v>
      </c>
      <c r="C8" s="11" t="s">
        <v>118</v>
      </c>
      <c r="D8" s="7" t="s">
        <v>126</v>
      </c>
      <c r="E8" s="7" t="s">
        <v>109</v>
      </c>
      <c r="F8" s="8" t="s">
        <v>127</v>
      </c>
      <c r="G8" s="9" t="s">
        <v>100</v>
      </c>
    </row>
    <row r="9" spans="1:7" x14ac:dyDescent="0.3">
      <c r="A9" s="10" t="s">
        <v>159</v>
      </c>
      <c r="B9" s="14" t="s">
        <v>128</v>
      </c>
      <c r="C9" s="11" t="s">
        <v>102</v>
      </c>
      <c r="D9" s="7" t="s">
        <v>129</v>
      </c>
      <c r="E9" s="7" t="s">
        <v>130</v>
      </c>
      <c r="F9" s="8" t="s">
        <v>131</v>
      </c>
      <c r="G9" s="9" t="s">
        <v>100</v>
      </c>
    </row>
    <row r="10" spans="1:7" x14ac:dyDescent="0.3">
      <c r="A10" s="10" t="s">
        <v>159</v>
      </c>
      <c r="B10" s="14" t="s">
        <v>132</v>
      </c>
      <c r="C10" s="11" t="s">
        <v>133</v>
      </c>
      <c r="D10" s="7" t="s">
        <v>134</v>
      </c>
      <c r="E10" s="7" t="s">
        <v>104</v>
      </c>
      <c r="F10" s="8" t="s">
        <v>135</v>
      </c>
      <c r="G10" s="9" t="s">
        <v>100</v>
      </c>
    </row>
    <row r="11" spans="1:7" x14ac:dyDescent="0.3">
      <c r="A11" s="10" t="s">
        <v>159</v>
      </c>
      <c r="B11" s="14" t="s">
        <v>136</v>
      </c>
      <c r="C11" s="11" t="s">
        <v>118</v>
      </c>
      <c r="D11" s="7" t="s">
        <v>137</v>
      </c>
      <c r="E11" s="7" t="s">
        <v>123</v>
      </c>
      <c r="F11" s="8" t="s">
        <v>138</v>
      </c>
      <c r="G11" s="9" t="s">
        <v>100</v>
      </c>
    </row>
    <row r="12" spans="1:7" x14ac:dyDescent="0.3">
      <c r="A12" s="10" t="s">
        <v>159</v>
      </c>
      <c r="B12" s="14" t="s">
        <v>139</v>
      </c>
      <c r="C12" s="11" t="s">
        <v>118</v>
      </c>
      <c r="D12" s="7" t="s">
        <v>137</v>
      </c>
      <c r="E12" s="7" t="s">
        <v>130</v>
      </c>
      <c r="F12" s="8" t="s">
        <v>140</v>
      </c>
      <c r="G12" s="9" t="s">
        <v>100</v>
      </c>
    </row>
    <row r="13" spans="1:7" x14ac:dyDescent="0.3">
      <c r="A13" s="10" t="s">
        <v>159</v>
      </c>
      <c r="B13" s="14" t="s">
        <v>141</v>
      </c>
      <c r="C13" s="11" t="s">
        <v>118</v>
      </c>
      <c r="D13" s="7" t="s">
        <v>142</v>
      </c>
      <c r="E13" s="7" t="s">
        <v>130</v>
      </c>
      <c r="F13" s="8" t="s">
        <v>143</v>
      </c>
      <c r="G13" s="9" t="s">
        <v>100</v>
      </c>
    </row>
    <row r="14" spans="1:7" x14ac:dyDescent="0.3">
      <c r="A14" s="10" t="s">
        <v>159</v>
      </c>
      <c r="B14" s="14" t="s">
        <v>144</v>
      </c>
      <c r="C14" s="11" t="s">
        <v>107</v>
      </c>
      <c r="D14" s="7" t="s">
        <v>145</v>
      </c>
      <c r="E14" s="7" t="s">
        <v>123</v>
      </c>
      <c r="F14" s="8" t="s">
        <v>146</v>
      </c>
      <c r="G14" s="9" t="s">
        <v>100</v>
      </c>
    </row>
    <row r="15" spans="1:7" x14ac:dyDescent="0.3">
      <c r="A15" s="10" t="s">
        <v>159</v>
      </c>
      <c r="B15" s="14" t="s">
        <v>147</v>
      </c>
      <c r="C15" s="11" t="s">
        <v>107</v>
      </c>
      <c r="D15" s="7" t="s">
        <v>148</v>
      </c>
      <c r="E15" s="7" t="s">
        <v>130</v>
      </c>
      <c r="F15" s="8" t="s">
        <v>149</v>
      </c>
      <c r="G15" s="9" t="s">
        <v>100</v>
      </c>
    </row>
    <row r="16" spans="1:7" x14ac:dyDescent="0.3">
      <c r="A16" s="10" t="s">
        <v>159</v>
      </c>
      <c r="B16" s="14" t="s">
        <v>150</v>
      </c>
      <c r="C16" s="11" t="s">
        <v>133</v>
      </c>
      <c r="D16" s="7" t="s">
        <v>151</v>
      </c>
      <c r="E16" s="7" t="s">
        <v>123</v>
      </c>
      <c r="F16" s="8" t="s">
        <v>152</v>
      </c>
      <c r="G16" s="9" t="s">
        <v>100</v>
      </c>
    </row>
    <row r="17" spans="1:7" x14ac:dyDescent="0.3">
      <c r="A17" s="10" t="s">
        <v>159</v>
      </c>
      <c r="B17" s="14" t="s">
        <v>153</v>
      </c>
      <c r="C17" s="11" t="s">
        <v>102</v>
      </c>
      <c r="D17" s="7" t="s">
        <v>154</v>
      </c>
      <c r="E17" s="7" t="s">
        <v>109</v>
      </c>
      <c r="F17" s="8" t="s">
        <v>155</v>
      </c>
      <c r="G17" s="9" t="s">
        <v>100</v>
      </c>
    </row>
    <row r="18" spans="1:7" x14ac:dyDescent="0.3">
      <c r="A18" s="10" t="s">
        <v>159</v>
      </c>
      <c r="B18" s="14" t="s">
        <v>156</v>
      </c>
      <c r="C18" s="11" t="s">
        <v>102</v>
      </c>
      <c r="D18" s="7" t="s">
        <v>157</v>
      </c>
      <c r="E18" s="7" t="s">
        <v>109</v>
      </c>
      <c r="F18" s="8" t="s">
        <v>158</v>
      </c>
      <c r="G18" s="9" t="s">
        <v>100</v>
      </c>
    </row>
  </sheetData>
  <autoFilter ref="B1:G1" xr:uid="{C90C6E70-13BA-495F-9A9D-A5F1CC0D84C7}"/>
  <phoneticPr fontId="6" type="noConversion"/>
  <conditionalFormatting sqref="B1">
    <cfRule type="duplicateValues" dxfId="13" priority="1"/>
    <cfRule type="duplicateValues" dxfId="12" priority="2"/>
    <cfRule type="duplicateValues" dxfId="11" priority="3"/>
    <cfRule type="duplicateValues" dxfId="10" priority="4"/>
    <cfRule type="duplicateValues" dxfId="9" priority="5"/>
    <cfRule type="duplicateValues" dxfId="8" priority="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26F50-E865-4138-B1C1-BFEC725D1AD9}">
  <dimension ref="A1:O15"/>
  <sheetViews>
    <sheetView tabSelected="1" workbookViewId="0">
      <pane ySplit="1" topLeftCell="A4" activePane="bottomLeft" state="frozen"/>
      <selection pane="bottomLeft" activeCell="H22" sqref="H22"/>
    </sheetView>
  </sheetViews>
  <sheetFormatPr defaultRowHeight="14.4" x14ac:dyDescent="0.3"/>
  <cols>
    <col min="1" max="1" width="18" bestFit="1" customWidth="1"/>
    <col min="2" max="2" width="13.88671875" bestFit="1" customWidth="1"/>
    <col min="3" max="3" width="9.33203125" bestFit="1" customWidth="1"/>
    <col min="4" max="4" width="6" bestFit="1" customWidth="1"/>
    <col min="5" max="6" width="6" customWidth="1"/>
    <col min="7" max="10" width="11.88671875" customWidth="1"/>
    <col min="11" max="13" width="13.33203125" customWidth="1"/>
    <col min="14" max="14" width="79.5546875" hidden="1" customWidth="1"/>
    <col min="15" max="15" width="6.33203125" bestFit="1" customWidth="1"/>
  </cols>
  <sheetData>
    <row r="1" spans="1:15" x14ac:dyDescent="0.3">
      <c r="A1" s="3" t="s">
        <v>9</v>
      </c>
      <c r="B1" s="1" t="s">
        <v>0</v>
      </c>
      <c r="C1" s="1" t="s">
        <v>1</v>
      </c>
      <c r="D1" s="1" t="s">
        <v>2</v>
      </c>
      <c r="E1" s="1" t="s">
        <v>10</v>
      </c>
      <c r="F1" s="1" t="s">
        <v>11</v>
      </c>
      <c r="G1" s="1" t="s">
        <v>3</v>
      </c>
      <c r="H1" s="1" t="s">
        <v>12</v>
      </c>
      <c r="I1" s="4" t="s">
        <v>16</v>
      </c>
      <c r="J1" s="1" t="s">
        <v>13</v>
      </c>
      <c r="K1" s="1" t="s">
        <v>4</v>
      </c>
      <c r="L1" s="1" t="s">
        <v>14</v>
      </c>
      <c r="M1" s="1" t="s">
        <v>15</v>
      </c>
      <c r="N1" s="1" t="s">
        <v>5</v>
      </c>
      <c r="O1" s="1" t="s">
        <v>160</v>
      </c>
    </row>
    <row r="2" spans="1:15" x14ac:dyDescent="0.3">
      <c r="A2" t="s">
        <v>161</v>
      </c>
      <c r="B2" t="s">
        <v>162</v>
      </c>
      <c r="C2" t="s">
        <v>7</v>
      </c>
      <c r="D2">
        <v>834</v>
      </c>
      <c r="E2">
        <v>834</v>
      </c>
      <c r="F2" t="str">
        <f t="shared" ref="F2:F15" si="0">IF(D2=E2,"OK","Not")</f>
        <v>OK</v>
      </c>
      <c r="G2" s="2">
        <v>46018</v>
      </c>
      <c r="H2" s="2">
        <v>46018</v>
      </c>
      <c r="I2">
        <f t="shared" ref="I2:I15" si="1">H2-G2</f>
        <v>0</v>
      </c>
      <c r="J2" t="str">
        <f t="shared" ref="J2:J15" si="2">IF(H2=G2,"OK","Not")</f>
        <v>OK</v>
      </c>
      <c r="K2" s="2">
        <v>46076</v>
      </c>
      <c r="L2" s="2">
        <v>46076</v>
      </c>
      <c r="M2" t="str">
        <f t="shared" ref="M2:M15" si="3">IF(K2=L2,"OK","Not")</f>
        <v>OK</v>
      </c>
      <c r="N2" t="s">
        <v>163</v>
      </c>
      <c r="O2" t="s">
        <v>100</v>
      </c>
    </row>
    <row r="3" spans="1:15" x14ac:dyDescent="0.3">
      <c r="A3" t="s">
        <v>161</v>
      </c>
      <c r="B3" t="s">
        <v>164</v>
      </c>
      <c r="C3" t="s">
        <v>6</v>
      </c>
      <c r="D3">
        <v>740</v>
      </c>
      <c r="E3">
        <v>740</v>
      </c>
      <c r="F3" t="str">
        <f t="shared" si="0"/>
        <v>OK</v>
      </c>
      <c r="G3" s="2">
        <v>46029</v>
      </c>
      <c r="H3" s="2">
        <v>46029</v>
      </c>
      <c r="I3">
        <f t="shared" si="1"/>
        <v>0</v>
      </c>
      <c r="J3" t="str">
        <f t="shared" si="2"/>
        <v>OK</v>
      </c>
      <c r="K3" s="2">
        <v>46076</v>
      </c>
      <c r="L3" s="2">
        <v>46076</v>
      </c>
      <c r="M3" t="str">
        <f t="shared" si="3"/>
        <v>OK</v>
      </c>
      <c r="N3" t="s">
        <v>165</v>
      </c>
      <c r="O3" t="s">
        <v>100</v>
      </c>
    </row>
    <row r="4" spans="1:15" x14ac:dyDescent="0.3">
      <c r="A4" t="s">
        <v>166</v>
      </c>
      <c r="B4" t="s">
        <v>167</v>
      </c>
      <c r="C4" t="s">
        <v>6</v>
      </c>
      <c r="D4">
        <v>758</v>
      </c>
      <c r="E4">
        <v>758</v>
      </c>
      <c r="F4" t="str">
        <f t="shared" si="0"/>
        <v>OK</v>
      </c>
      <c r="G4" s="2">
        <v>46051</v>
      </c>
      <c r="H4" s="2">
        <v>46051</v>
      </c>
      <c r="I4">
        <f t="shared" si="1"/>
        <v>0</v>
      </c>
      <c r="J4" t="str">
        <f t="shared" si="2"/>
        <v>OK</v>
      </c>
      <c r="K4" s="2">
        <v>46081</v>
      </c>
      <c r="L4" s="2">
        <v>46081</v>
      </c>
      <c r="M4" t="str">
        <f t="shared" si="3"/>
        <v>OK</v>
      </c>
      <c r="N4" t="s">
        <v>168</v>
      </c>
      <c r="O4" t="s">
        <v>169</v>
      </c>
    </row>
    <row r="5" spans="1:15" x14ac:dyDescent="0.3">
      <c r="A5" t="s">
        <v>161</v>
      </c>
      <c r="B5" t="s">
        <v>170</v>
      </c>
      <c r="C5" t="s">
        <v>8</v>
      </c>
      <c r="D5">
        <v>3616</v>
      </c>
      <c r="E5">
        <v>3616</v>
      </c>
      <c r="F5" t="str">
        <f t="shared" si="0"/>
        <v>OK</v>
      </c>
      <c r="G5" s="2">
        <v>45989</v>
      </c>
      <c r="H5" s="2">
        <v>45989</v>
      </c>
      <c r="I5">
        <f t="shared" si="1"/>
        <v>0</v>
      </c>
      <c r="J5" t="str">
        <f t="shared" si="2"/>
        <v>OK</v>
      </c>
      <c r="K5" s="2">
        <v>46077</v>
      </c>
      <c r="L5" s="2">
        <v>46077</v>
      </c>
      <c r="M5" t="str">
        <f t="shared" si="3"/>
        <v>OK</v>
      </c>
      <c r="N5" t="s">
        <v>171</v>
      </c>
      <c r="O5" t="s">
        <v>100</v>
      </c>
    </row>
    <row r="6" spans="1:15" x14ac:dyDescent="0.3">
      <c r="A6" t="s">
        <v>161</v>
      </c>
      <c r="B6" t="s">
        <v>172</v>
      </c>
      <c r="C6" t="s">
        <v>18</v>
      </c>
      <c r="D6">
        <v>9543</v>
      </c>
      <c r="E6">
        <v>9543</v>
      </c>
      <c r="F6" t="str">
        <f t="shared" si="0"/>
        <v>OK</v>
      </c>
      <c r="G6" s="2">
        <v>45890</v>
      </c>
      <c r="H6" s="2">
        <v>45890</v>
      </c>
      <c r="I6">
        <f t="shared" si="1"/>
        <v>0</v>
      </c>
      <c r="J6" t="str">
        <f t="shared" si="2"/>
        <v>OK</v>
      </c>
      <c r="K6" s="2">
        <v>46077</v>
      </c>
      <c r="L6" s="2">
        <v>46077</v>
      </c>
      <c r="M6" t="str">
        <f t="shared" si="3"/>
        <v>OK</v>
      </c>
      <c r="N6" t="s">
        <v>173</v>
      </c>
      <c r="O6" t="s">
        <v>100</v>
      </c>
    </row>
    <row r="7" spans="1:15" x14ac:dyDescent="0.3">
      <c r="A7" t="s">
        <v>166</v>
      </c>
      <c r="B7" t="s">
        <v>174</v>
      </c>
      <c r="C7" t="s">
        <v>6</v>
      </c>
      <c r="D7">
        <v>514</v>
      </c>
      <c r="E7">
        <v>514</v>
      </c>
      <c r="F7" t="str">
        <f t="shared" si="0"/>
        <v>OK</v>
      </c>
      <c r="G7" s="2">
        <v>46048</v>
      </c>
      <c r="H7" s="2">
        <v>46047</v>
      </c>
      <c r="I7">
        <f t="shared" si="1"/>
        <v>-1</v>
      </c>
      <c r="J7" t="str">
        <f t="shared" si="2"/>
        <v>Not</v>
      </c>
      <c r="K7" s="2">
        <v>46079</v>
      </c>
      <c r="L7" s="2">
        <v>46079</v>
      </c>
      <c r="M7" t="str">
        <f t="shared" si="3"/>
        <v>OK</v>
      </c>
      <c r="N7" t="s">
        <v>175</v>
      </c>
      <c r="O7" t="s">
        <v>176</v>
      </c>
    </row>
    <row r="8" spans="1:15" x14ac:dyDescent="0.3">
      <c r="A8" t="s">
        <v>161</v>
      </c>
      <c r="B8" t="s">
        <v>177</v>
      </c>
      <c r="C8" t="s">
        <v>7</v>
      </c>
      <c r="D8">
        <v>1782</v>
      </c>
      <c r="E8">
        <v>1782</v>
      </c>
      <c r="F8" t="str">
        <f t="shared" si="0"/>
        <v>OK</v>
      </c>
      <c r="G8" s="2">
        <v>46014</v>
      </c>
      <c r="H8" s="2">
        <v>46014</v>
      </c>
      <c r="I8">
        <f t="shared" si="1"/>
        <v>0</v>
      </c>
      <c r="J8" t="str">
        <f t="shared" si="2"/>
        <v>OK</v>
      </c>
      <c r="K8" s="2">
        <v>46077</v>
      </c>
      <c r="L8" s="2">
        <v>46077</v>
      </c>
      <c r="M8" t="str">
        <f t="shared" si="3"/>
        <v>OK</v>
      </c>
      <c r="N8" t="s">
        <v>178</v>
      </c>
      <c r="O8" t="s">
        <v>100</v>
      </c>
    </row>
    <row r="9" spans="1:15" x14ac:dyDescent="0.3">
      <c r="A9" t="s">
        <v>161</v>
      </c>
      <c r="B9" t="s">
        <v>179</v>
      </c>
      <c r="C9" t="s">
        <v>7</v>
      </c>
      <c r="D9">
        <v>614</v>
      </c>
      <c r="E9">
        <v>614</v>
      </c>
      <c r="F9" t="str">
        <f t="shared" si="0"/>
        <v>OK</v>
      </c>
      <c r="G9" s="2">
        <v>46017</v>
      </c>
      <c r="H9" s="2">
        <v>46017</v>
      </c>
      <c r="I9">
        <f t="shared" si="1"/>
        <v>0</v>
      </c>
      <c r="J9" t="str">
        <f t="shared" si="2"/>
        <v>OK</v>
      </c>
      <c r="K9" s="2">
        <v>46077</v>
      </c>
      <c r="L9" s="2">
        <v>46077</v>
      </c>
      <c r="M9" t="str">
        <f t="shared" si="3"/>
        <v>OK</v>
      </c>
      <c r="N9" t="s">
        <v>180</v>
      </c>
      <c r="O9" t="s">
        <v>181</v>
      </c>
    </row>
    <row r="10" spans="1:15" x14ac:dyDescent="0.3">
      <c r="A10" t="s">
        <v>161</v>
      </c>
      <c r="B10" t="s">
        <v>182</v>
      </c>
      <c r="C10" t="s">
        <v>6</v>
      </c>
      <c r="D10">
        <v>776</v>
      </c>
      <c r="E10">
        <v>776</v>
      </c>
      <c r="F10" t="str">
        <f t="shared" si="0"/>
        <v>OK</v>
      </c>
      <c r="G10" s="2">
        <v>46034</v>
      </c>
      <c r="H10" s="2">
        <v>46034</v>
      </c>
      <c r="I10">
        <f t="shared" si="1"/>
        <v>0</v>
      </c>
      <c r="J10" t="str">
        <f t="shared" si="2"/>
        <v>OK</v>
      </c>
      <c r="K10" s="2">
        <v>46076</v>
      </c>
      <c r="L10" s="2">
        <v>46076</v>
      </c>
      <c r="M10" t="str">
        <f t="shared" si="3"/>
        <v>OK</v>
      </c>
      <c r="N10" t="s">
        <v>183</v>
      </c>
      <c r="O10" t="s">
        <v>100</v>
      </c>
    </row>
    <row r="11" spans="1:15" x14ac:dyDescent="0.3">
      <c r="A11" t="s">
        <v>161</v>
      </c>
      <c r="B11" t="s">
        <v>184</v>
      </c>
      <c r="C11" t="s">
        <v>7</v>
      </c>
      <c r="D11">
        <v>2615</v>
      </c>
      <c r="E11">
        <v>2615</v>
      </c>
      <c r="F11" t="str">
        <f t="shared" si="0"/>
        <v>OK</v>
      </c>
      <c r="G11" s="2">
        <v>46037</v>
      </c>
      <c r="H11" s="2">
        <v>46037</v>
      </c>
      <c r="I11">
        <f t="shared" si="1"/>
        <v>0</v>
      </c>
      <c r="J11" t="str">
        <f t="shared" si="2"/>
        <v>OK</v>
      </c>
      <c r="K11" s="2">
        <v>46077</v>
      </c>
      <c r="L11" s="2">
        <v>46077</v>
      </c>
      <c r="M11" t="str">
        <f t="shared" si="3"/>
        <v>OK</v>
      </c>
      <c r="N11" t="s">
        <v>185</v>
      </c>
      <c r="O11" t="s">
        <v>100</v>
      </c>
    </row>
    <row r="12" spans="1:15" x14ac:dyDescent="0.3">
      <c r="A12" t="s">
        <v>161</v>
      </c>
      <c r="B12" t="s">
        <v>186</v>
      </c>
      <c r="C12" t="s">
        <v>6</v>
      </c>
      <c r="D12">
        <v>444</v>
      </c>
      <c r="E12">
        <v>444</v>
      </c>
      <c r="F12" t="str">
        <f t="shared" si="0"/>
        <v>OK</v>
      </c>
      <c r="G12" s="2">
        <v>46042</v>
      </c>
      <c r="H12" s="2">
        <v>46042</v>
      </c>
      <c r="I12">
        <f t="shared" si="1"/>
        <v>0</v>
      </c>
      <c r="J12" t="str">
        <f t="shared" si="2"/>
        <v>OK</v>
      </c>
      <c r="K12" s="2">
        <v>46077</v>
      </c>
      <c r="L12" s="2">
        <v>46077</v>
      </c>
      <c r="M12" t="str">
        <f t="shared" si="3"/>
        <v>OK</v>
      </c>
      <c r="N12" t="s">
        <v>187</v>
      </c>
      <c r="O12" t="s">
        <v>100</v>
      </c>
    </row>
    <row r="13" spans="1:15" x14ac:dyDescent="0.3">
      <c r="A13" t="s">
        <v>161</v>
      </c>
      <c r="B13" t="s">
        <v>188</v>
      </c>
      <c r="C13" t="s">
        <v>6</v>
      </c>
      <c r="D13">
        <v>659</v>
      </c>
      <c r="E13">
        <v>659</v>
      </c>
      <c r="F13" t="str">
        <f t="shared" si="0"/>
        <v>OK</v>
      </c>
      <c r="G13" s="2">
        <v>46053</v>
      </c>
      <c r="H13" s="2">
        <v>46053</v>
      </c>
      <c r="I13">
        <f t="shared" si="1"/>
        <v>0</v>
      </c>
      <c r="J13" t="str">
        <f t="shared" si="2"/>
        <v>OK</v>
      </c>
      <c r="K13" s="2">
        <v>46074</v>
      </c>
      <c r="L13" s="2">
        <v>46074</v>
      </c>
      <c r="M13" t="str">
        <f t="shared" si="3"/>
        <v>OK</v>
      </c>
      <c r="N13" t="s">
        <v>189</v>
      </c>
      <c r="O13" t="s">
        <v>100</v>
      </c>
    </row>
    <row r="14" spans="1:15" x14ac:dyDescent="0.3">
      <c r="A14" t="s">
        <v>161</v>
      </c>
      <c r="B14" t="s">
        <v>190</v>
      </c>
      <c r="C14" t="s">
        <v>6</v>
      </c>
      <c r="D14">
        <v>712</v>
      </c>
      <c r="E14">
        <v>712</v>
      </c>
      <c r="F14" t="str">
        <f t="shared" si="0"/>
        <v>OK</v>
      </c>
      <c r="G14" s="2">
        <v>46042</v>
      </c>
      <c r="H14" s="2">
        <v>46042</v>
      </c>
      <c r="I14">
        <f t="shared" si="1"/>
        <v>0</v>
      </c>
      <c r="J14" t="str">
        <f t="shared" si="2"/>
        <v>OK</v>
      </c>
      <c r="K14" s="2">
        <v>46078</v>
      </c>
      <c r="L14" s="2">
        <v>46078</v>
      </c>
      <c r="M14" t="str">
        <f t="shared" si="3"/>
        <v>OK</v>
      </c>
      <c r="N14" t="s">
        <v>191</v>
      </c>
      <c r="O14" t="s">
        <v>100</v>
      </c>
    </row>
    <row r="15" spans="1:15" x14ac:dyDescent="0.3">
      <c r="A15" t="s">
        <v>161</v>
      </c>
      <c r="B15" t="s">
        <v>192</v>
      </c>
      <c r="C15" t="s">
        <v>6</v>
      </c>
      <c r="D15">
        <v>484</v>
      </c>
      <c r="E15">
        <v>484</v>
      </c>
      <c r="F15" t="str">
        <f t="shared" si="0"/>
        <v>OK</v>
      </c>
      <c r="G15" s="2">
        <v>46053</v>
      </c>
      <c r="H15" s="2">
        <v>46053</v>
      </c>
      <c r="I15">
        <f t="shared" si="1"/>
        <v>0</v>
      </c>
      <c r="J15" t="str">
        <f t="shared" si="2"/>
        <v>OK</v>
      </c>
      <c r="K15" s="2">
        <v>46076</v>
      </c>
      <c r="L15" s="2">
        <v>46076</v>
      </c>
      <c r="M15" t="str">
        <f t="shared" si="3"/>
        <v>OK</v>
      </c>
      <c r="N15" t="s">
        <v>193</v>
      </c>
      <c r="O15" t="s">
        <v>100</v>
      </c>
    </row>
  </sheetData>
  <autoFilter ref="A1:O15" xr:uid="{95DF6ECD-0B5A-4594-B543-01064A439100}">
    <sortState xmlns:xlrd2="http://schemas.microsoft.com/office/spreadsheetml/2017/richdata2" ref="A2:O15">
      <sortCondition ref="B1:B15"/>
    </sortState>
  </autoFilter>
  <conditionalFormatting sqref="B1:B1048576">
    <cfRule type="duplicateValues" dxfId="7" priority="2"/>
    <cfRule type="duplicateValues" dxfId="6" priority="4"/>
  </conditionalFormatting>
  <conditionalFormatting sqref="D1:D1048576">
    <cfRule type="duplicateValues" dxfId="5" priority="1"/>
    <cfRule type="duplicateValues" dxfId="4" priority="3"/>
    <cfRule type="duplicateValues" dxfId="3" priority="5"/>
    <cfRule type="duplicateValues" dxfId="2" priority="6"/>
  </conditionalFormatting>
  <conditionalFormatting sqref="F1:F1048576 J2:J15 M2:M15">
    <cfRule type="containsText" dxfId="1" priority="7" operator="containsText" text="Not">
      <formula>NOT(ISERROR(SEARCH("Not",F1)))</formula>
    </cfRule>
    <cfRule type="containsText" dxfId="0" priority="8" operator="containsText" text="OK">
      <formula>NOT(ISERROR(SEARCH("OK",F1)))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1-10 Mar</vt:lpstr>
      <vt:lpstr>12804-260316_1239</vt:lpstr>
      <vt:lpstr>21-28 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Kevin William</cp:lastModifiedBy>
  <dcterms:created xsi:type="dcterms:W3CDTF">2026-03-16T10:25:08Z</dcterms:created>
  <dcterms:modified xsi:type="dcterms:W3CDTF">2026-03-31T02:18:37Z</dcterms:modified>
</cp:coreProperties>
</file>