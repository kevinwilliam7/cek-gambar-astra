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DESKTOP MEI\VALIDASI KPB FISIK SO\2026\4. KPB cek di bulan Apr 2026\KPB Mar Pending\"/>
    </mc:Choice>
  </mc:AlternateContent>
  <xr:revisionPtr revIDLastSave="0" documentId="13_ncr:1_{7A434833-F598-4E9C-BB27-725A21403D5E}" xr6:coauthVersionLast="47" xr6:coauthVersionMax="47" xr10:uidLastSave="{00000000-0000-0000-0000-000000000000}"/>
  <bookViews>
    <workbookView xWindow="-105" yWindow="0" windowWidth="10455" windowHeight="10905" firstSheet="1" activeTab="1" xr2:uid="{00000000-000D-0000-FFFF-FFFF00000000}"/>
  </bookViews>
  <sheets>
    <sheet name="16451-260406_1355" sheetId="7" r:id="rId1"/>
    <sheet name="16451-260406_1406" sheetId="8" r:id="rId2"/>
  </sheets>
  <definedNames>
    <definedName name="_xlnm._FilterDatabase" localSheetId="0" hidden="1">'16451-260406_1355'!$A$1:$O$1</definedName>
    <definedName name="_xlnm._FilterDatabase" localSheetId="1" hidden="1">'16451-260406_1406'!$A$1:$O$1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4" i="8" l="1"/>
  <c r="N4" i="8"/>
  <c r="L4" i="8"/>
  <c r="K4" i="8"/>
  <c r="J4" i="8"/>
  <c r="I4" i="8"/>
  <c r="H4" i="8"/>
  <c r="M4" i="8" s="1"/>
  <c r="G4" i="8"/>
  <c r="O3" i="8"/>
  <c r="N3" i="8"/>
  <c r="M3" i="8"/>
  <c r="L3" i="8"/>
  <c r="K3" i="8"/>
  <c r="J3" i="8"/>
  <c r="I3" i="8"/>
  <c r="H3" i="8"/>
  <c r="G3" i="8"/>
  <c r="O2" i="8"/>
  <c r="L2" i="8"/>
  <c r="K2" i="8"/>
  <c r="N2" i="8" s="1"/>
  <c r="J2" i="8"/>
  <c r="I2" i="8"/>
  <c r="H2" i="8"/>
  <c r="M2" i="8" s="1"/>
  <c r="G2" i="8"/>
  <c r="O29" i="7"/>
  <c r="N29" i="7"/>
  <c r="L29" i="7"/>
  <c r="K29" i="7"/>
  <c r="J29" i="7"/>
  <c r="I29" i="7"/>
  <c r="H29" i="7"/>
  <c r="M29" i="7" s="1"/>
  <c r="G29" i="7"/>
  <c r="O28" i="7"/>
  <c r="N28" i="7"/>
  <c r="M28" i="7"/>
  <c r="L28" i="7"/>
  <c r="K28" i="7"/>
  <c r="J28" i="7"/>
  <c r="I28" i="7"/>
  <c r="H28" i="7"/>
  <c r="G28" i="7"/>
  <c r="O27" i="7"/>
  <c r="M27" i="7"/>
  <c r="L27" i="7"/>
  <c r="K27" i="7"/>
  <c r="N27" i="7" s="1"/>
  <c r="J27" i="7"/>
  <c r="I27" i="7"/>
  <c r="H27" i="7"/>
  <c r="G27" i="7"/>
  <c r="O26" i="7"/>
  <c r="L26" i="7"/>
  <c r="K26" i="7"/>
  <c r="N26" i="7" s="1"/>
  <c r="J26" i="7"/>
  <c r="I26" i="7"/>
  <c r="H26" i="7"/>
  <c r="M26" i="7" s="1"/>
  <c r="G26" i="7"/>
  <c r="O25" i="7"/>
  <c r="N25" i="7"/>
  <c r="L25" i="7"/>
  <c r="K25" i="7"/>
  <c r="J25" i="7"/>
  <c r="I25" i="7"/>
  <c r="H25" i="7"/>
  <c r="M25" i="7" s="1"/>
  <c r="G25" i="7"/>
  <c r="O24" i="7"/>
  <c r="N24" i="7"/>
  <c r="M24" i="7"/>
  <c r="L24" i="7"/>
  <c r="K24" i="7"/>
  <c r="J24" i="7"/>
  <c r="I24" i="7"/>
  <c r="H24" i="7"/>
  <c r="G24" i="7"/>
  <c r="O23" i="7"/>
  <c r="M23" i="7"/>
  <c r="L23" i="7"/>
  <c r="K23" i="7"/>
  <c r="N23" i="7" s="1"/>
  <c r="J23" i="7"/>
  <c r="I23" i="7"/>
  <c r="H23" i="7"/>
  <c r="G23" i="7"/>
  <c r="O22" i="7"/>
  <c r="L22" i="7"/>
  <c r="K22" i="7"/>
  <c r="N22" i="7" s="1"/>
  <c r="J22" i="7"/>
  <c r="I22" i="7"/>
  <c r="H22" i="7"/>
  <c r="M22" i="7" s="1"/>
  <c r="G22" i="7"/>
  <c r="O21" i="7"/>
  <c r="N21" i="7"/>
  <c r="L21" i="7"/>
  <c r="K21" i="7"/>
  <c r="J21" i="7"/>
  <c r="I21" i="7"/>
  <c r="H21" i="7"/>
  <c r="M21" i="7" s="1"/>
  <c r="G21" i="7"/>
  <c r="O20" i="7"/>
  <c r="N20" i="7"/>
  <c r="M20" i="7"/>
  <c r="L20" i="7"/>
  <c r="K20" i="7"/>
  <c r="J20" i="7"/>
  <c r="I20" i="7"/>
  <c r="H20" i="7"/>
  <c r="G20" i="7"/>
  <c r="O19" i="7"/>
  <c r="L19" i="7"/>
  <c r="K19" i="7"/>
  <c r="N19" i="7" s="1"/>
  <c r="J19" i="7"/>
  <c r="I19" i="7"/>
  <c r="H19" i="7"/>
  <c r="M19" i="7" s="1"/>
  <c r="G19" i="7"/>
  <c r="O18" i="7"/>
  <c r="L18" i="7"/>
  <c r="K18" i="7"/>
  <c r="N18" i="7" s="1"/>
  <c r="J18" i="7"/>
  <c r="I18" i="7"/>
  <c r="H18" i="7"/>
  <c r="M18" i="7" s="1"/>
  <c r="G18" i="7"/>
  <c r="O17" i="7"/>
  <c r="N17" i="7"/>
  <c r="L17" i="7"/>
  <c r="K17" i="7"/>
  <c r="J17" i="7"/>
  <c r="I17" i="7"/>
  <c r="H17" i="7"/>
  <c r="M17" i="7" s="1"/>
  <c r="G17" i="7"/>
  <c r="O16" i="7"/>
  <c r="N16" i="7"/>
  <c r="M16" i="7"/>
  <c r="L16" i="7"/>
  <c r="K16" i="7"/>
  <c r="J16" i="7"/>
  <c r="I16" i="7"/>
  <c r="H16" i="7"/>
  <c r="G16" i="7"/>
  <c r="O15" i="7"/>
  <c r="L15" i="7"/>
  <c r="K15" i="7"/>
  <c r="N15" i="7" s="1"/>
  <c r="J15" i="7"/>
  <c r="I15" i="7"/>
  <c r="H15" i="7"/>
  <c r="M15" i="7" s="1"/>
  <c r="G15" i="7"/>
  <c r="O14" i="7"/>
  <c r="L14" i="7"/>
  <c r="K14" i="7"/>
  <c r="N14" i="7" s="1"/>
  <c r="J14" i="7"/>
  <c r="I14" i="7"/>
  <c r="H14" i="7"/>
  <c r="M14" i="7" s="1"/>
  <c r="G14" i="7"/>
  <c r="O13" i="7"/>
  <c r="N13" i="7"/>
  <c r="L13" i="7"/>
  <c r="K13" i="7"/>
  <c r="J13" i="7"/>
  <c r="I13" i="7"/>
  <c r="H13" i="7"/>
  <c r="M13" i="7" s="1"/>
  <c r="G13" i="7"/>
  <c r="O12" i="7"/>
  <c r="N12" i="7"/>
  <c r="M12" i="7"/>
  <c r="L12" i="7"/>
  <c r="K12" i="7"/>
  <c r="J12" i="7"/>
  <c r="I12" i="7"/>
  <c r="H12" i="7"/>
  <c r="G12" i="7"/>
  <c r="O11" i="7"/>
  <c r="L11" i="7"/>
  <c r="K11" i="7"/>
  <c r="N11" i="7" s="1"/>
  <c r="J11" i="7"/>
  <c r="I11" i="7"/>
  <c r="H11" i="7"/>
  <c r="M11" i="7" s="1"/>
  <c r="G11" i="7"/>
  <c r="O10" i="7"/>
  <c r="L10" i="7"/>
  <c r="K10" i="7"/>
  <c r="N10" i="7" s="1"/>
  <c r="J10" i="7"/>
  <c r="I10" i="7"/>
  <c r="H10" i="7"/>
  <c r="M10" i="7" s="1"/>
  <c r="G10" i="7"/>
  <c r="O9" i="7"/>
  <c r="N9" i="7"/>
  <c r="L9" i="7"/>
  <c r="K9" i="7"/>
  <c r="J9" i="7"/>
  <c r="I9" i="7"/>
  <c r="H9" i="7"/>
  <c r="M9" i="7" s="1"/>
  <c r="G9" i="7"/>
  <c r="O8" i="7"/>
  <c r="N8" i="7"/>
  <c r="M8" i="7"/>
  <c r="L8" i="7"/>
  <c r="K8" i="7"/>
  <c r="J8" i="7"/>
  <c r="I8" i="7"/>
  <c r="H8" i="7"/>
  <c r="G8" i="7"/>
  <c r="O7" i="7"/>
  <c r="L7" i="7"/>
  <c r="K7" i="7"/>
  <c r="N7" i="7" s="1"/>
  <c r="J7" i="7"/>
  <c r="I7" i="7"/>
  <c r="H7" i="7"/>
  <c r="M7" i="7" s="1"/>
  <c r="G7" i="7"/>
  <c r="O6" i="7"/>
  <c r="L6" i="7"/>
  <c r="K6" i="7"/>
  <c r="N6" i="7" s="1"/>
  <c r="J6" i="7"/>
  <c r="I6" i="7"/>
  <c r="H6" i="7"/>
  <c r="M6" i="7" s="1"/>
  <c r="G6" i="7"/>
  <c r="O5" i="7"/>
  <c r="N5" i="7"/>
  <c r="L5" i="7"/>
  <c r="K5" i="7"/>
  <c r="J5" i="7"/>
  <c r="I5" i="7"/>
  <c r="H5" i="7"/>
  <c r="M5" i="7" s="1"/>
  <c r="G5" i="7"/>
  <c r="O4" i="7"/>
  <c r="N4" i="7"/>
  <c r="M4" i="7"/>
  <c r="L4" i="7"/>
  <c r="K4" i="7"/>
  <c r="J4" i="7"/>
  <c r="I4" i="7"/>
  <c r="H4" i="7"/>
  <c r="G4" i="7"/>
  <c r="O3" i="7"/>
  <c r="L3" i="7"/>
  <c r="K3" i="7"/>
  <c r="N3" i="7" s="1"/>
  <c r="J3" i="7"/>
  <c r="I3" i="7"/>
  <c r="H3" i="7"/>
  <c r="M3" i="7" s="1"/>
  <c r="G3" i="7"/>
  <c r="O2" i="7"/>
  <c r="L2" i="7"/>
  <c r="K2" i="7"/>
  <c r="N2" i="7" s="1"/>
  <c r="J2" i="7"/>
  <c r="I2" i="7"/>
  <c r="H2" i="7"/>
  <c r="M2" i="7" s="1"/>
  <c r="G2" i="7"/>
</calcChain>
</file>

<file path=xl/sharedStrings.xml><?xml version="1.0" encoding="utf-8"?>
<sst xmlns="http://schemas.openxmlformats.org/spreadsheetml/2006/main" count="179" uniqueCount="114">
  <si>
    <t>No Engine</t>
  </si>
  <si>
    <t>Service Ke-</t>
  </si>
  <si>
    <t>Tgl Beli</t>
  </si>
  <si>
    <t>Tgl Service</t>
  </si>
  <si>
    <t>Km</t>
  </si>
  <si>
    <t>Ket</t>
  </si>
  <si>
    <t>Type</t>
  </si>
  <si>
    <t>Hari</t>
  </si>
  <si>
    <t>Jumlah Hrf</t>
  </si>
  <si>
    <t>Bulan Beli</t>
  </si>
  <si>
    <t>Tahun Beli</t>
  </si>
  <si>
    <t>1</t>
  </si>
  <si>
    <t>24/02/2026</t>
  </si>
  <si>
    <t>2</t>
  </si>
  <si>
    <t>3</t>
  </si>
  <si>
    <t>4</t>
  </si>
  <si>
    <t>26/11/2025</t>
  </si>
  <si>
    <t>11/02/2026</t>
  </si>
  <si>
    <t>18/11/2025</t>
  </si>
  <si>
    <t>25/03/2026</t>
  </si>
  <si>
    <t>14/11/2025</t>
  </si>
  <si>
    <t>29/01/2026</t>
  </si>
  <si>
    <t>06/03/2026</t>
  </si>
  <si>
    <t>10/11/2025</t>
  </si>
  <si>
    <t>14/02/2026</t>
  </si>
  <si>
    <t>04/12/2025</t>
  </si>
  <si>
    <t>23/01/2026</t>
  </si>
  <si>
    <t>17/12/2025</t>
  </si>
  <si>
    <t>08/11/2025</t>
  </si>
  <si>
    <t>12/11/2025</t>
  </si>
  <si>
    <t>25/10/2025</t>
  </si>
  <si>
    <t>29/10/2025</t>
  </si>
  <si>
    <t>07/10/2025</t>
  </si>
  <si>
    <t>26/03/2026</t>
  </si>
  <si>
    <t>28/03/2026</t>
  </si>
  <si>
    <t>27/03/2026</t>
  </si>
  <si>
    <t>07/01/2026</t>
  </si>
  <si>
    <t>31/03/2026</t>
  </si>
  <si>
    <t>13/12/2025</t>
  </si>
  <si>
    <t>1811</t>
  </si>
  <si>
    <t>20/01/2026</t>
  </si>
  <si>
    <t>10/12/2025</t>
  </si>
  <si>
    <t>17/10/2025</t>
  </si>
  <si>
    <t>13/03/2026</t>
  </si>
  <si>
    <t>08/08/2025</t>
  </si>
  <si>
    <t>18/06/2025</t>
  </si>
  <si>
    <t>19/02/2026</t>
  </si>
  <si>
    <t>JMF1E1378016</t>
  </si>
  <si>
    <t>16/03/2026</t>
  </si>
  <si>
    <t>220</t>
  </si>
  <si>
    <t>JMF1E1396790</t>
  </si>
  <si>
    <t>1043</t>
  </si>
  <si>
    <t>JMF1E1344669</t>
  </si>
  <si>
    <t>24/03/2026</t>
  </si>
  <si>
    <t>4044</t>
  </si>
  <si>
    <t>JMF1E1323139</t>
  </si>
  <si>
    <t>3101</t>
  </si>
  <si>
    <t>JMF1E1320335</t>
  </si>
  <si>
    <t>2464</t>
  </si>
  <si>
    <t>KD11E1644721</t>
  </si>
  <si>
    <t>Revisi tanggal beli 15/11/2025</t>
  </si>
  <si>
    <t>JBK3E1599676</t>
  </si>
  <si>
    <t>3273</t>
  </si>
  <si>
    <t>JBK1E2150438</t>
  </si>
  <si>
    <t>1834</t>
  </si>
  <si>
    <t>JBK1E2140257</t>
  </si>
  <si>
    <t>1754</t>
  </si>
  <si>
    <t>JBK3E1601215</t>
  </si>
  <si>
    <t>1859</t>
  </si>
  <si>
    <t>JBK3E1612212</t>
  </si>
  <si>
    <t>1502</t>
  </si>
  <si>
    <t>JMH1E1361089</t>
  </si>
  <si>
    <t>1003</t>
  </si>
  <si>
    <t>JMH2E1752711</t>
  </si>
  <si>
    <t>117</t>
  </si>
  <si>
    <t>JMH1E1401881</t>
  </si>
  <si>
    <t>188</t>
  </si>
  <si>
    <t>JMH2E1605385</t>
  </si>
  <si>
    <t>2256</t>
  </si>
  <si>
    <t>JMH2E1561789</t>
  </si>
  <si>
    <t>4813</t>
  </si>
  <si>
    <t>JMH1E1295579</t>
  </si>
  <si>
    <t>859</t>
  </si>
  <si>
    <t>JMH1E1204166</t>
  </si>
  <si>
    <t>661</t>
  </si>
  <si>
    <t>JBP1E2136426</t>
  </si>
  <si>
    <t>4699</t>
  </si>
  <si>
    <t>JBP1E2121858</t>
  </si>
  <si>
    <t>11/09/2025</t>
  </si>
  <si>
    <t>4402</t>
  </si>
  <si>
    <t>JMK1E1040009</t>
  </si>
  <si>
    <t>190</t>
  </si>
  <si>
    <t>JMC1E1721310</t>
  </si>
  <si>
    <t>25/09/2025</t>
  </si>
  <si>
    <t>1471</t>
  </si>
  <si>
    <t>JMD1E2132081</t>
  </si>
  <si>
    <t>2811</t>
  </si>
  <si>
    <t>KF01E2017783</t>
  </si>
  <si>
    <t>320</t>
  </si>
  <si>
    <t>KC04E1045936</t>
  </si>
  <si>
    <t>15</t>
  </si>
  <si>
    <t>KC04E1015974</t>
  </si>
  <si>
    <t>15/09/2025</t>
  </si>
  <si>
    <t>1089</t>
  </si>
  <si>
    <t>KC03E1007430</t>
  </si>
  <si>
    <t>3442</t>
  </si>
  <si>
    <t>KC04E1007341</t>
  </si>
  <si>
    <t>7877</t>
  </si>
  <si>
    <t>JMF2E1622904</t>
  </si>
  <si>
    <t>1225</t>
  </si>
  <si>
    <t>JMH2E1563087</t>
  </si>
  <si>
    <t>331</t>
  </si>
  <si>
    <t>KF01E2017705</t>
  </si>
  <si>
    <t>1170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</si>
</sst>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0"/>
      <color rgb="FFFF0000"/>
      <name val="Roboto"/>
    </font>
    <font>
      <sz val="12"/>
      <color rgb="FF000000"/>
      <name val="Roboto"/>
    </font>
    <font>
      <sz val="10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14" fontId="6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49486-C20B-4CF4-B0D0-D0E28795D94E}">
  <sheetPr>
    <tabColor rgb="FF92D050"/>
  </sheetPr>
  <dimension ref="A1:O29"/>
  <sheetViews>
    <sheetView workbookViewId="0">
      <selection sqref="A1:XFD1"/>
    </sheetView>
  </sheetViews>
  <sheetFormatPr defaultRowHeight="15" x14ac:dyDescent="0.25"/>
  <sheetData>
    <row r="1" spans="1:15" ht="31.5" x14ac:dyDescent="0.25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2</v>
      </c>
      <c r="K1" s="2" t="s">
        <v>9</v>
      </c>
      <c r="L1" s="2" t="s">
        <v>10</v>
      </c>
      <c r="M1" s="2"/>
      <c r="N1" s="2"/>
      <c r="O1" s="2"/>
    </row>
    <row r="2" spans="1:15" ht="25.5" x14ac:dyDescent="0.25">
      <c r="A2" s="9" t="s">
        <v>47</v>
      </c>
      <c r="B2" s="10" t="s">
        <v>11</v>
      </c>
      <c r="C2" s="11" t="s">
        <v>40</v>
      </c>
      <c r="D2" s="11" t="s">
        <v>48</v>
      </c>
      <c r="E2" s="11" t="s">
        <v>49</v>
      </c>
      <c r="F2" s="3"/>
      <c r="G2" s="2" t="str">
        <f t="shared" ref="G2:G29" si="0">LEFT(A2, 5)</f>
        <v>JMF1E</v>
      </c>
      <c r="H2" s="2">
        <f t="shared" ref="H2:H29" si="1">D2-C2</f>
        <v>55</v>
      </c>
      <c r="I2" s="2">
        <f t="shared" ref="I2:I29" si="2">LEN(A2)</f>
        <v>12</v>
      </c>
      <c r="J2" s="2" t="str">
        <f t="shared" ref="J2:J29" si="3">LEFT(C2, 2)</f>
        <v>20</v>
      </c>
      <c r="K2" s="2" t="str">
        <f t="shared" ref="K2:K29" si="4">MID(C2, 4, 2)</f>
        <v>01</v>
      </c>
      <c r="L2" s="2" t="str">
        <f t="shared" ref="L2:L29" si="5">RIGHT(C2, 4)</f>
        <v>2026</v>
      </c>
      <c r="M2" s="2" t="str">
        <f t="shared" ref="M2:M29" si="6">IF(AND(B2="1",H2&gt;=75),"tolong cek",  IF(AND(B2="2",H2&gt;=135),"tolong cek",  IF(AND(B2="3",H2&gt;=255),"tolong cek",  IF(AND(B2="4",H2&gt;=375),"tolong cek","-"))))</f>
        <v>-</v>
      </c>
      <c r="N2" s="4" t="str">
        <f>IF(AND(B2="1",VALUE(K2)&lt;=10,VALUE(L2)&lt;=2025),"tolong cek kadaluarsa",  IF(AND(B2="2",VALUE(K2)&lt;=8,VALUE(L2)&lt;=2025),"tolong cek kadaluarsa",  IF(AND(B2="3",VALUE(K2)&lt;=4,VALUE(L2)&lt;=2025),"tolong cek kadaluarsa",  IF(AND(B2="4",VALUE(K2)&lt;=12, VALUE(L2)&lt;=2024),"tolong cek kadaluarsa","-"))))</f>
        <v>-</v>
      </c>
      <c r="O2" s="2" t="str">
        <f t="shared" ref="O2:O29" si="7">IF(AND(B2="1",VALUE(E2)&gt;=1100),"tolong cek KM",  IF(AND(B2="2",VALUE(E2)&gt;=4250),"tolong cek KM",  IF(AND(B2="3",VALUE(E2)&gt;=8250),"tolong cek KM",  IF(AND(B2="4",VALUE(E2)&gt;=12250),"tolong cek KM","-"))))</f>
        <v>-</v>
      </c>
    </row>
    <row r="3" spans="1:15" ht="25.5" x14ac:dyDescent="0.25">
      <c r="A3" s="9" t="s">
        <v>50</v>
      </c>
      <c r="B3" s="10" t="s">
        <v>13</v>
      </c>
      <c r="C3" s="11" t="s">
        <v>12</v>
      </c>
      <c r="D3" s="11" t="s">
        <v>19</v>
      </c>
      <c r="E3" s="11" t="s">
        <v>51</v>
      </c>
      <c r="F3" s="3"/>
      <c r="G3" s="2" t="str">
        <f t="shared" si="0"/>
        <v>JMF1E</v>
      </c>
      <c r="H3" s="2">
        <f t="shared" si="1"/>
        <v>29</v>
      </c>
      <c r="I3" s="2">
        <f t="shared" si="2"/>
        <v>12</v>
      </c>
      <c r="J3" s="2" t="str">
        <f t="shared" si="3"/>
        <v>24</v>
      </c>
      <c r="K3" s="2" t="str">
        <f t="shared" si="4"/>
        <v>02</v>
      </c>
      <c r="L3" s="2" t="str">
        <f t="shared" si="5"/>
        <v>2026</v>
      </c>
      <c r="M3" s="2" t="str">
        <f t="shared" si="6"/>
        <v>-</v>
      </c>
      <c r="N3" s="4" t="str">
        <f t="shared" ref="N3:N29" si="8">IF(AND(B3="1",VALUE(K3)&lt;=10,VALUE(L3)&lt;=2025),"tolong cek kadaluarsa",  IF(AND(B3="2",VALUE(K3)&lt;=8,VALUE(L3)&lt;=2025),"tolong cek kadaluarsa",  IF(AND(B3="3",VALUE(K3)&lt;=4,VALUE(L3)&lt;=2025),"tolong cek kadaluarsa",  IF(AND(B3="4",VALUE(K3)&lt;=12, VALUE(L3)&lt;=2024),"tolong cek kadaluarsa","-"))))</f>
        <v>-</v>
      </c>
      <c r="O3" s="2" t="str">
        <f t="shared" si="7"/>
        <v>-</v>
      </c>
    </row>
    <row r="4" spans="1:15" ht="25.5" x14ac:dyDescent="0.25">
      <c r="A4" s="9" t="s">
        <v>52</v>
      </c>
      <c r="B4" s="10" t="s">
        <v>14</v>
      </c>
      <c r="C4" s="11" t="s">
        <v>31</v>
      </c>
      <c r="D4" s="11" t="s">
        <v>53</v>
      </c>
      <c r="E4" s="11" t="s">
        <v>54</v>
      </c>
      <c r="F4" s="3"/>
      <c r="G4" s="2" t="str">
        <f t="shared" si="0"/>
        <v>JMF1E</v>
      </c>
      <c r="H4" s="2">
        <f t="shared" si="1"/>
        <v>146</v>
      </c>
      <c r="I4" s="2">
        <f t="shared" si="2"/>
        <v>12</v>
      </c>
      <c r="J4" s="2" t="str">
        <f t="shared" si="3"/>
        <v>29</v>
      </c>
      <c r="K4" s="2" t="str">
        <f t="shared" si="4"/>
        <v>10</v>
      </c>
      <c r="L4" s="2" t="str">
        <f t="shared" si="5"/>
        <v>2025</v>
      </c>
      <c r="M4" s="2" t="str">
        <f t="shared" si="6"/>
        <v>-</v>
      </c>
      <c r="N4" s="4" t="str">
        <f t="shared" si="8"/>
        <v>-</v>
      </c>
      <c r="O4" s="2" t="str">
        <f t="shared" si="7"/>
        <v>-</v>
      </c>
    </row>
    <row r="5" spans="1:15" ht="25.5" x14ac:dyDescent="0.25">
      <c r="A5" s="9" t="s">
        <v>55</v>
      </c>
      <c r="B5" s="10" t="s">
        <v>15</v>
      </c>
      <c r="C5" s="11" t="s">
        <v>30</v>
      </c>
      <c r="D5" s="11" t="s">
        <v>19</v>
      </c>
      <c r="E5" s="11" t="s">
        <v>56</v>
      </c>
      <c r="F5" s="3"/>
      <c r="G5" s="2" t="str">
        <f t="shared" si="0"/>
        <v>JMF1E</v>
      </c>
      <c r="H5" s="2">
        <f t="shared" si="1"/>
        <v>151</v>
      </c>
      <c r="I5" s="2">
        <f t="shared" si="2"/>
        <v>12</v>
      </c>
      <c r="J5" s="2" t="str">
        <f t="shared" si="3"/>
        <v>25</v>
      </c>
      <c r="K5" s="2" t="str">
        <f t="shared" si="4"/>
        <v>10</v>
      </c>
      <c r="L5" s="2" t="str">
        <f t="shared" si="5"/>
        <v>2025</v>
      </c>
      <c r="M5" s="2" t="str">
        <f t="shared" si="6"/>
        <v>-</v>
      </c>
      <c r="N5" s="4" t="str">
        <f t="shared" si="8"/>
        <v>-</v>
      </c>
      <c r="O5" s="2" t="str">
        <f t="shared" si="7"/>
        <v>-</v>
      </c>
    </row>
    <row r="6" spans="1:15" ht="25.5" x14ac:dyDescent="0.25">
      <c r="A6" s="9" t="s">
        <v>57</v>
      </c>
      <c r="B6" s="10" t="s">
        <v>15</v>
      </c>
      <c r="C6" s="11" t="s">
        <v>32</v>
      </c>
      <c r="D6" s="11" t="s">
        <v>34</v>
      </c>
      <c r="E6" s="11" t="s">
        <v>58</v>
      </c>
      <c r="F6" s="3"/>
      <c r="G6" s="2" t="str">
        <f t="shared" si="0"/>
        <v>JMF1E</v>
      </c>
      <c r="H6" s="2">
        <f t="shared" si="1"/>
        <v>172</v>
      </c>
      <c r="I6" s="2">
        <f t="shared" si="2"/>
        <v>12</v>
      </c>
      <c r="J6" s="2" t="str">
        <f t="shared" si="3"/>
        <v>07</v>
      </c>
      <c r="K6" s="2" t="str">
        <f t="shared" si="4"/>
        <v>10</v>
      </c>
      <c r="L6" s="2" t="str">
        <f t="shared" si="5"/>
        <v>2025</v>
      </c>
      <c r="M6" s="2" t="str">
        <f t="shared" si="6"/>
        <v>-</v>
      </c>
      <c r="N6" s="4" t="str">
        <f t="shared" si="8"/>
        <v>-</v>
      </c>
      <c r="O6" s="2" t="str">
        <f t="shared" si="7"/>
        <v>-</v>
      </c>
    </row>
    <row r="7" spans="1:15" ht="25.5" x14ac:dyDescent="0.25">
      <c r="A7" s="5" t="s">
        <v>59</v>
      </c>
      <c r="B7" s="10" t="s">
        <v>15</v>
      </c>
      <c r="C7" s="6" t="s">
        <v>29</v>
      </c>
      <c r="D7" s="11" t="s">
        <v>33</v>
      </c>
      <c r="E7" s="11" t="s">
        <v>39</v>
      </c>
      <c r="F7" s="3" t="s">
        <v>60</v>
      </c>
      <c r="G7" s="2" t="str">
        <f t="shared" si="0"/>
        <v>KD11E</v>
      </c>
      <c r="H7" s="2">
        <f t="shared" si="1"/>
        <v>134</v>
      </c>
      <c r="I7" s="2">
        <f t="shared" si="2"/>
        <v>12</v>
      </c>
      <c r="J7" s="2" t="str">
        <f t="shared" si="3"/>
        <v>12</v>
      </c>
      <c r="K7" s="2" t="str">
        <f t="shared" si="4"/>
        <v>11</v>
      </c>
      <c r="L7" s="2" t="str">
        <f t="shared" si="5"/>
        <v>2025</v>
      </c>
      <c r="M7" s="2" t="str">
        <f t="shared" si="6"/>
        <v>-</v>
      </c>
      <c r="N7" s="4" t="str">
        <f t="shared" si="8"/>
        <v>-</v>
      </c>
      <c r="O7" s="2" t="str">
        <f t="shared" si="7"/>
        <v>-</v>
      </c>
    </row>
    <row r="8" spans="1:15" ht="25.5" x14ac:dyDescent="0.25">
      <c r="A8" s="9" t="s">
        <v>61</v>
      </c>
      <c r="B8" s="10" t="s">
        <v>15</v>
      </c>
      <c r="C8" s="11" t="s">
        <v>18</v>
      </c>
      <c r="D8" s="11" t="s">
        <v>53</v>
      </c>
      <c r="E8" s="11" t="s">
        <v>62</v>
      </c>
      <c r="F8" s="3"/>
      <c r="G8" s="2" t="str">
        <f t="shared" si="0"/>
        <v>JBK3E</v>
      </c>
      <c r="H8" s="2">
        <f t="shared" si="1"/>
        <v>126</v>
      </c>
      <c r="I8" s="2">
        <f t="shared" si="2"/>
        <v>12</v>
      </c>
      <c r="J8" s="2" t="str">
        <f t="shared" si="3"/>
        <v>18</v>
      </c>
      <c r="K8" s="2" t="str">
        <f t="shared" si="4"/>
        <v>11</v>
      </c>
      <c r="L8" s="2" t="str">
        <f t="shared" si="5"/>
        <v>2025</v>
      </c>
      <c r="M8" s="2" t="str">
        <f t="shared" si="6"/>
        <v>-</v>
      </c>
      <c r="N8" s="4" t="str">
        <f t="shared" si="8"/>
        <v>-</v>
      </c>
      <c r="O8" s="2" t="str">
        <f t="shared" si="7"/>
        <v>-</v>
      </c>
    </row>
    <row r="9" spans="1:15" ht="25.5" x14ac:dyDescent="0.25">
      <c r="A9" s="9" t="s">
        <v>63</v>
      </c>
      <c r="B9" s="10" t="s">
        <v>15</v>
      </c>
      <c r="C9" s="11" t="s">
        <v>16</v>
      </c>
      <c r="D9" s="11" t="s">
        <v>33</v>
      </c>
      <c r="E9" s="11" t="s">
        <v>64</v>
      </c>
      <c r="F9" s="3"/>
      <c r="G9" s="2" t="str">
        <f t="shared" si="0"/>
        <v>JBK1E</v>
      </c>
      <c r="H9" s="2">
        <f t="shared" si="1"/>
        <v>120</v>
      </c>
      <c r="I9" s="2">
        <f t="shared" si="2"/>
        <v>12</v>
      </c>
      <c r="J9" s="2" t="str">
        <f t="shared" si="3"/>
        <v>26</v>
      </c>
      <c r="K9" s="2" t="str">
        <f t="shared" si="4"/>
        <v>11</v>
      </c>
      <c r="L9" s="2" t="str">
        <f t="shared" si="5"/>
        <v>2025</v>
      </c>
      <c r="M9" s="2" t="str">
        <f t="shared" si="6"/>
        <v>-</v>
      </c>
      <c r="N9" s="4" t="str">
        <f t="shared" si="8"/>
        <v>-</v>
      </c>
      <c r="O9" s="2" t="str">
        <f t="shared" si="7"/>
        <v>-</v>
      </c>
    </row>
    <row r="10" spans="1:15" ht="25.5" x14ac:dyDescent="0.25">
      <c r="A10" s="9" t="s">
        <v>65</v>
      </c>
      <c r="B10" s="10" t="s">
        <v>15</v>
      </c>
      <c r="C10" s="11" t="s">
        <v>28</v>
      </c>
      <c r="D10" s="11" t="s">
        <v>33</v>
      </c>
      <c r="E10" s="11" t="s">
        <v>66</v>
      </c>
      <c r="F10" s="3"/>
      <c r="G10" s="2" t="str">
        <f t="shared" si="0"/>
        <v>JBK1E</v>
      </c>
      <c r="H10" s="2">
        <f t="shared" si="1"/>
        <v>138</v>
      </c>
      <c r="I10" s="2">
        <f t="shared" si="2"/>
        <v>12</v>
      </c>
      <c r="J10" s="2" t="str">
        <f t="shared" si="3"/>
        <v>08</v>
      </c>
      <c r="K10" s="2" t="str">
        <f t="shared" si="4"/>
        <v>11</v>
      </c>
      <c r="L10" s="2" t="str">
        <f t="shared" si="5"/>
        <v>2025</v>
      </c>
      <c r="M10" s="2" t="str">
        <f t="shared" si="6"/>
        <v>-</v>
      </c>
      <c r="N10" s="4" t="str">
        <f t="shared" si="8"/>
        <v>-</v>
      </c>
      <c r="O10" s="2" t="str">
        <f t="shared" si="7"/>
        <v>-</v>
      </c>
    </row>
    <row r="11" spans="1:15" ht="25.5" x14ac:dyDescent="0.25">
      <c r="A11" s="9" t="s">
        <v>67</v>
      </c>
      <c r="B11" s="10" t="s">
        <v>15</v>
      </c>
      <c r="C11" s="11" t="s">
        <v>28</v>
      </c>
      <c r="D11" s="11" t="s">
        <v>33</v>
      </c>
      <c r="E11" s="11" t="s">
        <v>68</v>
      </c>
      <c r="F11" s="3"/>
      <c r="G11" s="2" t="str">
        <f t="shared" si="0"/>
        <v>JBK3E</v>
      </c>
      <c r="H11" s="2">
        <f t="shared" si="1"/>
        <v>138</v>
      </c>
      <c r="I11" s="2">
        <f t="shared" si="2"/>
        <v>12</v>
      </c>
      <c r="J11" s="2" t="str">
        <f t="shared" si="3"/>
        <v>08</v>
      </c>
      <c r="K11" s="2" t="str">
        <f t="shared" si="4"/>
        <v>11</v>
      </c>
      <c r="L11" s="2" t="str">
        <f t="shared" si="5"/>
        <v>2025</v>
      </c>
      <c r="M11" s="2" t="str">
        <f t="shared" si="6"/>
        <v>-</v>
      </c>
      <c r="N11" s="4" t="str">
        <f t="shared" si="8"/>
        <v>-</v>
      </c>
      <c r="O11" s="2" t="str">
        <f t="shared" si="7"/>
        <v>-</v>
      </c>
    </row>
    <row r="12" spans="1:15" ht="25.5" x14ac:dyDescent="0.25">
      <c r="A12" s="9" t="s">
        <v>69</v>
      </c>
      <c r="B12" s="10" t="s">
        <v>15</v>
      </c>
      <c r="C12" s="11" t="s">
        <v>25</v>
      </c>
      <c r="D12" s="11" t="s">
        <v>33</v>
      </c>
      <c r="E12" s="11" t="s">
        <v>70</v>
      </c>
      <c r="F12" s="3"/>
      <c r="G12" s="2" t="str">
        <f t="shared" si="0"/>
        <v>JBK3E</v>
      </c>
      <c r="H12" s="2">
        <f t="shared" si="1"/>
        <v>112</v>
      </c>
      <c r="I12" s="2">
        <f t="shared" si="2"/>
        <v>12</v>
      </c>
      <c r="J12" s="2" t="str">
        <f t="shared" si="3"/>
        <v>04</v>
      </c>
      <c r="K12" s="2" t="str">
        <f t="shared" si="4"/>
        <v>12</v>
      </c>
      <c r="L12" s="2" t="str">
        <f t="shared" si="5"/>
        <v>2025</v>
      </c>
      <c r="M12" s="2" t="str">
        <f t="shared" si="6"/>
        <v>-</v>
      </c>
      <c r="N12" s="4" t="str">
        <f t="shared" si="8"/>
        <v>-</v>
      </c>
      <c r="O12" s="2" t="str">
        <f t="shared" si="7"/>
        <v>-</v>
      </c>
    </row>
    <row r="13" spans="1:15" ht="25.5" x14ac:dyDescent="0.25">
      <c r="A13" s="9" t="s">
        <v>71</v>
      </c>
      <c r="B13" s="10" t="s">
        <v>11</v>
      </c>
      <c r="C13" s="11" t="s">
        <v>21</v>
      </c>
      <c r="D13" s="11" t="s">
        <v>48</v>
      </c>
      <c r="E13" s="11" t="s">
        <v>72</v>
      </c>
      <c r="F13" s="3"/>
      <c r="G13" s="2" t="str">
        <f t="shared" si="0"/>
        <v>JMH1E</v>
      </c>
      <c r="H13" s="2">
        <f t="shared" si="1"/>
        <v>46</v>
      </c>
      <c r="I13" s="2">
        <f t="shared" si="2"/>
        <v>12</v>
      </c>
      <c r="J13" s="2" t="str">
        <f t="shared" si="3"/>
        <v>29</v>
      </c>
      <c r="K13" s="2" t="str">
        <f t="shared" si="4"/>
        <v>01</v>
      </c>
      <c r="L13" s="2" t="str">
        <f t="shared" si="5"/>
        <v>2026</v>
      </c>
      <c r="M13" s="2" t="str">
        <f t="shared" si="6"/>
        <v>-</v>
      </c>
      <c r="N13" s="4" t="str">
        <f t="shared" si="8"/>
        <v>-</v>
      </c>
      <c r="O13" s="2" t="str">
        <f t="shared" si="7"/>
        <v>-</v>
      </c>
    </row>
    <row r="14" spans="1:15" ht="25.5" x14ac:dyDescent="0.25">
      <c r="A14" s="9" t="s">
        <v>73</v>
      </c>
      <c r="B14" s="10" t="s">
        <v>11</v>
      </c>
      <c r="C14" s="11" t="s">
        <v>46</v>
      </c>
      <c r="D14" s="11" t="s">
        <v>34</v>
      </c>
      <c r="E14" s="11" t="s">
        <v>74</v>
      </c>
      <c r="F14" s="3"/>
      <c r="G14" s="2" t="str">
        <f t="shared" si="0"/>
        <v>JMH2E</v>
      </c>
      <c r="H14" s="2">
        <f t="shared" si="1"/>
        <v>37</v>
      </c>
      <c r="I14" s="2">
        <f t="shared" si="2"/>
        <v>12</v>
      </c>
      <c r="J14" s="2" t="str">
        <f t="shared" si="3"/>
        <v>19</v>
      </c>
      <c r="K14" s="2" t="str">
        <f t="shared" si="4"/>
        <v>02</v>
      </c>
      <c r="L14" s="2" t="str">
        <f t="shared" si="5"/>
        <v>2026</v>
      </c>
      <c r="M14" s="2" t="str">
        <f t="shared" si="6"/>
        <v>-</v>
      </c>
      <c r="N14" s="4" t="str">
        <f t="shared" si="8"/>
        <v>-</v>
      </c>
      <c r="O14" s="2" t="str">
        <f t="shared" si="7"/>
        <v>-</v>
      </c>
    </row>
    <row r="15" spans="1:15" ht="25.5" x14ac:dyDescent="0.25">
      <c r="A15" s="9" t="s">
        <v>75</v>
      </c>
      <c r="B15" s="10" t="s">
        <v>11</v>
      </c>
      <c r="C15" s="11" t="s">
        <v>22</v>
      </c>
      <c r="D15" s="11" t="s">
        <v>34</v>
      </c>
      <c r="E15" s="11" t="s">
        <v>76</v>
      </c>
      <c r="F15" s="3"/>
      <c r="G15" s="2" t="str">
        <f t="shared" si="0"/>
        <v>JMH1E</v>
      </c>
      <c r="H15" s="2">
        <f t="shared" si="1"/>
        <v>22</v>
      </c>
      <c r="I15" s="2">
        <f t="shared" si="2"/>
        <v>12</v>
      </c>
      <c r="J15" s="2" t="str">
        <f t="shared" si="3"/>
        <v>06</v>
      </c>
      <c r="K15" s="2" t="str">
        <f t="shared" si="4"/>
        <v>03</v>
      </c>
      <c r="L15" s="2" t="str">
        <f t="shared" si="5"/>
        <v>2026</v>
      </c>
      <c r="M15" s="2" t="str">
        <f t="shared" si="6"/>
        <v>-</v>
      </c>
      <c r="N15" s="4" t="str">
        <f t="shared" si="8"/>
        <v>-</v>
      </c>
      <c r="O15" s="2" t="str">
        <f t="shared" si="7"/>
        <v>-</v>
      </c>
    </row>
    <row r="16" spans="1:15" ht="25.5" x14ac:dyDescent="0.25">
      <c r="A16" s="9" t="s">
        <v>77</v>
      </c>
      <c r="B16" s="10" t="s">
        <v>14</v>
      </c>
      <c r="C16" s="11" t="s">
        <v>23</v>
      </c>
      <c r="D16" s="11" t="s">
        <v>33</v>
      </c>
      <c r="E16" s="11" t="s">
        <v>78</v>
      </c>
      <c r="F16" s="3"/>
      <c r="G16" s="2" t="str">
        <f t="shared" si="0"/>
        <v>JMH2E</v>
      </c>
      <c r="H16" s="2">
        <f t="shared" si="1"/>
        <v>136</v>
      </c>
      <c r="I16" s="2">
        <f t="shared" si="2"/>
        <v>12</v>
      </c>
      <c r="J16" s="2" t="str">
        <f t="shared" si="3"/>
        <v>10</v>
      </c>
      <c r="K16" s="2" t="str">
        <f t="shared" si="4"/>
        <v>11</v>
      </c>
      <c r="L16" s="2" t="str">
        <f t="shared" si="5"/>
        <v>2025</v>
      </c>
      <c r="M16" s="2" t="str">
        <f t="shared" si="6"/>
        <v>-</v>
      </c>
      <c r="N16" s="4" t="str">
        <f t="shared" si="8"/>
        <v>-</v>
      </c>
      <c r="O16" s="2" t="str">
        <f t="shared" si="7"/>
        <v>-</v>
      </c>
    </row>
    <row r="17" spans="1:15" ht="25.5" x14ac:dyDescent="0.25">
      <c r="A17" s="9" t="s">
        <v>79</v>
      </c>
      <c r="B17" s="10" t="s">
        <v>15</v>
      </c>
      <c r="C17" s="11" t="s">
        <v>42</v>
      </c>
      <c r="D17" s="11" t="s">
        <v>19</v>
      </c>
      <c r="E17" s="11" t="s">
        <v>80</v>
      </c>
      <c r="F17" s="3"/>
      <c r="G17" s="2" t="str">
        <f t="shared" si="0"/>
        <v>JMH2E</v>
      </c>
      <c r="H17" s="2">
        <f t="shared" si="1"/>
        <v>159</v>
      </c>
      <c r="I17" s="2">
        <f t="shared" si="2"/>
        <v>12</v>
      </c>
      <c r="J17" s="2" t="str">
        <f t="shared" si="3"/>
        <v>17</v>
      </c>
      <c r="K17" s="2" t="str">
        <f t="shared" si="4"/>
        <v>10</v>
      </c>
      <c r="L17" s="2" t="str">
        <f t="shared" si="5"/>
        <v>2025</v>
      </c>
      <c r="M17" s="2" t="str">
        <f t="shared" si="6"/>
        <v>-</v>
      </c>
      <c r="N17" s="4" t="str">
        <f t="shared" si="8"/>
        <v>-</v>
      </c>
      <c r="O17" s="2" t="str">
        <f t="shared" si="7"/>
        <v>-</v>
      </c>
    </row>
    <row r="18" spans="1:15" ht="25.5" x14ac:dyDescent="0.25">
      <c r="A18" s="9" t="s">
        <v>81</v>
      </c>
      <c r="B18" s="10" t="s">
        <v>15</v>
      </c>
      <c r="C18" s="11" t="s">
        <v>20</v>
      </c>
      <c r="D18" s="11" t="s">
        <v>33</v>
      </c>
      <c r="E18" s="11" t="s">
        <v>82</v>
      </c>
      <c r="F18" s="3"/>
      <c r="G18" s="2" t="str">
        <f t="shared" si="0"/>
        <v>JMH1E</v>
      </c>
      <c r="H18" s="2">
        <f t="shared" si="1"/>
        <v>132</v>
      </c>
      <c r="I18" s="2">
        <f t="shared" si="2"/>
        <v>12</v>
      </c>
      <c r="J18" s="2" t="str">
        <f t="shared" si="3"/>
        <v>14</v>
      </c>
      <c r="K18" s="2" t="str">
        <f t="shared" si="4"/>
        <v>11</v>
      </c>
      <c r="L18" s="2" t="str">
        <f t="shared" si="5"/>
        <v>2025</v>
      </c>
      <c r="M18" s="2" t="str">
        <f t="shared" si="6"/>
        <v>-</v>
      </c>
      <c r="N18" s="4" t="str">
        <f t="shared" si="8"/>
        <v>-</v>
      </c>
      <c r="O18" s="2" t="str">
        <f t="shared" si="7"/>
        <v>-</v>
      </c>
    </row>
    <row r="19" spans="1:15" ht="25.5" x14ac:dyDescent="0.25">
      <c r="A19" s="9" t="s">
        <v>83</v>
      </c>
      <c r="B19" s="10" t="s">
        <v>15</v>
      </c>
      <c r="C19" s="11" t="s">
        <v>44</v>
      </c>
      <c r="D19" s="12">
        <v>46107</v>
      </c>
      <c r="E19" s="11" t="s">
        <v>84</v>
      </c>
      <c r="F19" s="3"/>
      <c r="G19" s="2" t="str">
        <f t="shared" si="0"/>
        <v>JMH1E</v>
      </c>
      <c r="H19" s="2">
        <f t="shared" si="1"/>
        <v>230</v>
      </c>
      <c r="I19" s="2">
        <f t="shared" si="2"/>
        <v>12</v>
      </c>
      <c r="J19" s="2" t="str">
        <f t="shared" si="3"/>
        <v>08</v>
      </c>
      <c r="K19" s="2" t="str">
        <f t="shared" si="4"/>
        <v>08</v>
      </c>
      <c r="L19" s="2" t="str">
        <f t="shared" si="5"/>
        <v>2025</v>
      </c>
      <c r="M19" s="2" t="str">
        <f t="shared" si="6"/>
        <v>-</v>
      </c>
      <c r="N19" s="4" t="str">
        <f t="shared" si="8"/>
        <v>-</v>
      </c>
      <c r="O19" s="2" t="str">
        <f t="shared" si="7"/>
        <v>-</v>
      </c>
    </row>
    <row r="20" spans="1:15" ht="25.5" x14ac:dyDescent="0.25">
      <c r="A20" s="9" t="s">
        <v>85</v>
      </c>
      <c r="B20" s="10" t="s">
        <v>15</v>
      </c>
      <c r="C20" s="11" t="s">
        <v>41</v>
      </c>
      <c r="D20" s="11" t="s">
        <v>19</v>
      </c>
      <c r="E20" s="11" t="s">
        <v>86</v>
      </c>
      <c r="F20" s="3"/>
      <c r="G20" s="2" t="str">
        <f t="shared" si="0"/>
        <v>JBP1E</v>
      </c>
      <c r="H20" s="2">
        <f t="shared" si="1"/>
        <v>105</v>
      </c>
      <c r="I20" s="2">
        <f t="shared" si="2"/>
        <v>12</v>
      </c>
      <c r="J20" s="2" t="str">
        <f t="shared" si="3"/>
        <v>10</v>
      </c>
      <c r="K20" s="2" t="str">
        <f t="shared" si="4"/>
        <v>12</v>
      </c>
      <c r="L20" s="2" t="str">
        <f t="shared" si="5"/>
        <v>2025</v>
      </c>
      <c r="M20" s="2" t="str">
        <f t="shared" si="6"/>
        <v>-</v>
      </c>
      <c r="N20" s="4" t="str">
        <f t="shared" si="8"/>
        <v>-</v>
      </c>
      <c r="O20" s="2" t="str">
        <f t="shared" si="7"/>
        <v>-</v>
      </c>
    </row>
    <row r="21" spans="1:15" ht="25.5" x14ac:dyDescent="0.25">
      <c r="A21" s="9" t="s">
        <v>87</v>
      </c>
      <c r="B21" s="10" t="s">
        <v>15</v>
      </c>
      <c r="C21" s="11" t="s">
        <v>88</v>
      </c>
      <c r="D21" s="11" t="s">
        <v>33</v>
      </c>
      <c r="E21" s="11" t="s">
        <v>89</v>
      </c>
      <c r="F21" s="3"/>
      <c r="G21" s="2" t="str">
        <f t="shared" si="0"/>
        <v>JBP1E</v>
      </c>
      <c r="H21" s="2">
        <f t="shared" si="1"/>
        <v>196</v>
      </c>
      <c r="I21" s="2">
        <f t="shared" si="2"/>
        <v>12</v>
      </c>
      <c r="J21" s="2" t="str">
        <f t="shared" si="3"/>
        <v>11</v>
      </c>
      <c r="K21" s="2" t="str">
        <f t="shared" si="4"/>
        <v>09</v>
      </c>
      <c r="L21" s="2" t="str">
        <f t="shared" si="5"/>
        <v>2025</v>
      </c>
      <c r="M21" s="2" t="str">
        <f t="shared" si="6"/>
        <v>-</v>
      </c>
      <c r="N21" s="4" t="str">
        <f t="shared" si="8"/>
        <v>-</v>
      </c>
      <c r="O21" s="2" t="str">
        <f t="shared" si="7"/>
        <v>-</v>
      </c>
    </row>
    <row r="22" spans="1:15" ht="25.5" x14ac:dyDescent="0.25">
      <c r="A22" s="9" t="s">
        <v>90</v>
      </c>
      <c r="B22" s="10" t="s">
        <v>11</v>
      </c>
      <c r="C22" s="11" t="s">
        <v>17</v>
      </c>
      <c r="D22" s="11" t="s">
        <v>34</v>
      </c>
      <c r="E22" s="11" t="s">
        <v>91</v>
      </c>
      <c r="F22" s="3"/>
      <c r="G22" s="2" t="str">
        <f t="shared" si="0"/>
        <v>JMK1E</v>
      </c>
      <c r="H22" s="2">
        <f t="shared" si="1"/>
        <v>45</v>
      </c>
      <c r="I22" s="2">
        <f t="shared" si="2"/>
        <v>12</v>
      </c>
      <c r="J22" s="2" t="str">
        <f t="shared" si="3"/>
        <v>11</v>
      </c>
      <c r="K22" s="2" t="str">
        <f t="shared" si="4"/>
        <v>02</v>
      </c>
      <c r="L22" s="2" t="str">
        <f t="shared" si="5"/>
        <v>2026</v>
      </c>
      <c r="M22" s="2" t="str">
        <f t="shared" si="6"/>
        <v>-</v>
      </c>
      <c r="N22" s="4" t="str">
        <f t="shared" si="8"/>
        <v>-</v>
      </c>
      <c r="O22" s="2" t="str">
        <f t="shared" si="7"/>
        <v>-</v>
      </c>
    </row>
    <row r="23" spans="1:15" ht="25.5" x14ac:dyDescent="0.25">
      <c r="A23" s="9" t="s">
        <v>92</v>
      </c>
      <c r="B23" s="10" t="s">
        <v>14</v>
      </c>
      <c r="C23" s="11" t="s">
        <v>93</v>
      </c>
      <c r="D23" s="11" t="s">
        <v>37</v>
      </c>
      <c r="E23" s="11" t="s">
        <v>94</v>
      </c>
      <c r="F23" s="3"/>
      <c r="G23" s="2" t="str">
        <f t="shared" si="0"/>
        <v>JMC1E</v>
      </c>
      <c r="H23" s="2">
        <f t="shared" si="1"/>
        <v>187</v>
      </c>
      <c r="I23" s="2">
        <f t="shared" si="2"/>
        <v>12</v>
      </c>
      <c r="J23" s="2" t="str">
        <f t="shared" si="3"/>
        <v>25</v>
      </c>
      <c r="K23" s="2" t="str">
        <f t="shared" si="4"/>
        <v>09</v>
      </c>
      <c r="L23" s="2" t="str">
        <f t="shared" si="5"/>
        <v>2025</v>
      </c>
      <c r="M23" s="2" t="str">
        <f t="shared" si="6"/>
        <v>-</v>
      </c>
      <c r="N23" s="4" t="str">
        <f t="shared" si="8"/>
        <v>-</v>
      </c>
      <c r="O23" s="2" t="str">
        <f t="shared" si="7"/>
        <v>-</v>
      </c>
    </row>
    <row r="24" spans="1:15" ht="25.5" x14ac:dyDescent="0.25">
      <c r="A24" s="9" t="s">
        <v>95</v>
      </c>
      <c r="B24" s="10" t="s">
        <v>15</v>
      </c>
      <c r="C24" s="11" t="s">
        <v>38</v>
      </c>
      <c r="D24" s="11" t="s">
        <v>33</v>
      </c>
      <c r="E24" s="11" t="s">
        <v>96</v>
      </c>
      <c r="F24" s="3"/>
      <c r="G24" s="2" t="str">
        <f t="shared" si="0"/>
        <v>JMD1E</v>
      </c>
      <c r="H24" s="2">
        <f t="shared" si="1"/>
        <v>103</v>
      </c>
      <c r="I24" s="2">
        <f t="shared" si="2"/>
        <v>12</v>
      </c>
      <c r="J24" s="2" t="str">
        <f t="shared" si="3"/>
        <v>13</v>
      </c>
      <c r="K24" s="2" t="str">
        <f t="shared" si="4"/>
        <v>12</v>
      </c>
      <c r="L24" s="2" t="str">
        <f t="shared" si="5"/>
        <v>2025</v>
      </c>
      <c r="M24" s="2" t="str">
        <f t="shared" si="6"/>
        <v>-</v>
      </c>
      <c r="N24" s="4" t="str">
        <f t="shared" si="8"/>
        <v>-</v>
      </c>
      <c r="O24" s="2" t="str">
        <f t="shared" si="7"/>
        <v>-</v>
      </c>
    </row>
    <row r="25" spans="1:15" ht="25.5" x14ac:dyDescent="0.25">
      <c r="A25" s="9" t="s">
        <v>97</v>
      </c>
      <c r="B25" s="10" t="s">
        <v>11</v>
      </c>
      <c r="C25" s="11" t="s">
        <v>26</v>
      </c>
      <c r="D25" s="11" t="s">
        <v>48</v>
      </c>
      <c r="E25" s="11" t="s">
        <v>98</v>
      </c>
      <c r="F25" s="3"/>
      <c r="G25" s="2" t="str">
        <f t="shared" si="0"/>
        <v>KF01E</v>
      </c>
      <c r="H25" s="2">
        <f t="shared" si="1"/>
        <v>52</v>
      </c>
      <c r="I25" s="2">
        <f t="shared" si="2"/>
        <v>12</v>
      </c>
      <c r="J25" s="2" t="str">
        <f t="shared" si="3"/>
        <v>23</v>
      </c>
      <c r="K25" s="2" t="str">
        <f t="shared" si="4"/>
        <v>01</v>
      </c>
      <c r="L25" s="2" t="str">
        <f t="shared" si="5"/>
        <v>2026</v>
      </c>
      <c r="M25" s="2" t="str">
        <f t="shared" si="6"/>
        <v>-</v>
      </c>
      <c r="N25" s="4" t="str">
        <f t="shared" si="8"/>
        <v>-</v>
      </c>
      <c r="O25" s="2" t="str">
        <f t="shared" si="7"/>
        <v>-</v>
      </c>
    </row>
    <row r="26" spans="1:15" ht="25.5" x14ac:dyDescent="0.25">
      <c r="A26" s="9" t="s">
        <v>99</v>
      </c>
      <c r="B26" s="10" t="s">
        <v>11</v>
      </c>
      <c r="C26" s="11" t="s">
        <v>43</v>
      </c>
      <c r="D26" s="11" t="s">
        <v>48</v>
      </c>
      <c r="E26" s="11" t="s">
        <v>100</v>
      </c>
      <c r="F26" s="3"/>
      <c r="G26" s="2" t="str">
        <f t="shared" si="0"/>
        <v>KC04E</v>
      </c>
      <c r="H26" s="2">
        <f t="shared" si="1"/>
        <v>3</v>
      </c>
      <c r="I26" s="2">
        <f t="shared" si="2"/>
        <v>12</v>
      </c>
      <c r="J26" s="2" t="str">
        <f t="shared" si="3"/>
        <v>13</v>
      </c>
      <c r="K26" s="2" t="str">
        <f t="shared" si="4"/>
        <v>03</v>
      </c>
      <c r="L26" s="2" t="str">
        <f t="shared" si="5"/>
        <v>2026</v>
      </c>
      <c r="M26" s="2" t="str">
        <f t="shared" si="6"/>
        <v>-</v>
      </c>
      <c r="N26" s="4" t="str">
        <f t="shared" si="8"/>
        <v>-</v>
      </c>
      <c r="O26" s="2" t="str">
        <f t="shared" si="7"/>
        <v>-</v>
      </c>
    </row>
    <row r="27" spans="1:15" ht="25.5" x14ac:dyDescent="0.25">
      <c r="A27" s="9" t="s">
        <v>101</v>
      </c>
      <c r="B27" s="10" t="s">
        <v>14</v>
      </c>
      <c r="C27" s="11" t="s">
        <v>102</v>
      </c>
      <c r="D27" s="11" t="s">
        <v>53</v>
      </c>
      <c r="E27" s="11" t="s">
        <v>103</v>
      </c>
      <c r="F27" s="3"/>
      <c r="G27" s="2" t="str">
        <f t="shared" si="0"/>
        <v>KC04E</v>
      </c>
      <c r="H27" s="2">
        <f t="shared" si="1"/>
        <v>190</v>
      </c>
      <c r="I27" s="2">
        <f t="shared" si="2"/>
        <v>12</v>
      </c>
      <c r="J27" s="2" t="str">
        <f t="shared" si="3"/>
        <v>15</v>
      </c>
      <c r="K27" s="2" t="str">
        <f t="shared" si="4"/>
        <v>09</v>
      </c>
      <c r="L27" s="2" t="str">
        <f t="shared" si="5"/>
        <v>2025</v>
      </c>
      <c r="M27" s="2" t="str">
        <f t="shared" si="6"/>
        <v>-</v>
      </c>
      <c r="N27" s="4" t="str">
        <f t="shared" si="8"/>
        <v>-</v>
      </c>
      <c r="O27" s="2" t="str">
        <f t="shared" si="7"/>
        <v>-</v>
      </c>
    </row>
    <row r="28" spans="1:15" ht="25.5" x14ac:dyDescent="0.25">
      <c r="A28" s="9" t="s">
        <v>104</v>
      </c>
      <c r="B28" s="10" t="s">
        <v>14</v>
      </c>
      <c r="C28" s="11" t="s">
        <v>27</v>
      </c>
      <c r="D28" s="11" t="s">
        <v>19</v>
      </c>
      <c r="E28" s="11" t="s">
        <v>105</v>
      </c>
      <c r="F28" s="3"/>
      <c r="G28" s="2" t="str">
        <f t="shared" si="0"/>
        <v>KC03E</v>
      </c>
      <c r="H28" s="2">
        <f t="shared" si="1"/>
        <v>98</v>
      </c>
      <c r="I28" s="2">
        <f t="shared" si="2"/>
        <v>12</v>
      </c>
      <c r="J28" s="2" t="str">
        <f t="shared" si="3"/>
        <v>17</v>
      </c>
      <c r="K28" s="2" t="str">
        <f t="shared" si="4"/>
        <v>12</v>
      </c>
      <c r="L28" s="2" t="str">
        <f t="shared" si="5"/>
        <v>2025</v>
      </c>
      <c r="M28" s="2" t="str">
        <f t="shared" si="6"/>
        <v>-</v>
      </c>
      <c r="N28" s="4" t="str">
        <f t="shared" si="8"/>
        <v>-</v>
      </c>
      <c r="O28" s="2" t="str">
        <f t="shared" si="7"/>
        <v>-</v>
      </c>
    </row>
    <row r="29" spans="1:15" ht="25.5" x14ac:dyDescent="0.25">
      <c r="A29" s="9" t="s">
        <v>106</v>
      </c>
      <c r="B29" s="10" t="s">
        <v>15</v>
      </c>
      <c r="C29" s="11" t="s">
        <v>45</v>
      </c>
      <c r="D29" s="11" t="s">
        <v>35</v>
      </c>
      <c r="E29" s="11" t="s">
        <v>107</v>
      </c>
      <c r="F29" s="3"/>
      <c r="G29" s="2" t="str">
        <f t="shared" si="0"/>
        <v>KC04E</v>
      </c>
      <c r="H29" s="2">
        <f t="shared" si="1"/>
        <v>282</v>
      </c>
      <c r="I29" s="2">
        <f t="shared" si="2"/>
        <v>12</v>
      </c>
      <c r="J29" s="2" t="str">
        <f t="shared" si="3"/>
        <v>18</v>
      </c>
      <c r="K29" s="2" t="str">
        <f t="shared" si="4"/>
        <v>06</v>
      </c>
      <c r="L29" s="2" t="str">
        <f t="shared" si="5"/>
        <v>2025</v>
      </c>
      <c r="M29" s="2" t="str">
        <f t="shared" si="6"/>
        <v>-</v>
      </c>
      <c r="N29" s="4" t="str">
        <f t="shared" si="8"/>
        <v>-</v>
      </c>
      <c r="O29" s="2" t="str">
        <f t="shared" si="7"/>
        <v>-</v>
      </c>
    </row>
  </sheetData>
  <autoFilter ref="A1:O1" xr:uid="{33D49486-C20B-4CF4-B0D0-D0E28795D94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F6BF0-795B-4AD2-AD45-1CC586208883}">
  <sheetPr>
    <tabColor rgb="FF92D050"/>
  </sheetPr>
  <dimension ref="A1:O4"/>
  <sheetViews>
    <sheetView tabSelected="1" workbookViewId="0">
      <selection activeCell="F14" sqref="F14"/>
    </sheetView>
  </sheetViews>
  <sheetFormatPr defaultRowHeight="15" x14ac:dyDescent="0.25"/>
  <cols>
    <col min="1" max="1" width="19.28515625" style="13" customWidth="1"/>
    <col min="2" max="2" width="8.140625" style="13" customWidth="1"/>
    <col min="3" max="4" width="11.28515625" style="13" customWidth="1"/>
    <col min="5" max="5" width="7.140625" style="13" customWidth="1"/>
    <col min="6" max="16384" width="9.140625" style="13"/>
  </cols>
  <sheetData>
    <row r="1" spans="1:15" ht="31.5" x14ac:dyDescent="0.25">
      <c r="A1" s="7" t="s">
        <v>0</v>
      </c>
      <c r="B1" s="8" t="s">
        <v>1</v>
      </c>
      <c r="C1" s="8" t="s">
        <v>2</v>
      </c>
      <c r="D1" s="8" t="s">
        <v>3</v>
      </c>
      <c r="E1" s="7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2</v>
      </c>
      <c r="K1" s="2" t="s">
        <v>9</v>
      </c>
      <c r="L1" s="2" t="s">
        <v>10</v>
      </c>
      <c r="M1" s="2"/>
      <c r="N1" s="2"/>
      <c r="O1" s="2"/>
    </row>
    <row r="2" spans="1:15" x14ac:dyDescent="0.25">
      <c r="A2" s="9" t="s">
        <v>108</v>
      </c>
      <c r="B2" s="10" t="s">
        <v>13</v>
      </c>
      <c r="C2" s="11" t="s">
        <v>36</v>
      </c>
      <c r="D2" s="11" t="s">
        <v>19</v>
      </c>
      <c r="E2" s="11" t="s">
        <v>109</v>
      </c>
      <c r="F2" s="3"/>
      <c r="G2" s="2" t="str">
        <f t="shared" ref="G2:G4" si="0">LEFT(A2, 5)</f>
        <v>JMF2E</v>
      </c>
      <c r="H2" s="2">
        <f t="shared" ref="H2:H4" si="1">D2-C2</f>
        <v>77</v>
      </c>
      <c r="I2" s="2">
        <f t="shared" ref="I2:I4" si="2">LEN(A2)</f>
        <v>12</v>
      </c>
      <c r="J2" s="2" t="str">
        <f t="shared" ref="J2:J4" si="3">LEFT(C2, 2)</f>
        <v>07</v>
      </c>
      <c r="K2" s="2" t="str">
        <f t="shared" ref="K2:K4" si="4">MID(C2, 4, 2)</f>
        <v>01</v>
      </c>
      <c r="L2" s="2" t="str">
        <f t="shared" ref="L2:L4" si="5">RIGHT(C2, 4)</f>
        <v>2026</v>
      </c>
      <c r="M2" s="2" t="str">
        <f t="shared" ref="M2:M4" si="6">IF(AND(B2="1",H2&gt;=75),"tolong cek",  IF(AND(B2="2",H2&gt;=135),"tolong cek",  IF(AND(B2="3",H2&gt;=255),"tolong cek",  IF(AND(B2="4",H2&gt;=375),"tolong cek","-"))))</f>
        <v>-</v>
      </c>
      <c r="N2" s="4" t="str">
        <f>IF(AND(B2="1",VALUE(K2)&lt;=10,VALUE(L2)&lt;=2025),"tolong cek kadaluarsa",  IF(AND(B2="2",VALUE(K2)&lt;=8,VALUE(L2)&lt;=2025),"tolong cek kadaluarsa",  IF(AND(B2="3",VALUE(K2)&lt;=4,VALUE(L2)&lt;=2025),"tolong cek kadaluarsa",  IF(AND(B2="4",VALUE(K2)&lt;=12, VALUE(L2)&lt;=2024),"tolong cek kadaluarsa","-"))))</f>
        <v>-</v>
      </c>
      <c r="O2" s="2" t="str">
        <f t="shared" ref="O2:O4" si="7">IF(AND(B2="1",VALUE(E2)&gt;=1100),"tolong cek KM",  IF(AND(B2="2",VALUE(E2)&gt;=4250),"tolong cek KM",  IF(AND(B2="3",VALUE(E2)&gt;=8250),"tolong cek KM",  IF(AND(B2="4",VALUE(E2)&gt;=12250),"tolong cek KM","-"))))</f>
        <v>-</v>
      </c>
    </row>
    <row r="3" spans="1:15" x14ac:dyDescent="0.25">
      <c r="A3" s="9" t="s">
        <v>110</v>
      </c>
      <c r="B3" s="10" t="s">
        <v>11</v>
      </c>
      <c r="C3" s="11" t="s">
        <v>24</v>
      </c>
      <c r="D3" s="11" t="s">
        <v>53</v>
      </c>
      <c r="E3" s="11" t="s">
        <v>111</v>
      </c>
      <c r="F3" s="3"/>
      <c r="G3" s="2" t="str">
        <f t="shared" si="0"/>
        <v>JMH2E</v>
      </c>
      <c r="H3" s="2">
        <f t="shared" si="1"/>
        <v>38</v>
      </c>
      <c r="I3" s="2">
        <f t="shared" si="2"/>
        <v>12</v>
      </c>
      <c r="J3" s="2" t="str">
        <f t="shared" si="3"/>
        <v>14</v>
      </c>
      <c r="K3" s="2" t="str">
        <f t="shared" si="4"/>
        <v>02</v>
      </c>
      <c r="L3" s="2" t="str">
        <f t="shared" si="5"/>
        <v>2026</v>
      </c>
      <c r="M3" s="2" t="str">
        <f t="shared" si="6"/>
        <v>-</v>
      </c>
      <c r="N3" s="4" t="str">
        <f t="shared" ref="N3:N4" si="8">IF(AND(B3="1",VALUE(K3)&lt;=10,VALUE(L3)&lt;=2025),"tolong cek kadaluarsa",  IF(AND(B3="2",VALUE(K3)&lt;=8,VALUE(L3)&lt;=2025),"tolong cek kadaluarsa",  IF(AND(B3="3",VALUE(K3)&lt;=4,VALUE(L3)&lt;=2025),"tolong cek kadaluarsa",  IF(AND(B3="4",VALUE(K3)&lt;=12, VALUE(L3)&lt;=2024),"tolong cek kadaluarsa","-"))))</f>
        <v>-</v>
      </c>
      <c r="O3" s="2" t="str">
        <f t="shared" si="7"/>
        <v>-</v>
      </c>
    </row>
    <row r="4" spans="1:15" x14ac:dyDescent="0.25">
      <c r="A4" s="9" t="s">
        <v>112</v>
      </c>
      <c r="B4" s="10" t="s">
        <v>13</v>
      </c>
      <c r="C4" s="11" t="s">
        <v>40</v>
      </c>
      <c r="D4" s="11" t="s">
        <v>19</v>
      </c>
      <c r="E4" s="11" t="s">
        <v>113</v>
      </c>
      <c r="F4" s="3"/>
      <c r="G4" s="2" t="str">
        <f t="shared" si="0"/>
        <v>KF01E</v>
      </c>
      <c r="H4" s="2">
        <f t="shared" si="1"/>
        <v>64</v>
      </c>
      <c r="I4" s="2">
        <f t="shared" si="2"/>
        <v>12</v>
      </c>
      <c r="J4" s="2" t="str">
        <f t="shared" si="3"/>
        <v>20</v>
      </c>
      <c r="K4" s="2" t="str">
        <f t="shared" si="4"/>
        <v>01</v>
      </c>
      <c r="L4" s="2" t="str">
        <f t="shared" si="5"/>
        <v>2026</v>
      </c>
      <c r="M4" s="2" t="str">
        <f t="shared" si="6"/>
        <v>-</v>
      </c>
      <c r="N4" s="4" t="str">
        <f t="shared" si="8"/>
        <v>-</v>
      </c>
      <c r="O4" s="2" t="str">
        <f t="shared" si="7"/>
        <v>-</v>
      </c>
    </row>
  </sheetData>
  <autoFilter ref="A1:O1" xr:uid="{129F6BF0-795B-4AD2-AD45-1CC58620888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16451-260406_1355</vt:lpstr>
      <vt:lpstr>16451-260406_1406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William</dc:creator>
  <cp:lastModifiedBy>Cindy Aprilia</cp:lastModifiedBy>
  <dcterms:created xsi:type="dcterms:W3CDTF">2015-06-05T18:17:20Z</dcterms:created>
  <dcterms:modified xsi:type="dcterms:W3CDTF">2026-04-14T01:13:13Z</dcterms:modified>
</cp:coreProperties>
</file>