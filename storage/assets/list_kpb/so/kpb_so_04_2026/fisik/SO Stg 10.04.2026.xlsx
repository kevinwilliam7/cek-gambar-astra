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4. KPB cek di bulan Apr 2026\KPB Mar Pending\"/>
    </mc:Choice>
  </mc:AlternateContent>
  <xr:revisionPtr revIDLastSave="0" documentId="13_ncr:1_{D6D8D29F-92F7-4180-9854-DAFC0E1F2C2D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13198-260326_2049" sheetId="5" r:id="rId1"/>
    <sheet name="13198-260326_2105" sheetId="6" r:id="rId2"/>
    <sheet name="13198-260323_1648" sheetId="7" r:id="rId3"/>
    <sheet name="13198-260401_1153" sheetId="8" r:id="rId4"/>
    <sheet name="13198-260408_1115" sheetId="9" r:id="rId5"/>
  </sheets>
  <definedNames>
    <definedName name="_xlnm._FilterDatabase" localSheetId="2" hidden="1">'13198-260323_1648'!$A$1:$O$63</definedName>
    <definedName name="_xlnm._FilterDatabase" localSheetId="0" hidden="1">'13198-260326_2049'!$A$1:$O$52</definedName>
    <definedName name="_xlnm._FilterDatabase" localSheetId="1" hidden="1">'13198-260326_2105'!$A$1:$O$14</definedName>
    <definedName name="_xlnm._FilterDatabase" localSheetId="3" hidden="1">'13198-260401_1153'!$A$1:$O$122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9" l="1"/>
  <c r="K16" i="9"/>
  <c r="N16" i="9" s="1"/>
  <c r="J16" i="9"/>
  <c r="I16" i="9"/>
  <c r="H16" i="9"/>
  <c r="M16" i="9" s="1"/>
  <c r="G16" i="9"/>
  <c r="L15" i="9"/>
  <c r="K15" i="9"/>
  <c r="N15" i="9" s="1"/>
  <c r="J15" i="9"/>
  <c r="I15" i="9"/>
  <c r="H15" i="9"/>
  <c r="M15" i="9" s="1"/>
  <c r="G15" i="9"/>
  <c r="L14" i="9"/>
  <c r="K14" i="9"/>
  <c r="N14" i="9" s="1"/>
  <c r="J14" i="9"/>
  <c r="I14" i="9"/>
  <c r="H14" i="9"/>
  <c r="M14" i="9" s="1"/>
  <c r="G14" i="9"/>
  <c r="L13" i="9"/>
  <c r="K13" i="9"/>
  <c r="N13" i="9" s="1"/>
  <c r="J13" i="9"/>
  <c r="I13" i="9"/>
  <c r="H13" i="9"/>
  <c r="M13" i="9" s="1"/>
  <c r="G13" i="9"/>
  <c r="L12" i="9"/>
  <c r="K12" i="9"/>
  <c r="N12" i="9" s="1"/>
  <c r="J12" i="9"/>
  <c r="I12" i="9"/>
  <c r="H12" i="9"/>
  <c r="M12" i="9" s="1"/>
  <c r="G12" i="9"/>
  <c r="L11" i="9"/>
  <c r="K11" i="9"/>
  <c r="N11" i="9" s="1"/>
  <c r="J11" i="9"/>
  <c r="I11" i="9"/>
  <c r="H11" i="9"/>
  <c r="M11" i="9" s="1"/>
  <c r="G11" i="9"/>
  <c r="L10" i="9"/>
  <c r="K10" i="9"/>
  <c r="N10" i="9" s="1"/>
  <c r="J10" i="9"/>
  <c r="I10" i="9"/>
  <c r="H10" i="9"/>
  <c r="M10" i="9" s="1"/>
  <c r="G10" i="9"/>
  <c r="L9" i="9"/>
  <c r="K9" i="9"/>
  <c r="N9" i="9" s="1"/>
  <c r="J9" i="9"/>
  <c r="I9" i="9"/>
  <c r="H9" i="9"/>
  <c r="M9" i="9" s="1"/>
  <c r="G9" i="9"/>
  <c r="L8" i="9"/>
  <c r="K8" i="9"/>
  <c r="N8" i="9" s="1"/>
  <c r="J8" i="9"/>
  <c r="I8" i="9"/>
  <c r="H8" i="9"/>
  <c r="M8" i="9" s="1"/>
  <c r="G8" i="9"/>
  <c r="L7" i="9"/>
  <c r="K7" i="9"/>
  <c r="N7" i="9" s="1"/>
  <c r="J7" i="9"/>
  <c r="I7" i="9"/>
  <c r="H7" i="9"/>
  <c r="M7" i="9" s="1"/>
  <c r="G7" i="9"/>
  <c r="L6" i="9"/>
  <c r="K6" i="9"/>
  <c r="N6" i="9" s="1"/>
  <c r="J6" i="9"/>
  <c r="I6" i="9"/>
  <c r="H6" i="9"/>
  <c r="M6" i="9" s="1"/>
  <c r="G6" i="9"/>
  <c r="L5" i="9"/>
  <c r="K5" i="9"/>
  <c r="N5" i="9" s="1"/>
  <c r="J5" i="9"/>
  <c r="I5" i="9"/>
  <c r="H5" i="9"/>
  <c r="M5" i="9" s="1"/>
  <c r="G5" i="9"/>
  <c r="L4" i="9"/>
  <c r="K4" i="9"/>
  <c r="N4" i="9" s="1"/>
  <c r="J4" i="9"/>
  <c r="I4" i="9"/>
  <c r="H4" i="9"/>
  <c r="M4" i="9" s="1"/>
  <c r="G4" i="9"/>
  <c r="L3" i="9"/>
  <c r="K3" i="9"/>
  <c r="N3" i="9" s="1"/>
  <c r="J3" i="9"/>
  <c r="I3" i="9"/>
  <c r="H3" i="9"/>
  <c r="M3" i="9" s="1"/>
  <c r="G3" i="9"/>
  <c r="L2" i="9"/>
  <c r="K2" i="9"/>
  <c r="N2" i="9" s="1"/>
  <c r="J2" i="9"/>
  <c r="I2" i="9"/>
  <c r="H2" i="9"/>
  <c r="M2" i="9" s="1"/>
  <c r="G2" i="9"/>
  <c r="O122" i="8"/>
  <c r="N122" i="8"/>
  <c r="L122" i="8"/>
  <c r="K122" i="8"/>
  <c r="J122" i="8"/>
  <c r="I122" i="8"/>
  <c r="H122" i="8"/>
  <c r="M122" i="8" s="1"/>
  <c r="G122" i="8"/>
  <c r="O121" i="8"/>
  <c r="N121" i="8"/>
  <c r="L121" i="8"/>
  <c r="K121" i="8"/>
  <c r="J121" i="8"/>
  <c r="I121" i="8"/>
  <c r="H121" i="8"/>
  <c r="M121" i="8" s="1"/>
  <c r="G121" i="8"/>
  <c r="O120" i="8"/>
  <c r="L120" i="8"/>
  <c r="K120" i="8"/>
  <c r="J120" i="8"/>
  <c r="I120" i="8"/>
  <c r="H120" i="8"/>
  <c r="M120" i="8" s="1"/>
  <c r="G120" i="8"/>
  <c r="O119" i="8"/>
  <c r="L119" i="8"/>
  <c r="K119" i="8"/>
  <c r="N119" i="8" s="1"/>
  <c r="J119" i="8"/>
  <c r="I119" i="8"/>
  <c r="H119" i="8"/>
  <c r="M119" i="8" s="1"/>
  <c r="G119" i="8"/>
  <c r="O118" i="8"/>
  <c r="L118" i="8"/>
  <c r="K118" i="8"/>
  <c r="N118" i="8" s="1"/>
  <c r="J118" i="8"/>
  <c r="I118" i="8"/>
  <c r="H118" i="8"/>
  <c r="M118" i="8" s="1"/>
  <c r="G118" i="8"/>
  <c r="O117" i="8"/>
  <c r="L117" i="8"/>
  <c r="K117" i="8"/>
  <c r="N117" i="8" s="1"/>
  <c r="J117" i="8"/>
  <c r="I117" i="8"/>
  <c r="H117" i="8"/>
  <c r="M117" i="8" s="1"/>
  <c r="G117" i="8"/>
  <c r="O116" i="8"/>
  <c r="L116" i="8"/>
  <c r="K116" i="8"/>
  <c r="J116" i="8"/>
  <c r="I116" i="8"/>
  <c r="H116" i="8"/>
  <c r="M116" i="8" s="1"/>
  <c r="G116" i="8"/>
  <c r="O115" i="8"/>
  <c r="L115" i="8"/>
  <c r="K115" i="8"/>
  <c r="N115" i="8" s="1"/>
  <c r="J115" i="8"/>
  <c r="I115" i="8"/>
  <c r="H115" i="8"/>
  <c r="M115" i="8" s="1"/>
  <c r="G115" i="8"/>
  <c r="O114" i="8"/>
  <c r="L114" i="8"/>
  <c r="K114" i="8"/>
  <c r="N114" i="8" s="1"/>
  <c r="J114" i="8"/>
  <c r="I114" i="8"/>
  <c r="H114" i="8"/>
  <c r="M114" i="8" s="1"/>
  <c r="G114" i="8"/>
  <c r="O113" i="8"/>
  <c r="L113" i="8"/>
  <c r="K113" i="8"/>
  <c r="N113" i="8" s="1"/>
  <c r="J113" i="8"/>
  <c r="I113" i="8"/>
  <c r="H113" i="8"/>
  <c r="M113" i="8" s="1"/>
  <c r="G113" i="8"/>
  <c r="O112" i="8"/>
  <c r="L112" i="8"/>
  <c r="K112" i="8"/>
  <c r="N112" i="8" s="1"/>
  <c r="J112" i="8"/>
  <c r="I112" i="8"/>
  <c r="H112" i="8"/>
  <c r="M112" i="8" s="1"/>
  <c r="G112" i="8"/>
  <c r="O111" i="8"/>
  <c r="L111" i="8"/>
  <c r="K111" i="8"/>
  <c r="J111" i="8"/>
  <c r="I111" i="8"/>
  <c r="H111" i="8"/>
  <c r="M111" i="8" s="1"/>
  <c r="G111" i="8"/>
  <c r="O110" i="8"/>
  <c r="L110" i="8"/>
  <c r="K110" i="8"/>
  <c r="J110" i="8"/>
  <c r="I110" i="8"/>
  <c r="H110" i="8"/>
  <c r="M110" i="8" s="1"/>
  <c r="G110" i="8"/>
  <c r="O109" i="8"/>
  <c r="L109" i="8"/>
  <c r="N109" i="8" s="1"/>
  <c r="K109" i="8"/>
  <c r="J109" i="8"/>
  <c r="I109" i="8"/>
  <c r="H109" i="8"/>
  <c r="M109" i="8" s="1"/>
  <c r="G109" i="8"/>
  <c r="O108" i="8"/>
  <c r="N108" i="8"/>
  <c r="M108" i="8"/>
  <c r="L108" i="8"/>
  <c r="K108" i="8"/>
  <c r="J108" i="8"/>
  <c r="I108" i="8"/>
  <c r="H108" i="8"/>
  <c r="G108" i="8"/>
  <c r="O107" i="8"/>
  <c r="N107" i="8"/>
  <c r="L107" i="8"/>
  <c r="K107" i="8"/>
  <c r="J107" i="8"/>
  <c r="I107" i="8"/>
  <c r="H107" i="8"/>
  <c r="M107" i="8" s="1"/>
  <c r="G107" i="8"/>
  <c r="O106" i="8"/>
  <c r="N106" i="8"/>
  <c r="L106" i="8"/>
  <c r="K106" i="8"/>
  <c r="J106" i="8"/>
  <c r="I106" i="8"/>
  <c r="H106" i="8"/>
  <c r="M106" i="8" s="1"/>
  <c r="G106" i="8"/>
  <c r="O105" i="8"/>
  <c r="N105" i="8"/>
  <c r="L105" i="8"/>
  <c r="K105" i="8"/>
  <c r="J105" i="8"/>
  <c r="I105" i="8"/>
  <c r="H105" i="8"/>
  <c r="M105" i="8" s="1"/>
  <c r="G105" i="8"/>
  <c r="O104" i="8"/>
  <c r="L104" i="8"/>
  <c r="K104" i="8"/>
  <c r="J104" i="8"/>
  <c r="I104" i="8"/>
  <c r="H104" i="8"/>
  <c r="M104" i="8" s="1"/>
  <c r="G104" i="8"/>
  <c r="O103" i="8"/>
  <c r="L103" i="8"/>
  <c r="K103" i="8"/>
  <c r="N103" i="8" s="1"/>
  <c r="J103" i="8"/>
  <c r="I103" i="8"/>
  <c r="H103" i="8"/>
  <c r="M103" i="8" s="1"/>
  <c r="G103" i="8"/>
  <c r="O102" i="8"/>
  <c r="L102" i="8"/>
  <c r="K102" i="8"/>
  <c r="N102" i="8" s="1"/>
  <c r="J102" i="8"/>
  <c r="I102" i="8"/>
  <c r="H102" i="8"/>
  <c r="M102" i="8" s="1"/>
  <c r="G102" i="8"/>
  <c r="O101" i="8"/>
  <c r="L101" i="8"/>
  <c r="K101" i="8"/>
  <c r="J101" i="8"/>
  <c r="I101" i="8"/>
  <c r="H101" i="8"/>
  <c r="M101" i="8" s="1"/>
  <c r="G101" i="8"/>
  <c r="O100" i="8"/>
  <c r="L100" i="8"/>
  <c r="N100" i="8" s="1"/>
  <c r="K100" i="8"/>
  <c r="J100" i="8"/>
  <c r="I100" i="8"/>
  <c r="H100" i="8"/>
  <c r="M100" i="8" s="1"/>
  <c r="G100" i="8"/>
  <c r="O99" i="8"/>
  <c r="L99" i="8"/>
  <c r="N99" i="8" s="1"/>
  <c r="K99" i="8"/>
  <c r="J99" i="8"/>
  <c r="I99" i="8"/>
  <c r="H99" i="8"/>
  <c r="M99" i="8" s="1"/>
  <c r="G99" i="8"/>
  <c r="O98" i="8"/>
  <c r="L98" i="8"/>
  <c r="N98" i="8" s="1"/>
  <c r="K98" i="8"/>
  <c r="J98" i="8"/>
  <c r="I98" i="8"/>
  <c r="H98" i="8"/>
  <c r="M98" i="8" s="1"/>
  <c r="G98" i="8"/>
  <c r="O97" i="8"/>
  <c r="L97" i="8"/>
  <c r="N97" i="8" s="1"/>
  <c r="K97" i="8"/>
  <c r="J97" i="8"/>
  <c r="I97" i="8"/>
  <c r="H97" i="8"/>
  <c r="M97" i="8" s="1"/>
  <c r="G97" i="8"/>
  <c r="O96" i="8"/>
  <c r="L96" i="8"/>
  <c r="K96" i="8"/>
  <c r="N96" i="8" s="1"/>
  <c r="J96" i="8"/>
  <c r="I96" i="8"/>
  <c r="H96" i="8"/>
  <c r="M96" i="8" s="1"/>
  <c r="G96" i="8"/>
  <c r="O95" i="8"/>
  <c r="L95" i="8"/>
  <c r="K95" i="8"/>
  <c r="J95" i="8"/>
  <c r="I95" i="8"/>
  <c r="H95" i="8"/>
  <c r="M95" i="8" s="1"/>
  <c r="G95" i="8"/>
  <c r="O94" i="8"/>
  <c r="M94" i="8"/>
  <c r="L94" i="8"/>
  <c r="K94" i="8"/>
  <c r="J94" i="8"/>
  <c r="I94" i="8"/>
  <c r="H94" i="8"/>
  <c r="G94" i="8"/>
  <c r="O93" i="8"/>
  <c r="M93" i="8"/>
  <c r="L93" i="8"/>
  <c r="N93" i="8" s="1"/>
  <c r="K93" i="8"/>
  <c r="J93" i="8"/>
  <c r="I93" i="8"/>
  <c r="H93" i="8"/>
  <c r="G93" i="8"/>
  <c r="O92" i="8"/>
  <c r="L92" i="8"/>
  <c r="K92" i="8"/>
  <c r="N92" i="8" s="1"/>
  <c r="J92" i="8"/>
  <c r="I92" i="8"/>
  <c r="H92" i="8"/>
  <c r="M92" i="8" s="1"/>
  <c r="G92" i="8"/>
  <c r="O91" i="8"/>
  <c r="L91" i="8"/>
  <c r="K91" i="8"/>
  <c r="N91" i="8" s="1"/>
  <c r="J91" i="8"/>
  <c r="I91" i="8"/>
  <c r="H91" i="8"/>
  <c r="M91" i="8" s="1"/>
  <c r="G91" i="8"/>
  <c r="O90" i="8"/>
  <c r="L90" i="8"/>
  <c r="K90" i="8"/>
  <c r="N90" i="8" s="1"/>
  <c r="J90" i="8"/>
  <c r="I90" i="8"/>
  <c r="H90" i="8"/>
  <c r="M90" i="8" s="1"/>
  <c r="G90" i="8"/>
  <c r="O89" i="8"/>
  <c r="L89" i="8"/>
  <c r="K89" i="8"/>
  <c r="N89" i="8" s="1"/>
  <c r="J89" i="8"/>
  <c r="I89" i="8"/>
  <c r="H89" i="8"/>
  <c r="M89" i="8" s="1"/>
  <c r="G89" i="8"/>
  <c r="O88" i="8"/>
  <c r="L88" i="8"/>
  <c r="K88" i="8"/>
  <c r="J88" i="8"/>
  <c r="I88" i="8"/>
  <c r="H88" i="8"/>
  <c r="M88" i="8" s="1"/>
  <c r="G88" i="8"/>
  <c r="O87" i="8"/>
  <c r="L87" i="8"/>
  <c r="K87" i="8"/>
  <c r="J87" i="8"/>
  <c r="I87" i="8"/>
  <c r="H87" i="8"/>
  <c r="M87" i="8" s="1"/>
  <c r="G87" i="8"/>
  <c r="O86" i="8"/>
  <c r="M86" i="8"/>
  <c r="L86" i="8"/>
  <c r="K86" i="8"/>
  <c r="J86" i="8"/>
  <c r="I86" i="8"/>
  <c r="H86" i="8"/>
  <c r="G86" i="8"/>
  <c r="O85" i="8"/>
  <c r="M85" i="8"/>
  <c r="L85" i="8"/>
  <c r="K85" i="8"/>
  <c r="J85" i="8"/>
  <c r="I85" i="8"/>
  <c r="H85" i="8"/>
  <c r="G85" i="8"/>
  <c r="O84" i="8"/>
  <c r="N84" i="8"/>
  <c r="M84" i="8"/>
  <c r="L84" i="8"/>
  <c r="K84" i="8"/>
  <c r="J84" i="8"/>
  <c r="I84" i="8"/>
  <c r="H84" i="8"/>
  <c r="G84" i="8"/>
  <c r="O83" i="8"/>
  <c r="N83" i="8"/>
  <c r="L83" i="8"/>
  <c r="K83" i="8"/>
  <c r="J83" i="8"/>
  <c r="I83" i="8"/>
  <c r="H83" i="8"/>
  <c r="M83" i="8" s="1"/>
  <c r="G83" i="8"/>
  <c r="O82" i="8"/>
  <c r="N82" i="8"/>
  <c r="L82" i="8"/>
  <c r="K82" i="8"/>
  <c r="J82" i="8"/>
  <c r="I82" i="8"/>
  <c r="H82" i="8"/>
  <c r="M82" i="8" s="1"/>
  <c r="G82" i="8"/>
  <c r="O81" i="8"/>
  <c r="N81" i="8"/>
  <c r="L81" i="8"/>
  <c r="K81" i="8"/>
  <c r="J81" i="8"/>
  <c r="I81" i="8"/>
  <c r="H81" i="8"/>
  <c r="M81" i="8" s="1"/>
  <c r="G81" i="8"/>
  <c r="O80" i="8"/>
  <c r="L80" i="8"/>
  <c r="K80" i="8"/>
  <c r="J80" i="8"/>
  <c r="I80" i="8"/>
  <c r="H80" i="8"/>
  <c r="M80" i="8" s="1"/>
  <c r="G80" i="8"/>
  <c r="O79" i="8"/>
  <c r="L79" i="8"/>
  <c r="K79" i="8"/>
  <c r="N79" i="8" s="1"/>
  <c r="J79" i="8"/>
  <c r="I79" i="8"/>
  <c r="H79" i="8"/>
  <c r="M79" i="8" s="1"/>
  <c r="G79" i="8"/>
  <c r="O78" i="8"/>
  <c r="L78" i="8"/>
  <c r="K78" i="8"/>
  <c r="N78" i="8" s="1"/>
  <c r="J78" i="8"/>
  <c r="I78" i="8"/>
  <c r="H78" i="8"/>
  <c r="M78" i="8" s="1"/>
  <c r="G78" i="8"/>
  <c r="O77" i="8"/>
  <c r="L77" i="8"/>
  <c r="K77" i="8"/>
  <c r="N77" i="8" s="1"/>
  <c r="J77" i="8"/>
  <c r="I77" i="8"/>
  <c r="H77" i="8"/>
  <c r="M77" i="8" s="1"/>
  <c r="G77" i="8"/>
  <c r="O76" i="8"/>
  <c r="N76" i="8"/>
  <c r="M76" i="8"/>
  <c r="L76" i="8"/>
  <c r="K76" i="8"/>
  <c r="J76" i="8"/>
  <c r="I76" i="8"/>
  <c r="H76" i="8"/>
  <c r="G76" i="8"/>
  <c r="O75" i="8"/>
  <c r="L75" i="8"/>
  <c r="N75" i="8" s="1"/>
  <c r="K75" i="8"/>
  <c r="J75" i="8"/>
  <c r="I75" i="8"/>
  <c r="H75" i="8"/>
  <c r="M75" i="8" s="1"/>
  <c r="G75" i="8"/>
  <c r="O74" i="8"/>
  <c r="L74" i="8"/>
  <c r="N74" i="8" s="1"/>
  <c r="K74" i="8"/>
  <c r="J74" i="8"/>
  <c r="I74" i="8"/>
  <c r="H74" i="8"/>
  <c r="M74" i="8" s="1"/>
  <c r="G74" i="8"/>
  <c r="O73" i="8"/>
  <c r="L73" i="8"/>
  <c r="N73" i="8" s="1"/>
  <c r="K73" i="8"/>
  <c r="J73" i="8"/>
  <c r="I73" i="8"/>
  <c r="H73" i="8"/>
  <c r="M73" i="8" s="1"/>
  <c r="G73" i="8"/>
  <c r="O72" i="8"/>
  <c r="L72" i="8"/>
  <c r="K72" i="8"/>
  <c r="N72" i="8" s="1"/>
  <c r="J72" i="8"/>
  <c r="I72" i="8"/>
  <c r="H72" i="8"/>
  <c r="M72" i="8" s="1"/>
  <c r="G72" i="8"/>
  <c r="O71" i="8"/>
  <c r="L71" i="8"/>
  <c r="K71" i="8"/>
  <c r="J71" i="8"/>
  <c r="I71" i="8"/>
  <c r="H71" i="8"/>
  <c r="M71" i="8" s="1"/>
  <c r="G71" i="8"/>
  <c r="O70" i="8"/>
  <c r="M70" i="8"/>
  <c r="L70" i="8"/>
  <c r="K70" i="8"/>
  <c r="J70" i="8"/>
  <c r="I70" i="8"/>
  <c r="H70" i="8"/>
  <c r="G70" i="8"/>
  <c r="O69" i="8"/>
  <c r="M69" i="8"/>
  <c r="L69" i="8"/>
  <c r="K69" i="8"/>
  <c r="J69" i="8"/>
  <c r="I69" i="8"/>
  <c r="H69" i="8"/>
  <c r="G69" i="8"/>
  <c r="O68" i="8"/>
  <c r="L68" i="8"/>
  <c r="K68" i="8"/>
  <c r="N68" i="8" s="1"/>
  <c r="J68" i="8"/>
  <c r="I68" i="8"/>
  <c r="H68" i="8"/>
  <c r="M68" i="8" s="1"/>
  <c r="G68" i="8"/>
  <c r="O67" i="8"/>
  <c r="N67" i="8"/>
  <c r="L67" i="8"/>
  <c r="K67" i="8"/>
  <c r="J67" i="8"/>
  <c r="I67" i="8"/>
  <c r="H67" i="8"/>
  <c r="M67" i="8" s="1"/>
  <c r="G67" i="8"/>
  <c r="O66" i="8"/>
  <c r="N66" i="8"/>
  <c r="L66" i="8"/>
  <c r="K66" i="8"/>
  <c r="J66" i="8"/>
  <c r="I66" i="8"/>
  <c r="H66" i="8"/>
  <c r="M66" i="8" s="1"/>
  <c r="G66" i="8"/>
  <c r="O65" i="8"/>
  <c r="N65" i="8"/>
  <c r="L65" i="8"/>
  <c r="K65" i="8"/>
  <c r="J65" i="8"/>
  <c r="I65" i="8"/>
  <c r="H65" i="8"/>
  <c r="M65" i="8" s="1"/>
  <c r="G65" i="8"/>
  <c r="O64" i="8"/>
  <c r="L64" i="8"/>
  <c r="K64" i="8"/>
  <c r="J64" i="8"/>
  <c r="I64" i="8"/>
  <c r="H64" i="8"/>
  <c r="M64" i="8" s="1"/>
  <c r="G64" i="8"/>
  <c r="O63" i="8"/>
  <c r="L63" i="8"/>
  <c r="K63" i="8"/>
  <c r="N63" i="8" s="1"/>
  <c r="J63" i="8"/>
  <c r="I63" i="8"/>
  <c r="H63" i="8"/>
  <c r="M63" i="8" s="1"/>
  <c r="G63" i="8"/>
  <c r="O62" i="8"/>
  <c r="L62" i="8"/>
  <c r="K62" i="8"/>
  <c r="N62" i="8" s="1"/>
  <c r="J62" i="8"/>
  <c r="I62" i="8"/>
  <c r="H62" i="8"/>
  <c r="M62" i="8" s="1"/>
  <c r="G62" i="8"/>
  <c r="O61" i="8"/>
  <c r="L61" i="8"/>
  <c r="K61" i="8"/>
  <c r="N61" i="8" s="1"/>
  <c r="J61" i="8"/>
  <c r="I61" i="8"/>
  <c r="H61" i="8"/>
  <c r="M61" i="8" s="1"/>
  <c r="G61" i="8"/>
  <c r="O60" i="8"/>
  <c r="M60" i="8"/>
  <c r="L60" i="8"/>
  <c r="K60" i="8"/>
  <c r="N60" i="8" s="1"/>
  <c r="J60" i="8"/>
  <c r="I60" i="8"/>
  <c r="H60" i="8"/>
  <c r="G60" i="8"/>
  <c r="O59" i="8"/>
  <c r="L59" i="8"/>
  <c r="K59" i="8"/>
  <c r="N59" i="8" s="1"/>
  <c r="J59" i="8"/>
  <c r="I59" i="8"/>
  <c r="H59" i="8"/>
  <c r="M59" i="8" s="1"/>
  <c r="G59" i="8"/>
  <c r="O58" i="8"/>
  <c r="N58" i="8"/>
  <c r="L58" i="8"/>
  <c r="K58" i="8"/>
  <c r="J58" i="8"/>
  <c r="I58" i="8"/>
  <c r="H58" i="8"/>
  <c r="M58" i="8" s="1"/>
  <c r="G58" i="8"/>
  <c r="O57" i="8"/>
  <c r="N57" i="8"/>
  <c r="L57" i="8"/>
  <c r="K57" i="8"/>
  <c r="J57" i="8"/>
  <c r="I57" i="8"/>
  <c r="H57" i="8"/>
  <c r="M57" i="8" s="1"/>
  <c r="G57" i="8"/>
  <c r="O56" i="8"/>
  <c r="L56" i="8"/>
  <c r="K56" i="8"/>
  <c r="J56" i="8"/>
  <c r="I56" i="8"/>
  <c r="H56" i="8"/>
  <c r="M56" i="8" s="1"/>
  <c r="G56" i="8"/>
  <c r="O55" i="8"/>
  <c r="L55" i="8"/>
  <c r="K55" i="8"/>
  <c r="N55" i="8" s="1"/>
  <c r="J55" i="8"/>
  <c r="I55" i="8"/>
  <c r="H55" i="8"/>
  <c r="M55" i="8" s="1"/>
  <c r="G55" i="8"/>
  <c r="O54" i="8"/>
  <c r="L54" i="8"/>
  <c r="K54" i="8"/>
  <c r="N54" i="8" s="1"/>
  <c r="J54" i="8"/>
  <c r="I54" i="8"/>
  <c r="H54" i="8"/>
  <c r="M54" i="8" s="1"/>
  <c r="G54" i="8"/>
  <c r="O53" i="8"/>
  <c r="L53" i="8"/>
  <c r="K53" i="8"/>
  <c r="N53" i="8" s="1"/>
  <c r="J53" i="8"/>
  <c r="I53" i="8"/>
  <c r="H53" i="8"/>
  <c r="M53" i="8" s="1"/>
  <c r="G53" i="8"/>
  <c r="O52" i="8"/>
  <c r="M52" i="8"/>
  <c r="L52" i="8"/>
  <c r="K52" i="8"/>
  <c r="N52" i="8" s="1"/>
  <c r="J52" i="8"/>
  <c r="I52" i="8"/>
  <c r="H52" i="8"/>
  <c r="G52" i="8"/>
  <c r="O51" i="8"/>
  <c r="L51" i="8"/>
  <c r="K51" i="8"/>
  <c r="N51" i="8" s="1"/>
  <c r="J51" i="8"/>
  <c r="I51" i="8"/>
  <c r="H51" i="8"/>
  <c r="M51" i="8" s="1"/>
  <c r="G51" i="8"/>
  <c r="O50" i="8"/>
  <c r="N50" i="8"/>
  <c r="L50" i="8"/>
  <c r="K50" i="8"/>
  <c r="J50" i="8"/>
  <c r="I50" i="8"/>
  <c r="H50" i="8"/>
  <c r="M50" i="8" s="1"/>
  <c r="G50" i="8"/>
  <c r="O49" i="8"/>
  <c r="N49" i="8"/>
  <c r="L49" i="8"/>
  <c r="K49" i="8"/>
  <c r="J49" i="8"/>
  <c r="I49" i="8"/>
  <c r="H49" i="8"/>
  <c r="M49" i="8" s="1"/>
  <c r="G49" i="8"/>
  <c r="O48" i="8"/>
  <c r="L48" i="8"/>
  <c r="K48" i="8"/>
  <c r="J48" i="8"/>
  <c r="I48" i="8"/>
  <c r="H48" i="8"/>
  <c r="M48" i="8" s="1"/>
  <c r="G48" i="8"/>
  <c r="O47" i="8"/>
  <c r="L47" i="8"/>
  <c r="K47" i="8"/>
  <c r="N47" i="8" s="1"/>
  <c r="J47" i="8"/>
  <c r="I47" i="8"/>
  <c r="H47" i="8"/>
  <c r="M47" i="8" s="1"/>
  <c r="G47" i="8"/>
  <c r="O46" i="8"/>
  <c r="L46" i="8"/>
  <c r="K46" i="8"/>
  <c r="N46" i="8" s="1"/>
  <c r="J46" i="8"/>
  <c r="I46" i="8"/>
  <c r="H46" i="8"/>
  <c r="M46" i="8" s="1"/>
  <c r="G46" i="8"/>
  <c r="O45" i="8"/>
  <c r="L45" i="8"/>
  <c r="K45" i="8"/>
  <c r="N45" i="8" s="1"/>
  <c r="J45" i="8"/>
  <c r="I45" i="8"/>
  <c r="H45" i="8"/>
  <c r="M45" i="8" s="1"/>
  <c r="G45" i="8"/>
  <c r="O44" i="8"/>
  <c r="M44" i="8"/>
  <c r="L44" i="8"/>
  <c r="K44" i="8"/>
  <c r="N44" i="8" s="1"/>
  <c r="J44" i="8"/>
  <c r="I44" i="8"/>
  <c r="H44" i="8"/>
  <c r="G44" i="8"/>
  <c r="O43" i="8"/>
  <c r="L43" i="8"/>
  <c r="K43" i="8"/>
  <c r="N43" i="8" s="1"/>
  <c r="J43" i="8"/>
  <c r="I43" i="8"/>
  <c r="H43" i="8"/>
  <c r="M43" i="8" s="1"/>
  <c r="G43" i="8"/>
  <c r="O42" i="8"/>
  <c r="N42" i="8"/>
  <c r="L42" i="8"/>
  <c r="K42" i="8"/>
  <c r="J42" i="8"/>
  <c r="I42" i="8"/>
  <c r="H42" i="8"/>
  <c r="M42" i="8" s="1"/>
  <c r="G42" i="8"/>
  <c r="O41" i="8"/>
  <c r="N41" i="8"/>
  <c r="L41" i="8"/>
  <c r="K41" i="8"/>
  <c r="J41" i="8"/>
  <c r="I41" i="8"/>
  <c r="H41" i="8"/>
  <c r="M41" i="8" s="1"/>
  <c r="G41" i="8"/>
  <c r="O40" i="8"/>
  <c r="L40" i="8"/>
  <c r="K40" i="8"/>
  <c r="J40" i="8"/>
  <c r="I40" i="8"/>
  <c r="H40" i="8"/>
  <c r="M40" i="8" s="1"/>
  <c r="G40" i="8"/>
  <c r="O39" i="8"/>
  <c r="L39" i="8"/>
  <c r="K39" i="8"/>
  <c r="N39" i="8" s="1"/>
  <c r="J39" i="8"/>
  <c r="I39" i="8"/>
  <c r="H39" i="8"/>
  <c r="M39" i="8" s="1"/>
  <c r="G39" i="8"/>
  <c r="O38" i="8"/>
  <c r="L38" i="8"/>
  <c r="K38" i="8"/>
  <c r="N38" i="8" s="1"/>
  <c r="J38" i="8"/>
  <c r="I38" i="8"/>
  <c r="H38" i="8"/>
  <c r="M38" i="8" s="1"/>
  <c r="G38" i="8"/>
  <c r="O37" i="8"/>
  <c r="L37" i="8"/>
  <c r="K37" i="8"/>
  <c r="N37" i="8" s="1"/>
  <c r="J37" i="8"/>
  <c r="I37" i="8"/>
  <c r="H37" i="8"/>
  <c r="M37" i="8" s="1"/>
  <c r="G37" i="8"/>
  <c r="O36" i="8"/>
  <c r="M36" i="8"/>
  <c r="L36" i="8"/>
  <c r="K36" i="8"/>
  <c r="N36" i="8" s="1"/>
  <c r="J36" i="8"/>
  <c r="I36" i="8"/>
  <c r="H36" i="8"/>
  <c r="G36" i="8"/>
  <c r="O35" i="8"/>
  <c r="L35" i="8"/>
  <c r="K35" i="8"/>
  <c r="N35" i="8" s="1"/>
  <c r="J35" i="8"/>
  <c r="I35" i="8"/>
  <c r="H35" i="8"/>
  <c r="M35" i="8" s="1"/>
  <c r="G35" i="8"/>
  <c r="O34" i="8"/>
  <c r="N34" i="8"/>
  <c r="L34" i="8"/>
  <c r="K34" i="8"/>
  <c r="J34" i="8"/>
  <c r="I34" i="8"/>
  <c r="H34" i="8"/>
  <c r="M34" i="8" s="1"/>
  <c r="G34" i="8"/>
  <c r="O33" i="8"/>
  <c r="N33" i="8"/>
  <c r="L33" i="8"/>
  <c r="K33" i="8"/>
  <c r="J33" i="8"/>
  <c r="I33" i="8"/>
  <c r="H33" i="8"/>
  <c r="M33" i="8" s="1"/>
  <c r="G33" i="8"/>
  <c r="O32" i="8"/>
  <c r="L32" i="8"/>
  <c r="K32" i="8"/>
  <c r="J32" i="8"/>
  <c r="I32" i="8"/>
  <c r="H32" i="8"/>
  <c r="M32" i="8" s="1"/>
  <c r="G32" i="8"/>
  <c r="O31" i="8"/>
  <c r="L31" i="8"/>
  <c r="K31" i="8"/>
  <c r="N31" i="8" s="1"/>
  <c r="J31" i="8"/>
  <c r="I31" i="8"/>
  <c r="H31" i="8"/>
  <c r="M31" i="8" s="1"/>
  <c r="G31" i="8"/>
  <c r="O30" i="8"/>
  <c r="L30" i="8"/>
  <c r="K30" i="8"/>
  <c r="N30" i="8" s="1"/>
  <c r="J30" i="8"/>
  <c r="I30" i="8"/>
  <c r="H30" i="8"/>
  <c r="M30" i="8" s="1"/>
  <c r="G30" i="8"/>
  <c r="O29" i="8"/>
  <c r="L29" i="8"/>
  <c r="K29" i="8"/>
  <c r="N29" i="8" s="1"/>
  <c r="J29" i="8"/>
  <c r="I29" i="8"/>
  <c r="H29" i="8"/>
  <c r="M29" i="8" s="1"/>
  <c r="G29" i="8"/>
  <c r="O28" i="8"/>
  <c r="L28" i="8"/>
  <c r="K28" i="8"/>
  <c r="J28" i="8"/>
  <c r="I28" i="8"/>
  <c r="H28" i="8"/>
  <c r="M28" i="8" s="1"/>
  <c r="G28" i="8"/>
  <c r="O27" i="8"/>
  <c r="M27" i="8"/>
  <c r="L27" i="8"/>
  <c r="K27" i="8"/>
  <c r="N27" i="8" s="1"/>
  <c r="J27" i="8"/>
  <c r="I27" i="8"/>
  <c r="H27" i="8"/>
  <c r="G27" i="8"/>
  <c r="O26" i="8"/>
  <c r="L26" i="8"/>
  <c r="N26" i="8" s="1"/>
  <c r="K26" i="8"/>
  <c r="J26" i="8"/>
  <c r="I26" i="8"/>
  <c r="H26" i="8"/>
  <c r="M26" i="8" s="1"/>
  <c r="G26" i="8"/>
  <c r="O25" i="8"/>
  <c r="L25" i="8"/>
  <c r="N25" i="8" s="1"/>
  <c r="K25" i="8"/>
  <c r="J25" i="8"/>
  <c r="I25" i="8"/>
  <c r="H25" i="8"/>
  <c r="M25" i="8" s="1"/>
  <c r="G25" i="8"/>
  <c r="O24" i="8"/>
  <c r="L24" i="8"/>
  <c r="K24" i="8"/>
  <c r="N24" i="8" s="1"/>
  <c r="J24" i="8"/>
  <c r="I24" i="8"/>
  <c r="H24" i="8"/>
  <c r="M24" i="8" s="1"/>
  <c r="G24" i="8"/>
  <c r="O23" i="8"/>
  <c r="L23" i="8"/>
  <c r="K23" i="8"/>
  <c r="N23" i="8" s="1"/>
  <c r="J23" i="8"/>
  <c r="I23" i="8"/>
  <c r="H23" i="8"/>
  <c r="M23" i="8" s="1"/>
  <c r="G23" i="8"/>
  <c r="O22" i="8"/>
  <c r="M22" i="8"/>
  <c r="L22" i="8"/>
  <c r="K22" i="8"/>
  <c r="N22" i="8" s="1"/>
  <c r="J22" i="8"/>
  <c r="I22" i="8"/>
  <c r="H22" i="8"/>
  <c r="G22" i="8"/>
  <c r="O21" i="8"/>
  <c r="M21" i="8"/>
  <c r="L21" i="8"/>
  <c r="K21" i="8"/>
  <c r="N21" i="8" s="1"/>
  <c r="J21" i="8"/>
  <c r="I21" i="8"/>
  <c r="H21" i="8"/>
  <c r="G21" i="8"/>
  <c r="O20" i="8"/>
  <c r="M20" i="8"/>
  <c r="L20" i="8"/>
  <c r="K20" i="8"/>
  <c r="J20" i="8"/>
  <c r="I20" i="8"/>
  <c r="H20" i="8"/>
  <c r="G20" i="8"/>
  <c r="O19" i="8"/>
  <c r="N19" i="8"/>
  <c r="L19" i="8"/>
  <c r="K19" i="8"/>
  <c r="J19" i="8"/>
  <c r="I19" i="8"/>
  <c r="H19" i="8"/>
  <c r="M19" i="8" s="1"/>
  <c r="G19" i="8"/>
  <c r="O18" i="8"/>
  <c r="L18" i="8"/>
  <c r="K18" i="8"/>
  <c r="N18" i="8" s="1"/>
  <c r="J18" i="8"/>
  <c r="I18" i="8"/>
  <c r="H18" i="8"/>
  <c r="M18" i="8" s="1"/>
  <c r="G18" i="8"/>
  <c r="O17" i="8"/>
  <c r="L17" i="8"/>
  <c r="K17" i="8"/>
  <c r="N17" i="8" s="1"/>
  <c r="J17" i="8"/>
  <c r="I17" i="8"/>
  <c r="H17" i="8"/>
  <c r="M17" i="8" s="1"/>
  <c r="G17" i="8"/>
  <c r="O16" i="8"/>
  <c r="L16" i="8"/>
  <c r="K16" i="8"/>
  <c r="N16" i="8" s="1"/>
  <c r="J16" i="8"/>
  <c r="I16" i="8"/>
  <c r="H16" i="8"/>
  <c r="M16" i="8" s="1"/>
  <c r="G16" i="8"/>
  <c r="O15" i="8"/>
  <c r="L15" i="8"/>
  <c r="K15" i="8"/>
  <c r="J15" i="8"/>
  <c r="I15" i="8"/>
  <c r="H15" i="8"/>
  <c r="M15" i="8" s="1"/>
  <c r="G15" i="8"/>
  <c r="O14" i="8"/>
  <c r="M14" i="8"/>
  <c r="L14" i="8"/>
  <c r="K14" i="8"/>
  <c r="J14" i="8"/>
  <c r="I14" i="8"/>
  <c r="H14" i="8"/>
  <c r="G14" i="8"/>
  <c r="O13" i="8"/>
  <c r="M13" i="8"/>
  <c r="L13" i="8"/>
  <c r="K13" i="8"/>
  <c r="J13" i="8"/>
  <c r="I13" i="8"/>
  <c r="H13" i="8"/>
  <c r="G13" i="8"/>
  <c r="O12" i="8"/>
  <c r="M12" i="8"/>
  <c r="L12" i="8"/>
  <c r="N12" i="8" s="1"/>
  <c r="K12" i="8"/>
  <c r="J12" i="8"/>
  <c r="I12" i="8"/>
  <c r="H12" i="8"/>
  <c r="G12" i="8"/>
  <c r="O11" i="8"/>
  <c r="N11" i="8"/>
  <c r="M11" i="8"/>
  <c r="L11" i="8"/>
  <c r="K11" i="8"/>
  <c r="J11" i="8"/>
  <c r="I11" i="8"/>
  <c r="H11" i="8"/>
  <c r="G11" i="8"/>
  <c r="O10" i="8"/>
  <c r="N10" i="8"/>
  <c r="L10" i="8"/>
  <c r="K10" i="8"/>
  <c r="J10" i="8"/>
  <c r="I10" i="8"/>
  <c r="H10" i="8"/>
  <c r="M10" i="8" s="1"/>
  <c r="G10" i="8"/>
  <c r="O9" i="8"/>
  <c r="N9" i="8"/>
  <c r="L9" i="8"/>
  <c r="K9" i="8"/>
  <c r="J9" i="8"/>
  <c r="I9" i="8"/>
  <c r="H9" i="8"/>
  <c r="M9" i="8" s="1"/>
  <c r="G9" i="8"/>
  <c r="O8" i="8"/>
  <c r="L8" i="8"/>
  <c r="K8" i="8"/>
  <c r="J8" i="8"/>
  <c r="I8" i="8"/>
  <c r="H8" i="8"/>
  <c r="M8" i="8" s="1"/>
  <c r="G8" i="8"/>
  <c r="O7" i="8"/>
  <c r="L7" i="8"/>
  <c r="K7" i="8"/>
  <c r="N7" i="8" s="1"/>
  <c r="J7" i="8"/>
  <c r="I7" i="8"/>
  <c r="H7" i="8"/>
  <c r="M7" i="8" s="1"/>
  <c r="G7" i="8"/>
  <c r="O6" i="8"/>
  <c r="L6" i="8"/>
  <c r="K6" i="8"/>
  <c r="N6" i="8" s="1"/>
  <c r="J6" i="8"/>
  <c r="I6" i="8"/>
  <c r="H6" i="8"/>
  <c r="M6" i="8" s="1"/>
  <c r="G6" i="8"/>
  <c r="O5" i="8"/>
  <c r="L5" i="8"/>
  <c r="K5" i="8"/>
  <c r="N5" i="8" s="1"/>
  <c r="J5" i="8"/>
  <c r="I5" i="8"/>
  <c r="H5" i="8"/>
  <c r="M5" i="8" s="1"/>
  <c r="G5" i="8"/>
  <c r="O4" i="8"/>
  <c r="L4" i="8"/>
  <c r="K4" i="8"/>
  <c r="J4" i="8"/>
  <c r="I4" i="8"/>
  <c r="H4" i="8"/>
  <c r="M4" i="8" s="1"/>
  <c r="G4" i="8"/>
  <c r="O3" i="8"/>
  <c r="M3" i="8"/>
  <c r="L3" i="8"/>
  <c r="N3" i="8" s="1"/>
  <c r="K3" i="8"/>
  <c r="J3" i="8"/>
  <c r="I3" i="8"/>
  <c r="H3" i="8"/>
  <c r="G3" i="8"/>
  <c r="O2" i="8"/>
  <c r="L2" i="8"/>
  <c r="N2" i="8" s="1"/>
  <c r="K2" i="8"/>
  <c r="J2" i="8"/>
  <c r="I2" i="8"/>
  <c r="H2" i="8"/>
  <c r="M2" i="8" s="1"/>
  <c r="G2" i="8"/>
  <c r="N4" i="8" l="1"/>
  <c r="N88" i="8"/>
  <c r="N94" i="8"/>
  <c r="N95" i="8"/>
  <c r="N101" i="8"/>
  <c r="N80" i="8"/>
  <c r="N85" i="8"/>
  <c r="N86" i="8"/>
  <c r="N87" i="8"/>
  <c r="N32" i="8"/>
  <c r="N40" i="8"/>
  <c r="N48" i="8"/>
  <c r="N56" i="8"/>
  <c r="N64" i="8"/>
  <c r="N69" i="8"/>
  <c r="N70" i="8"/>
  <c r="N71" i="8"/>
  <c r="N120" i="8"/>
  <c r="N116" i="8"/>
  <c r="N28" i="8"/>
  <c r="N8" i="8"/>
  <c r="N13" i="8"/>
  <c r="N14" i="8"/>
  <c r="N15" i="8"/>
  <c r="N20" i="8"/>
  <c r="N104" i="8"/>
  <c r="N110" i="8"/>
  <c r="N111" i="8"/>
  <c r="O63" i="7"/>
  <c r="L63" i="7"/>
  <c r="K63" i="7"/>
  <c r="N63" i="7" s="1"/>
  <c r="J63" i="7"/>
  <c r="I63" i="7"/>
  <c r="H63" i="7"/>
  <c r="M63" i="7" s="1"/>
  <c r="G63" i="7"/>
  <c r="O62" i="7"/>
  <c r="L62" i="7"/>
  <c r="K62" i="7"/>
  <c r="N62" i="7" s="1"/>
  <c r="J62" i="7"/>
  <c r="I62" i="7"/>
  <c r="H62" i="7"/>
  <c r="M62" i="7" s="1"/>
  <c r="G62" i="7"/>
  <c r="O61" i="7"/>
  <c r="L61" i="7"/>
  <c r="K61" i="7"/>
  <c r="J61" i="7"/>
  <c r="I61" i="7"/>
  <c r="H61" i="7"/>
  <c r="M61" i="7" s="1"/>
  <c r="G61" i="7"/>
  <c r="O60" i="7"/>
  <c r="L60" i="7"/>
  <c r="K60" i="7"/>
  <c r="J60" i="7"/>
  <c r="I60" i="7"/>
  <c r="H60" i="7"/>
  <c r="M60" i="7" s="1"/>
  <c r="G60" i="7"/>
  <c r="O59" i="7"/>
  <c r="L59" i="7"/>
  <c r="K59" i="7"/>
  <c r="N59" i="7" s="1"/>
  <c r="J59" i="7"/>
  <c r="I59" i="7"/>
  <c r="H59" i="7"/>
  <c r="M59" i="7" s="1"/>
  <c r="G59" i="7"/>
  <c r="O58" i="7"/>
  <c r="L58" i="7"/>
  <c r="K58" i="7"/>
  <c r="J58" i="7"/>
  <c r="I58" i="7"/>
  <c r="H58" i="7"/>
  <c r="M58" i="7" s="1"/>
  <c r="G58" i="7"/>
  <c r="O57" i="7"/>
  <c r="L57" i="7"/>
  <c r="K57" i="7"/>
  <c r="N57" i="7" s="1"/>
  <c r="J57" i="7"/>
  <c r="I57" i="7"/>
  <c r="H57" i="7"/>
  <c r="M57" i="7" s="1"/>
  <c r="G57" i="7"/>
  <c r="O56" i="7"/>
  <c r="L56" i="7"/>
  <c r="K56" i="7"/>
  <c r="N56" i="7" s="1"/>
  <c r="J56" i="7"/>
  <c r="I56" i="7"/>
  <c r="H56" i="7"/>
  <c r="M56" i="7" s="1"/>
  <c r="G56" i="7"/>
  <c r="O55" i="7"/>
  <c r="L55" i="7"/>
  <c r="K55" i="7"/>
  <c r="N55" i="7" s="1"/>
  <c r="J55" i="7"/>
  <c r="I55" i="7"/>
  <c r="H55" i="7"/>
  <c r="M55" i="7" s="1"/>
  <c r="G55" i="7"/>
  <c r="O54" i="7"/>
  <c r="L54" i="7"/>
  <c r="K54" i="7"/>
  <c r="N54" i="7" s="1"/>
  <c r="J54" i="7"/>
  <c r="I54" i="7"/>
  <c r="H54" i="7"/>
  <c r="M54" i="7" s="1"/>
  <c r="G54" i="7"/>
  <c r="O53" i="7"/>
  <c r="L53" i="7"/>
  <c r="K53" i="7"/>
  <c r="N53" i="7" s="1"/>
  <c r="J53" i="7"/>
  <c r="I53" i="7"/>
  <c r="H53" i="7"/>
  <c r="M53" i="7" s="1"/>
  <c r="G53" i="7"/>
  <c r="O52" i="7"/>
  <c r="L52" i="7"/>
  <c r="K52" i="7"/>
  <c r="N52" i="7" s="1"/>
  <c r="J52" i="7"/>
  <c r="I52" i="7"/>
  <c r="H52" i="7"/>
  <c r="M52" i="7" s="1"/>
  <c r="G52" i="7"/>
  <c r="O51" i="7"/>
  <c r="L51" i="7"/>
  <c r="K51" i="7"/>
  <c r="N51" i="7" s="1"/>
  <c r="J51" i="7"/>
  <c r="I51" i="7"/>
  <c r="H51" i="7"/>
  <c r="M51" i="7" s="1"/>
  <c r="G51" i="7"/>
  <c r="O50" i="7"/>
  <c r="L50" i="7"/>
  <c r="K50" i="7"/>
  <c r="N50" i="7" s="1"/>
  <c r="J50" i="7"/>
  <c r="I50" i="7"/>
  <c r="H50" i="7"/>
  <c r="M50" i="7" s="1"/>
  <c r="G50" i="7"/>
  <c r="O49" i="7"/>
  <c r="L49" i="7"/>
  <c r="K49" i="7"/>
  <c r="J49" i="7"/>
  <c r="I49" i="7"/>
  <c r="H49" i="7"/>
  <c r="M49" i="7" s="1"/>
  <c r="G49" i="7"/>
  <c r="O48" i="7"/>
  <c r="L48" i="7"/>
  <c r="K48" i="7"/>
  <c r="J48" i="7"/>
  <c r="I48" i="7"/>
  <c r="H48" i="7"/>
  <c r="M48" i="7" s="1"/>
  <c r="G48" i="7"/>
  <c r="O47" i="7"/>
  <c r="L47" i="7"/>
  <c r="K47" i="7"/>
  <c r="N47" i="7" s="1"/>
  <c r="J47" i="7"/>
  <c r="I47" i="7"/>
  <c r="H47" i="7"/>
  <c r="M47" i="7" s="1"/>
  <c r="G47" i="7"/>
  <c r="O46" i="7"/>
  <c r="L46" i="7"/>
  <c r="K46" i="7"/>
  <c r="J46" i="7"/>
  <c r="I46" i="7"/>
  <c r="H46" i="7"/>
  <c r="M46" i="7" s="1"/>
  <c r="G46" i="7"/>
  <c r="O45" i="7"/>
  <c r="L45" i="7"/>
  <c r="K45" i="7"/>
  <c r="N45" i="7" s="1"/>
  <c r="J45" i="7"/>
  <c r="I45" i="7"/>
  <c r="H45" i="7"/>
  <c r="M45" i="7" s="1"/>
  <c r="G45" i="7"/>
  <c r="O44" i="7"/>
  <c r="L44" i="7"/>
  <c r="K44" i="7"/>
  <c r="J44" i="7"/>
  <c r="I44" i="7"/>
  <c r="H44" i="7"/>
  <c r="M44" i="7" s="1"/>
  <c r="G44" i="7"/>
  <c r="O43" i="7"/>
  <c r="L43" i="7"/>
  <c r="K43" i="7"/>
  <c r="N43" i="7" s="1"/>
  <c r="J43" i="7"/>
  <c r="I43" i="7"/>
  <c r="H43" i="7"/>
  <c r="M43" i="7" s="1"/>
  <c r="G43" i="7"/>
  <c r="O42" i="7"/>
  <c r="L42" i="7"/>
  <c r="K42" i="7"/>
  <c r="N42" i="7" s="1"/>
  <c r="J42" i="7"/>
  <c r="I42" i="7"/>
  <c r="H42" i="7"/>
  <c r="M42" i="7" s="1"/>
  <c r="G42" i="7"/>
  <c r="O41" i="7"/>
  <c r="L41" i="7"/>
  <c r="K41" i="7"/>
  <c r="N41" i="7" s="1"/>
  <c r="J41" i="7"/>
  <c r="I41" i="7"/>
  <c r="H41" i="7"/>
  <c r="M41" i="7" s="1"/>
  <c r="G41" i="7"/>
  <c r="O40" i="7"/>
  <c r="L40" i="7"/>
  <c r="K40" i="7"/>
  <c r="N40" i="7" s="1"/>
  <c r="J40" i="7"/>
  <c r="I40" i="7"/>
  <c r="H40" i="7"/>
  <c r="M40" i="7" s="1"/>
  <c r="G40" i="7"/>
  <c r="O39" i="7"/>
  <c r="L39" i="7"/>
  <c r="K39" i="7"/>
  <c r="N39" i="7" s="1"/>
  <c r="J39" i="7"/>
  <c r="I39" i="7"/>
  <c r="H39" i="7"/>
  <c r="M39" i="7" s="1"/>
  <c r="G39" i="7"/>
  <c r="O38" i="7"/>
  <c r="L38" i="7"/>
  <c r="K38" i="7"/>
  <c r="N38" i="7" s="1"/>
  <c r="J38" i="7"/>
  <c r="I38" i="7"/>
  <c r="H38" i="7"/>
  <c r="M38" i="7" s="1"/>
  <c r="G38" i="7"/>
  <c r="O37" i="7"/>
  <c r="L37" i="7"/>
  <c r="K37" i="7"/>
  <c r="J37" i="7"/>
  <c r="I37" i="7"/>
  <c r="H37" i="7"/>
  <c r="M37" i="7" s="1"/>
  <c r="G37" i="7"/>
  <c r="O36" i="7"/>
  <c r="L36" i="7"/>
  <c r="K36" i="7"/>
  <c r="J36" i="7"/>
  <c r="I36" i="7"/>
  <c r="H36" i="7"/>
  <c r="M36" i="7" s="1"/>
  <c r="G36" i="7"/>
  <c r="O35" i="7"/>
  <c r="L35" i="7"/>
  <c r="K35" i="7"/>
  <c r="N35" i="7" s="1"/>
  <c r="J35" i="7"/>
  <c r="I35" i="7"/>
  <c r="H35" i="7"/>
  <c r="M35" i="7" s="1"/>
  <c r="G35" i="7"/>
  <c r="O34" i="7"/>
  <c r="L34" i="7"/>
  <c r="K34" i="7"/>
  <c r="J34" i="7"/>
  <c r="I34" i="7"/>
  <c r="H34" i="7"/>
  <c r="M34" i="7" s="1"/>
  <c r="G34" i="7"/>
  <c r="O33" i="7"/>
  <c r="L33" i="7"/>
  <c r="K33" i="7"/>
  <c r="J33" i="7"/>
  <c r="I33" i="7"/>
  <c r="H33" i="7"/>
  <c r="M33" i="7" s="1"/>
  <c r="G33" i="7"/>
  <c r="O32" i="7"/>
  <c r="L32" i="7"/>
  <c r="K32" i="7"/>
  <c r="J32" i="7"/>
  <c r="I32" i="7"/>
  <c r="H32" i="7"/>
  <c r="M32" i="7" s="1"/>
  <c r="G32" i="7"/>
  <c r="O31" i="7"/>
  <c r="L31" i="7"/>
  <c r="K31" i="7"/>
  <c r="N31" i="7" s="1"/>
  <c r="J31" i="7"/>
  <c r="I31" i="7"/>
  <c r="H31" i="7"/>
  <c r="M31" i="7" s="1"/>
  <c r="G31" i="7"/>
  <c r="O30" i="7"/>
  <c r="L30" i="7"/>
  <c r="K30" i="7"/>
  <c r="N30" i="7" s="1"/>
  <c r="J30" i="7"/>
  <c r="I30" i="7"/>
  <c r="H30" i="7"/>
  <c r="M30" i="7" s="1"/>
  <c r="G30" i="7"/>
  <c r="O29" i="7"/>
  <c r="L29" i="7"/>
  <c r="K29" i="7"/>
  <c r="N29" i="7" s="1"/>
  <c r="J29" i="7"/>
  <c r="I29" i="7"/>
  <c r="H29" i="7"/>
  <c r="M29" i="7" s="1"/>
  <c r="G29" i="7"/>
  <c r="O28" i="7"/>
  <c r="L28" i="7"/>
  <c r="K28" i="7"/>
  <c r="N28" i="7" s="1"/>
  <c r="J28" i="7"/>
  <c r="I28" i="7"/>
  <c r="H28" i="7"/>
  <c r="M28" i="7" s="1"/>
  <c r="G28" i="7"/>
  <c r="O27" i="7"/>
  <c r="L27" i="7"/>
  <c r="K27" i="7"/>
  <c r="N27" i="7" s="1"/>
  <c r="J27" i="7"/>
  <c r="I27" i="7"/>
  <c r="H27" i="7"/>
  <c r="M27" i="7" s="1"/>
  <c r="G27" i="7"/>
  <c r="O26" i="7"/>
  <c r="L26" i="7"/>
  <c r="K26" i="7"/>
  <c r="N26" i="7" s="1"/>
  <c r="J26" i="7"/>
  <c r="I26" i="7"/>
  <c r="H26" i="7"/>
  <c r="M26" i="7" s="1"/>
  <c r="G26" i="7"/>
  <c r="O25" i="7"/>
  <c r="L25" i="7"/>
  <c r="K25" i="7"/>
  <c r="J25" i="7"/>
  <c r="I25" i="7"/>
  <c r="H25" i="7"/>
  <c r="M25" i="7" s="1"/>
  <c r="G25" i="7"/>
  <c r="O24" i="7"/>
  <c r="L24" i="7"/>
  <c r="K24" i="7"/>
  <c r="J24" i="7"/>
  <c r="I24" i="7"/>
  <c r="H24" i="7"/>
  <c r="M24" i="7" s="1"/>
  <c r="G24" i="7"/>
  <c r="O23" i="7"/>
  <c r="L23" i="7"/>
  <c r="K23" i="7"/>
  <c r="N23" i="7" s="1"/>
  <c r="J23" i="7"/>
  <c r="I23" i="7"/>
  <c r="H23" i="7"/>
  <c r="M23" i="7" s="1"/>
  <c r="G23" i="7"/>
  <c r="O22" i="7"/>
  <c r="L22" i="7"/>
  <c r="K22" i="7"/>
  <c r="J22" i="7"/>
  <c r="I22" i="7"/>
  <c r="H22" i="7"/>
  <c r="M22" i="7" s="1"/>
  <c r="G22" i="7"/>
  <c r="O21" i="7"/>
  <c r="L21" i="7"/>
  <c r="K21" i="7"/>
  <c r="J21" i="7"/>
  <c r="I21" i="7"/>
  <c r="H21" i="7"/>
  <c r="M21" i="7" s="1"/>
  <c r="G21" i="7"/>
  <c r="O20" i="7"/>
  <c r="L20" i="7"/>
  <c r="K20" i="7"/>
  <c r="J20" i="7"/>
  <c r="I20" i="7"/>
  <c r="H20" i="7"/>
  <c r="M20" i="7" s="1"/>
  <c r="G20" i="7"/>
  <c r="O19" i="7"/>
  <c r="L19" i="7"/>
  <c r="K19" i="7"/>
  <c r="N19" i="7" s="1"/>
  <c r="J19" i="7"/>
  <c r="I19" i="7"/>
  <c r="H19" i="7"/>
  <c r="M19" i="7" s="1"/>
  <c r="G19" i="7"/>
  <c r="O18" i="7"/>
  <c r="L18" i="7"/>
  <c r="K18" i="7"/>
  <c r="N18" i="7" s="1"/>
  <c r="J18" i="7"/>
  <c r="I18" i="7"/>
  <c r="H18" i="7"/>
  <c r="M18" i="7" s="1"/>
  <c r="G18" i="7"/>
  <c r="O17" i="7"/>
  <c r="L17" i="7"/>
  <c r="K17" i="7"/>
  <c r="N17" i="7" s="1"/>
  <c r="J17" i="7"/>
  <c r="I17" i="7"/>
  <c r="H17" i="7"/>
  <c r="M17" i="7" s="1"/>
  <c r="G17" i="7"/>
  <c r="O16" i="7"/>
  <c r="L16" i="7"/>
  <c r="K16" i="7"/>
  <c r="N16" i="7" s="1"/>
  <c r="J16" i="7"/>
  <c r="I16" i="7"/>
  <c r="H16" i="7"/>
  <c r="M16" i="7" s="1"/>
  <c r="G16" i="7"/>
  <c r="O15" i="7"/>
  <c r="L15" i="7"/>
  <c r="K15" i="7"/>
  <c r="N15" i="7" s="1"/>
  <c r="J15" i="7"/>
  <c r="I15" i="7"/>
  <c r="H15" i="7"/>
  <c r="M15" i="7" s="1"/>
  <c r="G15" i="7"/>
  <c r="O14" i="7"/>
  <c r="L14" i="7"/>
  <c r="K14" i="7"/>
  <c r="N14" i="7" s="1"/>
  <c r="J14" i="7"/>
  <c r="I14" i="7"/>
  <c r="H14" i="7"/>
  <c r="M14" i="7" s="1"/>
  <c r="G14" i="7"/>
  <c r="O13" i="7"/>
  <c r="L13" i="7"/>
  <c r="K13" i="7"/>
  <c r="J13" i="7"/>
  <c r="I13" i="7"/>
  <c r="H13" i="7"/>
  <c r="M13" i="7" s="1"/>
  <c r="G13" i="7"/>
  <c r="O12" i="7"/>
  <c r="L12" i="7"/>
  <c r="K12" i="7"/>
  <c r="J12" i="7"/>
  <c r="I12" i="7"/>
  <c r="H12" i="7"/>
  <c r="M12" i="7" s="1"/>
  <c r="G12" i="7"/>
  <c r="O11" i="7"/>
  <c r="L11" i="7"/>
  <c r="K11" i="7"/>
  <c r="N11" i="7" s="1"/>
  <c r="J11" i="7"/>
  <c r="I11" i="7"/>
  <c r="H11" i="7"/>
  <c r="M11" i="7" s="1"/>
  <c r="G11" i="7"/>
  <c r="O10" i="7"/>
  <c r="L10" i="7"/>
  <c r="K10" i="7"/>
  <c r="J10" i="7"/>
  <c r="I10" i="7"/>
  <c r="H10" i="7"/>
  <c r="M10" i="7" s="1"/>
  <c r="G10" i="7"/>
  <c r="O9" i="7"/>
  <c r="L9" i="7"/>
  <c r="K9" i="7"/>
  <c r="J9" i="7"/>
  <c r="I9" i="7"/>
  <c r="H9" i="7"/>
  <c r="M9" i="7" s="1"/>
  <c r="G9" i="7"/>
  <c r="O8" i="7"/>
  <c r="L8" i="7"/>
  <c r="K8" i="7"/>
  <c r="J8" i="7"/>
  <c r="I8" i="7"/>
  <c r="H8" i="7"/>
  <c r="M8" i="7" s="1"/>
  <c r="G8" i="7"/>
  <c r="O7" i="7"/>
  <c r="L7" i="7"/>
  <c r="K7" i="7"/>
  <c r="N7" i="7" s="1"/>
  <c r="J7" i="7"/>
  <c r="I7" i="7"/>
  <c r="H7" i="7"/>
  <c r="M7" i="7" s="1"/>
  <c r="G7" i="7"/>
  <c r="O6" i="7"/>
  <c r="L6" i="7"/>
  <c r="K6" i="7"/>
  <c r="N6" i="7" s="1"/>
  <c r="J6" i="7"/>
  <c r="I6" i="7"/>
  <c r="H6" i="7"/>
  <c r="M6" i="7" s="1"/>
  <c r="G6" i="7"/>
  <c r="O5" i="7"/>
  <c r="L5" i="7"/>
  <c r="K5" i="7"/>
  <c r="N5" i="7" s="1"/>
  <c r="J5" i="7"/>
  <c r="I5" i="7"/>
  <c r="H5" i="7"/>
  <c r="M5" i="7" s="1"/>
  <c r="G5" i="7"/>
  <c r="O4" i="7"/>
  <c r="L4" i="7"/>
  <c r="K4" i="7"/>
  <c r="N4" i="7" s="1"/>
  <c r="J4" i="7"/>
  <c r="I4" i="7"/>
  <c r="H4" i="7"/>
  <c r="M4" i="7" s="1"/>
  <c r="G4" i="7"/>
  <c r="O3" i="7"/>
  <c r="L3" i="7"/>
  <c r="K3" i="7"/>
  <c r="N3" i="7" s="1"/>
  <c r="J3" i="7"/>
  <c r="I3" i="7"/>
  <c r="H3" i="7"/>
  <c r="M3" i="7" s="1"/>
  <c r="G3" i="7"/>
  <c r="O2" i="7"/>
  <c r="L2" i="7"/>
  <c r="K2" i="7"/>
  <c r="N2" i="7" s="1"/>
  <c r="J2" i="7"/>
  <c r="I2" i="7"/>
  <c r="H2" i="7"/>
  <c r="M2" i="7" s="1"/>
  <c r="G2" i="7"/>
  <c r="O14" i="6"/>
  <c r="L14" i="6"/>
  <c r="K14" i="6"/>
  <c r="N14" i="6" s="1"/>
  <c r="J14" i="6"/>
  <c r="I14" i="6"/>
  <c r="H14" i="6"/>
  <c r="M14" i="6" s="1"/>
  <c r="G14" i="6"/>
  <c r="O13" i="6"/>
  <c r="N13" i="6"/>
  <c r="M13" i="6"/>
  <c r="L13" i="6"/>
  <c r="K13" i="6"/>
  <c r="J13" i="6"/>
  <c r="I13" i="6"/>
  <c r="H13" i="6"/>
  <c r="G13" i="6"/>
  <c r="O12" i="6"/>
  <c r="M12" i="6"/>
  <c r="L12" i="6"/>
  <c r="K12" i="6"/>
  <c r="N12" i="6" s="1"/>
  <c r="J12" i="6"/>
  <c r="I12" i="6"/>
  <c r="H12" i="6"/>
  <c r="G12" i="6"/>
  <c r="O11" i="6"/>
  <c r="L11" i="6"/>
  <c r="K11" i="6"/>
  <c r="N11" i="6" s="1"/>
  <c r="J11" i="6"/>
  <c r="I11" i="6"/>
  <c r="H11" i="6"/>
  <c r="M11" i="6" s="1"/>
  <c r="G11" i="6"/>
  <c r="O10" i="6"/>
  <c r="L10" i="6"/>
  <c r="K10" i="6"/>
  <c r="N10" i="6" s="1"/>
  <c r="J10" i="6"/>
  <c r="I10" i="6"/>
  <c r="H10" i="6"/>
  <c r="M10" i="6" s="1"/>
  <c r="G10" i="6"/>
  <c r="O9" i="6"/>
  <c r="N9" i="6"/>
  <c r="M9" i="6"/>
  <c r="L9" i="6"/>
  <c r="K9" i="6"/>
  <c r="J9" i="6"/>
  <c r="I9" i="6"/>
  <c r="H9" i="6"/>
  <c r="G9" i="6"/>
  <c r="O8" i="6"/>
  <c r="M8" i="6"/>
  <c r="L8" i="6"/>
  <c r="K8" i="6"/>
  <c r="N8" i="6" s="1"/>
  <c r="J8" i="6"/>
  <c r="I8" i="6"/>
  <c r="H8" i="6"/>
  <c r="G8" i="6"/>
  <c r="O7" i="6"/>
  <c r="L7" i="6"/>
  <c r="K7" i="6"/>
  <c r="N7" i="6" s="1"/>
  <c r="J7" i="6"/>
  <c r="I7" i="6"/>
  <c r="H7" i="6"/>
  <c r="M7" i="6" s="1"/>
  <c r="G7" i="6"/>
  <c r="O6" i="6"/>
  <c r="L6" i="6"/>
  <c r="K6" i="6"/>
  <c r="N6" i="6" s="1"/>
  <c r="J6" i="6"/>
  <c r="I6" i="6"/>
  <c r="H6" i="6"/>
  <c r="M6" i="6" s="1"/>
  <c r="G6" i="6"/>
  <c r="O5" i="6"/>
  <c r="N5" i="6"/>
  <c r="M5" i="6"/>
  <c r="L5" i="6"/>
  <c r="K5" i="6"/>
  <c r="J5" i="6"/>
  <c r="I5" i="6"/>
  <c r="H5" i="6"/>
  <c r="G5" i="6"/>
  <c r="O4" i="6"/>
  <c r="M4" i="6"/>
  <c r="L4" i="6"/>
  <c r="K4" i="6"/>
  <c r="N4" i="6" s="1"/>
  <c r="J4" i="6"/>
  <c r="I4" i="6"/>
  <c r="H4" i="6"/>
  <c r="G4" i="6"/>
  <c r="O3" i="6"/>
  <c r="L3" i="6"/>
  <c r="K3" i="6"/>
  <c r="N3" i="6" s="1"/>
  <c r="J3" i="6"/>
  <c r="I3" i="6"/>
  <c r="H3" i="6"/>
  <c r="M3" i="6" s="1"/>
  <c r="G3" i="6"/>
  <c r="O2" i="6"/>
  <c r="L2" i="6"/>
  <c r="K2" i="6"/>
  <c r="N2" i="6" s="1"/>
  <c r="J2" i="6"/>
  <c r="I2" i="6"/>
  <c r="H2" i="6"/>
  <c r="M2" i="6" s="1"/>
  <c r="G2" i="6"/>
  <c r="N34" i="7" l="1"/>
  <c r="N46" i="7"/>
  <c r="N58" i="7"/>
  <c r="N22" i="7"/>
  <c r="N8" i="7"/>
  <c r="N20" i="7"/>
  <c r="N32" i="7"/>
  <c r="N44" i="7"/>
  <c r="N10" i="7"/>
  <c r="N61" i="7"/>
  <c r="N12" i="7"/>
  <c r="N24" i="7"/>
  <c r="N60" i="7"/>
  <c r="N13" i="7"/>
  <c r="N25" i="7"/>
  <c r="N37" i="7"/>
  <c r="N49" i="7"/>
  <c r="N9" i="7"/>
  <c r="N21" i="7"/>
  <c r="N33" i="7"/>
  <c r="N36" i="7"/>
  <c r="N48" i="7"/>
  <c r="O52" i="5"/>
  <c r="L52" i="5"/>
  <c r="K52" i="5"/>
  <c r="J52" i="5"/>
  <c r="I52" i="5"/>
  <c r="H52" i="5"/>
  <c r="M52" i="5" s="1"/>
  <c r="G52" i="5"/>
  <c r="O51" i="5"/>
  <c r="L51" i="5"/>
  <c r="K51" i="5"/>
  <c r="J51" i="5"/>
  <c r="I51" i="5"/>
  <c r="H51" i="5"/>
  <c r="M51" i="5" s="1"/>
  <c r="G51" i="5"/>
  <c r="O50" i="5"/>
  <c r="L50" i="5"/>
  <c r="K50" i="5"/>
  <c r="N50" i="5" s="1"/>
  <c r="J50" i="5"/>
  <c r="I50" i="5"/>
  <c r="H50" i="5"/>
  <c r="M50" i="5" s="1"/>
  <c r="G50" i="5"/>
  <c r="O49" i="5"/>
  <c r="L49" i="5"/>
  <c r="K49" i="5"/>
  <c r="N49" i="5" s="1"/>
  <c r="J49" i="5"/>
  <c r="I49" i="5"/>
  <c r="H49" i="5"/>
  <c r="M49" i="5" s="1"/>
  <c r="G49" i="5"/>
  <c r="O48" i="5"/>
  <c r="L48" i="5"/>
  <c r="K48" i="5"/>
  <c r="J48" i="5"/>
  <c r="I48" i="5"/>
  <c r="H48" i="5"/>
  <c r="M48" i="5" s="1"/>
  <c r="G48" i="5"/>
  <c r="O47" i="5"/>
  <c r="L47" i="5"/>
  <c r="K47" i="5"/>
  <c r="N47" i="5" s="1"/>
  <c r="J47" i="5"/>
  <c r="I47" i="5"/>
  <c r="H47" i="5"/>
  <c r="M47" i="5" s="1"/>
  <c r="G47" i="5"/>
  <c r="O46" i="5"/>
  <c r="L46" i="5"/>
  <c r="K46" i="5"/>
  <c r="N46" i="5" s="1"/>
  <c r="J46" i="5"/>
  <c r="I46" i="5"/>
  <c r="H46" i="5"/>
  <c r="M46" i="5" s="1"/>
  <c r="G46" i="5"/>
  <c r="O45" i="5"/>
  <c r="L45" i="5"/>
  <c r="K45" i="5"/>
  <c r="N45" i="5" s="1"/>
  <c r="J45" i="5"/>
  <c r="I45" i="5"/>
  <c r="H45" i="5"/>
  <c r="M45" i="5" s="1"/>
  <c r="G45" i="5"/>
  <c r="O44" i="5"/>
  <c r="L44" i="5"/>
  <c r="K44" i="5"/>
  <c r="N44" i="5" s="1"/>
  <c r="J44" i="5"/>
  <c r="I44" i="5"/>
  <c r="H44" i="5"/>
  <c r="M44" i="5" s="1"/>
  <c r="G44" i="5"/>
  <c r="O43" i="5"/>
  <c r="N43" i="5"/>
  <c r="L43" i="5"/>
  <c r="K43" i="5"/>
  <c r="J43" i="5"/>
  <c r="I43" i="5"/>
  <c r="H43" i="5"/>
  <c r="M43" i="5" s="1"/>
  <c r="G43" i="5"/>
  <c r="O42" i="5"/>
  <c r="L42" i="5"/>
  <c r="K42" i="5"/>
  <c r="N42" i="5" s="1"/>
  <c r="J42" i="5"/>
  <c r="I42" i="5"/>
  <c r="H42" i="5"/>
  <c r="M42" i="5" s="1"/>
  <c r="G42" i="5"/>
  <c r="O41" i="5"/>
  <c r="L41" i="5"/>
  <c r="K41" i="5"/>
  <c r="N41" i="5" s="1"/>
  <c r="J41" i="5"/>
  <c r="I41" i="5"/>
  <c r="H41" i="5"/>
  <c r="M41" i="5" s="1"/>
  <c r="G41" i="5"/>
  <c r="O40" i="5"/>
  <c r="L40" i="5"/>
  <c r="K40" i="5"/>
  <c r="J40" i="5"/>
  <c r="I40" i="5"/>
  <c r="H40" i="5"/>
  <c r="M40" i="5" s="1"/>
  <c r="G40" i="5"/>
  <c r="O39" i="5"/>
  <c r="L39" i="5"/>
  <c r="K39" i="5"/>
  <c r="N39" i="5" s="1"/>
  <c r="J39" i="5"/>
  <c r="I39" i="5"/>
  <c r="H39" i="5"/>
  <c r="M39" i="5" s="1"/>
  <c r="G39" i="5"/>
  <c r="O38" i="5"/>
  <c r="L38" i="5"/>
  <c r="K38" i="5"/>
  <c r="N38" i="5" s="1"/>
  <c r="J38" i="5"/>
  <c r="I38" i="5"/>
  <c r="H38" i="5"/>
  <c r="M38" i="5" s="1"/>
  <c r="G38" i="5"/>
  <c r="O37" i="5"/>
  <c r="L37" i="5"/>
  <c r="K37" i="5"/>
  <c r="J37" i="5"/>
  <c r="I37" i="5"/>
  <c r="H37" i="5"/>
  <c r="M37" i="5" s="1"/>
  <c r="G37" i="5"/>
  <c r="O36" i="5"/>
  <c r="L36" i="5"/>
  <c r="K36" i="5"/>
  <c r="J36" i="5"/>
  <c r="I36" i="5"/>
  <c r="H36" i="5"/>
  <c r="M36" i="5" s="1"/>
  <c r="G36" i="5"/>
  <c r="O35" i="5"/>
  <c r="L35" i="5"/>
  <c r="K35" i="5"/>
  <c r="N35" i="5" s="1"/>
  <c r="J35" i="5"/>
  <c r="I35" i="5"/>
  <c r="H35" i="5"/>
  <c r="M35" i="5" s="1"/>
  <c r="G35" i="5"/>
  <c r="O34" i="5"/>
  <c r="L34" i="5"/>
  <c r="K34" i="5"/>
  <c r="N34" i="5" s="1"/>
  <c r="J34" i="5"/>
  <c r="I34" i="5"/>
  <c r="H34" i="5"/>
  <c r="M34" i="5" s="1"/>
  <c r="G34" i="5"/>
  <c r="O33" i="5"/>
  <c r="L33" i="5"/>
  <c r="K33" i="5"/>
  <c r="J33" i="5"/>
  <c r="I33" i="5"/>
  <c r="H33" i="5"/>
  <c r="M33" i="5" s="1"/>
  <c r="G33" i="5"/>
  <c r="O32" i="5"/>
  <c r="L32" i="5"/>
  <c r="K32" i="5"/>
  <c r="J32" i="5"/>
  <c r="I32" i="5"/>
  <c r="H32" i="5"/>
  <c r="M32" i="5" s="1"/>
  <c r="G32" i="5"/>
  <c r="O31" i="5"/>
  <c r="L31" i="5"/>
  <c r="K31" i="5"/>
  <c r="N31" i="5" s="1"/>
  <c r="J31" i="5"/>
  <c r="I31" i="5"/>
  <c r="H31" i="5"/>
  <c r="M31" i="5" s="1"/>
  <c r="G31" i="5"/>
  <c r="O30" i="5"/>
  <c r="L30" i="5"/>
  <c r="K30" i="5"/>
  <c r="J30" i="5"/>
  <c r="I30" i="5"/>
  <c r="H30" i="5"/>
  <c r="M30" i="5" s="1"/>
  <c r="G30" i="5"/>
  <c r="O29" i="5"/>
  <c r="L29" i="5"/>
  <c r="K29" i="5"/>
  <c r="J29" i="5"/>
  <c r="I29" i="5"/>
  <c r="H29" i="5"/>
  <c r="M29" i="5" s="1"/>
  <c r="G29" i="5"/>
  <c r="O28" i="5"/>
  <c r="L28" i="5"/>
  <c r="K28" i="5"/>
  <c r="N28" i="5" s="1"/>
  <c r="J28" i="5"/>
  <c r="I28" i="5"/>
  <c r="H28" i="5"/>
  <c r="M28" i="5" s="1"/>
  <c r="G28" i="5"/>
  <c r="O27" i="5"/>
  <c r="L27" i="5"/>
  <c r="K27" i="5"/>
  <c r="N27" i="5" s="1"/>
  <c r="J27" i="5"/>
  <c r="I27" i="5"/>
  <c r="H27" i="5"/>
  <c r="M27" i="5" s="1"/>
  <c r="G27" i="5"/>
  <c r="O26" i="5"/>
  <c r="M26" i="5"/>
  <c r="L26" i="5"/>
  <c r="K26" i="5"/>
  <c r="J26" i="5"/>
  <c r="I26" i="5"/>
  <c r="H26" i="5"/>
  <c r="G26" i="5"/>
  <c r="O25" i="5"/>
  <c r="L25" i="5"/>
  <c r="K25" i="5"/>
  <c r="J25" i="5"/>
  <c r="I25" i="5"/>
  <c r="H25" i="5"/>
  <c r="M25" i="5" s="1"/>
  <c r="G25" i="5"/>
  <c r="O24" i="5"/>
  <c r="L24" i="5"/>
  <c r="K24" i="5"/>
  <c r="J24" i="5"/>
  <c r="I24" i="5"/>
  <c r="H24" i="5"/>
  <c r="M24" i="5" s="1"/>
  <c r="G24" i="5"/>
  <c r="O23" i="5"/>
  <c r="L23" i="5"/>
  <c r="K23" i="5"/>
  <c r="J23" i="5"/>
  <c r="I23" i="5"/>
  <c r="H23" i="5"/>
  <c r="M23" i="5" s="1"/>
  <c r="G23" i="5"/>
  <c r="O22" i="5"/>
  <c r="L22" i="5"/>
  <c r="K22" i="5"/>
  <c r="N22" i="5" s="1"/>
  <c r="J22" i="5"/>
  <c r="I22" i="5"/>
  <c r="H22" i="5"/>
  <c r="M22" i="5" s="1"/>
  <c r="G22" i="5"/>
  <c r="O21" i="5"/>
  <c r="L21" i="5"/>
  <c r="K21" i="5"/>
  <c r="J21" i="5"/>
  <c r="I21" i="5"/>
  <c r="H21" i="5"/>
  <c r="M21" i="5" s="1"/>
  <c r="G21" i="5"/>
  <c r="O20" i="5"/>
  <c r="L20" i="5"/>
  <c r="K20" i="5"/>
  <c r="N20" i="5" s="1"/>
  <c r="J20" i="5"/>
  <c r="I20" i="5"/>
  <c r="H20" i="5"/>
  <c r="M20" i="5" s="1"/>
  <c r="G20" i="5"/>
  <c r="O19" i="5"/>
  <c r="L19" i="5"/>
  <c r="K19" i="5"/>
  <c r="J19" i="5"/>
  <c r="I19" i="5"/>
  <c r="H19" i="5"/>
  <c r="M19" i="5" s="1"/>
  <c r="G19" i="5"/>
  <c r="O18" i="5"/>
  <c r="L18" i="5"/>
  <c r="K18" i="5"/>
  <c r="J18" i="5"/>
  <c r="I18" i="5"/>
  <c r="H18" i="5"/>
  <c r="M18" i="5" s="1"/>
  <c r="G18" i="5"/>
  <c r="O17" i="5"/>
  <c r="L17" i="5"/>
  <c r="K17" i="5"/>
  <c r="N17" i="5" s="1"/>
  <c r="J17" i="5"/>
  <c r="I17" i="5"/>
  <c r="H17" i="5"/>
  <c r="M17" i="5" s="1"/>
  <c r="G17" i="5"/>
  <c r="O16" i="5"/>
  <c r="L16" i="5"/>
  <c r="K16" i="5"/>
  <c r="J16" i="5"/>
  <c r="I16" i="5"/>
  <c r="H16" i="5"/>
  <c r="M16" i="5" s="1"/>
  <c r="G16" i="5"/>
  <c r="O15" i="5"/>
  <c r="L15" i="5"/>
  <c r="N15" i="5" s="1"/>
  <c r="K15" i="5"/>
  <c r="J15" i="5"/>
  <c r="I15" i="5"/>
  <c r="H15" i="5"/>
  <c r="M15" i="5" s="1"/>
  <c r="G15" i="5"/>
  <c r="O14" i="5"/>
  <c r="M14" i="5"/>
  <c r="L14" i="5"/>
  <c r="K14" i="5"/>
  <c r="J14" i="5"/>
  <c r="I14" i="5"/>
  <c r="H14" i="5"/>
  <c r="G14" i="5"/>
  <c r="O13" i="5"/>
  <c r="L13" i="5"/>
  <c r="K13" i="5"/>
  <c r="N13" i="5" s="1"/>
  <c r="J13" i="5"/>
  <c r="I13" i="5"/>
  <c r="H13" i="5"/>
  <c r="M13" i="5" s="1"/>
  <c r="G13" i="5"/>
  <c r="O12" i="5"/>
  <c r="L12" i="5"/>
  <c r="K12" i="5"/>
  <c r="J12" i="5"/>
  <c r="I12" i="5"/>
  <c r="H12" i="5"/>
  <c r="M12" i="5" s="1"/>
  <c r="G12" i="5"/>
  <c r="O11" i="5"/>
  <c r="L11" i="5"/>
  <c r="K11" i="5"/>
  <c r="N11" i="5" s="1"/>
  <c r="J11" i="5"/>
  <c r="I11" i="5"/>
  <c r="H11" i="5"/>
  <c r="M11" i="5" s="1"/>
  <c r="G11" i="5"/>
  <c r="O10" i="5"/>
  <c r="L10" i="5"/>
  <c r="K10" i="5"/>
  <c r="N10" i="5" s="1"/>
  <c r="J10" i="5"/>
  <c r="I10" i="5"/>
  <c r="H10" i="5"/>
  <c r="M10" i="5" s="1"/>
  <c r="G10" i="5"/>
  <c r="O9" i="5"/>
  <c r="L9" i="5"/>
  <c r="K9" i="5"/>
  <c r="J9" i="5"/>
  <c r="I9" i="5"/>
  <c r="H9" i="5"/>
  <c r="M9" i="5" s="1"/>
  <c r="G9" i="5"/>
  <c r="O8" i="5"/>
  <c r="L8" i="5"/>
  <c r="K8" i="5"/>
  <c r="J8" i="5"/>
  <c r="I8" i="5"/>
  <c r="H8" i="5"/>
  <c r="M8" i="5" s="1"/>
  <c r="G8" i="5"/>
  <c r="O7" i="5"/>
  <c r="L7" i="5"/>
  <c r="K7" i="5"/>
  <c r="N7" i="5" s="1"/>
  <c r="J7" i="5"/>
  <c r="I7" i="5"/>
  <c r="H7" i="5"/>
  <c r="M7" i="5" s="1"/>
  <c r="G7" i="5"/>
  <c r="O6" i="5"/>
  <c r="L6" i="5"/>
  <c r="K6" i="5"/>
  <c r="J6" i="5"/>
  <c r="I6" i="5"/>
  <c r="H6" i="5"/>
  <c r="M6" i="5" s="1"/>
  <c r="G6" i="5"/>
  <c r="O5" i="5"/>
  <c r="L5" i="5"/>
  <c r="K5" i="5"/>
  <c r="N5" i="5" s="1"/>
  <c r="J5" i="5"/>
  <c r="I5" i="5"/>
  <c r="H5" i="5"/>
  <c r="M5" i="5" s="1"/>
  <c r="G5" i="5"/>
  <c r="O4" i="5"/>
  <c r="L4" i="5"/>
  <c r="K4" i="5"/>
  <c r="J4" i="5"/>
  <c r="I4" i="5"/>
  <c r="H4" i="5"/>
  <c r="M4" i="5" s="1"/>
  <c r="G4" i="5"/>
  <c r="O3" i="5"/>
  <c r="M3" i="5"/>
  <c r="L3" i="5"/>
  <c r="K3" i="5"/>
  <c r="J3" i="5"/>
  <c r="I3" i="5"/>
  <c r="H3" i="5"/>
  <c r="G3" i="5"/>
  <c r="O2" i="5"/>
  <c r="L2" i="5"/>
  <c r="K2" i="5"/>
  <c r="N2" i="5" s="1"/>
  <c r="J2" i="5"/>
  <c r="I2" i="5"/>
  <c r="H2" i="5"/>
  <c r="M2" i="5" s="1"/>
  <c r="G2" i="5"/>
  <c r="N23" i="5" l="1"/>
  <c r="N8" i="5"/>
  <c r="N19" i="5"/>
  <c r="N40" i="5"/>
  <c r="N51" i="5"/>
  <c r="N3" i="5"/>
  <c r="N4" i="5"/>
  <c r="N14" i="5"/>
  <c r="N16" i="5"/>
  <c r="N25" i="5"/>
  <c r="N37" i="5"/>
  <c r="N48" i="5"/>
  <c r="N30" i="5"/>
  <c r="N33" i="5"/>
  <c r="N36" i="5"/>
  <c r="N18" i="5"/>
  <c r="N21" i="5"/>
  <c r="N24" i="5"/>
  <c r="N52" i="5"/>
  <c r="N26" i="5"/>
  <c r="N29" i="5"/>
  <c r="N32" i="5"/>
  <c r="N6" i="5"/>
  <c r="N9" i="5"/>
  <c r="N12" i="5"/>
</calcChain>
</file>

<file path=xl/sharedStrings.xml><?xml version="1.0" encoding="utf-8"?>
<sst xmlns="http://schemas.openxmlformats.org/spreadsheetml/2006/main" count="1384" uniqueCount="665">
  <si>
    <t>No Engine</t>
  </si>
  <si>
    <t>Service Ke-</t>
  </si>
  <si>
    <t>Tgl Beli</t>
  </si>
  <si>
    <t>Tgl Service</t>
  </si>
  <si>
    <t>Km</t>
  </si>
  <si>
    <t>Ket</t>
  </si>
  <si>
    <t>Type</t>
  </si>
  <si>
    <t>Hari</t>
  </si>
  <si>
    <t>Jumlah Hrf</t>
  </si>
  <si>
    <t>Bulan Beli</t>
  </si>
  <si>
    <t>Tahun Beli</t>
  </si>
  <si>
    <t>1</t>
  </si>
  <si>
    <t>24/02/2026</t>
  </si>
  <si>
    <t>19/01/2026</t>
  </si>
  <si>
    <t>16/02/2026</t>
  </si>
  <si>
    <t>24/03/2026</t>
  </si>
  <si>
    <t>2</t>
  </si>
  <si>
    <t>3</t>
  </si>
  <si>
    <t>4</t>
  </si>
  <si>
    <t>23/02/2026</t>
  </si>
  <si>
    <t>11/02/2026</t>
  </si>
  <si>
    <t>07/02/2026</t>
  </si>
  <si>
    <t>27/10/2025</t>
  </si>
  <si>
    <t>25/03/2026</t>
  </si>
  <si>
    <t>29/01/2026</t>
  </si>
  <si>
    <t>11/03/2026</t>
  </si>
  <si>
    <t>06/02/2026</t>
  </si>
  <si>
    <t>1000</t>
  </si>
  <si>
    <t>24/09/2025</t>
  </si>
  <si>
    <t>10/11/2025</t>
  </si>
  <si>
    <t>23/03/2026</t>
  </si>
  <si>
    <t>23/12/2025</t>
  </si>
  <si>
    <t>22/03/2026</t>
  </si>
  <si>
    <t>27/01/2026</t>
  </si>
  <si>
    <t>12/12/2025</t>
  </si>
  <si>
    <t>27/12/2025</t>
  </si>
  <si>
    <t>894</t>
  </si>
  <si>
    <t>04/09/2025</t>
  </si>
  <si>
    <t>22/02/2026</t>
  </si>
  <si>
    <t>17/01/2026</t>
  </si>
  <si>
    <t>14/01/2026</t>
  </si>
  <si>
    <t>18/02/2026</t>
  </si>
  <si>
    <t>26/01/2026</t>
  </si>
  <si>
    <t>09/12/2025</t>
  </si>
  <si>
    <t>06/11/2025</t>
  </si>
  <si>
    <t>09/01/2026</t>
  </si>
  <si>
    <t>JMF2E1675690</t>
  </si>
  <si>
    <t>20/01/2026</t>
  </si>
  <si>
    <t>21/03/2026</t>
  </si>
  <si>
    <t>1847</t>
  </si>
  <si>
    <t>JME1E1920910</t>
  </si>
  <si>
    <t>10/01/2026</t>
  </si>
  <si>
    <t>1524</t>
  </si>
  <si>
    <t>Revisi tgl beli 09/01/2026</t>
  </si>
  <si>
    <t>JMF2E1692896</t>
  </si>
  <si>
    <t>1256</t>
  </si>
  <si>
    <t>JME1E1650342</t>
  </si>
  <si>
    <t>16/08/2025</t>
  </si>
  <si>
    <t>3526</t>
  </si>
  <si>
    <t>JME1E1767525</t>
  </si>
  <si>
    <t>20/11/2025</t>
  </si>
  <si>
    <t>2888</t>
  </si>
  <si>
    <t>JMF2E1305349</t>
  </si>
  <si>
    <t>18/08/2025</t>
  </si>
  <si>
    <t>2223</t>
  </si>
  <si>
    <t>KD11E1668456</t>
  </si>
  <si>
    <t>22/01/2026</t>
  </si>
  <si>
    <t>KFE3E1055613</t>
  </si>
  <si>
    <t>892</t>
  </si>
  <si>
    <t>Salah buku service (tidak bisa klaim)</t>
  </si>
  <si>
    <t>JBK1E2169725</t>
  </si>
  <si>
    <t>192</t>
  </si>
  <si>
    <t>JBK1E2160407</t>
  </si>
  <si>
    <t>188</t>
  </si>
  <si>
    <t>JBK3E1618418</t>
  </si>
  <si>
    <t>11/01/2026</t>
  </si>
  <si>
    <t>1094</t>
  </si>
  <si>
    <t>JBK1E2157869</t>
  </si>
  <si>
    <t>1085</t>
  </si>
  <si>
    <t>JBK3E1619870</t>
  </si>
  <si>
    <t>889</t>
  </si>
  <si>
    <t>JBK3E1616825</t>
  </si>
  <si>
    <t>16/01/2026</t>
  </si>
  <si>
    <t>952</t>
  </si>
  <si>
    <t>JBK3E1616990</t>
  </si>
  <si>
    <t>1052</t>
  </si>
  <si>
    <t>JBK1E2158169</t>
  </si>
  <si>
    <t>1415</t>
  </si>
  <si>
    <t>JBK3E1622448</t>
  </si>
  <si>
    <t>1095</t>
  </si>
  <si>
    <t>JBK3E1622637</t>
  </si>
  <si>
    <t>1268</t>
  </si>
  <si>
    <t>JBK3E1622335</t>
  </si>
  <si>
    <t>466</t>
  </si>
  <si>
    <t>JBK1E2160700</t>
  </si>
  <si>
    <t>08/02/2026</t>
  </si>
  <si>
    <t>1200</t>
  </si>
  <si>
    <t>JBK3E1627287</t>
  </si>
  <si>
    <t>1055</t>
  </si>
  <si>
    <t>JBK1E2163856</t>
  </si>
  <si>
    <t>1567</t>
  </si>
  <si>
    <t>JBK1E2147738</t>
  </si>
  <si>
    <t>369</t>
  </si>
  <si>
    <t>JBK3E1593454</t>
  </si>
  <si>
    <t>11/09/2025</t>
  </si>
  <si>
    <t>1892</t>
  </si>
  <si>
    <t>JBK1E2138210</t>
  </si>
  <si>
    <t>28/10/2025</t>
  </si>
  <si>
    <t>2881</t>
  </si>
  <si>
    <t>JBK3E1608866</t>
  </si>
  <si>
    <t>21/11/2025</t>
  </si>
  <si>
    <t>1592</t>
  </si>
  <si>
    <t>JBK3E1607766</t>
  </si>
  <si>
    <t>298</t>
  </si>
  <si>
    <t>JBK1E2146295</t>
  </si>
  <si>
    <t>2561</t>
  </si>
  <si>
    <t>JBK1E2141293</t>
  </si>
  <si>
    <t>1653</t>
  </si>
  <si>
    <t>JMH2E1704361</t>
  </si>
  <si>
    <t>1166</t>
  </si>
  <si>
    <t>JMH1E1354268</t>
  </si>
  <si>
    <t>1220</t>
  </si>
  <si>
    <t>JMH2E1672850</t>
  </si>
  <si>
    <t>19/12/2025</t>
  </si>
  <si>
    <t>3295</t>
  </si>
  <si>
    <t>JMH2E1542591</t>
  </si>
  <si>
    <t>883</t>
  </si>
  <si>
    <t>KFD1E1227378</t>
  </si>
  <si>
    <t>1123</t>
  </si>
  <si>
    <t>JBP1E2149335</t>
  </si>
  <si>
    <t>25/02/2026</t>
  </si>
  <si>
    <t>896</t>
  </si>
  <si>
    <t>JMJ1E1014847</t>
  </si>
  <si>
    <t>28/01/2026</t>
  </si>
  <si>
    <t>JMD1E2168793</t>
  </si>
  <si>
    <t>JMJ1E1004105</t>
  </si>
  <si>
    <t>JMD1E2103846</t>
  </si>
  <si>
    <t>1898</t>
  </si>
  <si>
    <t>Tidak ada fisik KPB</t>
  </si>
  <si>
    <t>KF01E1952388</t>
  </si>
  <si>
    <t>26/09/2025</t>
  </si>
  <si>
    <t>1794</t>
  </si>
  <si>
    <t>Revisi tgl beli 25/09/2025</t>
  </si>
  <si>
    <t>KC04E1044318</t>
  </si>
  <si>
    <t>KC04E1038089</t>
  </si>
  <si>
    <t>966</t>
  </si>
  <si>
    <t>KC04E1038664</t>
  </si>
  <si>
    <t>282</t>
  </si>
  <si>
    <t>KC04E1038187</t>
  </si>
  <si>
    <t>1385</t>
  </si>
  <si>
    <t>KC04E1041104</t>
  </si>
  <si>
    <t>1142</t>
  </si>
  <si>
    <t>KC03E1008451</t>
  </si>
  <si>
    <t>02/01/2026</t>
  </si>
  <si>
    <t>882</t>
  </si>
  <si>
    <t>KC03E1008916</t>
  </si>
  <si>
    <t>1169</t>
  </si>
  <si>
    <t>KC04E1030327</t>
  </si>
  <si>
    <t>24/11/2025</t>
  </si>
  <si>
    <t>1251</t>
  </si>
  <si>
    <t>KC04E1026816</t>
  </si>
  <si>
    <t>01/11/2025</t>
  </si>
  <si>
    <t>1352</t>
  </si>
  <si>
    <t>KC04E1010032</t>
  </si>
  <si>
    <t>10/07/2025</t>
  </si>
  <si>
    <t>6021</t>
  </si>
  <si>
    <t>JMF1E1397418</t>
  </si>
  <si>
    <t>167</t>
  </si>
  <si>
    <t>JMF1E1368250</t>
  </si>
  <si>
    <t>14/12/2025</t>
  </si>
  <si>
    <t>2251</t>
  </si>
  <si>
    <t>JBK3E1622489</t>
  </si>
  <si>
    <t>02/02/2026</t>
  </si>
  <si>
    <t>529</t>
  </si>
  <si>
    <t>JBK1E2167287</t>
  </si>
  <si>
    <t>493</t>
  </si>
  <si>
    <t>JBK1E2167290</t>
  </si>
  <si>
    <t>1082</t>
  </si>
  <si>
    <t>JBK3E1619657</t>
  </si>
  <si>
    <t>2002</t>
  </si>
  <si>
    <t>JBK3E1604263</t>
  </si>
  <si>
    <t>2892</t>
  </si>
  <si>
    <t>JBK3E1590493</t>
  </si>
  <si>
    <t>20/08/2025</t>
  </si>
  <si>
    <t>4522</t>
  </si>
  <si>
    <t>JMH1E1381311</t>
  </si>
  <si>
    <t>755</t>
  </si>
  <si>
    <t>JMH2E1696360</t>
  </si>
  <si>
    <t>1216</t>
  </si>
  <si>
    <t>JMH2E1473646</t>
  </si>
  <si>
    <t>6975</t>
  </si>
  <si>
    <t>JMD1E1818389</t>
  </si>
  <si>
    <t>15/10/2025</t>
  </si>
  <si>
    <t>6820</t>
  </si>
  <si>
    <t>Revisi tgl beli 15/02/2025</t>
  </si>
  <si>
    <t>KC03E1008753</t>
  </si>
  <si>
    <t>2432</t>
  </si>
  <si>
    <t>KFF1E1007033</t>
  </si>
  <si>
    <t>27/11/2025</t>
  </si>
  <si>
    <t>18/03/2026</t>
  </si>
  <si>
    <t>1300</t>
  </si>
  <si>
    <t>KFB1E1110781</t>
  </si>
  <si>
    <t>09/06/2025</t>
  </si>
  <si>
    <t>3898</t>
  </si>
  <si>
    <t>JMF1E1394758</t>
  </si>
  <si>
    <t>08/03/2026</t>
  </si>
  <si>
    <t>108</t>
  </si>
  <si>
    <t>JMF2E1664138</t>
  </si>
  <si>
    <t>19/03/2026</t>
  </si>
  <si>
    <t>1092</t>
  </si>
  <si>
    <t>JME1E1926056</t>
  </si>
  <si>
    <t>24/01/2026</t>
  </si>
  <si>
    <t>2494</t>
  </si>
  <si>
    <t>JME1E1859341</t>
  </si>
  <si>
    <t>31/12/2025</t>
  </si>
  <si>
    <t>2935</t>
  </si>
  <si>
    <t>JME1E1976660</t>
  </si>
  <si>
    <t>05/03/2026</t>
  </si>
  <si>
    <t>16/03/2026</t>
  </si>
  <si>
    <t>55</t>
  </si>
  <si>
    <t>Salah input service ID (tidak bisa klaim)</t>
  </si>
  <si>
    <t>JMB1E1196166</t>
  </si>
  <si>
    <t>16/12/2025</t>
  </si>
  <si>
    <t>981</t>
  </si>
  <si>
    <t>JBK1E2159082</t>
  </si>
  <si>
    <t>992</t>
  </si>
  <si>
    <t>JBK1E2159395</t>
  </si>
  <si>
    <t>885</t>
  </si>
  <si>
    <t>JBK3E1626101</t>
  </si>
  <si>
    <t>483</t>
  </si>
  <si>
    <t>JBK3E1617864</t>
  </si>
  <si>
    <t>08/01/2026</t>
  </si>
  <si>
    <t>251</t>
  </si>
  <si>
    <t>JBK1E2158651</t>
  </si>
  <si>
    <t>17/03/2026</t>
  </si>
  <si>
    <t>JBK3E1627276</t>
  </si>
  <si>
    <t>716</t>
  </si>
  <si>
    <t>JBK3E1609587</t>
  </si>
  <si>
    <t>1916</t>
  </si>
  <si>
    <t>JBK3E1617896</t>
  </si>
  <si>
    <t>10/03/2026</t>
  </si>
  <si>
    <t>2451</t>
  </si>
  <si>
    <t>JBK3E1608894</t>
  </si>
  <si>
    <t>16/11/2025</t>
  </si>
  <si>
    <t>3952</t>
  </si>
  <si>
    <t>JBK3E1627103</t>
  </si>
  <si>
    <t>608</t>
  </si>
  <si>
    <t>JBK3E1619798</t>
  </si>
  <si>
    <t>12/01/2026</t>
  </si>
  <si>
    <t>239</t>
  </si>
  <si>
    <t>JBK3E1619335</t>
  </si>
  <si>
    <t>13/01/2026</t>
  </si>
  <si>
    <t>1322</t>
  </si>
  <si>
    <t>Revisi tgl beli 12/01/2026</t>
  </si>
  <si>
    <t>JBK3E1616365</t>
  </si>
  <si>
    <t>20/12/2025</t>
  </si>
  <si>
    <t>895</t>
  </si>
  <si>
    <t>JBK1E2153669</t>
  </si>
  <si>
    <t>18/12/2025</t>
  </si>
  <si>
    <t>1099</t>
  </si>
  <si>
    <t>JBK3E1619836</t>
  </si>
  <si>
    <t>JBK1E2146443</t>
  </si>
  <si>
    <t>13/11/2025</t>
  </si>
  <si>
    <t>04/03/2026</t>
  </si>
  <si>
    <t>3677</t>
  </si>
  <si>
    <t>JBK1E2130584</t>
  </si>
  <si>
    <t>07/11/2025</t>
  </si>
  <si>
    <t>5612</t>
  </si>
  <si>
    <t>JBK1E2116645</t>
  </si>
  <si>
    <t>1652</t>
  </si>
  <si>
    <t>JBK3E1614267</t>
  </si>
  <si>
    <t>2993</t>
  </si>
  <si>
    <t>JBK3E1624177</t>
  </si>
  <si>
    <t>13/02/2026</t>
  </si>
  <si>
    <t>1351</t>
  </si>
  <si>
    <t>JBK3E1602108</t>
  </si>
  <si>
    <t>20/10/2025</t>
  </si>
  <si>
    <t>JBK3E1591685</t>
  </si>
  <si>
    <t>26/08/2025</t>
  </si>
  <si>
    <t>2096</t>
  </si>
  <si>
    <t>JBK1E2099371</t>
  </si>
  <si>
    <t>09/05/2025</t>
  </si>
  <si>
    <t>06/03/2026</t>
  </si>
  <si>
    <t>2262</t>
  </si>
  <si>
    <t>Revisi KM 8262</t>
  </si>
  <si>
    <t>JBK1E2085905</t>
  </si>
  <si>
    <t>18/03/2025</t>
  </si>
  <si>
    <t>07/03/2026</t>
  </si>
  <si>
    <t>4855</t>
  </si>
  <si>
    <t>JBK1E2118821</t>
  </si>
  <si>
    <t>20/09/2025</t>
  </si>
  <si>
    <t>4668</t>
  </si>
  <si>
    <t>JMH2E1681530</t>
  </si>
  <si>
    <t>31/01/2026</t>
  </si>
  <si>
    <t>983</t>
  </si>
  <si>
    <t>JMH2E1663076</t>
  </si>
  <si>
    <t>1062</t>
  </si>
  <si>
    <t>JMH2E1346379</t>
  </si>
  <si>
    <t>21/07/2025</t>
  </si>
  <si>
    <t>1222</t>
  </si>
  <si>
    <t>JMH1E1179649</t>
  </si>
  <si>
    <t>07/08/2025</t>
  </si>
  <si>
    <t>1096</t>
  </si>
  <si>
    <t>JMH1E1267382</t>
  </si>
  <si>
    <t>08/10/2025</t>
  </si>
  <si>
    <t>963</t>
  </si>
  <si>
    <t>JMH2E1346390</t>
  </si>
  <si>
    <t>14/07/2025</t>
  </si>
  <si>
    <t>3916</t>
  </si>
  <si>
    <t>JMH2E1567978</t>
  </si>
  <si>
    <t>1345</t>
  </si>
  <si>
    <t>JMH1E1215066</t>
  </si>
  <si>
    <t>2154</t>
  </si>
  <si>
    <t>JMH2E1467818</t>
  </si>
  <si>
    <t>31/07/2025</t>
  </si>
  <si>
    <t>3166</t>
  </si>
  <si>
    <t>JMH2E1473940</t>
  </si>
  <si>
    <t>11/08/2025</t>
  </si>
  <si>
    <t>2611</t>
  </si>
  <si>
    <t>JMH2E1467749</t>
  </si>
  <si>
    <t>26/07/2025</t>
  </si>
  <si>
    <t>2166</t>
  </si>
  <si>
    <t>JMH2E1424849</t>
  </si>
  <si>
    <t>17/07/2025</t>
  </si>
  <si>
    <t>888</t>
  </si>
  <si>
    <t>JMH2E1353878</t>
  </si>
  <si>
    <t>16/06/2025</t>
  </si>
  <si>
    <t>4333</t>
  </si>
  <si>
    <t>KFD1E1163391</t>
  </si>
  <si>
    <t>09/09/2025</t>
  </si>
  <si>
    <t>KFD1E1191731</t>
  </si>
  <si>
    <t>31/10/2025</t>
  </si>
  <si>
    <t>3280</t>
  </si>
  <si>
    <t>JBP1E2148921</t>
  </si>
  <si>
    <t>1089</t>
  </si>
  <si>
    <t>JMK1E1050521</t>
  </si>
  <si>
    <t>988</t>
  </si>
  <si>
    <t>JMK1E1015427</t>
  </si>
  <si>
    <t>06/01/2026</t>
  </si>
  <si>
    <t>09/03/2026</t>
  </si>
  <si>
    <t>2832</t>
  </si>
  <si>
    <t>JMD1E2127051</t>
  </si>
  <si>
    <t>761</t>
  </si>
  <si>
    <t>JMD1E2061833</t>
  </si>
  <si>
    <t>25/09/2025</t>
  </si>
  <si>
    <t>7256</t>
  </si>
  <si>
    <t>JMD1E2024089</t>
  </si>
  <si>
    <t>14/08/2025</t>
  </si>
  <si>
    <t>JMD1E2087351</t>
  </si>
  <si>
    <t>1034</t>
  </si>
  <si>
    <t>JMC1E1772220</t>
  </si>
  <si>
    <t>3133</t>
  </si>
  <si>
    <t>JMC1E1759125</t>
  </si>
  <si>
    <t>11/11/2025</t>
  </si>
  <si>
    <t>3516</t>
  </si>
  <si>
    <t>KC04E1038734</t>
  </si>
  <si>
    <t>646</t>
  </si>
  <si>
    <t>KC04E1040440</t>
  </si>
  <si>
    <t>1098</t>
  </si>
  <si>
    <t>KC04E1039870</t>
  </si>
  <si>
    <t>23/01/2026</t>
  </si>
  <si>
    <t>KC04E1028873</t>
  </si>
  <si>
    <t>17/11/2025</t>
  </si>
  <si>
    <t>2060</t>
  </si>
  <si>
    <t>KC04E1025532</t>
  </si>
  <si>
    <t>04/11/2025</t>
  </si>
  <si>
    <t>5236</t>
  </si>
  <si>
    <t>KFF1E1018607</t>
  </si>
  <si>
    <t>20/02/2026</t>
  </si>
  <si>
    <t>30/03/2026</t>
  </si>
  <si>
    <t>JME1E1910990</t>
  </si>
  <si>
    <t>28/03/2026</t>
  </si>
  <si>
    <t>JMF2E1671548</t>
  </si>
  <si>
    <t>29/03/2026</t>
  </si>
  <si>
    <t>JMF1E1379393</t>
  </si>
  <si>
    <t>494</t>
  </si>
  <si>
    <t>JME1E1930581</t>
  </si>
  <si>
    <t>10/02/2026</t>
  </si>
  <si>
    <t>JMF1E1378850</t>
  </si>
  <si>
    <t>04/02/2026</t>
  </si>
  <si>
    <t>JMF1E1386481</t>
  </si>
  <si>
    <t>JME1E1967266</t>
  </si>
  <si>
    <t>1088</t>
  </si>
  <si>
    <t>JME1E2000411</t>
  </si>
  <si>
    <t>28/02/2026</t>
  </si>
  <si>
    <t>31/03/2026</t>
  </si>
  <si>
    <t>344</t>
  </si>
  <si>
    <t>JME1E1904854</t>
  </si>
  <si>
    <t>07/01/2026</t>
  </si>
  <si>
    <t>1285</t>
  </si>
  <si>
    <t>JME1E1537843</t>
  </si>
  <si>
    <t>10/06/2025</t>
  </si>
  <si>
    <t>2033</t>
  </si>
  <si>
    <t>JMF1E1329677</t>
  </si>
  <si>
    <t>30/10/2025</t>
  </si>
  <si>
    <t>1582</t>
  </si>
  <si>
    <t>KD11E1660080</t>
  </si>
  <si>
    <t>975</t>
  </si>
  <si>
    <t>KD11E1670621</t>
  </si>
  <si>
    <t>856</t>
  </si>
  <si>
    <t>KD11E1658482</t>
  </si>
  <si>
    <t>1849</t>
  </si>
  <si>
    <t>KFE1E1398402</t>
  </si>
  <si>
    <t>19/02/2026</t>
  </si>
  <si>
    <t>27/03/2026</t>
  </si>
  <si>
    <t>642</t>
  </si>
  <si>
    <t>JBK1E2161130</t>
  </si>
  <si>
    <t>21/02/2026</t>
  </si>
  <si>
    <t>26/03/2026</t>
  </si>
  <si>
    <t>JBK3E1626445</t>
  </si>
  <si>
    <t>JBK1E2161810</t>
  </si>
  <si>
    <t>03/03/2026</t>
  </si>
  <si>
    <t>JBK1E2159491</t>
  </si>
  <si>
    <t>JBK1E2161784</t>
  </si>
  <si>
    <t>464</t>
  </si>
  <si>
    <t>JBK1E2158388</t>
  </si>
  <si>
    <t>14/02/2026</t>
  </si>
  <si>
    <t>449</t>
  </si>
  <si>
    <t>Revisi tgl beli 12/02/2026</t>
  </si>
  <si>
    <t>JBK3E1622176</t>
  </si>
  <si>
    <t>136</t>
  </si>
  <si>
    <t>JBK1E2158688</t>
  </si>
  <si>
    <t>12/03/2026</t>
  </si>
  <si>
    <t>JBK1E2168479</t>
  </si>
  <si>
    <t>02/03/2026</t>
  </si>
  <si>
    <t>JBK1E2161658</t>
  </si>
  <si>
    <t>03/02/2026</t>
  </si>
  <si>
    <t>265</t>
  </si>
  <si>
    <t>JBK1E2143540</t>
  </si>
  <si>
    <t>10/12/2025</t>
  </si>
  <si>
    <t>803</t>
  </si>
  <si>
    <t>JBK3E1615716</t>
  </si>
  <si>
    <t>21/12/2025</t>
  </si>
  <si>
    <t>JBK3E1606378</t>
  </si>
  <si>
    <t>3094</t>
  </si>
  <si>
    <t>JBK3E1615136</t>
  </si>
  <si>
    <t>22/12/2025</t>
  </si>
  <si>
    <t>JBK1E2153668</t>
  </si>
  <si>
    <t>17/12/2025</t>
  </si>
  <si>
    <t>1008</t>
  </si>
  <si>
    <t>JBK3E1616606</t>
  </si>
  <si>
    <t>1067</t>
  </si>
  <si>
    <t>JBK3E1610650</t>
  </si>
  <si>
    <t>26/11/2025</t>
  </si>
  <si>
    <t>1258</t>
  </si>
  <si>
    <t>JBK3E1620192</t>
  </si>
  <si>
    <t>733</t>
  </si>
  <si>
    <t>JBK1E2157934</t>
  </si>
  <si>
    <t>29/12/2025</t>
  </si>
  <si>
    <t>JBK1E2156926</t>
  </si>
  <si>
    <t>26/12/2025</t>
  </si>
  <si>
    <t>JBK3E1624295</t>
  </si>
  <si>
    <t>356</t>
  </si>
  <si>
    <t>JBK3E1622632</t>
  </si>
  <si>
    <t>1257</t>
  </si>
  <si>
    <t>JBK3E1622488</t>
  </si>
  <si>
    <t>695</t>
  </si>
  <si>
    <t>JBK1E2141512</t>
  </si>
  <si>
    <t>994</t>
  </si>
  <si>
    <t>802</t>
  </si>
  <si>
    <t>JBK1E2153503</t>
  </si>
  <si>
    <t>3642</t>
  </si>
  <si>
    <t>JBK3E1629155</t>
  </si>
  <si>
    <t>467</t>
  </si>
  <si>
    <t>Salah input service ID (Tidak bisa claim)</t>
  </si>
  <si>
    <t>JBK1E2137169</t>
  </si>
  <si>
    <t>18/11/2025</t>
  </si>
  <si>
    <t>855</t>
  </si>
  <si>
    <t>JBK1E2135680</t>
  </si>
  <si>
    <t>644</t>
  </si>
  <si>
    <t>JBK1E2144813</t>
  </si>
  <si>
    <t>29/11/2025</t>
  </si>
  <si>
    <t>836</t>
  </si>
  <si>
    <t>JBK3E1625764</t>
  </si>
  <si>
    <t>586</t>
  </si>
  <si>
    <t>JBK1E2138211</t>
  </si>
  <si>
    <t>2365</t>
  </si>
  <si>
    <t>JBK3E1604079</t>
  </si>
  <si>
    <t>2131</t>
  </si>
  <si>
    <t>JBK3E1602099</t>
  </si>
  <si>
    <t>16/10/2025</t>
  </si>
  <si>
    <t>1646</t>
  </si>
  <si>
    <t>JBK3E1593940</t>
  </si>
  <si>
    <t>10/09/2025</t>
  </si>
  <si>
    <t>1643</t>
  </si>
  <si>
    <t>JBK3E1594666</t>
  </si>
  <si>
    <t>1233</t>
  </si>
  <si>
    <t>JBK1E2151679</t>
  </si>
  <si>
    <t>04/12/2025</t>
  </si>
  <si>
    <t>1458</t>
  </si>
  <si>
    <t>JBK1E2157223</t>
  </si>
  <si>
    <t>24/12/2025</t>
  </si>
  <si>
    <t>1578</t>
  </si>
  <si>
    <t>JBK1E2141628</t>
  </si>
  <si>
    <t>12/11/2025</t>
  </si>
  <si>
    <t>1064</t>
  </si>
  <si>
    <t>JBK1E2138200</t>
  </si>
  <si>
    <t>1336</t>
  </si>
  <si>
    <t>JBK1E2145389</t>
  </si>
  <si>
    <t>1366</t>
  </si>
  <si>
    <t>JBK1E2158593</t>
  </si>
  <si>
    <t>JBK1E2123184</t>
  </si>
  <si>
    <t>17/09/2025</t>
  </si>
  <si>
    <t>3770</t>
  </si>
  <si>
    <t>JBK3E1583709</t>
  </si>
  <si>
    <t>13/07/2025</t>
  </si>
  <si>
    <t>2155</t>
  </si>
  <si>
    <t>JBK1E2118570</t>
  </si>
  <si>
    <t>2946</t>
  </si>
  <si>
    <t>2051</t>
  </si>
  <si>
    <t>JBK3E1597346</t>
  </si>
  <si>
    <t>3331</t>
  </si>
  <si>
    <t>Revisi tgl beli 02/11/2025</t>
  </si>
  <si>
    <t>JBK1E2138433</t>
  </si>
  <si>
    <t>03/11/2025</t>
  </si>
  <si>
    <t>865</t>
  </si>
  <si>
    <t>JBK1E2114504</t>
  </si>
  <si>
    <t>01/08/2025</t>
  </si>
  <si>
    <t>1869</t>
  </si>
  <si>
    <t>JBK1E2125088</t>
  </si>
  <si>
    <t>23/09/2025</t>
  </si>
  <si>
    <t>1452</t>
  </si>
  <si>
    <t>JBK1E2140479</t>
  </si>
  <si>
    <t>4256</t>
  </si>
  <si>
    <t>JBK1E2118587</t>
  </si>
  <si>
    <t>256</t>
  </si>
  <si>
    <t>JBK1E2112766</t>
  </si>
  <si>
    <t>28/07/2025</t>
  </si>
  <si>
    <t>JBK1E2116549</t>
  </si>
  <si>
    <t>12/08/2025</t>
  </si>
  <si>
    <t>1456</t>
  </si>
  <si>
    <t>JBK1E2112199</t>
  </si>
  <si>
    <t>19/07/2025</t>
  </si>
  <si>
    <t>2385</t>
  </si>
  <si>
    <t>JBK1E2116868</t>
  </si>
  <si>
    <t>2543</t>
  </si>
  <si>
    <t>JBK1E2112249</t>
  </si>
  <si>
    <t>23/07/2025</t>
  </si>
  <si>
    <t>2469</t>
  </si>
  <si>
    <t>JBK1E2127578</t>
  </si>
  <si>
    <t>13/09/2025</t>
  </si>
  <si>
    <t>1853</t>
  </si>
  <si>
    <t>JBK1E2144680</t>
  </si>
  <si>
    <t>9322</t>
  </si>
  <si>
    <t>JBK1E2101341</t>
  </si>
  <si>
    <t>23/05/2025</t>
  </si>
  <si>
    <t>2351</t>
  </si>
  <si>
    <t>JBK3E1582086</t>
  </si>
  <si>
    <t>04/07/2025</t>
  </si>
  <si>
    <t>1589</t>
  </si>
  <si>
    <t>JBK3E1617389</t>
  </si>
  <si>
    <t>JMH2E1719506</t>
  </si>
  <si>
    <t>14/03/2026</t>
  </si>
  <si>
    <t>858</t>
  </si>
  <si>
    <t>JMH2E1720856</t>
  </si>
  <si>
    <t>962</t>
  </si>
  <si>
    <t>JMH1E1388497</t>
  </si>
  <si>
    <t>27/02/2026</t>
  </si>
  <si>
    <t>JMH2E1704388</t>
  </si>
  <si>
    <t>12/02/2026</t>
  </si>
  <si>
    <t>990</t>
  </si>
  <si>
    <t>JMH2E1701475</t>
  </si>
  <si>
    <t>995</t>
  </si>
  <si>
    <t>JMH1E1355990</t>
  </si>
  <si>
    <t>30/01/2026</t>
  </si>
  <si>
    <t>JMH2E1655469</t>
  </si>
  <si>
    <t>15/01/2026</t>
  </si>
  <si>
    <t>455</t>
  </si>
  <si>
    <t>JMH2E1659164</t>
  </si>
  <si>
    <t>1161</t>
  </si>
  <si>
    <t>JMH2E1690439</t>
  </si>
  <si>
    <t>3895</t>
  </si>
  <si>
    <t>JMH2E1656597</t>
  </si>
  <si>
    <t>28/12/2025</t>
  </si>
  <si>
    <t>1886</t>
  </si>
  <si>
    <t>JMH2E1468230</t>
  </si>
  <si>
    <t>08/08/2025</t>
  </si>
  <si>
    <t>2996</t>
  </si>
  <si>
    <t>JMH1E1179080</t>
  </si>
  <si>
    <t>8148</t>
  </si>
  <si>
    <t>JMH2E1571561</t>
  </si>
  <si>
    <t>KFC1E1262176</t>
  </si>
  <si>
    <t>KFC1E1267782</t>
  </si>
  <si>
    <t>1090</t>
  </si>
  <si>
    <t>KFC1E1258126</t>
  </si>
  <si>
    <t>JBP1E2150975</t>
  </si>
  <si>
    <t>JBP1E2147249</t>
  </si>
  <si>
    <t>JBP1E2147574</t>
  </si>
  <si>
    <t>09/02/2026</t>
  </si>
  <si>
    <t>JBP1E2146962</t>
  </si>
  <si>
    <t>884</t>
  </si>
  <si>
    <t>JMK1E1050601</t>
  </si>
  <si>
    <t>JMK1E1013530</t>
  </si>
  <si>
    <t>13/03/2026</t>
  </si>
  <si>
    <t>1145</t>
  </si>
  <si>
    <t>JMC1E1757671</t>
  </si>
  <si>
    <t>3956</t>
  </si>
  <si>
    <t>JMK1E1007624</t>
  </si>
  <si>
    <t>JMD1E2085911</t>
  </si>
  <si>
    <t>JMC1E1709087</t>
  </si>
  <si>
    <t>21/09/2025</t>
  </si>
  <si>
    <t>1688</t>
  </si>
  <si>
    <t>KFA1E1360608</t>
  </si>
  <si>
    <t>845</t>
  </si>
  <si>
    <t>1902</t>
  </si>
  <si>
    <t>KC04E1042287</t>
  </si>
  <si>
    <t>KC04E1043118</t>
  </si>
  <si>
    <t>998</t>
  </si>
  <si>
    <t>KC04E1042544</t>
  </si>
  <si>
    <t>KC04E1041998</t>
  </si>
  <si>
    <t>KC04E1039154</t>
  </si>
  <si>
    <t>1005</t>
  </si>
  <si>
    <t>KC04E1046243</t>
  </si>
  <si>
    <t>258</t>
  </si>
  <si>
    <t>KC04E1030181</t>
  </si>
  <si>
    <t>663</t>
  </si>
  <si>
    <t>KC04E1040465</t>
  </si>
  <si>
    <t>1365</t>
  </si>
  <si>
    <t>KC04E1039606</t>
  </si>
  <si>
    <t>KC04E1039732</t>
  </si>
  <si>
    <t>KC04E1038979</t>
  </si>
  <si>
    <t>1895</t>
  </si>
  <si>
    <t>KC03E1003546</t>
  </si>
  <si>
    <t>3122</t>
  </si>
  <si>
    <t>KC04E1040912</t>
  </si>
  <si>
    <t>KC04E1034459</t>
  </si>
  <si>
    <t>274</t>
  </si>
  <si>
    <t>Revisi tgl beli 15/12/2025</t>
  </si>
  <si>
    <t>KC04E1002218</t>
  </si>
  <si>
    <t>14/05/2025</t>
  </si>
  <si>
    <t>JMF2E1599610</t>
  </si>
  <si>
    <t>03/12/2025</t>
  </si>
  <si>
    <t>3370</t>
  </si>
  <si>
    <t>JME1E1804911</t>
  </si>
  <si>
    <t>2300</t>
  </si>
  <si>
    <t>JBK1E2161728</t>
  </si>
  <si>
    <t>921</t>
  </si>
  <si>
    <t>JBK3E1615174</t>
  </si>
  <si>
    <t>1275</t>
  </si>
  <si>
    <t>JBK3E1620792</t>
  </si>
  <si>
    <t>1467</t>
  </si>
  <si>
    <t>JBK3E1602553</t>
  </si>
  <si>
    <t>18/10/2025</t>
  </si>
  <si>
    <t>4185</t>
  </si>
  <si>
    <t>JBK1E2121049</t>
  </si>
  <si>
    <t>05/10/2025</t>
  </si>
  <si>
    <t>2231</t>
  </si>
  <si>
    <t>JBK1E2147918</t>
  </si>
  <si>
    <t>15/12/2025</t>
  </si>
  <si>
    <t>JBK1E2127000</t>
  </si>
  <si>
    <t>12/09/2025</t>
  </si>
  <si>
    <t>5812</t>
  </si>
  <si>
    <t>JBK3E1573857</t>
  </si>
  <si>
    <t>17/05/2025</t>
  </si>
  <si>
    <t>JMH2E1703280</t>
  </si>
  <si>
    <t>1059</t>
  </si>
  <si>
    <t>JMH2E1632801</t>
  </si>
  <si>
    <t>1593</t>
  </si>
  <si>
    <t>JMH2E1567953</t>
  </si>
  <si>
    <t>2828</t>
  </si>
  <si>
    <t>JMJ1E1008179</t>
  </si>
  <si>
    <t>2341</t>
  </si>
  <si>
    <t>JMD1E2096381</t>
  </si>
  <si>
    <t>22/11/2025</t>
  </si>
  <si>
    <t>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</si>
</sst>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3F87-4E70-41FF-A303-9CE61CBAF894}">
  <sheetPr filterMode="1">
    <tabColor rgb="FF92D050"/>
  </sheetPr>
  <dimension ref="A1:O52"/>
  <sheetViews>
    <sheetView workbookViewId="0">
      <selection activeCell="A9" sqref="A9:F41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hidden="1" x14ac:dyDescent="0.25">
      <c r="A2" s="9" t="s">
        <v>46</v>
      </c>
      <c r="B2" s="10" t="s">
        <v>16</v>
      </c>
      <c r="C2" s="11" t="s">
        <v>47</v>
      </c>
      <c r="D2" s="11" t="s">
        <v>48</v>
      </c>
      <c r="E2" s="11" t="s">
        <v>49</v>
      </c>
      <c r="F2" s="3"/>
      <c r="G2" s="2" t="str">
        <f t="shared" ref="G2:G52" si="0">LEFT(A2, 5)</f>
        <v>JMF2E</v>
      </c>
      <c r="H2" s="2">
        <f t="shared" ref="H2:H52" si="1">D2-C2</f>
        <v>60</v>
      </c>
      <c r="I2" s="2">
        <f t="shared" ref="I2:I52" si="2">LEN(A2)</f>
        <v>12</v>
      </c>
      <c r="J2" s="2" t="str">
        <f t="shared" ref="J2:J52" si="3">LEFT(C2, 2)</f>
        <v>20</v>
      </c>
      <c r="K2" s="2" t="str">
        <f t="shared" ref="K2:K52" si="4">MID(C2, 4, 2)</f>
        <v>01</v>
      </c>
      <c r="L2" s="2" t="str">
        <f t="shared" ref="L2:L52" si="5">RIGHT(C2, 4)</f>
        <v>2026</v>
      </c>
      <c r="M2" s="2" t="str">
        <f t="shared" ref="M2:M52" si="6">IF(AND(B2="1",H2&gt;=75),"tolong cek",  IF(AND(B2="2",H2&gt;=135),"tolong cek",  IF(AND(B2="3",H2&gt;=255),"tolong cek",  IF(AND(B2="4",H2&gt;=375),"tolong cek","-"))))</f>
        <v>-</v>
      </c>
      <c r="N2" s="4" t="str">
        <f t="shared" ref="N2:N52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2" t="str">
        <f t="shared" ref="O2:O52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hidden="1" x14ac:dyDescent="0.25">
      <c r="A3" s="5" t="s">
        <v>50</v>
      </c>
      <c r="B3" s="10" t="s">
        <v>16</v>
      </c>
      <c r="C3" s="11" t="s">
        <v>51</v>
      </c>
      <c r="D3" s="11" t="s">
        <v>48</v>
      </c>
      <c r="E3" s="11" t="s">
        <v>52</v>
      </c>
      <c r="F3" s="3" t="s">
        <v>53</v>
      </c>
      <c r="G3" s="2" t="str">
        <f t="shared" si="0"/>
        <v>JME1E</v>
      </c>
      <c r="H3" s="2">
        <f t="shared" si="1"/>
        <v>70</v>
      </c>
      <c r="I3" s="2">
        <f t="shared" si="2"/>
        <v>12</v>
      </c>
      <c r="J3" s="2" t="str">
        <f t="shared" si="3"/>
        <v>10</v>
      </c>
      <c r="K3" s="2" t="str">
        <f t="shared" si="4"/>
        <v>01</v>
      </c>
      <c r="L3" s="2" t="str">
        <f t="shared" si="5"/>
        <v>2026</v>
      </c>
      <c r="M3" s="2" t="str">
        <f t="shared" si="6"/>
        <v>-</v>
      </c>
      <c r="N3" s="4" t="str">
        <f t="shared" si="7"/>
        <v>-</v>
      </c>
      <c r="O3" s="2" t="str">
        <f t="shared" si="8"/>
        <v>-</v>
      </c>
    </row>
    <row r="4" spans="1:15" ht="25.5" hidden="1" x14ac:dyDescent="0.25">
      <c r="A4" s="9" t="s">
        <v>54</v>
      </c>
      <c r="B4" s="10" t="s">
        <v>16</v>
      </c>
      <c r="C4" s="11" t="s">
        <v>41</v>
      </c>
      <c r="D4" s="11" t="s">
        <v>15</v>
      </c>
      <c r="E4" s="11" t="s">
        <v>55</v>
      </c>
      <c r="F4" s="3"/>
      <c r="G4" s="2" t="str">
        <f t="shared" si="0"/>
        <v>JMF2E</v>
      </c>
      <c r="H4" s="2">
        <f t="shared" si="1"/>
        <v>34</v>
      </c>
      <c r="I4" s="2">
        <f t="shared" si="2"/>
        <v>12</v>
      </c>
      <c r="J4" s="2" t="str">
        <f t="shared" si="3"/>
        <v>18</v>
      </c>
      <c r="K4" s="2" t="str">
        <f t="shared" si="4"/>
        <v>02</v>
      </c>
      <c r="L4" s="2" t="str">
        <f t="shared" si="5"/>
        <v>2026</v>
      </c>
      <c r="M4" s="2" t="str">
        <f t="shared" si="6"/>
        <v>-</v>
      </c>
      <c r="N4" s="4" t="str">
        <f t="shared" si="7"/>
        <v>-</v>
      </c>
      <c r="O4" s="2" t="str">
        <f t="shared" si="8"/>
        <v>-</v>
      </c>
    </row>
    <row r="5" spans="1:15" ht="25.5" hidden="1" x14ac:dyDescent="0.25">
      <c r="A5" s="9" t="s">
        <v>56</v>
      </c>
      <c r="B5" s="10" t="s">
        <v>17</v>
      </c>
      <c r="C5" s="11" t="s">
        <v>57</v>
      </c>
      <c r="D5" s="11" t="s">
        <v>48</v>
      </c>
      <c r="E5" s="11" t="s">
        <v>58</v>
      </c>
      <c r="F5" s="3"/>
      <c r="G5" s="2" t="str">
        <f t="shared" si="0"/>
        <v>JME1E</v>
      </c>
      <c r="H5" s="2">
        <f t="shared" si="1"/>
        <v>217</v>
      </c>
      <c r="I5" s="2">
        <f t="shared" si="2"/>
        <v>12</v>
      </c>
      <c r="J5" s="2" t="str">
        <f t="shared" si="3"/>
        <v>16</v>
      </c>
      <c r="K5" s="2" t="str">
        <f t="shared" si="4"/>
        <v>08</v>
      </c>
      <c r="L5" s="2" t="str">
        <f t="shared" si="5"/>
        <v>2025</v>
      </c>
      <c r="M5" s="2" t="str">
        <f t="shared" si="6"/>
        <v>-</v>
      </c>
      <c r="N5" s="4" t="str">
        <f t="shared" si="7"/>
        <v>-</v>
      </c>
      <c r="O5" s="2" t="str">
        <f t="shared" si="8"/>
        <v>-</v>
      </c>
    </row>
    <row r="6" spans="1:15" ht="25.5" hidden="1" x14ac:dyDescent="0.25">
      <c r="A6" s="9" t="s">
        <v>59</v>
      </c>
      <c r="B6" s="10" t="s">
        <v>17</v>
      </c>
      <c r="C6" s="11" t="s">
        <v>60</v>
      </c>
      <c r="D6" s="11" t="s">
        <v>15</v>
      </c>
      <c r="E6" s="11" t="s">
        <v>61</v>
      </c>
      <c r="F6" s="3"/>
      <c r="G6" s="2" t="str">
        <f t="shared" si="0"/>
        <v>JME1E</v>
      </c>
      <c r="H6" s="2">
        <f t="shared" si="1"/>
        <v>124</v>
      </c>
      <c r="I6" s="2">
        <f t="shared" si="2"/>
        <v>12</v>
      </c>
      <c r="J6" s="2" t="str">
        <f t="shared" si="3"/>
        <v>20</v>
      </c>
      <c r="K6" s="2" t="str">
        <f t="shared" si="4"/>
        <v>11</v>
      </c>
      <c r="L6" s="2" t="str">
        <f t="shared" si="5"/>
        <v>2025</v>
      </c>
      <c r="M6" s="2" t="str">
        <f t="shared" si="6"/>
        <v>-</v>
      </c>
      <c r="N6" s="4" t="str">
        <f t="shared" si="7"/>
        <v>-</v>
      </c>
      <c r="O6" s="2" t="str">
        <f t="shared" si="8"/>
        <v>-</v>
      </c>
    </row>
    <row r="7" spans="1:15" ht="25.5" hidden="1" x14ac:dyDescent="0.25">
      <c r="A7" s="9" t="s">
        <v>62</v>
      </c>
      <c r="B7" s="10" t="s">
        <v>17</v>
      </c>
      <c r="C7" s="11" t="s">
        <v>63</v>
      </c>
      <c r="D7" s="11" t="s">
        <v>23</v>
      </c>
      <c r="E7" s="11" t="s">
        <v>64</v>
      </c>
      <c r="F7" s="3"/>
      <c r="G7" s="2" t="str">
        <f t="shared" si="0"/>
        <v>JMF2E</v>
      </c>
      <c r="H7" s="2">
        <f t="shared" si="1"/>
        <v>219</v>
      </c>
      <c r="I7" s="2">
        <f t="shared" si="2"/>
        <v>12</v>
      </c>
      <c r="J7" s="2" t="str">
        <f t="shared" si="3"/>
        <v>18</v>
      </c>
      <c r="K7" s="2" t="str">
        <f t="shared" si="4"/>
        <v>08</v>
      </c>
      <c r="L7" s="2" t="str">
        <f t="shared" si="5"/>
        <v>2025</v>
      </c>
      <c r="M7" s="2" t="str">
        <f t="shared" si="6"/>
        <v>-</v>
      </c>
      <c r="N7" s="4" t="str">
        <f t="shared" si="7"/>
        <v>-</v>
      </c>
      <c r="O7" s="2" t="str">
        <f t="shared" si="8"/>
        <v>-</v>
      </c>
    </row>
    <row r="8" spans="1:15" ht="25.5" hidden="1" x14ac:dyDescent="0.25">
      <c r="A8" s="9" t="s">
        <v>65</v>
      </c>
      <c r="B8" s="10" t="s">
        <v>16</v>
      </c>
      <c r="C8" s="11" t="s">
        <v>66</v>
      </c>
      <c r="D8" s="11" t="s">
        <v>48</v>
      </c>
      <c r="E8" s="11" t="s">
        <v>36</v>
      </c>
      <c r="F8" s="3"/>
      <c r="G8" s="2" t="str">
        <f t="shared" si="0"/>
        <v>KD11E</v>
      </c>
      <c r="H8" s="2">
        <f t="shared" si="1"/>
        <v>58</v>
      </c>
      <c r="I8" s="2">
        <f t="shared" si="2"/>
        <v>12</v>
      </c>
      <c r="J8" s="2" t="str">
        <f t="shared" si="3"/>
        <v>22</v>
      </c>
      <c r="K8" s="2" t="str">
        <f t="shared" si="4"/>
        <v>01</v>
      </c>
      <c r="L8" s="2" t="str">
        <f t="shared" si="5"/>
        <v>2026</v>
      </c>
      <c r="M8" s="2" t="str">
        <f t="shared" si="6"/>
        <v>-</v>
      </c>
      <c r="N8" s="4" t="str">
        <f t="shared" si="7"/>
        <v>-</v>
      </c>
      <c r="O8" s="2" t="str">
        <f t="shared" si="8"/>
        <v>-</v>
      </c>
    </row>
    <row r="9" spans="1:15" ht="25.5" x14ac:dyDescent="0.25">
      <c r="A9" s="5" t="s">
        <v>67</v>
      </c>
      <c r="B9" s="10" t="s">
        <v>17</v>
      </c>
      <c r="C9" s="11" t="s">
        <v>37</v>
      </c>
      <c r="D9" s="11" t="s">
        <v>48</v>
      </c>
      <c r="E9" s="11" t="s">
        <v>68</v>
      </c>
      <c r="F9" s="3" t="s">
        <v>69</v>
      </c>
      <c r="G9" s="2" t="str">
        <f t="shared" si="0"/>
        <v>KFE3E</v>
      </c>
      <c r="H9" s="2">
        <f t="shared" si="1"/>
        <v>198</v>
      </c>
      <c r="I9" s="2">
        <f t="shared" si="2"/>
        <v>12</v>
      </c>
      <c r="J9" s="2" t="str">
        <f t="shared" si="3"/>
        <v>04</v>
      </c>
      <c r="K9" s="2" t="str">
        <f t="shared" si="4"/>
        <v>09</v>
      </c>
      <c r="L9" s="2" t="str">
        <f t="shared" si="5"/>
        <v>2025</v>
      </c>
      <c r="M9" s="2" t="str">
        <f t="shared" si="6"/>
        <v>-</v>
      </c>
      <c r="N9" s="4" t="str">
        <f t="shared" si="7"/>
        <v>-</v>
      </c>
      <c r="O9" s="2" t="str">
        <f t="shared" si="8"/>
        <v>-</v>
      </c>
    </row>
    <row r="10" spans="1:15" ht="25.5" hidden="1" x14ac:dyDescent="0.25">
      <c r="A10" s="9" t="s">
        <v>70</v>
      </c>
      <c r="B10" s="10" t="s">
        <v>11</v>
      </c>
      <c r="C10" s="11" t="s">
        <v>25</v>
      </c>
      <c r="D10" s="11" t="s">
        <v>48</v>
      </c>
      <c r="E10" s="11" t="s">
        <v>71</v>
      </c>
      <c r="F10" s="3"/>
      <c r="G10" s="2" t="str">
        <f t="shared" si="0"/>
        <v>JBK1E</v>
      </c>
      <c r="H10" s="2">
        <f t="shared" si="1"/>
        <v>10</v>
      </c>
      <c r="I10" s="2">
        <f t="shared" si="2"/>
        <v>12</v>
      </c>
      <c r="J10" s="2" t="str">
        <f t="shared" si="3"/>
        <v>11</v>
      </c>
      <c r="K10" s="2" t="str">
        <f t="shared" si="4"/>
        <v>03</v>
      </c>
      <c r="L10" s="2" t="str">
        <f t="shared" si="5"/>
        <v>2026</v>
      </c>
      <c r="M10" s="2" t="str">
        <f t="shared" si="6"/>
        <v>-</v>
      </c>
      <c r="N10" s="4" t="str">
        <f t="shared" si="7"/>
        <v>-</v>
      </c>
      <c r="O10" s="2" t="str">
        <f t="shared" si="8"/>
        <v>-</v>
      </c>
    </row>
    <row r="11" spans="1:15" ht="25.5" hidden="1" x14ac:dyDescent="0.25">
      <c r="A11" s="9" t="s">
        <v>72</v>
      </c>
      <c r="B11" s="10" t="s">
        <v>11</v>
      </c>
      <c r="C11" s="11" t="s">
        <v>20</v>
      </c>
      <c r="D11" s="11" t="s">
        <v>15</v>
      </c>
      <c r="E11" s="11" t="s">
        <v>73</v>
      </c>
      <c r="F11" s="3"/>
      <c r="G11" s="2" t="str">
        <f t="shared" si="0"/>
        <v>JBK1E</v>
      </c>
      <c r="H11" s="2">
        <f t="shared" si="1"/>
        <v>41</v>
      </c>
      <c r="I11" s="2">
        <f t="shared" si="2"/>
        <v>12</v>
      </c>
      <c r="J11" s="2" t="str">
        <f t="shared" si="3"/>
        <v>11</v>
      </c>
      <c r="K11" s="2" t="str">
        <f t="shared" si="4"/>
        <v>02</v>
      </c>
      <c r="L11" s="2" t="str">
        <f t="shared" si="5"/>
        <v>2026</v>
      </c>
      <c r="M11" s="2" t="str">
        <f t="shared" si="6"/>
        <v>-</v>
      </c>
      <c r="N11" s="4" t="str">
        <f t="shared" si="7"/>
        <v>-</v>
      </c>
      <c r="O11" s="2" t="str">
        <f t="shared" si="8"/>
        <v>-</v>
      </c>
    </row>
    <row r="12" spans="1:15" ht="25.5" hidden="1" x14ac:dyDescent="0.25">
      <c r="A12" s="9" t="s">
        <v>74</v>
      </c>
      <c r="B12" s="10" t="s">
        <v>11</v>
      </c>
      <c r="C12" s="11" t="s">
        <v>75</v>
      </c>
      <c r="D12" s="11" t="s">
        <v>23</v>
      </c>
      <c r="E12" s="11" t="s">
        <v>76</v>
      </c>
      <c r="F12" s="3"/>
      <c r="G12" s="2" t="str">
        <f t="shared" si="0"/>
        <v>JBK3E</v>
      </c>
      <c r="H12" s="2">
        <f t="shared" si="1"/>
        <v>73</v>
      </c>
      <c r="I12" s="2">
        <f t="shared" si="2"/>
        <v>12</v>
      </c>
      <c r="J12" s="2" t="str">
        <f t="shared" si="3"/>
        <v>11</v>
      </c>
      <c r="K12" s="2" t="str">
        <f t="shared" si="4"/>
        <v>01</v>
      </c>
      <c r="L12" s="2" t="str">
        <f t="shared" si="5"/>
        <v>2026</v>
      </c>
      <c r="M12" s="2" t="str">
        <f t="shared" si="6"/>
        <v>-</v>
      </c>
      <c r="N12" s="4" t="str">
        <f t="shared" si="7"/>
        <v>-</v>
      </c>
      <c r="O12" s="2" t="str">
        <f t="shared" si="8"/>
        <v>-</v>
      </c>
    </row>
    <row r="13" spans="1:15" ht="25.5" hidden="1" x14ac:dyDescent="0.25">
      <c r="A13" s="9" t="s">
        <v>77</v>
      </c>
      <c r="B13" s="10" t="s">
        <v>11</v>
      </c>
      <c r="C13" s="11" t="s">
        <v>42</v>
      </c>
      <c r="D13" s="11" t="s">
        <v>23</v>
      </c>
      <c r="E13" s="11" t="s">
        <v>78</v>
      </c>
      <c r="F13" s="3"/>
      <c r="G13" s="2" t="str">
        <f t="shared" si="0"/>
        <v>JBK1E</v>
      </c>
      <c r="H13" s="2">
        <f t="shared" si="1"/>
        <v>58</v>
      </c>
      <c r="I13" s="2">
        <f t="shared" si="2"/>
        <v>12</v>
      </c>
      <c r="J13" s="2" t="str">
        <f t="shared" si="3"/>
        <v>26</v>
      </c>
      <c r="K13" s="2" t="str">
        <f t="shared" si="4"/>
        <v>01</v>
      </c>
      <c r="L13" s="2" t="str">
        <f t="shared" si="5"/>
        <v>2026</v>
      </c>
      <c r="M13" s="2" t="str">
        <f t="shared" si="6"/>
        <v>-</v>
      </c>
      <c r="N13" s="4" t="str">
        <f t="shared" si="7"/>
        <v>-</v>
      </c>
      <c r="O13" s="2" t="str">
        <f t="shared" si="8"/>
        <v>-</v>
      </c>
    </row>
    <row r="14" spans="1:15" ht="25.5" hidden="1" x14ac:dyDescent="0.25">
      <c r="A14" s="9" t="s">
        <v>79</v>
      </c>
      <c r="B14" s="10" t="s">
        <v>11</v>
      </c>
      <c r="C14" s="11" t="s">
        <v>39</v>
      </c>
      <c r="D14" s="11" t="s">
        <v>23</v>
      </c>
      <c r="E14" s="11" t="s">
        <v>80</v>
      </c>
      <c r="F14" s="3"/>
      <c r="G14" s="2" t="str">
        <f t="shared" si="0"/>
        <v>JBK3E</v>
      </c>
      <c r="H14" s="2">
        <f t="shared" si="1"/>
        <v>67</v>
      </c>
      <c r="I14" s="2">
        <f t="shared" si="2"/>
        <v>12</v>
      </c>
      <c r="J14" s="2" t="str">
        <f t="shared" si="3"/>
        <v>17</v>
      </c>
      <c r="K14" s="2" t="str">
        <f t="shared" si="4"/>
        <v>01</v>
      </c>
      <c r="L14" s="2" t="str">
        <f t="shared" si="5"/>
        <v>2026</v>
      </c>
      <c r="M14" s="2" t="str">
        <f t="shared" si="6"/>
        <v>-</v>
      </c>
      <c r="N14" s="4" t="str">
        <f t="shared" si="7"/>
        <v>-</v>
      </c>
      <c r="O14" s="2" t="str">
        <f t="shared" si="8"/>
        <v>-</v>
      </c>
    </row>
    <row r="15" spans="1:15" ht="25.5" hidden="1" x14ac:dyDescent="0.25">
      <c r="A15" s="9" t="s">
        <v>81</v>
      </c>
      <c r="B15" s="10" t="s">
        <v>11</v>
      </c>
      <c r="C15" s="11" t="s">
        <v>82</v>
      </c>
      <c r="D15" s="11" t="s">
        <v>23</v>
      </c>
      <c r="E15" s="11" t="s">
        <v>83</v>
      </c>
      <c r="F15" s="3"/>
      <c r="G15" s="2" t="str">
        <f t="shared" si="0"/>
        <v>JBK3E</v>
      </c>
      <c r="H15" s="2">
        <f t="shared" si="1"/>
        <v>68</v>
      </c>
      <c r="I15" s="2">
        <f t="shared" si="2"/>
        <v>12</v>
      </c>
      <c r="J15" s="2" t="str">
        <f t="shared" si="3"/>
        <v>16</v>
      </c>
      <c r="K15" s="2" t="str">
        <f t="shared" si="4"/>
        <v>01</v>
      </c>
      <c r="L15" s="2" t="str">
        <f t="shared" si="5"/>
        <v>2026</v>
      </c>
      <c r="M15" s="2" t="str">
        <f t="shared" si="6"/>
        <v>-</v>
      </c>
      <c r="N15" s="4" t="str">
        <f t="shared" si="7"/>
        <v>-</v>
      </c>
      <c r="O15" s="2" t="str">
        <f t="shared" si="8"/>
        <v>-</v>
      </c>
    </row>
    <row r="16" spans="1:15" ht="25.5" hidden="1" x14ac:dyDescent="0.25">
      <c r="A16" s="9" t="s">
        <v>84</v>
      </c>
      <c r="B16" s="10" t="s">
        <v>11</v>
      </c>
      <c r="C16" s="11" t="s">
        <v>39</v>
      </c>
      <c r="D16" s="11" t="s">
        <v>23</v>
      </c>
      <c r="E16" s="11" t="s">
        <v>85</v>
      </c>
      <c r="F16" s="3"/>
      <c r="G16" s="2" t="str">
        <f t="shared" si="0"/>
        <v>JBK3E</v>
      </c>
      <c r="H16" s="2">
        <f t="shared" si="1"/>
        <v>67</v>
      </c>
      <c r="I16" s="2">
        <f t="shared" si="2"/>
        <v>12</v>
      </c>
      <c r="J16" s="2" t="str">
        <f t="shared" si="3"/>
        <v>17</v>
      </c>
      <c r="K16" s="2" t="str">
        <f t="shared" si="4"/>
        <v>01</v>
      </c>
      <c r="L16" s="2" t="str">
        <f t="shared" si="5"/>
        <v>2026</v>
      </c>
      <c r="M16" s="2" t="str">
        <f t="shared" si="6"/>
        <v>-</v>
      </c>
      <c r="N16" s="4" t="str">
        <f t="shared" si="7"/>
        <v>-</v>
      </c>
      <c r="O16" s="2" t="str">
        <f t="shared" si="8"/>
        <v>-</v>
      </c>
    </row>
    <row r="17" spans="1:15" ht="25.5" hidden="1" x14ac:dyDescent="0.25">
      <c r="A17" s="9" t="s">
        <v>86</v>
      </c>
      <c r="B17" s="10" t="s">
        <v>16</v>
      </c>
      <c r="C17" s="11" t="s">
        <v>75</v>
      </c>
      <c r="D17" s="11" t="s">
        <v>48</v>
      </c>
      <c r="E17" s="11" t="s">
        <v>87</v>
      </c>
      <c r="F17" s="3"/>
      <c r="G17" s="2" t="str">
        <f t="shared" si="0"/>
        <v>JBK1E</v>
      </c>
      <c r="H17" s="2">
        <f t="shared" si="1"/>
        <v>69</v>
      </c>
      <c r="I17" s="2">
        <f t="shared" si="2"/>
        <v>12</v>
      </c>
      <c r="J17" s="2" t="str">
        <f t="shared" si="3"/>
        <v>11</v>
      </c>
      <c r="K17" s="2" t="str">
        <f t="shared" si="4"/>
        <v>01</v>
      </c>
      <c r="L17" s="2" t="str">
        <f t="shared" si="5"/>
        <v>2026</v>
      </c>
      <c r="M17" s="2" t="str">
        <f t="shared" si="6"/>
        <v>-</v>
      </c>
      <c r="N17" s="4" t="str">
        <f t="shared" si="7"/>
        <v>-</v>
      </c>
      <c r="O17" s="2" t="str">
        <f t="shared" si="8"/>
        <v>-</v>
      </c>
    </row>
    <row r="18" spans="1:15" ht="25.5" hidden="1" x14ac:dyDescent="0.25">
      <c r="A18" s="9" t="s">
        <v>88</v>
      </c>
      <c r="B18" s="10" t="s">
        <v>16</v>
      </c>
      <c r="C18" s="11" t="s">
        <v>33</v>
      </c>
      <c r="D18" s="11" t="s">
        <v>48</v>
      </c>
      <c r="E18" s="11" t="s">
        <v>89</v>
      </c>
      <c r="F18" s="3"/>
      <c r="G18" s="2" t="str">
        <f t="shared" si="0"/>
        <v>JBK3E</v>
      </c>
      <c r="H18" s="2">
        <f t="shared" si="1"/>
        <v>53</v>
      </c>
      <c r="I18" s="2">
        <f t="shared" si="2"/>
        <v>12</v>
      </c>
      <c r="J18" s="2" t="str">
        <f t="shared" si="3"/>
        <v>27</v>
      </c>
      <c r="K18" s="2" t="str">
        <f t="shared" si="4"/>
        <v>01</v>
      </c>
      <c r="L18" s="2" t="str">
        <f t="shared" si="5"/>
        <v>2026</v>
      </c>
      <c r="M18" s="2" t="str">
        <f t="shared" si="6"/>
        <v>-</v>
      </c>
      <c r="N18" s="4" t="str">
        <f t="shared" si="7"/>
        <v>-</v>
      </c>
      <c r="O18" s="2" t="str">
        <f t="shared" si="8"/>
        <v>-</v>
      </c>
    </row>
    <row r="19" spans="1:15" ht="25.5" hidden="1" x14ac:dyDescent="0.25">
      <c r="A19" s="9" t="s">
        <v>90</v>
      </c>
      <c r="B19" s="10" t="s">
        <v>16</v>
      </c>
      <c r="C19" s="11" t="s">
        <v>26</v>
      </c>
      <c r="D19" s="11" t="s">
        <v>48</v>
      </c>
      <c r="E19" s="11" t="s">
        <v>91</v>
      </c>
      <c r="F19" s="3"/>
      <c r="G19" s="2" t="str">
        <f t="shared" si="0"/>
        <v>JBK3E</v>
      </c>
      <c r="H19" s="2">
        <f t="shared" si="1"/>
        <v>43</v>
      </c>
      <c r="I19" s="2">
        <f t="shared" si="2"/>
        <v>12</v>
      </c>
      <c r="J19" s="2" t="str">
        <f t="shared" si="3"/>
        <v>06</v>
      </c>
      <c r="K19" s="2" t="str">
        <f t="shared" si="4"/>
        <v>02</v>
      </c>
      <c r="L19" s="2" t="str">
        <f t="shared" si="5"/>
        <v>2026</v>
      </c>
      <c r="M19" s="2" t="str">
        <f t="shared" si="6"/>
        <v>-</v>
      </c>
      <c r="N19" s="4" t="str">
        <f t="shared" si="7"/>
        <v>-</v>
      </c>
      <c r="O19" s="2" t="str">
        <f t="shared" si="8"/>
        <v>-</v>
      </c>
    </row>
    <row r="20" spans="1:15" ht="25.5" hidden="1" x14ac:dyDescent="0.25">
      <c r="A20" s="9" t="s">
        <v>92</v>
      </c>
      <c r="B20" s="10" t="s">
        <v>16</v>
      </c>
      <c r="C20" s="11" t="s">
        <v>66</v>
      </c>
      <c r="D20" s="11" t="s">
        <v>15</v>
      </c>
      <c r="E20" s="11" t="s">
        <v>93</v>
      </c>
      <c r="F20" s="3"/>
      <c r="G20" s="2" t="str">
        <f t="shared" si="0"/>
        <v>JBK3E</v>
      </c>
      <c r="H20" s="2">
        <f t="shared" si="1"/>
        <v>61</v>
      </c>
      <c r="I20" s="2">
        <f t="shared" si="2"/>
        <v>12</v>
      </c>
      <c r="J20" s="2" t="str">
        <f t="shared" si="3"/>
        <v>22</v>
      </c>
      <c r="K20" s="2" t="str">
        <f t="shared" si="4"/>
        <v>01</v>
      </c>
      <c r="L20" s="2" t="str">
        <f t="shared" si="5"/>
        <v>2026</v>
      </c>
      <c r="M20" s="2" t="str">
        <f t="shared" si="6"/>
        <v>-</v>
      </c>
      <c r="N20" s="4" t="str">
        <f t="shared" si="7"/>
        <v>-</v>
      </c>
      <c r="O20" s="2" t="str">
        <f t="shared" si="8"/>
        <v>-</v>
      </c>
    </row>
    <row r="21" spans="1:15" ht="25.5" hidden="1" x14ac:dyDescent="0.25">
      <c r="A21" s="9" t="s">
        <v>94</v>
      </c>
      <c r="B21" s="10" t="s">
        <v>16</v>
      </c>
      <c r="C21" s="11" t="s">
        <v>95</v>
      </c>
      <c r="D21" s="12" t="s">
        <v>15</v>
      </c>
      <c r="E21" s="11" t="s">
        <v>96</v>
      </c>
      <c r="F21" s="3"/>
      <c r="G21" s="2" t="str">
        <f t="shared" si="0"/>
        <v>JBK1E</v>
      </c>
      <c r="H21" s="2">
        <f t="shared" si="1"/>
        <v>44</v>
      </c>
      <c r="I21" s="2">
        <f t="shared" si="2"/>
        <v>12</v>
      </c>
      <c r="J21" s="2" t="str">
        <f t="shared" si="3"/>
        <v>08</v>
      </c>
      <c r="K21" s="2" t="str">
        <f t="shared" si="4"/>
        <v>02</v>
      </c>
      <c r="L21" s="2" t="str">
        <f t="shared" si="5"/>
        <v>2026</v>
      </c>
      <c r="M21" s="2" t="str">
        <f t="shared" si="6"/>
        <v>-</v>
      </c>
      <c r="N21" s="4" t="str">
        <f t="shared" si="7"/>
        <v>-</v>
      </c>
      <c r="O21" s="2" t="str">
        <f t="shared" si="8"/>
        <v>-</v>
      </c>
    </row>
    <row r="22" spans="1:15" ht="25.5" hidden="1" x14ac:dyDescent="0.25">
      <c r="A22" s="9" t="s">
        <v>97</v>
      </c>
      <c r="B22" s="10" t="s">
        <v>16</v>
      </c>
      <c r="C22" s="11" t="s">
        <v>12</v>
      </c>
      <c r="D22" s="13" t="s">
        <v>15</v>
      </c>
      <c r="E22" s="11" t="s">
        <v>98</v>
      </c>
      <c r="F22" s="3"/>
      <c r="G22" s="2" t="str">
        <f t="shared" si="0"/>
        <v>JBK3E</v>
      </c>
      <c r="H22" s="2">
        <f t="shared" si="1"/>
        <v>28</v>
      </c>
      <c r="I22" s="2">
        <f t="shared" si="2"/>
        <v>12</v>
      </c>
      <c r="J22" s="2" t="str">
        <f t="shared" si="3"/>
        <v>24</v>
      </c>
      <c r="K22" s="2" t="str">
        <f t="shared" si="4"/>
        <v>02</v>
      </c>
      <c r="L22" s="2" t="str">
        <f t="shared" si="5"/>
        <v>2026</v>
      </c>
      <c r="M22" s="2" t="str">
        <f t="shared" si="6"/>
        <v>-</v>
      </c>
      <c r="N22" s="4" t="str">
        <f t="shared" si="7"/>
        <v>-</v>
      </c>
      <c r="O22" s="2" t="str">
        <f t="shared" si="8"/>
        <v>-</v>
      </c>
    </row>
    <row r="23" spans="1:15" ht="25.5" hidden="1" x14ac:dyDescent="0.25">
      <c r="A23" s="9" t="s">
        <v>99</v>
      </c>
      <c r="B23" s="10" t="s">
        <v>16</v>
      </c>
      <c r="C23" s="11" t="s">
        <v>14</v>
      </c>
      <c r="D23" s="11" t="s">
        <v>15</v>
      </c>
      <c r="E23" s="11" t="s">
        <v>100</v>
      </c>
      <c r="F23" s="3"/>
      <c r="G23" s="2" t="str">
        <f t="shared" si="0"/>
        <v>JBK1E</v>
      </c>
      <c r="H23" s="2">
        <f t="shared" si="1"/>
        <v>36</v>
      </c>
      <c r="I23" s="2">
        <f t="shared" si="2"/>
        <v>12</v>
      </c>
      <c r="J23" s="2" t="str">
        <f t="shared" si="3"/>
        <v>16</v>
      </c>
      <c r="K23" s="2" t="str">
        <f t="shared" si="4"/>
        <v>02</v>
      </c>
      <c r="L23" s="2" t="str">
        <f t="shared" si="5"/>
        <v>2026</v>
      </c>
      <c r="M23" s="2" t="str">
        <f t="shared" si="6"/>
        <v>-</v>
      </c>
      <c r="N23" s="4" t="str">
        <f t="shared" si="7"/>
        <v>-</v>
      </c>
      <c r="O23" s="2" t="str">
        <f t="shared" si="8"/>
        <v>-</v>
      </c>
    </row>
    <row r="24" spans="1:15" ht="25.5" hidden="1" x14ac:dyDescent="0.25">
      <c r="A24" s="9" t="s">
        <v>101</v>
      </c>
      <c r="B24" s="10" t="s">
        <v>17</v>
      </c>
      <c r="C24" s="11" t="s">
        <v>60</v>
      </c>
      <c r="D24" s="11" t="s">
        <v>48</v>
      </c>
      <c r="E24" s="11" t="s">
        <v>102</v>
      </c>
      <c r="F24" s="3"/>
      <c r="G24" s="2" t="str">
        <f t="shared" si="0"/>
        <v>JBK1E</v>
      </c>
      <c r="H24" s="2">
        <f t="shared" si="1"/>
        <v>121</v>
      </c>
      <c r="I24" s="2">
        <f t="shared" si="2"/>
        <v>12</v>
      </c>
      <c r="J24" s="2" t="str">
        <f t="shared" si="3"/>
        <v>20</v>
      </c>
      <c r="K24" s="2" t="str">
        <f t="shared" si="4"/>
        <v>11</v>
      </c>
      <c r="L24" s="2" t="str">
        <f t="shared" si="5"/>
        <v>2025</v>
      </c>
      <c r="M24" s="2" t="str">
        <f t="shared" si="6"/>
        <v>-</v>
      </c>
      <c r="N24" s="4" t="str">
        <f t="shared" si="7"/>
        <v>-</v>
      </c>
      <c r="O24" s="2" t="str">
        <f t="shared" si="8"/>
        <v>-</v>
      </c>
    </row>
    <row r="25" spans="1:15" ht="25.5" hidden="1" x14ac:dyDescent="0.25">
      <c r="A25" s="9" t="s">
        <v>103</v>
      </c>
      <c r="B25" s="10" t="s">
        <v>17</v>
      </c>
      <c r="C25" s="11" t="s">
        <v>104</v>
      </c>
      <c r="D25" s="11" t="s">
        <v>48</v>
      </c>
      <c r="E25" s="11" t="s">
        <v>105</v>
      </c>
      <c r="F25" s="3"/>
      <c r="G25" s="2" t="str">
        <f t="shared" si="0"/>
        <v>JBK3E</v>
      </c>
      <c r="H25" s="2">
        <f t="shared" si="1"/>
        <v>191</v>
      </c>
      <c r="I25" s="2">
        <f t="shared" si="2"/>
        <v>12</v>
      </c>
      <c r="J25" s="2" t="str">
        <f t="shared" si="3"/>
        <v>11</v>
      </c>
      <c r="K25" s="2" t="str">
        <f t="shared" si="4"/>
        <v>09</v>
      </c>
      <c r="L25" s="2" t="str">
        <f t="shared" si="5"/>
        <v>2025</v>
      </c>
      <c r="M25" s="2" t="str">
        <f t="shared" si="6"/>
        <v>-</v>
      </c>
      <c r="N25" s="4" t="str">
        <f t="shared" si="7"/>
        <v>-</v>
      </c>
      <c r="O25" s="2" t="str">
        <f t="shared" si="8"/>
        <v>-</v>
      </c>
    </row>
    <row r="26" spans="1:15" ht="25.5" hidden="1" x14ac:dyDescent="0.25">
      <c r="A26" s="9" t="s">
        <v>106</v>
      </c>
      <c r="B26" s="10" t="s">
        <v>17</v>
      </c>
      <c r="C26" s="11" t="s">
        <v>107</v>
      </c>
      <c r="D26" s="11" t="s">
        <v>48</v>
      </c>
      <c r="E26" s="11" t="s">
        <v>108</v>
      </c>
      <c r="F26" s="3"/>
      <c r="G26" s="2" t="str">
        <f t="shared" si="0"/>
        <v>JBK1E</v>
      </c>
      <c r="H26" s="2">
        <f t="shared" si="1"/>
        <v>144</v>
      </c>
      <c r="I26" s="2">
        <f t="shared" si="2"/>
        <v>12</v>
      </c>
      <c r="J26" s="2" t="str">
        <f t="shared" si="3"/>
        <v>28</v>
      </c>
      <c r="K26" s="2" t="str">
        <f t="shared" si="4"/>
        <v>10</v>
      </c>
      <c r="L26" s="2" t="str">
        <f t="shared" si="5"/>
        <v>2025</v>
      </c>
      <c r="M26" s="2" t="str">
        <f t="shared" si="6"/>
        <v>-</v>
      </c>
      <c r="N26" s="4" t="str">
        <f t="shared" si="7"/>
        <v>-</v>
      </c>
      <c r="O26" s="2" t="str">
        <f t="shared" si="8"/>
        <v>-</v>
      </c>
    </row>
    <row r="27" spans="1:15" ht="25.5" hidden="1" x14ac:dyDescent="0.25">
      <c r="A27" s="9" t="s">
        <v>109</v>
      </c>
      <c r="B27" s="10" t="s">
        <v>17</v>
      </c>
      <c r="C27" s="11" t="s">
        <v>110</v>
      </c>
      <c r="D27" s="11" t="s">
        <v>48</v>
      </c>
      <c r="E27" s="11" t="s">
        <v>111</v>
      </c>
      <c r="F27" s="3"/>
      <c r="G27" s="2" t="str">
        <f t="shared" si="0"/>
        <v>JBK3E</v>
      </c>
      <c r="H27" s="2">
        <f t="shared" si="1"/>
        <v>120</v>
      </c>
      <c r="I27" s="2">
        <f t="shared" si="2"/>
        <v>12</v>
      </c>
      <c r="J27" s="2" t="str">
        <f t="shared" si="3"/>
        <v>21</v>
      </c>
      <c r="K27" s="2" t="str">
        <f t="shared" si="4"/>
        <v>11</v>
      </c>
      <c r="L27" s="2" t="str">
        <f t="shared" si="5"/>
        <v>2025</v>
      </c>
      <c r="M27" s="2" t="str">
        <f t="shared" si="6"/>
        <v>-</v>
      </c>
      <c r="N27" s="4" t="str">
        <f t="shared" si="7"/>
        <v>-</v>
      </c>
      <c r="O27" s="2" t="str">
        <f t="shared" si="8"/>
        <v>-</v>
      </c>
    </row>
    <row r="28" spans="1:15" ht="25.5" hidden="1" x14ac:dyDescent="0.25">
      <c r="A28" s="9" t="s">
        <v>112</v>
      </c>
      <c r="B28" s="10" t="s">
        <v>17</v>
      </c>
      <c r="C28" s="11" t="s">
        <v>60</v>
      </c>
      <c r="D28" s="11" t="s">
        <v>48</v>
      </c>
      <c r="E28" s="11" t="s">
        <v>113</v>
      </c>
      <c r="F28" s="3"/>
      <c r="G28" s="2" t="str">
        <f t="shared" si="0"/>
        <v>JBK3E</v>
      </c>
      <c r="H28" s="2">
        <f t="shared" si="1"/>
        <v>121</v>
      </c>
      <c r="I28" s="2">
        <f t="shared" si="2"/>
        <v>12</v>
      </c>
      <c r="J28" s="2" t="str">
        <f t="shared" si="3"/>
        <v>20</v>
      </c>
      <c r="K28" s="2" t="str">
        <f t="shared" si="4"/>
        <v>11</v>
      </c>
      <c r="L28" s="2" t="str">
        <f t="shared" si="5"/>
        <v>2025</v>
      </c>
      <c r="M28" s="2" t="str">
        <f t="shared" si="6"/>
        <v>-</v>
      </c>
      <c r="N28" s="4" t="str">
        <f t="shared" si="7"/>
        <v>-</v>
      </c>
      <c r="O28" s="2" t="str">
        <f t="shared" si="8"/>
        <v>-</v>
      </c>
    </row>
    <row r="29" spans="1:15" ht="25.5" hidden="1" x14ac:dyDescent="0.25">
      <c r="A29" s="9" t="s">
        <v>114</v>
      </c>
      <c r="B29" s="10" t="s">
        <v>17</v>
      </c>
      <c r="C29" s="11" t="s">
        <v>29</v>
      </c>
      <c r="D29" s="11" t="s">
        <v>15</v>
      </c>
      <c r="E29" s="11" t="s">
        <v>115</v>
      </c>
      <c r="F29" s="3"/>
      <c r="G29" s="2" t="str">
        <f t="shared" si="0"/>
        <v>JBK1E</v>
      </c>
      <c r="H29" s="2">
        <f t="shared" si="1"/>
        <v>134</v>
      </c>
      <c r="I29" s="2">
        <f t="shared" si="2"/>
        <v>12</v>
      </c>
      <c r="J29" s="2" t="str">
        <f t="shared" si="3"/>
        <v>10</v>
      </c>
      <c r="K29" s="2" t="str">
        <f t="shared" si="4"/>
        <v>11</v>
      </c>
      <c r="L29" s="2" t="str">
        <f t="shared" si="5"/>
        <v>2025</v>
      </c>
      <c r="M29" s="2" t="str">
        <f t="shared" si="6"/>
        <v>-</v>
      </c>
      <c r="N29" s="4" t="str">
        <f t="shared" si="7"/>
        <v>-</v>
      </c>
      <c r="O29" s="2" t="str">
        <f t="shared" si="8"/>
        <v>-</v>
      </c>
    </row>
    <row r="30" spans="1:15" ht="25.5" hidden="1" x14ac:dyDescent="0.25">
      <c r="A30" s="9" t="s">
        <v>116</v>
      </c>
      <c r="B30" s="10" t="s">
        <v>18</v>
      </c>
      <c r="C30" s="11" t="s">
        <v>43</v>
      </c>
      <c r="D30" s="11" t="s">
        <v>48</v>
      </c>
      <c r="E30" s="11" t="s">
        <v>117</v>
      </c>
      <c r="F30" s="3"/>
      <c r="G30" s="2" t="str">
        <f t="shared" si="0"/>
        <v>JBK1E</v>
      </c>
      <c r="H30" s="2">
        <f t="shared" si="1"/>
        <v>102</v>
      </c>
      <c r="I30" s="2">
        <f t="shared" si="2"/>
        <v>12</v>
      </c>
      <c r="J30" s="2" t="str">
        <f t="shared" si="3"/>
        <v>09</v>
      </c>
      <c r="K30" s="2" t="str">
        <f t="shared" si="4"/>
        <v>12</v>
      </c>
      <c r="L30" s="2" t="str">
        <f t="shared" si="5"/>
        <v>2025</v>
      </c>
      <c r="M30" s="2" t="str">
        <f t="shared" si="6"/>
        <v>-</v>
      </c>
      <c r="N30" s="4" t="str">
        <f t="shared" si="7"/>
        <v>-</v>
      </c>
      <c r="O30" s="2" t="str">
        <f t="shared" si="8"/>
        <v>-</v>
      </c>
    </row>
    <row r="31" spans="1:15" ht="25.5" hidden="1" x14ac:dyDescent="0.25">
      <c r="A31" s="9" t="s">
        <v>118</v>
      </c>
      <c r="B31" s="10" t="s">
        <v>16</v>
      </c>
      <c r="C31" s="11" t="s">
        <v>24</v>
      </c>
      <c r="D31" s="11" t="s">
        <v>15</v>
      </c>
      <c r="E31" s="11" t="s">
        <v>119</v>
      </c>
      <c r="F31" s="3"/>
      <c r="G31" s="2" t="str">
        <f t="shared" si="0"/>
        <v>JMH2E</v>
      </c>
      <c r="H31" s="2">
        <f t="shared" si="1"/>
        <v>54</v>
      </c>
      <c r="I31" s="2">
        <f t="shared" si="2"/>
        <v>12</v>
      </c>
      <c r="J31" s="2" t="str">
        <f t="shared" si="3"/>
        <v>29</v>
      </c>
      <c r="K31" s="2" t="str">
        <f t="shared" si="4"/>
        <v>01</v>
      </c>
      <c r="L31" s="2" t="str">
        <f t="shared" si="5"/>
        <v>2026</v>
      </c>
      <c r="M31" s="2" t="str">
        <f t="shared" si="6"/>
        <v>-</v>
      </c>
      <c r="N31" s="4" t="str">
        <f t="shared" si="7"/>
        <v>-</v>
      </c>
      <c r="O31" s="2" t="str">
        <f t="shared" si="8"/>
        <v>-</v>
      </c>
    </row>
    <row r="32" spans="1:15" ht="25.5" hidden="1" x14ac:dyDescent="0.25">
      <c r="A32" s="9" t="s">
        <v>120</v>
      </c>
      <c r="B32" s="10" t="s">
        <v>16</v>
      </c>
      <c r="C32" s="11" t="s">
        <v>40</v>
      </c>
      <c r="D32" s="11" t="s">
        <v>15</v>
      </c>
      <c r="E32" s="11" t="s">
        <v>121</v>
      </c>
      <c r="F32" s="3"/>
      <c r="G32" s="2" t="str">
        <f t="shared" si="0"/>
        <v>JMH1E</v>
      </c>
      <c r="H32" s="2">
        <f t="shared" si="1"/>
        <v>69</v>
      </c>
      <c r="I32" s="2">
        <f t="shared" si="2"/>
        <v>12</v>
      </c>
      <c r="J32" s="2" t="str">
        <f t="shared" si="3"/>
        <v>14</v>
      </c>
      <c r="K32" s="2" t="str">
        <f t="shared" si="4"/>
        <v>01</v>
      </c>
      <c r="L32" s="2" t="str">
        <f t="shared" si="5"/>
        <v>2026</v>
      </c>
      <c r="M32" s="2" t="str">
        <f t="shared" si="6"/>
        <v>-</v>
      </c>
      <c r="N32" s="4" t="str">
        <f t="shared" si="7"/>
        <v>-</v>
      </c>
      <c r="O32" s="2" t="str">
        <f t="shared" si="8"/>
        <v>-</v>
      </c>
    </row>
    <row r="33" spans="1:15" ht="25.5" hidden="1" x14ac:dyDescent="0.25">
      <c r="A33" s="9" t="s">
        <v>122</v>
      </c>
      <c r="B33" s="10" t="s">
        <v>16</v>
      </c>
      <c r="C33" s="11" t="s">
        <v>123</v>
      </c>
      <c r="D33" s="11" t="s">
        <v>15</v>
      </c>
      <c r="E33" s="11" t="s">
        <v>124</v>
      </c>
      <c r="F33" s="3"/>
      <c r="G33" s="2" t="str">
        <f t="shared" si="0"/>
        <v>JMH2E</v>
      </c>
      <c r="H33" s="2">
        <f t="shared" si="1"/>
        <v>95</v>
      </c>
      <c r="I33" s="2">
        <f t="shared" si="2"/>
        <v>12</v>
      </c>
      <c r="J33" s="2" t="str">
        <f t="shared" si="3"/>
        <v>19</v>
      </c>
      <c r="K33" s="2" t="str">
        <f t="shared" si="4"/>
        <v>12</v>
      </c>
      <c r="L33" s="2" t="str">
        <f t="shared" si="5"/>
        <v>2025</v>
      </c>
      <c r="M33" s="2" t="str">
        <f t="shared" si="6"/>
        <v>-</v>
      </c>
      <c r="N33" s="4" t="str">
        <f t="shared" si="7"/>
        <v>-</v>
      </c>
      <c r="O33" s="2" t="str">
        <f t="shared" si="8"/>
        <v>-</v>
      </c>
    </row>
    <row r="34" spans="1:15" ht="25.5" hidden="1" x14ac:dyDescent="0.25">
      <c r="A34" s="9" t="s">
        <v>125</v>
      </c>
      <c r="B34" s="10" t="s">
        <v>17</v>
      </c>
      <c r="C34" s="11" t="s">
        <v>22</v>
      </c>
      <c r="D34" s="11" t="s">
        <v>15</v>
      </c>
      <c r="E34" s="11" t="s">
        <v>126</v>
      </c>
      <c r="F34" s="3"/>
      <c r="G34" s="2" t="str">
        <f t="shared" si="0"/>
        <v>JMH2E</v>
      </c>
      <c r="H34" s="2">
        <f t="shared" si="1"/>
        <v>148</v>
      </c>
      <c r="I34" s="2">
        <f t="shared" si="2"/>
        <v>12</v>
      </c>
      <c r="J34" s="2" t="str">
        <f t="shared" si="3"/>
        <v>27</v>
      </c>
      <c r="K34" s="2" t="str">
        <f t="shared" si="4"/>
        <v>10</v>
      </c>
      <c r="L34" s="2" t="str">
        <f t="shared" si="5"/>
        <v>2025</v>
      </c>
      <c r="M34" s="2" t="str">
        <f t="shared" si="6"/>
        <v>-</v>
      </c>
      <c r="N34" s="4" t="str">
        <f t="shared" si="7"/>
        <v>-</v>
      </c>
      <c r="O34" s="2" t="str">
        <f t="shared" si="8"/>
        <v>-</v>
      </c>
    </row>
    <row r="35" spans="1:15" ht="25.5" hidden="1" x14ac:dyDescent="0.25">
      <c r="A35" s="9" t="s">
        <v>127</v>
      </c>
      <c r="B35" s="10" t="s">
        <v>16</v>
      </c>
      <c r="C35" s="11" t="s">
        <v>45</v>
      </c>
      <c r="D35" s="11" t="s">
        <v>15</v>
      </c>
      <c r="E35" s="11" t="s">
        <v>128</v>
      </c>
      <c r="F35" s="3"/>
      <c r="G35" s="2" t="str">
        <f t="shared" si="0"/>
        <v>KFD1E</v>
      </c>
      <c r="H35" s="2">
        <f t="shared" si="1"/>
        <v>74</v>
      </c>
      <c r="I35" s="2">
        <f t="shared" si="2"/>
        <v>12</v>
      </c>
      <c r="J35" s="2" t="str">
        <f t="shared" si="3"/>
        <v>09</v>
      </c>
      <c r="K35" s="2" t="str">
        <f t="shared" si="4"/>
        <v>01</v>
      </c>
      <c r="L35" s="2" t="str">
        <f t="shared" si="5"/>
        <v>2026</v>
      </c>
      <c r="M35" s="2" t="str">
        <f t="shared" si="6"/>
        <v>-</v>
      </c>
      <c r="N35" s="4" t="str">
        <f t="shared" si="7"/>
        <v>-</v>
      </c>
      <c r="O35" s="2" t="str">
        <f t="shared" si="8"/>
        <v>-</v>
      </c>
    </row>
    <row r="36" spans="1:15" ht="25.5" hidden="1" x14ac:dyDescent="0.25">
      <c r="A36" s="9" t="s">
        <v>129</v>
      </c>
      <c r="B36" s="10" t="s">
        <v>11</v>
      </c>
      <c r="C36" s="11" t="s">
        <v>130</v>
      </c>
      <c r="D36" s="11" t="s">
        <v>15</v>
      </c>
      <c r="E36" s="11" t="s">
        <v>131</v>
      </c>
      <c r="F36" s="3"/>
      <c r="G36" s="2" t="str">
        <f t="shared" si="0"/>
        <v>JBP1E</v>
      </c>
      <c r="H36" s="2">
        <f t="shared" si="1"/>
        <v>27</v>
      </c>
      <c r="I36" s="2">
        <f t="shared" si="2"/>
        <v>12</v>
      </c>
      <c r="J36" s="2" t="str">
        <f t="shared" si="3"/>
        <v>25</v>
      </c>
      <c r="K36" s="2" t="str">
        <f t="shared" si="4"/>
        <v>02</v>
      </c>
      <c r="L36" s="2" t="str">
        <f t="shared" si="5"/>
        <v>2026</v>
      </c>
      <c r="M36" s="2" t="str">
        <f t="shared" si="6"/>
        <v>-</v>
      </c>
      <c r="N36" s="4" t="str">
        <f t="shared" si="7"/>
        <v>-</v>
      </c>
      <c r="O36" s="2" t="str">
        <f t="shared" si="8"/>
        <v>-</v>
      </c>
    </row>
    <row r="37" spans="1:15" ht="25.5" hidden="1" x14ac:dyDescent="0.25">
      <c r="A37" s="9" t="s">
        <v>132</v>
      </c>
      <c r="B37" s="10" t="s">
        <v>11</v>
      </c>
      <c r="C37" s="11" t="s">
        <v>133</v>
      </c>
      <c r="D37" s="11" t="s">
        <v>23</v>
      </c>
      <c r="E37" s="11" t="s">
        <v>27</v>
      </c>
      <c r="F37" s="3"/>
      <c r="G37" s="2" t="str">
        <f t="shared" si="0"/>
        <v>JMJ1E</v>
      </c>
      <c r="H37" s="2">
        <f t="shared" si="1"/>
        <v>56</v>
      </c>
      <c r="I37" s="2">
        <f t="shared" si="2"/>
        <v>12</v>
      </c>
      <c r="J37" s="2" t="str">
        <f t="shared" si="3"/>
        <v>28</v>
      </c>
      <c r="K37" s="2" t="str">
        <f t="shared" si="4"/>
        <v>01</v>
      </c>
      <c r="L37" s="2" t="str">
        <f t="shared" si="5"/>
        <v>2026</v>
      </c>
      <c r="M37" s="2" t="str">
        <f t="shared" si="6"/>
        <v>-</v>
      </c>
      <c r="N37" s="4" t="str">
        <f t="shared" si="7"/>
        <v>-</v>
      </c>
      <c r="O37" s="2" t="str">
        <f t="shared" si="8"/>
        <v>-</v>
      </c>
    </row>
    <row r="38" spans="1:15" ht="25.5" hidden="1" x14ac:dyDescent="0.25">
      <c r="A38" s="9" t="s">
        <v>134</v>
      </c>
      <c r="B38" s="10" t="s">
        <v>16</v>
      </c>
      <c r="C38" s="11" t="s">
        <v>31</v>
      </c>
      <c r="D38" s="11" t="s">
        <v>48</v>
      </c>
      <c r="E38" s="11" t="s">
        <v>91</v>
      </c>
      <c r="F38" s="3"/>
      <c r="G38" s="2" t="str">
        <f t="shared" si="0"/>
        <v>JMD1E</v>
      </c>
      <c r="H38" s="2">
        <f t="shared" si="1"/>
        <v>88</v>
      </c>
      <c r="I38" s="2">
        <f t="shared" si="2"/>
        <v>12</v>
      </c>
      <c r="J38" s="2" t="str">
        <f t="shared" si="3"/>
        <v>23</v>
      </c>
      <c r="K38" s="2" t="str">
        <f t="shared" si="4"/>
        <v>12</v>
      </c>
      <c r="L38" s="2" t="str">
        <f t="shared" si="5"/>
        <v>2025</v>
      </c>
      <c r="M38" s="2" t="str">
        <f t="shared" si="6"/>
        <v>-</v>
      </c>
      <c r="N38" s="4" t="str">
        <f t="shared" si="7"/>
        <v>-</v>
      </c>
      <c r="O38" s="2" t="str">
        <f t="shared" si="8"/>
        <v>-</v>
      </c>
    </row>
    <row r="39" spans="1:15" ht="25.5" hidden="1" x14ac:dyDescent="0.25">
      <c r="A39" s="9" t="s">
        <v>135</v>
      </c>
      <c r="B39" s="10" t="s">
        <v>16</v>
      </c>
      <c r="C39" s="11" t="s">
        <v>35</v>
      </c>
      <c r="D39" s="11" t="s">
        <v>15</v>
      </c>
      <c r="E39" s="11" t="s">
        <v>68</v>
      </c>
      <c r="F39" s="3"/>
      <c r="G39" s="2" t="str">
        <f t="shared" si="0"/>
        <v>JMJ1E</v>
      </c>
      <c r="H39" s="2">
        <f t="shared" si="1"/>
        <v>87</v>
      </c>
      <c r="I39" s="2">
        <f t="shared" si="2"/>
        <v>12</v>
      </c>
      <c r="J39" s="2" t="str">
        <f t="shared" si="3"/>
        <v>27</v>
      </c>
      <c r="K39" s="2" t="str">
        <f t="shared" si="4"/>
        <v>12</v>
      </c>
      <c r="L39" s="2" t="str">
        <f t="shared" si="5"/>
        <v>2025</v>
      </c>
      <c r="M39" s="2" t="str">
        <f t="shared" si="6"/>
        <v>-</v>
      </c>
      <c r="N39" s="4" t="str">
        <f t="shared" si="7"/>
        <v>-</v>
      </c>
      <c r="O39" s="2" t="str">
        <f t="shared" si="8"/>
        <v>-</v>
      </c>
    </row>
    <row r="40" spans="1:15" ht="25.5" hidden="1" x14ac:dyDescent="0.25">
      <c r="A40" s="9" t="s">
        <v>136</v>
      </c>
      <c r="B40" s="10" t="s">
        <v>17</v>
      </c>
      <c r="C40" s="11" t="s">
        <v>44</v>
      </c>
      <c r="D40" s="11" t="s">
        <v>15</v>
      </c>
      <c r="E40" s="11" t="s">
        <v>124</v>
      </c>
      <c r="F40" s="3"/>
      <c r="G40" s="2" t="str">
        <f t="shared" si="0"/>
        <v>JMD1E</v>
      </c>
      <c r="H40" s="2">
        <f t="shared" si="1"/>
        <v>138</v>
      </c>
      <c r="I40" s="2">
        <f t="shared" si="2"/>
        <v>12</v>
      </c>
      <c r="J40" s="2" t="str">
        <f t="shared" si="3"/>
        <v>06</v>
      </c>
      <c r="K40" s="2" t="str">
        <f t="shared" si="4"/>
        <v>11</v>
      </c>
      <c r="L40" s="2" t="str">
        <f t="shared" si="5"/>
        <v>2025</v>
      </c>
      <c r="M40" s="2" t="str">
        <f t="shared" si="6"/>
        <v>-</v>
      </c>
      <c r="N40" s="4" t="str">
        <f t="shared" si="7"/>
        <v>-</v>
      </c>
      <c r="O40" s="2" t="str">
        <f t="shared" si="8"/>
        <v>-</v>
      </c>
    </row>
    <row r="41" spans="1:15" ht="25.5" x14ac:dyDescent="0.25">
      <c r="A41" s="14" t="s">
        <v>134</v>
      </c>
      <c r="B41" s="10" t="s">
        <v>17</v>
      </c>
      <c r="C41" s="10" t="s">
        <v>31</v>
      </c>
      <c r="D41" s="10" t="s">
        <v>15</v>
      </c>
      <c r="E41" s="10" t="s">
        <v>137</v>
      </c>
      <c r="F41" s="3" t="s">
        <v>138</v>
      </c>
      <c r="G41" s="2" t="str">
        <f t="shared" si="0"/>
        <v>JMD1E</v>
      </c>
      <c r="H41" s="2">
        <f t="shared" si="1"/>
        <v>91</v>
      </c>
      <c r="I41" s="2">
        <f t="shared" si="2"/>
        <v>12</v>
      </c>
      <c r="J41" s="2" t="str">
        <f t="shared" si="3"/>
        <v>23</v>
      </c>
      <c r="K41" s="2" t="str">
        <f t="shared" si="4"/>
        <v>12</v>
      </c>
      <c r="L41" s="2" t="str">
        <f t="shared" si="5"/>
        <v>2025</v>
      </c>
      <c r="M41" s="2" t="str">
        <f t="shared" si="6"/>
        <v>-</v>
      </c>
      <c r="N41" s="4" t="str">
        <f t="shared" si="7"/>
        <v>-</v>
      </c>
      <c r="O41" s="2" t="str">
        <f t="shared" si="8"/>
        <v>-</v>
      </c>
    </row>
    <row r="42" spans="1:15" ht="25.5" hidden="1" x14ac:dyDescent="0.25">
      <c r="A42" s="5" t="s">
        <v>139</v>
      </c>
      <c r="B42" s="10" t="s">
        <v>16</v>
      </c>
      <c r="C42" s="11" t="s">
        <v>140</v>
      </c>
      <c r="D42" s="11" t="s">
        <v>48</v>
      </c>
      <c r="E42" s="11" t="s">
        <v>141</v>
      </c>
      <c r="F42" s="3" t="s">
        <v>142</v>
      </c>
      <c r="G42" s="2" t="str">
        <f t="shared" si="0"/>
        <v>KF01E</v>
      </c>
      <c r="H42" s="2">
        <f t="shared" si="1"/>
        <v>176</v>
      </c>
      <c r="I42" s="2">
        <f t="shared" si="2"/>
        <v>12</v>
      </c>
      <c r="J42" s="2" t="str">
        <f t="shared" si="3"/>
        <v>26</v>
      </c>
      <c r="K42" s="2" t="str">
        <f t="shared" si="4"/>
        <v>09</v>
      </c>
      <c r="L42" s="2" t="str">
        <f t="shared" si="5"/>
        <v>2025</v>
      </c>
      <c r="M42" s="2" t="str">
        <f t="shared" si="6"/>
        <v>tolong cek</v>
      </c>
      <c r="N42" s="4" t="str">
        <f t="shared" si="7"/>
        <v>-</v>
      </c>
      <c r="O42" s="2" t="str">
        <f t="shared" si="8"/>
        <v>-</v>
      </c>
    </row>
    <row r="43" spans="1:15" ht="25.5" hidden="1" x14ac:dyDescent="0.25">
      <c r="A43" s="9" t="s">
        <v>143</v>
      </c>
      <c r="B43" s="10" t="s">
        <v>11</v>
      </c>
      <c r="C43" s="11" t="s">
        <v>19</v>
      </c>
      <c r="D43" s="11" t="s">
        <v>15</v>
      </c>
      <c r="E43" s="11" t="s">
        <v>89</v>
      </c>
      <c r="F43" s="3"/>
      <c r="G43" s="2" t="str">
        <f t="shared" si="0"/>
        <v>KC04E</v>
      </c>
      <c r="H43" s="2">
        <f t="shared" si="1"/>
        <v>29</v>
      </c>
      <c r="I43" s="2">
        <f t="shared" si="2"/>
        <v>12</v>
      </c>
      <c r="J43" s="2" t="str">
        <f t="shared" si="3"/>
        <v>23</v>
      </c>
      <c r="K43" s="2" t="str">
        <f t="shared" si="4"/>
        <v>02</v>
      </c>
      <c r="L43" s="2" t="str">
        <f t="shared" si="5"/>
        <v>2026</v>
      </c>
      <c r="M43" s="2" t="str">
        <f t="shared" si="6"/>
        <v>-</v>
      </c>
      <c r="N43" s="4" t="str">
        <f t="shared" si="7"/>
        <v>-</v>
      </c>
      <c r="O43" s="2" t="str">
        <f t="shared" si="8"/>
        <v>-</v>
      </c>
    </row>
    <row r="44" spans="1:15" ht="25.5" hidden="1" x14ac:dyDescent="0.25">
      <c r="A44" s="9" t="s">
        <v>144</v>
      </c>
      <c r="B44" s="10" t="s">
        <v>11</v>
      </c>
      <c r="C44" s="11" t="s">
        <v>39</v>
      </c>
      <c r="D44" s="11" t="s">
        <v>23</v>
      </c>
      <c r="E44" s="11" t="s">
        <v>145</v>
      </c>
      <c r="F44" s="3"/>
      <c r="G44" s="2" t="str">
        <f t="shared" si="0"/>
        <v>KC04E</v>
      </c>
      <c r="H44" s="2">
        <f t="shared" si="1"/>
        <v>67</v>
      </c>
      <c r="I44" s="2">
        <f t="shared" si="2"/>
        <v>12</v>
      </c>
      <c r="J44" s="2" t="str">
        <f t="shared" si="3"/>
        <v>17</v>
      </c>
      <c r="K44" s="2" t="str">
        <f t="shared" si="4"/>
        <v>01</v>
      </c>
      <c r="L44" s="2" t="str">
        <f t="shared" si="5"/>
        <v>2026</v>
      </c>
      <c r="M44" s="2" t="str">
        <f t="shared" si="6"/>
        <v>-</v>
      </c>
      <c r="N44" s="4" t="str">
        <f t="shared" si="7"/>
        <v>-</v>
      </c>
      <c r="O44" s="2" t="str">
        <f t="shared" si="8"/>
        <v>-</v>
      </c>
    </row>
    <row r="45" spans="1:15" ht="25.5" hidden="1" x14ac:dyDescent="0.25">
      <c r="A45" s="9" t="s">
        <v>146</v>
      </c>
      <c r="B45" s="10" t="s">
        <v>11</v>
      </c>
      <c r="C45" s="11" t="s">
        <v>42</v>
      </c>
      <c r="D45" s="11" t="s">
        <v>23</v>
      </c>
      <c r="E45" s="11" t="s">
        <v>147</v>
      </c>
      <c r="F45" s="3"/>
      <c r="G45" s="2" t="str">
        <f t="shared" si="0"/>
        <v>KC04E</v>
      </c>
      <c r="H45" s="2">
        <f t="shared" si="1"/>
        <v>58</v>
      </c>
      <c r="I45" s="2">
        <f t="shared" si="2"/>
        <v>12</v>
      </c>
      <c r="J45" s="2" t="str">
        <f t="shared" si="3"/>
        <v>26</v>
      </c>
      <c r="K45" s="2" t="str">
        <f t="shared" si="4"/>
        <v>01</v>
      </c>
      <c r="L45" s="2" t="str">
        <f t="shared" si="5"/>
        <v>2026</v>
      </c>
      <c r="M45" s="2" t="str">
        <f t="shared" si="6"/>
        <v>-</v>
      </c>
      <c r="N45" s="4" t="str">
        <f t="shared" si="7"/>
        <v>-</v>
      </c>
      <c r="O45" s="2" t="str">
        <f t="shared" si="8"/>
        <v>-</v>
      </c>
    </row>
    <row r="46" spans="1:15" ht="25.5" hidden="1" x14ac:dyDescent="0.25">
      <c r="A46" s="9" t="s">
        <v>148</v>
      </c>
      <c r="B46" s="10" t="s">
        <v>16</v>
      </c>
      <c r="C46" s="11" t="s">
        <v>66</v>
      </c>
      <c r="D46" s="11" t="s">
        <v>48</v>
      </c>
      <c r="E46" s="11" t="s">
        <v>149</v>
      </c>
      <c r="F46" s="3"/>
      <c r="G46" s="2" t="str">
        <f t="shared" si="0"/>
        <v>KC04E</v>
      </c>
      <c r="H46" s="2">
        <f t="shared" si="1"/>
        <v>58</v>
      </c>
      <c r="I46" s="2">
        <f t="shared" si="2"/>
        <v>12</v>
      </c>
      <c r="J46" s="2" t="str">
        <f t="shared" si="3"/>
        <v>22</v>
      </c>
      <c r="K46" s="2" t="str">
        <f t="shared" si="4"/>
        <v>01</v>
      </c>
      <c r="L46" s="2" t="str">
        <f t="shared" si="5"/>
        <v>2026</v>
      </c>
      <c r="M46" s="2" t="str">
        <f t="shared" si="6"/>
        <v>-</v>
      </c>
      <c r="N46" s="4" t="str">
        <f t="shared" si="7"/>
        <v>-</v>
      </c>
      <c r="O46" s="2" t="str">
        <f t="shared" si="8"/>
        <v>-</v>
      </c>
    </row>
    <row r="47" spans="1:15" ht="25.5" hidden="1" x14ac:dyDescent="0.25">
      <c r="A47" s="9" t="s">
        <v>150</v>
      </c>
      <c r="B47" s="10" t="s">
        <v>16</v>
      </c>
      <c r="C47" s="11" t="s">
        <v>21</v>
      </c>
      <c r="D47" s="11" t="s">
        <v>48</v>
      </c>
      <c r="E47" s="11" t="s">
        <v>151</v>
      </c>
      <c r="F47" s="3"/>
      <c r="G47" s="2" t="str">
        <f t="shared" si="0"/>
        <v>KC04E</v>
      </c>
      <c r="H47" s="2">
        <f t="shared" si="1"/>
        <v>42</v>
      </c>
      <c r="I47" s="2">
        <f t="shared" si="2"/>
        <v>12</v>
      </c>
      <c r="J47" s="2" t="str">
        <f t="shared" si="3"/>
        <v>07</v>
      </c>
      <c r="K47" s="2" t="str">
        <f t="shared" si="4"/>
        <v>02</v>
      </c>
      <c r="L47" s="2" t="str">
        <f t="shared" si="5"/>
        <v>2026</v>
      </c>
      <c r="M47" s="2" t="str">
        <f t="shared" si="6"/>
        <v>-</v>
      </c>
      <c r="N47" s="4" t="str">
        <f t="shared" si="7"/>
        <v>-</v>
      </c>
      <c r="O47" s="2" t="str">
        <f t="shared" si="8"/>
        <v>-</v>
      </c>
    </row>
    <row r="48" spans="1:15" ht="25.5" hidden="1" x14ac:dyDescent="0.25">
      <c r="A48" s="9" t="s">
        <v>152</v>
      </c>
      <c r="B48" s="10" t="s">
        <v>16</v>
      </c>
      <c r="C48" s="11" t="s">
        <v>153</v>
      </c>
      <c r="D48" s="11" t="s">
        <v>15</v>
      </c>
      <c r="E48" s="11" t="s">
        <v>154</v>
      </c>
      <c r="F48" s="3"/>
      <c r="G48" s="2" t="str">
        <f t="shared" si="0"/>
        <v>KC03E</v>
      </c>
      <c r="H48" s="2">
        <f t="shared" si="1"/>
        <v>81</v>
      </c>
      <c r="I48" s="2">
        <f t="shared" si="2"/>
        <v>12</v>
      </c>
      <c r="J48" s="2" t="str">
        <f t="shared" si="3"/>
        <v>02</v>
      </c>
      <c r="K48" s="2" t="str">
        <f t="shared" si="4"/>
        <v>01</v>
      </c>
      <c r="L48" s="2" t="str">
        <f t="shared" si="5"/>
        <v>2026</v>
      </c>
      <c r="M48" s="2" t="str">
        <f t="shared" si="6"/>
        <v>-</v>
      </c>
      <c r="N48" s="4" t="str">
        <f t="shared" si="7"/>
        <v>-</v>
      </c>
      <c r="O48" s="2" t="str">
        <f t="shared" si="8"/>
        <v>-</v>
      </c>
    </row>
    <row r="49" spans="1:15" ht="25.5" hidden="1" x14ac:dyDescent="0.25">
      <c r="A49" s="9" t="s">
        <v>155</v>
      </c>
      <c r="B49" s="10" t="s">
        <v>16</v>
      </c>
      <c r="C49" s="11" t="s">
        <v>13</v>
      </c>
      <c r="D49" s="11" t="s">
        <v>15</v>
      </c>
      <c r="E49" s="11" t="s">
        <v>156</v>
      </c>
      <c r="F49" s="3"/>
      <c r="G49" s="2" t="str">
        <f t="shared" si="0"/>
        <v>KC03E</v>
      </c>
      <c r="H49" s="2">
        <f t="shared" si="1"/>
        <v>64</v>
      </c>
      <c r="I49" s="2">
        <f t="shared" si="2"/>
        <v>12</v>
      </c>
      <c r="J49" s="2" t="str">
        <f t="shared" si="3"/>
        <v>19</v>
      </c>
      <c r="K49" s="2" t="str">
        <f t="shared" si="4"/>
        <v>01</v>
      </c>
      <c r="L49" s="2" t="str">
        <f t="shared" si="5"/>
        <v>2026</v>
      </c>
      <c r="M49" s="2" t="str">
        <f t="shared" si="6"/>
        <v>-</v>
      </c>
      <c r="N49" s="4" t="str">
        <f t="shared" si="7"/>
        <v>-</v>
      </c>
      <c r="O49" s="2" t="str">
        <f t="shared" si="8"/>
        <v>-</v>
      </c>
    </row>
    <row r="50" spans="1:15" ht="25.5" hidden="1" x14ac:dyDescent="0.25">
      <c r="A50" s="9" t="s">
        <v>157</v>
      </c>
      <c r="B50" s="10" t="s">
        <v>17</v>
      </c>
      <c r="C50" s="11" t="s">
        <v>158</v>
      </c>
      <c r="D50" s="11" t="s">
        <v>48</v>
      </c>
      <c r="E50" s="11" t="s">
        <v>159</v>
      </c>
      <c r="F50" s="3"/>
      <c r="G50" s="2" t="str">
        <f t="shared" si="0"/>
        <v>KC04E</v>
      </c>
      <c r="H50" s="2">
        <f t="shared" si="1"/>
        <v>117</v>
      </c>
      <c r="I50" s="2">
        <f t="shared" si="2"/>
        <v>12</v>
      </c>
      <c r="J50" s="2" t="str">
        <f t="shared" si="3"/>
        <v>24</v>
      </c>
      <c r="K50" s="2" t="str">
        <f t="shared" si="4"/>
        <v>11</v>
      </c>
      <c r="L50" s="2" t="str">
        <f t="shared" si="5"/>
        <v>2025</v>
      </c>
      <c r="M50" s="2" t="str">
        <f t="shared" si="6"/>
        <v>-</v>
      </c>
      <c r="N50" s="4" t="str">
        <f t="shared" si="7"/>
        <v>-</v>
      </c>
      <c r="O50" s="2" t="str">
        <f t="shared" si="8"/>
        <v>-</v>
      </c>
    </row>
    <row r="51" spans="1:15" ht="25.5" hidden="1" x14ac:dyDescent="0.25">
      <c r="A51" s="9" t="s">
        <v>160</v>
      </c>
      <c r="B51" s="10" t="s">
        <v>17</v>
      </c>
      <c r="C51" s="11" t="s">
        <v>161</v>
      </c>
      <c r="D51" s="11" t="s">
        <v>48</v>
      </c>
      <c r="E51" s="11" t="s">
        <v>162</v>
      </c>
      <c r="F51" s="3"/>
      <c r="G51" s="2" t="str">
        <f t="shared" si="0"/>
        <v>KC04E</v>
      </c>
      <c r="H51" s="2">
        <f t="shared" si="1"/>
        <v>140</v>
      </c>
      <c r="I51" s="2">
        <f t="shared" si="2"/>
        <v>12</v>
      </c>
      <c r="J51" s="2" t="str">
        <f t="shared" si="3"/>
        <v>01</v>
      </c>
      <c r="K51" s="2" t="str">
        <f t="shared" si="4"/>
        <v>11</v>
      </c>
      <c r="L51" s="2" t="str">
        <f t="shared" si="5"/>
        <v>2025</v>
      </c>
      <c r="M51" s="2" t="str">
        <f t="shared" si="6"/>
        <v>-</v>
      </c>
      <c r="N51" s="4" t="str">
        <f t="shared" si="7"/>
        <v>-</v>
      </c>
      <c r="O51" s="2" t="str">
        <f t="shared" si="8"/>
        <v>-</v>
      </c>
    </row>
    <row r="52" spans="1:15" ht="25.5" hidden="1" x14ac:dyDescent="0.25">
      <c r="A52" s="9" t="s">
        <v>163</v>
      </c>
      <c r="B52" s="10" t="s">
        <v>18</v>
      </c>
      <c r="C52" s="11" t="s">
        <v>164</v>
      </c>
      <c r="D52" s="11" t="s">
        <v>15</v>
      </c>
      <c r="E52" s="11" t="s">
        <v>165</v>
      </c>
      <c r="F52" s="3"/>
      <c r="G52" s="2" t="str">
        <f t="shared" si="0"/>
        <v>KC04E</v>
      </c>
      <c r="H52" s="2">
        <f t="shared" si="1"/>
        <v>257</v>
      </c>
      <c r="I52" s="2">
        <f t="shared" si="2"/>
        <v>12</v>
      </c>
      <c r="J52" s="2" t="str">
        <f t="shared" si="3"/>
        <v>10</v>
      </c>
      <c r="K52" s="2" t="str">
        <f t="shared" si="4"/>
        <v>07</v>
      </c>
      <c r="L52" s="2" t="str">
        <f t="shared" si="5"/>
        <v>2025</v>
      </c>
      <c r="M52" s="2" t="str">
        <f t="shared" si="6"/>
        <v>-</v>
      </c>
      <c r="N52" s="4" t="str">
        <f t="shared" si="7"/>
        <v>-</v>
      </c>
      <c r="O52" s="2" t="str">
        <f t="shared" si="8"/>
        <v>-</v>
      </c>
    </row>
  </sheetData>
  <autoFilter ref="A1:O52" xr:uid="{1B893F87-4E70-41FF-A303-9CE61CBAF894}">
    <filterColumn colId="5">
      <filters>
        <filter val="Salah buku service (tidak bisa klaim)"/>
        <filter val="Tidak ada fisik KPB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E61A-9C41-402E-B913-E027DBADC634}">
  <sheetPr>
    <tabColor rgb="FF92D050"/>
  </sheetPr>
  <dimension ref="A1:O14"/>
  <sheetViews>
    <sheetView workbookViewId="0">
      <selection activeCell="F1" sqref="F1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x14ac:dyDescent="0.25">
      <c r="A2" s="9" t="s">
        <v>166</v>
      </c>
      <c r="B2" s="10" t="s">
        <v>11</v>
      </c>
      <c r="C2" s="11" t="s">
        <v>38</v>
      </c>
      <c r="D2" s="11" t="s">
        <v>30</v>
      </c>
      <c r="E2" s="11" t="s">
        <v>167</v>
      </c>
      <c r="F2" s="3"/>
      <c r="G2" s="2" t="str">
        <f t="shared" ref="G2:G14" si="0">LEFT(A2, 5)</f>
        <v>JMF1E</v>
      </c>
      <c r="H2" s="2">
        <f t="shared" ref="H2:H14" si="1">D2-C2</f>
        <v>29</v>
      </c>
      <c r="I2" s="2">
        <f t="shared" ref="I2:I14" si="2">LEN(A2)</f>
        <v>12</v>
      </c>
      <c r="J2" s="2" t="str">
        <f t="shared" ref="J2:J14" si="3">LEFT(C2, 2)</f>
        <v>22</v>
      </c>
      <c r="K2" s="2" t="str">
        <f t="shared" ref="K2:K14" si="4">MID(C2, 4, 2)</f>
        <v>02</v>
      </c>
      <c r="L2" s="2" t="str">
        <f t="shared" ref="L2:L14" si="5">RIGHT(C2, 4)</f>
        <v>2026</v>
      </c>
      <c r="M2" s="2" t="str">
        <f t="shared" ref="M2:M14" si="6">IF(AND(B2="1",H2&gt;=75),"tolong cek",  IF(AND(B2="2",H2&gt;=135),"tolong cek",  IF(AND(B2="3",H2&gt;=255),"tolong cek",  IF(AND(B2="4",H2&gt;=375),"tolong cek","-"))))</f>
        <v>-</v>
      </c>
      <c r="N2" s="4" t="str">
        <f t="shared" ref="N2:N14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2" t="str">
        <f t="shared" ref="O2:O14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x14ac:dyDescent="0.25">
      <c r="A3" s="9" t="s">
        <v>168</v>
      </c>
      <c r="B3" s="10" t="s">
        <v>17</v>
      </c>
      <c r="C3" s="11" t="s">
        <v>169</v>
      </c>
      <c r="D3" s="11" t="s">
        <v>30</v>
      </c>
      <c r="E3" s="11" t="s">
        <v>170</v>
      </c>
      <c r="F3" s="3"/>
      <c r="G3" s="2" t="str">
        <f t="shared" si="0"/>
        <v>JMF1E</v>
      </c>
      <c r="H3" s="2">
        <f t="shared" si="1"/>
        <v>99</v>
      </c>
      <c r="I3" s="2">
        <f t="shared" si="2"/>
        <v>12</v>
      </c>
      <c r="J3" s="2" t="str">
        <f t="shared" si="3"/>
        <v>14</v>
      </c>
      <c r="K3" s="2" t="str">
        <f t="shared" si="4"/>
        <v>12</v>
      </c>
      <c r="L3" s="2" t="str">
        <f t="shared" si="5"/>
        <v>2025</v>
      </c>
      <c r="M3" s="2" t="str">
        <f t="shared" si="6"/>
        <v>-</v>
      </c>
      <c r="N3" s="4" t="str">
        <f t="shared" si="7"/>
        <v>-</v>
      </c>
      <c r="O3" s="2" t="str">
        <f t="shared" si="8"/>
        <v>-</v>
      </c>
    </row>
    <row r="4" spans="1:15" ht="25.5" x14ac:dyDescent="0.25">
      <c r="A4" s="9" t="s">
        <v>171</v>
      </c>
      <c r="B4" s="10" t="s">
        <v>11</v>
      </c>
      <c r="C4" s="11" t="s">
        <v>172</v>
      </c>
      <c r="D4" s="11" t="s">
        <v>30</v>
      </c>
      <c r="E4" s="11" t="s">
        <v>173</v>
      </c>
      <c r="F4" s="3"/>
      <c r="G4" s="2" t="str">
        <f t="shared" si="0"/>
        <v>JBK3E</v>
      </c>
      <c r="H4" s="2">
        <f t="shared" si="1"/>
        <v>49</v>
      </c>
      <c r="I4" s="2">
        <f t="shared" si="2"/>
        <v>12</v>
      </c>
      <c r="J4" s="2" t="str">
        <f t="shared" si="3"/>
        <v>02</v>
      </c>
      <c r="K4" s="2" t="str">
        <f t="shared" si="4"/>
        <v>02</v>
      </c>
      <c r="L4" s="2" t="str">
        <f t="shared" si="5"/>
        <v>2026</v>
      </c>
      <c r="M4" s="2" t="str">
        <f t="shared" si="6"/>
        <v>-</v>
      </c>
      <c r="N4" s="4" t="str">
        <f t="shared" si="7"/>
        <v>-</v>
      </c>
      <c r="O4" s="2" t="str">
        <f t="shared" si="8"/>
        <v>-</v>
      </c>
    </row>
    <row r="5" spans="1:15" ht="25.5" x14ac:dyDescent="0.25">
      <c r="A5" s="9" t="s">
        <v>174</v>
      </c>
      <c r="B5" s="10" t="s">
        <v>11</v>
      </c>
      <c r="C5" s="11" t="s">
        <v>12</v>
      </c>
      <c r="D5" s="11" t="s">
        <v>30</v>
      </c>
      <c r="E5" s="11" t="s">
        <v>175</v>
      </c>
      <c r="F5" s="3"/>
      <c r="G5" s="2" t="str">
        <f t="shared" si="0"/>
        <v>JBK1E</v>
      </c>
      <c r="H5" s="2">
        <f t="shared" si="1"/>
        <v>27</v>
      </c>
      <c r="I5" s="2">
        <f t="shared" si="2"/>
        <v>12</v>
      </c>
      <c r="J5" s="2" t="str">
        <f t="shared" si="3"/>
        <v>24</v>
      </c>
      <c r="K5" s="2" t="str">
        <f t="shared" si="4"/>
        <v>02</v>
      </c>
      <c r="L5" s="2" t="str">
        <f t="shared" si="5"/>
        <v>2026</v>
      </c>
      <c r="M5" s="2" t="str">
        <f t="shared" si="6"/>
        <v>-</v>
      </c>
      <c r="N5" s="4" t="str">
        <f t="shared" si="7"/>
        <v>-</v>
      </c>
      <c r="O5" s="2" t="str">
        <f t="shared" si="8"/>
        <v>-</v>
      </c>
    </row>
    <row r="6" spans="1:15" ht="25.5" x14ac:dyDescent="0.25">
      <c r="A6" s="9" t="s">
        <v>176</v>
      </c>
      <c r="B6" s="10" t="s">
        <v>11</v>
      </c>
      <c r="C6" s="11" t="s">
        <v>12</v>
      </c>
      <c r="D6" s="11" t="s">
        <v>15</v>
      </c>
      <c r="E6" s="11" t="s">
        <v>177</v>
      </c>
      <c r="F6" s="3"/>
      <c r="G6" s="2" t="str">
        <f t="shared" si="0"/>
        <v>JBK1E</v>
      </c>
      <c r="H6" s="2">
        <f t="shared" si="1"/>
        <v>28</v>
      </c>
      <c r="I6" s="2">
        <f t="shared" si="2"/>
        <v>12</v>
      </c>
      <c r="J6" s="2" t="str">
        <f t="shared" si="3"/>
        <v>24</v>
      </c>
      <c r="K6" s="2" t="str">
        <f t="shared" si="4"/>
        <v>02</v>
      </c>
      <c r="L6" s="2" t="str">
        <f t="shared" si="5"/>
        <v>2026</v>
      </c>
      <c r="M6" s="2" t="str">
        <f t="shared" si="6"/>
        <v>-</v>
      </c>
      <c r="N6" s="4" t="str">
        <f t="shared" si="7"/>
        <v>-</v>
      </c>
      <c r="O6" s="2" t="str">
        <f t="shared" si="8"/>
        <v>-</v>
      </c>
    </row>
    <row r="7" spans="1:15" ht="25.5" x14ac:dyDescent="0.25">
      <c r="A7" s="9" t="s">
        <v>178</v>
      </c>
      <c r="B7" s="10" t="s">
        <v>16</v>
      </c>
      <c r="C7" s="11" t="s">
        <v>39</v>
      </c>
      <c r="D7" s="11" t="s">
        <v>30</v>
      </c>
      <c r="E7" s="11" t="s">
        <v>179</v>
      </c>
      <c r="F7" s="3"/>
      <c r="G7" s="2" t="str">
        <f t="shared" si="0"/>
        <v>JBK3E</v>
      </c>
      <c r="H7" s="2">
        <f t="shared" si="1"/>
        <v>65</v>
      </c>
      <c r="I7" s="2">
        <f t="shared" si="2"/>
        <v>12</v>
      </c>
      <c r="J7" s="2" t="str">
        <f t="shared" si="3"/>
        <v>17</v>
      </c>
      <c r="K7" s="2" t="str">
        <f t="shared" si="4"/>
        <v>01</v>
      </c>
      <c r="L7" s="2" t="str">
        <f t="shared" si="5"/>
        <v>2026</v>
      </c>
      <c r="M7" s="2" t="str">
        <f t="shared" si="6"/>
        <v>-</v>
      </c>
      <c r="N7" s="4" t="str">
        <f t="shared" si="7"/>
        <v>-</v>
      </c>
      <c r="O7" s="2" t="str">
        <f t="shared" si="8"/>
        <v>-</v>
      </c>
    </row>
    <row r="8" spans="1:15" ht="25.5" x14ac:dyDescent="0.25">
      <c r="A8" s="9" t="s">
        <v>180</v>
      </c>
      <c r="B8" s="10" t="s">
        <v>17</v>
      </c>
      <c r="C8" s="11" t="s">
        <v>29</v>
      </c>
      <c r="D8" s="11" t="s">
        <v>15</v>
      </c>
      <c r="E8" s="11" t="s">
        <v>181</v>
      </c>
      <c r="F8" s="3"/>
      <c r="G8" s="2" t="str">
        <f t="shared" si="0"/>
        <v>JBK3E</v>
      </c>
      <c r="H8" s="2">
        <f t="shared" si="1"/>
        <v>134</v>
      </c>
      <c r="I8" s="2">
        <f t="shared" si="2"/>
        <v>12</v>
      </c>
      <c r="J8" s="2" t="str">
        <f t="shared" si="3"/>
        <v>10</v>
      </c>
      <c r="K8" s="2" t="str">
        <f t="shared" si="4"/>
        <v>11</v>
      </c>
      <c r="L8" s="2" t="str">
        <f t="shared" si="5"/>
        <v>2025</v>
      </c>
      <c r="M8" s="2" t="str">
        <f t="shared" si="6"/>
        <v>-</v>
      </c>
      <c r="N8" s="4" t="str">
        <f t="shared" si="7"/>
        <v>-</v>
      </c>
      <c r="O8" s="2" t="str">
        <f t="shared" si="8"/>
        <v>-</v>
      </c>
    </row>
    <row r="9" spans="1:15" ht="25.5" x14ac:dyDescent="0.25">
      <c r="A9" s="9" t="s">
        <v>182</v>
      </c>
      <c r="B9" s="10" t="s">
        <v>17</v>
      </c>
      <c r="C9" s="11" t="s">
        <v>183</v>
      </c>
      <c r="D9" s="11" t="s">
        <v>15</v>
      </c>
      <c r="E9" s="11" t="s">
        <v>184</v>
      </c>
      <c r="F9" s="3"/>
      <c r="G9" s="2" t="str">
        <f t="shared" si="0"/>
        <v>JBK3E</v>
      </c>
      <c r="H9" s="2">
        <f t="shared" si="1"/>
        <v>216</v>
      </c>
      <c r="I9" s="2">
        <f t="shared" si="2"/>
        <v>12</v>
      </c>
      <c r="J9" s="2" t="str">
        <f t="shared" si="3"/>
        <v>20</v>
      </c>
      <c r="K9" s="2" t="str">
        <f t="shared" si="4"/>
        <v>08</v>
      </c>
      <c r="L9" s="2" t="str">
        <f t="shared" si="5"/>
        <v>2025</v>
      </c>
      <c r="M9" s="2" t="str">
        <f t="shared" si="6"/>
        <v>-</v>
      </c>
      <c r="N9" s="4" t="str">
        <f t="shared" si="7"/>
        <v>-</v>
      </c>
      <c r="O9" s="2" t="str">
        <f t="shared" si="8"/>
        <v>-</v>
      </c>
    </row>
    <row r="10" spans="1:15" ht="25.5" x14ac:dyDescent="0.25">
      <c r="A10" s="9" t="s">
        <v>185</v>
      </c>
      <c r="B10" s="10" t="s">
        <v>11</v>
      </c>
      <c r="C10" s="11" t="s">
        <v>41</v>
      </c>
      <c r="D10" s="11" t="s">
        <v>15</v>
      </c>
      <c r="E10" s="11" t="s">
        <v>186</v>
      </c>
      <c r="F10" s="3"/>
      <c r="G10" s="2" t="str">
        <f t="shared" si="0"/>
        <v>JMH1E</v>
      </c>
      <c r="H10" s="2">
        <f t="shared" si="1"/>
        <v>34</v>
      </c>
      <c r="I10" s="2">
        <f t="shared" si="2"/>
        <v>12</v>
      </c>
      <c r="J10" s="2" t="str">
        <f t="shared" si="3"/>
        <v>18</v>
      </c>
      <c r="K10" s="2" t="str">
        <f t="shared" si="4"/>
        <v>02</v>
      </c>
      <c r="L10" s="2" t="str">
        <f t="shared" si="5"/>
        <v>2026</v>
      </c>
      <c r="M10" s="2" t="str">
        <f t="shared" si="6"/>
        <v>-</v>
      </c>
      <c r="N10" s="4" t="str">
        <f t="shared" si="7"/>
        <v>-</v>
      </c>
      <c r="O10" s="2" t="str">
        <f t="shared" si="8"/>
        <v>-</v>
      </c>
    </row>
    <row r="11" spans="1:15" ht="25.5" x14ac:dyDescent="0.25">
      <c r="A11" s="9" t="s">
        <v>187</v>
      </c>
      <c r="B11" s="10" t="s">
        <v>16</v>
      </c>
      <c r="C11" s="11" t="s">
        <v>42</v>
      </c>
      <c r="D11" s="11" t="s">
        <v>32</v>
      </c>
      <c r="E11" s="11" t="s">
        <v>188</v>
      </c>
      <c r="F11" s="3"/>
      <c r="G11" s="2" t="str">
        <f t="shared" si="0"/>
        <v>JMH2E</v>
      </c>
      <c r="H11" s="2">
        <f t="shared" si="1"/>
        <v>55</v>
      </c>
      <c r="I11" s="2">
        <f t="shared" si="2"/>
        <v>12</v>
      </c>
      <c r="J11" s="2" t="str">
        <f t="shared" si="3"/>
        <v>26</v>
      </c>
      <c r="K11" s="2" t="str">
        <f t="shared" si="4"/>
        <v>01</v>
      </c>
      <c r="L11" s="2" t="str">
        <f t="shared" si="5"/>
        <v>2026</v>
      </c>
      <c r="M11" s="2" t="str">
        <f t="shared" si="6"/>
        <v>-</v>
      </c>
      <c r="N11" s="4" t="str">
        <f t="shared" si="7"/>
        <v>-</v>
      </c>
      <c r="O11" s="2" t="str">
        <f t="shared" si="8"/>
        <v>-</v>
      </c>
    </row>
    <row r="12" spans="1:15" ht="25.5" x14ac:dyDescent="0.25">
      <c r="A12" s="9" t="s">
        <v>189</v>
      </c>
      <c r="B12" s="10" t="s">
        <v>17</v>
      </c>
      <c r="C12" s="11" t="s">
        <v>28</v>
      </c>
      <c r="D12" s="11" t="s">
        <v>30</v>
      </c>
      <c r="E12" s="11" t="s">
        <v>190</v>
      </c>
      <c r="F12" s="3"/>
      <c r="G12" s="2" t="str">
        <f t="shared" si="0"/>
        <v>JMH2E</v>
      </c>
      <c r="H12" s="2">
        <f t="shared" si="1"/>
        <v>180</v>
      </c>
      <c r="I12" s="2">
        <f t="shared" si="2"/>
        <v>12</v>
      </c>
      <c r="J12" s="2" t="str">
        <f t="shared" si="3"/>
        <v>24</v>
      </c>
      <c r="K12" s="2" t="str">
        <f t="shared" si="4"/>
        <v>09</v>
      </c>
      <c r="L12" s="2" t="str">
        <f t="shared" si="5"/>
        <v>2025</v>
      </c>
      <c r="M12" s="2" t="str">
        <f t="shared" si="6"/>
        <v>-</v>
      </c>
      <c r="N12" s="4" t="str">
        <f t="shared" si="7"/>
        <v>-</v>
      </c>
      <c r="O12" s="2" t="str">
        <f t="shared" si="8"/>
        <v>-</v>
      </c>
    </row>
    <row r="13" spans="1:15" ht="25.5" x14ac:dyDescent="0.25">
      <c r="A13" s="5" t="s">
        <v>191</v>
      </c>
      <c r="B13" s="10" t="s">
        <v>18</v>
      </c>
      <c r="C13" s="6" t="s">
        <v>192</v>
      </c>
      <c r="D13" s="11" t="s">
        <v>30</v>
      </c>
      <c r="E13" s="11" t="s">
        <v>193</v>
      </c>
      <c r="F13" s="3" t="s">
        <v>194</v>
      </c>
      <c r="G13" s="2" t="str">
        <f t="shared" si="0"/>
        <v>JMD1E</v>
      </c>
      <c r="H13" s="2">
        <f t="shared" si="1"/>
        <v>159</v>
      </c>
      <c r="I13" s="2">
        <f t="shared" si="2"/>
        <v>12</v>
      </c>
      <c r="J13" s="2" t="str">
        <f t="shared" si="3"/>
        <v>15</v>
      </c>
      <c r="K13" s="2" t="str">
        <f t="shared" si="4"/>
        <v>10</v>
      </c>
      <c r="L13" s="2" t="str">
        <f t="shared" si="5"/>
        <v>2025</v>
      </c>
      <c r="M13" s="2" t="str">
        <f t="shared" si="6"/>
        <v>-</v>
      </c>
      <c r="N13" s="4" t="str">
        <f t="shared" si="7"/>
        <v>-</v>
      </c>
      <c r="O13" s="2" t="str">
        <f t="shared" si="8"/>
        <v>-</v>
      </c>
    </row>
    <row r="14" spans="1:15" ht="25.5" x14ac:dyDescent="0.25">
      <c r="A14" s="9" t="s">
        <v>195</v>
      </c>
      <c r="B14" s="10" t="s">
        <v>16</v>
      </c>
      <c r="C14" s="11" t="s">
        <v>34</v>
      </c>
      <c r="D14" s="11" t="s">
        <v>15</v>
      </c>
      <c r="E14" s="11" t="s">
        <v>196</v>
      </c>
      <c r="F14" s="3"/>
      <c r="G14" s="2" t="str">
        <f t="shared" si="0"/>
        <v>KC03E</v>
      </c>
      <c r="H14" s="2">
        <f t="shared" si="1"/>
        <v>102</v>
      </c>
      <c r="I14" s="2">
        <f t="shared" si="2"/>
        <v>12</v>
      </c>
      <c r="J14" s="2" t="str">
        <f t="shared" si="3"/>
        <v>12</v>
      </c>
      <c r="K14" s="2" t="str">
        <f t="shared" si="4"/>
        <v>12</v>
      </c>
      <c r="L14" s="2" t="str">
        <f t="shared" si="5"/>
        <v>2025</v>
      </c>
      <c r="M14" s="2" t="str">
        <f t="shared" si="6"/>
        <v>-</v>
      </c>
      <c r="N14" s="4" t="str">
        <f t="shared" si="7"/>
        <v>-</v>
      </c>
      <c r="O14" s="2" t="str">
        <f t="shared" si="8"/>
        <v>-</v>
      </c>
    </row>
  </sheetData>
  <autoFilter ref="A1:O14" xr:uid="{2699E61A-9C41-402E-B913-E027DBADC63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AF7F-2DD0-431D-94E5-BD1B98F49558}">
  <sheetPr filterMode="1">
    <tabColor rgb="FF92D050"/>
  </sheetPr>
  <dimension ref="A1:O63"/>
  <sheetViews>
    <sheetView workbookViewId="0">
      <selection activeCell="F72" sqref="F72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hidden="1" x14ac:dyDescent="0.25">
      <c r="A2" s="9" t="s">
        <v>197</v>
      </c>
      <c r="B2" s="10" t="s">
        <v>16</v>
      </c>
      <c r="C2" s="11" t="s">
        <v>198</v>
      </c>
      <c r="D2" s="11" t="s">
        <v>199</v>
      </c>
      <c r="E2" s="11" t="s">
        <v>200</v>
      </c>
      <c r="F2" s="3"/>
      <c r="G2" s="2" t="str">
        <f t="shared" ref="G2:G63" si="0">LEFT(A2, 5)</f>
        <v>KFF1E</v>
      </c>
      <c r="H2" s="2">
        <f t="shared" ref="H2:H63" si="1">D2-C2</f>
        <v>111</v>
      </c>
      <c r="I2" s="2">
        <f t="shared" ref="I2:I63" si="2">LEN(A2)</f>
        <v>12</v>
      </c>
      <c r="J2" s="2" t="str">
        <f t="shared" ref="J2:J63" si="3">LEFT(C2, 2)</f>
        <v>27</v>
      </c>
      <c r="K2" s="2" t="str">
        <f t="shared" ref="K2:K63" si="4">MID(C2, 4, 2)</f>
        <v>11</v>
      </c>
      <c r="L2" s="2" t="str">
        <f t="shared" ref="L2:L63" si="5">RIGHT(C2, 4)</f>
        <v>2025</v>
      </c>
      <c r="M2" s="2" t="str">
        <f t="shared" ref="M2:M63" si="6">IF(AND(B2="1",H2&gt;=75),"tolong cek",  IF(AND(B2="2",H2&gt;=135),"tolong cek",  IF(AND(B2="3",H2&gt;=255),"tolong cek",  IF(AND(B2="4",H2&gt;=375),"tolong cek","-"))))</f>
        <v>-</v>
      </c>
      <c r="N2" s="4" t="str">
        <f t="shared" ref="N2:N63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2" t="str">
        <f t="shared" ref="O2:O63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hidden="1" x14ac:dyDescent="0.25">
      <c r="A3" s="9" t="s">
        <v>201</v>
      </c>
      <c r="B3" s="10" t="s">
        <v>17</v>
      </c>
      <c r="C3" s="11" t="s">
        <v>202</v>
      </c>
      <c r="D3" s="11" t="s">
        <v>199</v>
      </c>
      <c r="E3" s="11" t="s">
        <v>203</v>
      </c>
      <c r="F3" s="3"/>
      <c r="G3" s="2" t="str">
        <f t="shared" si="0"/>
        <v>KFB1E</v>
      </c>
      <c r="H3" s="2">
        <f t="shared" si="1"/>
        <v>282</v>
      </c>
      <c r="I3" s="2">
        <f t="shared" si="2"/>
        <v>12</v>
      </c>
      <c r="J3" s="2" t="str">
        <f t="shared" si="3"/>
        <v>09</v>
      </c>
      <c r="K3" s="2" t="str">
        <f t="shared" si="4"/>
        <v>06</v>
      </c>
      <c r="L3" s="2" t="str">
        <f t="shared" si="5"/>
        <v>2025</v>
      </c>
      <c r="M3" s="2" t="str">
        <f t="shared" si="6"/>
        <v>tolong cek</v>
      </c>
      <c r="N3" s="4" t="str">
        <f t="shared" si="7"/>
        <v>-</v>
      </c>
      <c r="O3" s="2" t="str">
        <f t="shared" si="8"/>
        <v>-</v>
      </c>
    </row>
    <row r="4" spans="1:15" ht="25.5" hidden="1" x14ac:dyDescent="0.25">
      <c r="A4" s="9" t="s">
        <v>204</v>
      </c>
      <c r="B4" s="10" t="s">
        <v>11</v>
      </c>
      <c r="C4" s="11" t="s">
        <v>205</v>
      </c>
      <c r="D4" s="11" t="s">
        <v>199</v>
      </c>
      <c r="E4" s="11" t="s">
        <v>206</v>
      </c>
      <c r="F4" s="3"/>
      <c r="G4" s="2" t="str">
        <f t="shared" si="0"/>
        <v>JMF1E</v>
      </c>
      <c r="H4" s="2">
        <f t="shared" si="1"/>
        <v>10</v>
      </c>
      <c r="I4" s="2">
        <f t="shared" si="2"/>
        <v>12</v>
      </c>
      <c r="J4" s="2" t="str">
        <f t="shared" si="3"/>
        <v>08</v>
      </c>
      <c r="K4" s="2" t="str">
        <f t="shared" si="4"/>
        <v>03</v>
      </c>
      <c r="L4" s="2" t="str">
        <f t="shared" si="5"/>
        <v>2026</v>
      </c>
      <c r="M4" s="2" t="str">
        <f t="shared" si="6"/>
        <v>-</v>
      </c>
      <c r="N4" s="4" t="str">
        <f t="shared" si="7"/>
        <v>-</v>
      </c>
      <c r="O4" s="2" t="str">
        <f t="shared" si="8"/>
        <v>-</v>
      </c>
    </row>
    <row r="5" spans="1:15" ht="25.5" hidden="1" x14ac:dyDescent="0.25">
      <c r="A5" s="9" t="s">
        <v>207</v>
      </c>
      <c r="B5" s="10" t="s">
        <v>11</v>
      </c>
      <c r="C5" s="11" t="s">
        <v>24</v>
      </c>
      <c r="D5" s="11" t="s">
        <v>208</v>
      </c>
      <c r="E5" s="11" t="s">
        <v>209</v>
      </c>
      <c r="F5" s="3"/>
      <c r="G5" s="2" t="str">
        <f t="shared" si="0"/>
        <v>JMF2E</v>
      </c>
      <c r="H5" s="2">
        <f t="shared" si="1"/>
        <v>49</v>
      </c>
      <c r="I5" s="2">
        <f t="shared" si="2"/>
        <v>12</v>
      </c>
      <c r="J5" s="2" t="str">
        <f t="shared" si="3"/>
        <v>29</v>
      </c>
      <c r="K5" s="2" t="str">
        <f t="shared" si="4"/>
        <v>01</v>
      </c>
      <c r="L5" s="2" t="str">
        <f t="shared" si="5"/>
        <v>2026</v>
      </c>
      <c r="M5" s="2" t="str">
        <f t="shared" si="6"/>
        <v>-</v>
      </c>
      <c r="N5" s="4" t="str">
        <f t="shared" si="7"/>
        <v>-</v>
      </c>
      <c r="O5" s="2" t="str">
        <f t="shared" si="8"/>
        <v>-</v>
      </c>
    </row>
    <row r="6" spans="1:15" ht="25.5" hidden="1" x14ac:dyDescent="0.25">
      <c r="A6" s="9" t="s">
        <v>210</v>
      </c>
      <c r="B6" s="10" t="s">
        <v>16</v>
      </c>
      <c r="C6" s="11" t="s">
        <v>211</v>
      </c>
      <c r="D6" s="11" t="s">
        <v>199</v>
      </c>
      <c r="E6" s="11" t="s">
        <v>212</v>
      </c>
      <c r="F6" s="3"/>
      <c r="G6" s="2" t="str">
        <f t="shared" si="0"/>
        <v>JME1E</v>
      </c>
      <c r="H6" s="2">
        <f t="shared" si="1"/>
        <v>53</v>
      </c>
      <c r="I6" s="2">
        <f t="shared" si="2"/>
        <v>12</v>
      </c>
      <c r="J6" s="2" t="str">
        <f t="shared" si="3"/>
        <v>24</v>
      </c>
      <c r="K6" s="2" t="str">
        <f t="shared" si="4"/>
        <v>01</v>
      </c>
      <c r="L6" s="2" t="str">
        <f t="shared" si="5"/>
        <v>2026</v>
      </c>
      <c r="M6" s="2" t="str">
        <f t="shared" si="6"/>
        <v>-</v>
      </c>
      <c r="N6" s="4" t="str">
        <f t="shared" si="7"/>
        <v>-</v>
      </c>
      <c r="O6" s="2" t="str">
        <f t="shared" si="8"/>
        <v>-</v>
      </c>
    </row>
    <row r="7" spans="1:15" ht="25.5" hidden="1" x14ac:dyDescent="0.25">
      <c r="A7" s="9" t="s">
        <v>213</v>
      </c>
      <c r="B7" s="10" t="s">
        <v>17</v>
      </c>
      <c r="C7" s="11" t="s">
        <v>214</v>
      </c>
      <c r="D7" s="11" t="s">
        <v>199</v>
      </c>
      <c r="E7" s="11" t="s">
        <v>215</v>
      </c>
      <c r="F7" s="3"/>
      <c r="G7" s="2" t="str">
        <f t="shared" si="0"/>
        <v>JME1E</v>
      </c>
      <c r="H7" s="2">
        <f t="shared" si="1"/>
        <v>77</v>
      </c>
      <c r="I7" s="2">
        <f t="shared" si="2"/>
        <v>12</v>
      </c>
      <c r="J7" s="2" t="str">
        <f t="shared" si="3"/>
        <v>31</v>
      </c>
      <c r="K7" s="2" t="str">
        <f t="shared" si="4"/>
        <v>12</v>
      </c>
      <c r="L7" s="2" t="str">
        <f t="shared" si="5"/>
        <v>2025</v>
      </c>
      <c r="M7" s="2" t="str">
        <f t="shared" si="6"/>
        <v>-</v>
      </c>
      <c r="N7" s="4" t="str">
        <f t="shared" si="7"/>
        <v>-</v>
      </c>
      <c r="O7" s="2" t="str">
        <f t="shared" si="8"/>
        <v>-</v>
      </c>
    </row>
    <row r="8" spans="1:15" ht="25.5" x14ac:dyDescent="0.25">
      <c r="A8" s="5" t="s">
        <v>216</v>
      </c>
      <c r="B8" s="10" t="s">
        <v>18</v>
      </c>
      <c r="C8" s="10" t="s">
        <v>217</v>
      </c>
      <c r="D8" s="10" t="s">
        <v>218</v>
      </c>
      <c r="E8" s="10" t="s">
        <v>219</v>
      </c>
      <c r="F8" s="3" t="s">
        <v>220</v>
      </c>
      <c r="G8" s="2" t="str">
        <f t="shared" si="0"/>
        <v>JME1E</v>
      </c>
      <c r="H8" s="2">
        <f t="shared" si="1"/>
        <v>11</v>
      </c>
      <c r="I8" s="2">
        <f t="shared" si="2"/>
        <v>12</v>
      </c>
      <c r="J8" s="2" t="str">
        <f t="shared" si="3"/>
        <v>05</v>
      </c>
      <c r="K8" s="2" t="str">
        <f t="shared" si="4"/>
        <v>03</v>
      </c>
      <c r="L8" s="2" t="str">
        <f t="shared" si="5"/>
        <v>2026</v>
      </c>
      <c r="M8" s="2" t="str">
        <f t="shared" si="6"/>
        <v>-</v>
      </c>
      <c r="N8" s="4" t="str">
        <f t="shared" si="7"/>
        <v>-</v>
      </c>
      <c r="O8" s="2" t="str">
        <f t="shared" si="8"/>
        <v>-</v>
      </c>
    </row>
    <row r="9" spans="1:15" ht="25.5" hidden="1" x14ac:dyDescent="0.25">
      <c r="A9" s="9" t="s">
        <v>221</v>
      </c>
      <c r="B9" s="10" t="s">
        <v>17</v>
      </c>
      <c r="C9" s="11" t="s">
        <v>222</v>
      </c>
      <c r="D9" s="11" t="s">
        <v>218</v>
      </c>
      <c r="E9" s="11" t="s">
        <v>223</v>
      </c>
      <c r="F9" s="3"/>
      <c r="G9" s="2" t="str">
        <f t="shared" si="0"/>
        <v>JMB1E</v>
      </c>
      <c r="H9" s="2">
        <f t="shared" si="1"/>
        <v>90</v>
      </c>
      <c r="I9" s="2">
        <f t="shared" si="2"/>
        <v>12</v>
      </c>
      <c r="J9" s="2" t="str">
        <f t="shared" si="3"/>
        <v>16</v>
      </c>
      <c r="K9" s="2" t="str">
        <f t="shared" si="4"/>
        <v>12</v>
      </c>
      <c r="L9" s="2" t="str">
        <f t="shared" si="5"/>
        <v>2025</v>
      </c>
      <c r="M9" s="2" t="str">
        <f t="shared" si="6"/>
        <v>-</v>
      </c>
      <c r="N9" s="4" t="str">
        <f t="shared" si="7"/>
        <v>-</v>
      </c>
      <c r="O9" s="2" t="str">
        <f t="shared" si="8"/>
        <v>-</v>
      </c>
    </row>
    <row r="10" spans="1:15" ht="25.5" hidden="1" x14ac:dyDescent="0.25">
      <c r="A10" s="9" t="s">
        <v>224</v>
      </c>
      <c r="B10" s="10" t="s">
        <v>11</v>
      </c>
      <c r="C10" s="11" t="s">
        <v>39</v>
      </c>
      <c r="D10" s="11" t="s">
        <v>218</v>
      </c>
      <c r="E10" s="11" t="s">
        <v>225</v>
      </c>
      <c r="F10" s="3"/>
      <c r="G10" s="2" t="str">
        <f t="shared" si="0"/>
        <v>JBK1E</v>
      </c>
      <c r="H10" s="2">
        <f t="shared" si="1"/>
        <v>58</v>
      </c>
      <c r="I10" s="2">
        <f t="shared" si="2"/>
        <v>12</v>
      </c>
      <c r="J10" s="2" t="str">
        <f t="shared" si="3"/>
        <v>17</v>
      </c>
      <c r="K10" s="2" t="str">
        <f t="shared" si="4"/>
        <v>01</v>
      </c>
      <c r="L10" s="2" t="str">
        <f t="shared" si="5"/>
        <v>2026</v>
      </c>
      <c r="M10" s="2" t="str">
        <f t="shared" si="6"/>
        <v>-</v>
      </c>
      <c r="N10" s="4" t="str">
        <f t="shared" si="7"/>
        <v>-</v>
      </c>
      <c r="O10" s="2" t="str">
        <f t="shared" si="8"/>
        <v>-</v>
      </c>
    </row>
    <row r="11" spans="1:15" ht="25.5" hidden="1" x14ac:dyDescent="0.25">
      <c r="A11" s="9" t="s">
        <v>226</v>
      </c>
      <c r="B11" s="10" t="s">
        <v>11</v>
      </c>
      <c r="C11" s="11" t="s">
        <v>39</v>
      </c>
      <c r="D11" s="11" t="s">
        <v>218</v>
      </c>
      <c r="E11" s="11" t="s">
        <v>227</v>
      </c>
      <c r="F11" s="3"/>
      <c r="G11" s="2" t="str">
        <f t="shared" si="0"/>
        <v>JBK1E</v>
      </c>
      <c r="H11" s="2">
        <f t="shared" si="1"/>
        <v>58</v>
      </c>
      <c r="I11" s="2">
        <f t="shared" si="2"/>
        <v>12</v>
      </c>
      <c r="J11" s="2" t="str">
        <f t="shared" si="3"/>
        <v>17</v>
      </c>
      <c r="K11" s="2" t="str">
        <f t="shared" si="4"/>
        <v>01</v>
      </c>
      <c r="L11" s="2" t="str">
        <f t="shared" si="5"/>
        <v>2026</v>
      </c>
      <c r="M11" s="2" t="str">
        <f t="shared" si="6"/>
        <v>-</v>
      </c>
      <c r="N11" s="4" t="str">
        <f t="shared" si="7"/>
        <v>-</v>
      </c>
      <c r="O11" s="2" t="str">
        <f t="shared" si="8"/>
        <v>-</v>
      </c>
    </row>
    <row r="12" spans="1:15" ht="25.5" hidden="1" x14ac:dyDescent="0.25">
      <c r="A12" s="9" t="s">
        <v>228</v>
      </c>
      <c r="B12" s="10" t="s">
        <v>11</v>
      </c>
      <c r="C12" s="11" t="s">
        <v>41</v>
      </c>
      <c r="D12" s="11" t="s">
        <v>218</v>
      </c>
      <c r="E12" s="11" t="s">
        <v>229</v>
      </c>
      <c r="F12" s="3"/>
      <c r="G12" s="2" t="str">
        <f t="shared" si="0"/>
        <v>JBK3E</v>
      </c>
      <c r="H12" s="2">
        <f t="shared" si="1"/>
        <v>26</v>
      </c>
      <c r="I12" s="2">
        <f t="shared" si="2"/>
        <v>12</v>
      </c>
      <c r="J12" s="2" t="str">
        <f t="shared" si="3"/>
        <v>18</v>
      </c>
      <c r="K12" s="2" t="str">
        <f t="shared" si="4"/>
        <v>02</v>
      </c>
      <c r="L12" s="2" t="str">
        <f t="shared" si="5"/>
        <v>2026</v>
      </c>
      <c r="M12" s="2" t="str">
        <f t="shared" si="6"/>
        <v>-</v>
      </c>
      <c r="N12" s="4" t="str">
        <f t="shared" si="7"/>
        <v>-</v>
      </c>
      <c r="O12" s="2" t="str">
        <f t="shared" si="8"/>
        <v>-</v>
      </c>
    </row>
    <row r="13" spans="1:15" ht="25.5" hidden="1" x14ac:dyDescent="0.25">
      <c r="A13" s="9" t="s">
        <v>230</v>
      </c>
      <c r="B13" s="10" t="s">
        <v>11</v>
      </c>
      <c r="C13" s="11" t="s">
        <v>231</v>
      </c>
      <c r="D13" s="11" t="s">
        <v>218</v>
      </c>
      <c r="E13" s="11" t="s">
        <v>232</v>
      </c>
      <c r="F13" s="3"/>
      <c r="G13" s="2" t="str">
        <f t="shared" si="0"/>
        <v>JBK3E</v>
      </c>
      <c r="H13" s="2">
        <f t="shared" si="1"/>
        <v>67</v>
      </c>
      <c r="I13" s="2">
        <f t="shared" si="2"/>
        <v>12</v>
      </c>
      <c r="J13" s="2" t="str">
        <f t="shared" si="3"/>
        <v>08</v>
      </c>
      <c r="K13" s="2" t="str">
        <f t="shared" si="4"/>
        <v>01</v>
      </c>
      <c r="L13" s="2" t="str">
        <f t="shared" si="5"/>
        <v>2026</v>
      </c>
      <c r="M13" s="2" t="str">
        <f t="shared" si="6"/>
        <v>-</v>
      </c>
      <c r="N13" s="4" t="str">
        <f t="shared" si="7"/>
        <v>-</v>
      </c>
      <c r="O13" s="2" t="str">
        <f t="shared" si="8"/>
        <v>-</v>
      </c>
    </row>
    <row r="14" spans="1:15" ht="25.5" hidden="1" x14ac:dyDescent="0.25">
      <c r="A14" s="9" t="s">
        <v>233</v>
      </c>
      <c r="B14" s="10" t="s">
        <v>11</v>
      </c>
      <c r="C14" s="11" t="s">
        <v>39</v>
      </c>
      <c r="D14" s="11" t="s">
        <v>234</v>
      </c>
      <c r="E14" s="11" t="s">
        <v>27</v>
      </c>
      <c r="F14" s="3"/>
      <c r="G14" s="2" t="str">
        <f t="shared" si="0"/>
        <v>JBK1E</v>
      </c>
      <c r="H14" s="2">
        <f t="shared" si="1"/>
        <v>59</v>
      </c>
      <c r="I14" s="2">
        <f t="shared" si="2"/>
        <v>12</v>
      </c>
      <c r="J14" s="2" t="str">
        <f t="shared" si="3"/>
        <v>17</v>
      </c>
      <c r="K14" s="2" t="str">
        <f t="shared" si="4"/>
        <v>01</v>
      </c>
      <c r="L14" s="2" t="str">
        <f t="shared" si="5"/>
        <v>2026</v>
      </c>
      <c r="M14" s="2" t="str">
        <f t="shared" si="6"/>
        <v>-</v>
      </c>
      <c r="N14" s="4" t="str">
        <f t="shared" si="7"/>
        <v>-</v>
      </c>
      <c r="O14" s="2" t="str">
        <f t="shared" si="8"/>
        <v>-</v>
      </c>
    </row>
    <row r="15" spans="1:15" ht="25.5" hidden="1" x14ac:dyDescent="0.25">
      <c r="A15" s="9" t="s">
        <v>235</v>
      </c>
      <c r="B15" s="10" t="s">
        <v>11</v>
      </c>
      <c r="C15" s="11" t="s">
        <v>12</v>
      </c>
      <c r="D15" s="11" t="s">
        <v>208</v>
      </c>
      <c r="E15" s="11" t="s">
        <v>236</v>
      </c>
      <c r="F15" s="3"/>
      <c r="G15" s="2" t="str">
        <f t="shared" si="0"/>
        <v>JBK3E</v>
      </c>
      <c r="H15" s="2">
        <f t="shared" si="1"/>
        <v>23</v>
      </c>
      <c r="I15" s="2">
        <f t="shared" si="2"/>
        <v>12</v>
      </c>
      <c r="J15" s="2" t="str">
        <f t="shared" si="3"/>
        <v>24</v>
      </c>
      <c r="K15" s="2" t="str">
        <f t="shared" si="4"/>
        <v>02</v>
      </c>
      <c r="L15" s="2" t="str">
        <f t="shared" si="5"/>
        <v>2026</v>
      </c>
      <c r="M15" s="2" t="str">
        <f t="shared" si="6"/>
        <v>-</v>
      </c>
      <c r="N15" s="4" t="str">
        <f t="shared" si="7"/>
        <v>-</v>
      </c>
      <c r="O15" s="2" t="str">
        <f t="shared" si="8"/>
        <v>-</v>
      </c>
    </row>
    <row r="16" spans="1:15" ht="25.5" hidden="1" x14ac:dyDescent="0.25">
      <c r="A16" s="9" t="s">
        <v>237</v>
      </c>
      <c r="B16" s="10" t="s">
        <v>16</v>
      </c>
      <c r="C16" s="11" t="s">
        <v>110</v>
      </c>
      <c r="D16" s="11" t="s">
        <v>217</v>
      </c>
      <c r="E16" s="11" t="s">
        <v>238</v>
      </c>
      <c r="F16" s="3"/>
      <c r="G16" s="2" t="str">
        <f t="shared" si="0"/>
        <v>JBK3E</v>
      </c>
      <c r="H16" s="2">
        <f t="shared" si="1"/>
        <v>104</v>
      </c>
      <c r="I16" s="2">
        <f t="shared" si="2"/>
        <v>12</v>
      </c>
      <c r="J16" s="2" t="str">
        <f t="shared" si="3"/>
        <v>21</v>
      </c>
      <c r="K16" s="2" t="str">
        <f t="shared" si="4"/>
        <v>11</v>
      </c>
      <c r="L16" s="2" t="str">
        <f t="shared" si="5"/>
        <v>2025</v>
      </c>
      <c r="M16" s="2" t="str">
        <f t="shared" si="6"/>
        <v>-</v>
      </c>
      <c r="N16" s="4" t="str">
        <f t="shared" si="7"/>
        <v>-</v>
      </c>
      <c r="O16" s="2" t="str">
        <f t="shared" si="8"/>
        <v>-</v>
      </c>
    </row>
    <row r="17" spans="1:15" ht="25.5" hidden="1" x14ac:dyDescent="0.25">
      <c r="A17" s="9" t="s">
        <v>239</v>
      </c>
      <c r="B17" s="10" t="s">
        <v>16</v>
      </c>
      <c r="C17" s="11" t="s">
        <v>45</v>
      </c>
      <c r="D17" s="11" t="s">
        <v>240</v>
      </c>
      <c r="E17" s="11" t="s">
        <v>241</v>
      </c>
      <c r="F17" s="3"/>
      <c r="G17" s="2" t="str">
        <f t="shared" si="0"/>
        <v>JBK3E</v>
      </c>
      <c r="H17" s="2">
        <f t="shared" si="1"/>
        <v>60</v>
      </c>
      <c r="I17" s="2">
        <f t="shared" si="2"/>
        <v>12</v>
      </c>
      <c r="J17" s="2" t="str">
        <f t="shared" si="3"/>
        <v>09</v>
      </c>
      <c r="K17" s="2" t="str">
        <f t="shared" si="4"/>
        <v>01</v>
      </c>
      <c r="L17" s="2" t="str">
        <f t="shared" si="5"/>
        <v>2026</v>
      </c>
      <c r="M17" s="2" t="str">
        <f t="shared" si="6"/>
        <v>-</v>
      </c>
      <c r="N17" s="4" t="str">
        <f t="shared" si="7"/>
        <v>-</v>
      </c>
      <c r="O17" s="2" t="str">
        <f t="shared" si="8"/>
        <v>-</v>
      </c>
    </row>
    <row r="18" spans="1:15" ht="25.5" hidden="1" x14ac:dyDescent="0.25">
      <c r="A18" s="9" t="s">
        <v>242</v>
      </c>
      <c r="B18" s="10" t="s">
        <v>16</v>
      </c>
      <c r="C18" s="11" t="s">
        <v>243</v>
      </c>
      <c r="D18" s="11" t="s">
        <v>218</v>
      </c>
      <c r="E18" s="11" t="s">
        <v>244</v>
      </c>
      <c r="F18" s="3"/>
      <c r="G18" s="2" t="str">
        <f t="shared" si="0"/>
        <v>JBK3E</v>
      </c>
      <c r="H18" s="2">
        <f t="shared" si="1"/>
        <v>120</v>
      </c>
      <c r="I18" s="2">
        <f t="shared" si="2"/>
        <v>12</v>
      </c>
      <c r="J18" s="2" t="str">
        <f t="shared" si="3"/>
        <v>16</v>
      </c>
      <c r="K18" s="2" t="str">
        <f t="shared" si="4"/>
        <v>11</v>
      </c>
      <c r="L18" s="2" t="str">
        <f t="shared" si="5"/>
        <v>2025</v>
      </c>
      <c r="M18" s="2" t="str">
        <f t="shared" si="6"/>
        <v>-</v>
      </c>
      <c r="N18" s="4" t="str">
        <f t="shared" si="7"/>
        <v>-</v>
      </c>
      <c r="O18" s="2" t="str">
        <f t="shared" si="8"/>
        <v>-</v>
      </c>
    </row>
    <row r="19" spans="1:15" ht="25.5" hidden="1" x14ac:dyDescent="0.25">
      <c r="A19" s="9" t="s">
        <v>245</v>
      </c>
      <c r="B19" s="10" t="s">
        <v>16</v>
      </c>
      <c r="C19" s="11" t="s">
        <v>41</v>
      </c>
      <c r="D19" s="11" t="s">
        <v>234</v>
      </c>
      <c r="E19" s="11" t="s">
        <v>246</v>
      </c>
      <c r="F19" s="3"/>
      <c r="G19" s="2" t="str">
        <f t="shared" si="0"/>
        <v>JBK3E</v>
      </c>
      <c r="H19" s="2">
        <f t="shared" si="1"/>
        <v>27</v>
      </c>
      <c r="I19" s="2">
        <f t="shared" si="2"/>
        <v>12</v>
      </c>
      <c r="J19" s="2" t="str">
        <f t="shared" si="3"/>
        <v>18</v>
      </c>
      <c r="K19" s="2" t="str">
        <f t="shared" si="4"/>
        <v>02</v>
      </c>
      <c r="L19" s="2" t="str">
        <f t="shared" si="5"/>
        <v>2026</v>
      </c>
      <c r="M19" s="2" t="str">
        <f t="shared" si="6"/>
        <v>-</v>
      </c>
      <c r="N19" s="4" t="str">
        <f t="shared" si="7"/>
        <v>-</v>
      </c>
      <c r="O19" s="2" t="str">
        <f t="shared" si="8"/>
        <v>-</v>
      </c>
    </row>
    <row r="20" spans="1:15" ht="25.5" hidden="1" x14ac:dyDescent="0.25">
      <c r="A20" s="9" t="s">
        <v>247</v>
      </c>
      <c r="B20" s="10" t="s">
        <v>16</v>
      </c>
      <c r="C20" s="11" t="s">
        <v>248</v>
      </c>
      <c r="D20" s="11" t="s">
        <v>234</v>
      </c>
      <c r="E20" s="11" t="s">
        <v>249</v>
      </c>
      <c r="F20" s="3"/>
      <c r="G20" s="2" t="str">
        <f t="shared" si="0"/>
        <v>JBK3E</v>
      </c>
      <c r="H20" s="2">
        <f t="shared" si="1"/>
        <v>64</v>
      </c>
      <c r="I20" s="2">
        <f t="shared" si="2"/>
        <v>12</v>
      </c>
      <c r="J20" s="2" t="str">
        <f t="shared" si="3"/>
        <v>12</v>
      </c>
      <c r="K20" s="2" t="str">
        <f t="shared" si="4"/>
        <v>01</v>
      </c>
      <c r="L20" s="2" t="str">
        <f t="shared" si="5"/>
        <v>2026</v>
      </c>
      <c r="M20" s="2" t="str">
        <f t="shared" si="6"/>
        <v>-</v>
      </c>
      <c r="N20" s="4" t="str">
        <f t="shared" si="7"/>
        <v>-</v>
      </c>
      <c r="O20" s="2" t="str">
        <f t="shared" si="8"/>
        <v>-</v>
      </c>
    </row>
    <row r="21" spans="1:15" ht="25.5" hidden="1" x14ac:dyDescent="0.25">
      <c r="A21" s="5" t="s">
        <v>250</v>
      </c>
      <c r="B21" s="10" t="s">
        <v>16</v>
      </c>
      <c r="C21" s="6" t="s">
        <v>251</v>
      </c>
      <c r="D21" s="10" t="s">
        <v>199</v>
      </c>
      <c r="E21" s="10" t="s">
        <v>252</v>
      </c>
      <c r="F21" s="3" t="s">
        <v>253</v>
      </c>
      <c r="G21" s="2" t="str">
        <f t="shared" si="0"/>
        <v>JBK3E</v>
      </c>
      <c r="H21" s="2">
        <f t="shared" si="1"/>
        <v>64</v>
      </c>
      <c r="I21" s="2">
        <f t="shared" si="2"/>
        <v>12</v>
      </c>
      <c r="J21" s="2" t="str">
        <f t="shared" si="3"/>
        <v>13</v>
      </c>
      <c r="K21" s="2" t="str">
        <f t="shared" si="4"/>
        <v>01</v>
      </c>
      <c r="L21" s="2" t="str">
        <f t="shared" si="5"/>
        <v>2026</v>
      </c>
      <c r="M21" s="2" t="str">
        <f t="shared" si="6"/>
        <v>-</v>
      </c>
      <c r="N21" s="4" t="str">
        <f t="shared" si="7"/>
        <v>-</v>
      </c>
      <c r="O21" s="2" t="str">
        <f t="shared" si="8"/>
        <v>-</v>
      </c>
    </row>
    <row r="22" spans="1:15" ht="25.5" hidden="1" x14ac:dyDescent="0.25">
      <c r="A22" s="9" t="s">
        <v>254</v>
      </c>
      <c r="B22" s="10" t="s">
        <v>16</v>
      </c>
      <c r="C22" s="11" t="s">
        <v>255</v>
      </c>
      <c r="D22" s="11" t="s">
        <v>208</v>
      </c>
      <c r="E22" s="11" t="s">
        <v>256</v>
      </c>
      <c r="F22" s="3"/>
      <c r="G22" s="2" t="str">
        <f t="shared" si="0"/>
        <v>JBK3E</v>
      </c>
      <c r="H22" s="2">
        <f t="shared" si="1"/>
        <v>89</v>
      </c>
      <c r="I22" s="2">
        <f t="shared" si="2"/>
        <v>12</v>
      </c>
      <c r="J22" s="2" t="str">
        <f t="shared" si="3"/>
        <v>20</v>
      </c>
      <c r="K22" s="2" t="str">
        <f t="shared" si="4"/>
        <v>12</v>
      </c>
      <c r="L22" s="2" t="str">
        <f t="shared" si="5"/>
        <v>2025</v>
      </c>
      <c r="M22" s="2" t="str">
        <f t="shared" si="6"/>
        <v>-</v>
      </c>
      <c r="N22" s="4" t="str">
        <f t="shared" si="7"/>
        <v>-</v>
      </c>
      <c r="O22" s="2" t="str">
        <f t="shared" si="8"/>
        <v>-</v>
      </c>
    </row>
    <row r="23" spans="1:15" ht="25.5" hidden="1" x14ac:dyDescent="0.25">
      <c r="A23" s="9" t="s">
        <v>257</v>
      </c>
      <c r="B23" s="10" t="s">
        <v>16</v>
      </c>
      <c r="C23" s="11" t="s">
        <v>258</v>
      </c>
      <c r="D23" s="11" t="s">
        <v>208</v>
      </c>
      <c r="E23" s="11" t="s">
        <v>259</v>
      </c>
      <c r="F23" s="3"/>
      <c r="G23" s="2" t="str">
        <f t="shared" si="0"/>
        <v>JBK1E</v>
      </c>
      <c r="H23" s="2">
        <f t="shared" si="1"/>
        <v>91</v>
      </c>
      <c r="I23" s="2">
        <f t="shared" si="2"/>
        <v>12</v>
      </c>
      <c r="J23" s="2" t="str">
        <f t="shared" si="3"/>
        <v>18</v>
      </c>
      <c r="K23" s="2" t="str">
        <f t="shared" si="4"/>
        <v>12</v>
      </c>
      <c r="L23" s="2" t="str">
        <f t="shared" si="5"/>
        <v>2025</v>
      </c>
      <c r="M23" s="2" t="str">
        <f t="shared" si="6"/>
        <v>-</v>
      </c>
      <c r="N23" s="4" t="str">
        <f t="shared" si="7"/>
        <v>-</v>
      </c>
      <c r="O23" s="2" t="str">
        <f t="shared" si="8"/>
        <v>-</v>
      </c>
    </row>
    <row r="24" spans="1:15" ht="25.5" hidden="1" x14ac:dyDescent="0.25">
      <c r="A24" s="9" t="s">
        <v>260</v>
      </c>
      <c r="B24" s="10" t="s">
        <v>16</v>
      </c>
      <c r="C24" s="11" t="s">
        <v>51</v>
      </c>
      <c r="D24" s="11" t="s">
        <v>208</v>
      </c>
      <c r="E24" s="11" t="s">
        <v>225</v>
      </c>
      <c r="F24" s="3"/>
      <c r="G24" s="2" t="str">
        <f t="shared" si="0"/>
        <v>JBK3E</v>
      </c>
      <c r="H24" s="2">
        <f t="shared" si="1"/>
        <v>68</v>
      </c>
      <c r="I24" s="2">
        <f t="shared" si="2"/>
        <v>12</v>
      </c>
      <c r="J24" s="2" t="str">
        <f t="shared" si="3"/>
        <v>10</v>
      </c>
      <c r="K24" s="2" t="str">
        <f t="shared" si="4"/>
        <v>01</v>
      </c>
      <c r="L24" s="2" t="str">
        <f t="shared" si="5"/>
        <v>2026</v>
      </c>
      <c r="M24" s="2" t="str">
        <f t="shared" si="6"/>
        <v>-</v>
      </c>
      <c r="N24" s="4" t="str">
        <f t="shared" si="7"/>
        <v>-</v>
      </c>
      <c r="O24" s="2" t="str">
        <f t="shared" si="8"/>
        <v>-</v>
      </c>
    </row>
    <row r="25" spans="1:15" ht="25.5" hidden="1" x14ac:dyDescent="0.25">
      <c r="A25" s="9" t="s">
        <v>261</v>
      </c>
      <c r="B25" s="10" t="s">
        <v>17</v>
      </c>
      <c r="C25" s="11" t="s">
        <v>262</v>
      </c>
      <c r="D25" s="11" t="s">
        <v>263</v>
      </c>
      <c r="E25" s="11" t="s">
        <v>264</v>
      </c>
      <c r="F25" s="3"/>
      <c r="G25" s="2" t="str">
        <f t="shared" si="0"/>
        <v>JBK1E</v>
      </c>
      <c r="H25" s="2">
        <f t="shared" si="1"/>
        <v>111</v>
      </c>
      <c r="I25" s="2">
        <f t="shared" si="2"/>
        <v>12</v>
      </c>
      <c r="J25" s="2" t="str">
        <f t="shared" si="3"/>
        <v>13</v>
      </c>
      <c r="K25" s="2" t="str">
        <f t="shared" si="4"/>
        <v>11</v>
      </c>
      <c r="L25" s="2" t="str">
        <f t="shared" si="5"/>
        <v>2025</v>
      </c>
      <c r="M25" s="2" t="str">
        <f t="shared" si="6"/>
        <v>-</v>
      </c>
      <c r="N25" s="4" t="str">
        <f t="shared" si="7"/>
        <v>-</v>
      </c>
      <c r="O25" s="2" t="str">
        <f t="shared" si="8"/>
        <v>-</v>
      </c>
    </row>
    <row r="26" spans="1:15" ht="25.5" hidden="1" x14ac:dyDescent="0.25">
      <c r="A26" s="9" t="s">
        <v>265</v>
      </c>
      <c r="B26" s="10" t="s">
        <v>17</v>
      </c>
      <c r="C26" s="11" t="s">
        <v>266</v>
      </c>
      <c r="D26" s="11" t="s">
        <v>218</v>
      </c>
      <c r="E26" s="11" t="s">
        <v>267</v>
      </c>
      <c r="F26" s="3"/>
      <c r="G26" s="2" t="str">
        <f t="shared" si="0"/>
        <v>JBK1E</v>
      </c>
      <c r="H26" s="2">
        <f t="shared" si="1"/>
        <v>129</v>
      </c>
      <c r="I26" s="2">
        <f t="shared" si="2"/>
        <v>12</v>
      </c>
      <c r="J26" s="2" t="str">
        <f t="shared" si="3"/>
        <v>07</v>
      </c>
      <c r="K26" s="2" t="str">
        <f t="shared" si="4"/>
        <v>11</v>
      </c>
      <c r="L26" s="2" t="str">
        <f t="shared" si="5"/>
        <v>2025</v>
      </c>
      <c r="M26" s="2" t="str">
        <f t="shared" si="6"/>
        <v>-</v>
      </c>
      <c r="N26" s="4" t="str">
        <f t="shared" si="7"/>
        <v>-</v>
      </c>
      <c r="O26" s="2" t="str">
        <f t="shared" si="8"/>
        <v>-</v>
      </c>
    </row>
    <row r="27" spans="1:15" ht="25.5" hidden="1" x14ac:dyDescent="0.25">
      <c r="A27" s="9" t="s">
        <v>268</v>
      </c>
      <c r="B27" s="10" t="s">
        <v>17</v>
      </c>
      <c r="C27" s="11" t="s">
        <v>57</v>
      </c>
      <c r="D27" s="15">
        <v>46099</v>
      </c>
      <c r="E27" s="11" t="s">
        <v>269</v>
      </c>
      <c r="F27" s="3"/>
      <c r="G27" s="2" t="str">
        <f t="shared" si="0"/>
        <v>JBK1E</v>
      </c>
      <c r="H27" s="2">
        <f t="shared" si="1"/>
        <v>214</v>
      </c>
      <c r="I27" s="2">
        <f t="shared" si="2"/>
        <v>12</v>
      </c>
      <c r="J27" s="2" t="str">
        <f t="shared" si="3"/>
        <v>16</v>
      </c>
      <c r="K27" s="2" t="str">
        <f t="shared" si="4"/>
        <v>08</v>
      </c>
      <c r="L27" s="2" t="str">
        <f t="shared" si="5"/>
        <v>2025</v>
      </c>
      <c r="M27" s="2" t="str">
        <f t="shared" si="6"/>
        <v>-</v>
      </c>
      <c r="N27" s="4" t="str">
        <f t="shared" si="7"/>
        <v>-</v>
      </c>
      <c r="O27" s="2" t="str">
        <f t="shared" si="8"/>
        <v>-</v>
      </c>
    </row>
    <row r="28" spans="1:15" ht="25.5" hidden="1" x14ac:dyDescent="0.25">
      <c r="A28" s="9" t="s">
        <v>270</v>
      </c>
      <c r="B28" s="10" t="s">
        <v>17</v>
      </c>
      <c r="C28" s="11" t="s">
        <v>34</v>
      </c>
      <c r="D28" s="11" t="s">
        <v>199</v>
      </c>
      <c r="E28" s="11" t="s">
        <v>271</v>
      </c>
      <c r="F28" s="3"/>
      <c r="G28" s="2" t="str">
        <f t="shared" si="0"/>
        <v>JBK3E</v>
      </c>
      <c r="H28" s="2">
        <f t="shared" si="1"/>
        <v>96</v>
      </c>
      <c r="I28" s="2">
        <f t="shared" si="2"/>
        <v>12</v>
      </c>
      <c r="J28" s="2" t="str">
        <f t="shared" si="3"/>
        <v>12</v>
      </c>
      <c r="K28" s="2" t="str">
        <f t="shared" si="4"/>
        <v>12</v>
      </c>
      <c r="L28" s="2" t="str">
        <f t="shared" si="5"/>
        <v>2025</v>
      </c>
      <c r="M28" s="2" t="str">
        <f t="shared" si="6"/>
        <v>-</v>
      </c>
      <c r="N28" s="4" t="str">
        <f t="shared" si="7"/>
        <v>-</v>
      </c>
      <c r="O28" s="2" t="str">
        <f t="shared" si="8"/>
        <v>-</v>
      </c>
    </row>
    <row r="29" spans="1:15" ht="25.5" hidden="1" x14ac:dyDescent="0.25">
      <c r="A29" s="9" t="s">
        <v>272</v>
      </c>
      <c r="B29" s="10" t="s">
        <v>17</v>
      </c>
      <c r="C29" s="11" t="s">
        <v>273</v>
      </c>
      <c r="D29" s="11" t="s">
        <v>199</v>
      </c>
      <c r="E29" s="11" t="s">
        <v>274</v>
      </c>
      <c r="F29" s="3"/>
      <c r="G29" s="2" t="str">
        <f t="shared" si="0"/>
        <v>JBK3E</v>
      </c>
      <c r="H29" s="2">
        <f t="shared" si="1"/>
        <v>33</v>
      </c>
      <c r="I29" s="2">
        <f t="shared" si="2"/>
        <v>12</v>
      </c>
      <c r="J29" s="2" t="str">
        <f t="shared" si="3"/>
        <v>13</v>
      </c>
      <c r="K29" s="2" t="str">
        <f t="shared" si="4"/>
        <v>02</v>
      </c>
      <c r="L29" s="2" t="str">
        <f t="shared" si="5"/>
        <v>2026</v>
      </c>
      <c r="M29" s="2" t="str">
        <f t="shared" si="6"/>
        <v>-</v>
      </c>
      <c r="N29" s="4" t="str">
        <f t="shared" si="7"/>
        <v>-</v>
      </c>
      <c r="O29" s="2" t="str">
        <f t="shared" si="8"/>
        <v>-</v>
      </c>
    </row>
    <row r="30" spans="1:15" ht="25.5" hidden="1" x14ac:dyDescent="0.25">
      <c r="A30" s="9" t="s">
        <v>275</v>
      </c>
      <c r="B30" s="10" t="s">
        <v>17</v>
      </c>
      <c r="C30" s="11" t="s">
        <v>276</v>
      </c>
      <c r="D30" s="11" t="s">
        <v>199</v>
      </c>
      <c r="E30" s="11" t="s">
        <v>256</v>
      </c>
      <c r="F30" s="3"/>
      <c r="G30" s="2" t="str">
        <f t="shared" si="0"/>
        <v>JBK3E</v>
      </c>
      <c r="H30" s="2">
        <f t="shared" si="1"/>
        <v>149</v>
      </c>
      <c r="I30" s="2">
        <f t="shared" si="2"/>
        <v>12</v>
      </c>
      <c r="J30" s="2" t="str">
        <f t="shared" si="3"/>
        <v>20</v>
      </c>
      <c r="K30" s="2" t="str">
        <f t="shared" si="4"/>
        <v>10</v>
      </c>
      <c r="L30" s="2" t="str">
        <f t="shared" si="5"/>
        <v>2025</v>
      </c>
      <c r="M30" s="2" t="str">
        <f t="shared" si="6"/>
        <v>-</v>
      </c>
      <c r="N30" s="4" t="str">
        <f t="shared" si="7"/>
        <v>-</v>
      </c>
      <c r="O30" s="2" t="str">
        <f t="shared" si="8"/>
        <v>-</v>
      </c>
    </row>
    <row r="31" spans="1:15" ht="25.5" hidden="1" x14ac:dyDescent="0.25">
      <c r="A31" s="9" t="s">
        <v>277</v>
      </c>
      <c r="B31" s="10" t="s">
        <v>18</v>
      </c>
      <c r="C31" s="11" t="s">
        <v>278</v>
      </c>
      <c r="D31" s="11" t="s">
        <v>263</v>
      </c>
      <c r="E31" s="11" t="s">
        <v>279</v>
      </c>
      <c r="F31" s="3"/>
      <c r="G31" s="2" t="str">
        <f t="shared" si="0"/>
        <v>JBK3E</v>
      </c>
      <c r="H31" s="2">
        <f t="shared" si="1"/>
        <v>190</v>
      </c>
      <c r="I31" s="2">
        <f t="shared" si="2"/>
        <v>12</v>
      </c>
      <c r="J31" s="2" t="str">
        <f t="shared" si="3"/>
        <v>26</v>
      </c>
      <c r="K31" s="2" t="str">
        <f t="shared" si="4"/>
        <v>08</v>
      </c>
      <c r="L31" s="2" t="str">
        <f t="shared" si="5"/>
        <v>2025</v>
      </c>
      <c r="M31" s="2" t="str">
        <f t="shared" si="6"/>
        <v>-</v>
      </c>
      <c r="N31" s="4" t="str">
        <f t="shared" si="7"/>
        <v>-</v>
      </c>
      <c r="O31" s="2" t="str">
        <f t="shared" si="8"/>
        <v>-</v>
      </c>
    </row>
    <row r="32" spans="1:15" ht="25.5" hidden="1" x14ac:dyDescent="0.25">
      <c r="A32" s="5" t="s">
        <v>280</v>
      </c>
      <c r="B32" s="10" t="s">
        <v>18</v>
      </c>
      <c r="C32" s="11" t="s">
        <v>281</v>
      </c>
      <c r="D32" s="11" t="s">
        <v>282</v>
      </c>
      <c r="E32" s="6" t="s">
        <v>283</v>
      </c>
      <c r="F32" s="3" t="s">
        <v>284</v>
      </c>
      <c r="G32" s="2" t="str">
        <f t="shared" si="0"/>
        <v>JBK1E</v>
      </c>
      <c r="H32" s="2">
        <f t="shared" si="1"/>
        <v>301</v>
      </c>
      <c r="I32" s="2">
        <f t="shared" si="2"/>
        <v>12</v>
      </c>
      <c r="J32" s="2" t="str">
        <f t="shared" si="3"/>
        <v>09</v>
      </c>
      <c r="K32" s="2" t="str">
        <f t="shared" si="4"/>
        <v>05</v>
      </c>
      <c r="L32" s="2" t="str">
        <f t="shared" si="5"/>
        <v>2025</v>
      </c>
      <c r="M32" s="2" t="str">
        <f t="shared" si="6"/>
        <v>-</v>
      </c>
      <c r="N32" s="4" t="str">
        <f t="shared" si="7"/>
        <v>-</v>
      </c>
      <c r="O32" s="2" t="str">
        <f t="shared" si="8"/>
        <v>-</v>
      </c>
    </row>
    <row r="33" spans="1:15" ht="25.5" hidden="1" x14ac:dyDescent="0.25">
      <c r="A33" s="9" t="s">
        <v>285</v>
      </c>
      <c r="B33" s="10" t="s">
        <v>18</v>
      </c>
      <c r="C33" s="11" t="s">
        <v>286</v>
      </c>
      <c r="D33" s="11" t="s">
        <v>287</v>
      </c>
      <c r="E33" s="11" t="s">
        <v>288</v>
      </c>
      <c r="F33" s="3"/>
      <c r="G33" s="2" t="str">
        <f t="shared" si="0"/>
        <v>JBK1E</v>
      </c>
      <c r="H33" s="2">
        <f t="shared" si="1"/>
        <v>354</v>
      </c>
      <c r="I33" s="2">
        <f t="shared" si="2"/>
        <v>12</v>
      </c>
      <c r="J33" s="2" t="str">
        <f t="shared" si="3"/>
        <v>18</v>
      </c>
      <c r="K33" s="2" t="str">
        <f t="shared" si="4"/>
        <v>03</v>
      </c>
      <c r="L33" s="2" t="str">
        <f t="shared" si="5"/>
        <v>2025</v>
      </c>
      <c r="M33" s="2" t="str">
        <f t="shared" si="6"/>
        <v>-</v>
      </c>
      <c r="N33" s="4" t="str">
        <f t="shared" si="7"/>
        <v>-</v>
      </c>
      <c r="O33" s="2" t="str">
        <f t="shared" si="8"/>
        <v>-</v>
      </c>
    </row>
    <row r="34" spans="1:15" ht="25.5" hidden="1" x14ac:dyDescent="0.25">
      <c r="A34" s="9" t="s">
        <v>289</v>
      </c>
      <c r="B34" s="10" t="s">
        <v>18</v>
      </c>
      <c r="C34" s="11" t="s">
        <v>290</v>
      </c>
      <c r="D34" s="11" t="s">
        <v>199</v>
      </c>
      <c r="E34" s="11" t="s">
        <v>291</v>
      </c>
      <c r="F34" s="3"/>
      <c r="G34" s="2" t="str">
        <f t="shared" si="0"/>
        <v>JBK1E</v>
      </c>
      <c r="H34" s="2">
        <f t="shared" si="1"/>
        <v>179</v>
      </c>
      <c r="I34" s="2">
        <f t="shared" si="2"/>
        <v>12</v>
      </c>
      <c r="J34" s="2" t="str">
        <f t="shared" si="3"/>
        <v>20</v>
      </c>
      <c r="K34" s="2" t="str">
        <f t="shared" si="4"/>
        <v>09</v>
      </c>
      <c r="L34" s="2" t="str">
        <f t="shared" si="5"/>
        <v>2025</v>
      </c>
      <c r="M34" s="2" t="str">
        <f t="shared" si="6"/>
        <v>-</v>
      </c>
      <c r="N34" s="4" t="str">
        <f t="shared" si="7"/>
        <v>-</v>
      </c>
      <c r="O34" s="2" t="str">
        <f t="shared" si="8"/>
        <v>-</v>
      </c>
    </row>
    <row r="35" spans="1:15" ht="25.5" hidden="1" x14ac:dyDescent="0.25">
      <c r="A35" s="9" t="s">
        <v>292</v>
      </c>
      <c r="B35" s="10" t="s">
        <v>11</v>
      </c>
      <c r="C35" s="11" t="s">
        <v>293</v>
      </c>
      <c r="D35" s="11" t="s">
        <v>199</v>
      </c>
      <c r="E35" s="11" t="s">
        <v>294</v>
      </c>
      <c r="F35" s="3"/>
      <c r="G35" s="2" t="str">
        <f t="shared" si="0"/>
        <v>JMH2E</v>
      </c>
      <c r="H35" s="2">
        <f t="shared" si="1"/>
        <v>46</v>
      </c>
      <c r="I35" s="2">
        <f t="shared" si="2"/>
        <v>12</v>
      </c>
      <c r="J35" s="2" t="str">
        <f t="shared" si="3"/>
        <v>31</v>
      </c>
      <c r="K35" s="2" t="str">
        <f t="shared" si="4"/>
        <v>01</v>
      </c>
      <c r="L35" s="2" t="str">
        <f t="shared" si="5"/>
        <v>2026</v>
      </c>
      <c r="M35" s="2" t="str">
        <f t="shared" si="6"/>
        <v>-</v>
      </c>
      <c r="N35" s="4" t="str">
        <f t="shared" si="7"/>
        <v>-</v>
      </c>
      <c r="O35" s="2" t="str">
        <f t="shared" si="8"/>
        <v>-</v>
      </c>
    </row>
    <row r="36" spans="1:15" ht="25.5" hidden="1" x14ac:dyDescent="0.25">
      <c r="A36" s="9" t="s">
        <v>295</v>
      </c>
      <c r="B36" s="10" t="s">
        <v>11</v>
      </c>
      <c r="C36" s="11" t="s">
        <v>45</v>
      </c>
      <c r="D36" s="11" t="s">
        <v>199</v>
      </c>
      <c r="E36" s="11" t="s">
        <v>296</v>
      </c>
      <c r="F36" s="3"/>
      <c r="G36" s="2" t="str">
        <f t="shared" si="0"/>
        <v>JMH2E</v>
      </c>
      <c r="H36" s="2">
        <f t="shared" si="1"/>
        <v>68</v>
      </c>
      <c r="I36" s="2">
        <f t="shared" si="2"/>
        <v>12</v>
      </c>
      <c r="J36" s="2" t="str">
        <f t="shared" si="3"/>
        <v>09</v>
      </c>
      <c r="K36" s="2" t="str">
        <f t="shared" si="4"/>
        <v>01</v>
      </c>
      <c r="L36" s="2" t="str">
        <f t="shared" si="5"/>
        <v>2026</v>
      </c>
      <c r="M36" s="2" t="str">
        <f t="shared" si="6"/>
        <v>-</v>
      </c>
      <c r="N36" s="4" t="str">
        <f t="shared" si="7"/>
        <v>-</v>
      </c>
      <c r="O36" s="2" t="str">
        <f t="shared" si="8"/>
        <v>-</v>
      </c>
    </row>
    <row r="37" spans="1:15" ht="25.5" hidden="1" x14ac:dyDescent="0.25">
      <c r="A37" s="9" t="s">
        <v>297</v>
      </c>
      <c r="B37" s="10" t="s">
        <v>17</v>
      </c>
      <c r="C37" s="11" t="s">
        <v>298</v>
      </c>
      <c r="D37" s="11" t="s">
        <v>199</v>
      </c>
      <c r="E37" s="11" t="s">
        <v>299</v>
      </c>
      <c r="F37" s="3"/>
      <c r="G37" s="2" t="str">
        <f t="shared" si="0"/>
        <v>JMH2E</v>
      </c>
      <c r="H37" s="2">
        <f t="shared" si="1"/>
        <v>240</v>
      </c>
      <c r="I37" s="2">
        <f t="shared" si="2"/>
        <v>12</v>
      </c>
      <c r="J37" s="2" t="str">
        <f t="shared" si="3"/>
        <v>21</v>
      </c>
      <c r="K37" s="2" t="str">
        <f t="shared" si="4"/>
        <v>07</v>
      </c>
      <c r="L37" s="2" t="str">
        <f t="shared" si="5"/>
        <v>2025</v>
      </c>
      <c r="M37" s="2" t="str">
        <f t="shared" si="6"/>
        <v>-</v>
      </c>
      <c r="N37" s="4" t="str">
        <f t="shared" si="7"/>
        <v>-</v>
      </c>
      <c r="O37" s="2" t="str">
        <f t="shared" si="8"/>
        <v>-</v>
      </c>
    </row>
    <row r="38" spans="1:15" ht="25.5" hidden="1" x14ac:dyDescent="0.25">
      <c r="A38" s="9" t="s">
        <v>300</v>
      </c>
      <c r="B38" s="10" t="s">
        <v>17</v>
      </c>
      <c r="C38" s="11" t="s">
        <v>301</v>
      </c>
      <c r="D38" s="11" t="s">
        <v>199</v>
      </c>
      <c r="E38" s="11" t="s">
        <v>302</v>
      </c>
      <c r="F38" s="3"/>
      <c r="G38" s="2" t="str">
        <f t="shared" si="0"/>
        <v>JMH1E</v>
      </c>
      <c r="H38" s="2">
        <f t="shared" si="1"/>
        <v>223</v>
      </c>
      <c r="I38" s="2">
        <f t="shared" si="2"/>
        <v>12</v>
      </c>
      <c r="J38" s="2" t="str">
        <f t="shared" si="3"/>
        <v>07</v>
      </c>
      <c r="K38" s="2" t="str">
        <f t="shared" si="4"/>
        <v>08</v>
      </c>
      <c r="L38" s="2" t="str">
        <f t="shared" si="5"/>
        <v>2025</v>
      </c>
      <c r="M38" s="2" t="str">
        <f t="shared" si="6"/>
        <v>-</v>
      </c>
      <c r="N38" s="4" t="str">
        <f t="shared" si="7"/>
        <v>-</v>
      </c>
      <c r="O38" s="2" t="str">
        <f t="shared" si="8"/>
        <v>-</v>
      </c>
    </row>
    <row r="39" spans="1:15" ht="25.5" hidden="1" x14ac:dyDescent="0.25">
      <c r="A39" s="9" t="s">
        <v>303</v>
      </c>
      <c r="B39" s="10" t="s">
        <v>17</v>
      </c>
      <c r="C39" s="11" t="s">
        <v>304</v>
      </c>
      <c r="D39" s="11" t="s">
        <v>199</v>
      </c>
      <c r="E39" s="11" t="s">
        <v>305</v>
      </c>
      <c r="F39" s="3"/>
      <c r="G39" s="2" t="str">
        <f t="shared" si="0"/>
        <v>JMH1E</v>
      </c>
      <c r="H39" s="2">
        <f t="shared" si="1"/>
        <v>161</v>
      </c>
      <c r="I39" s="2">
        <f t="shared" si="2"/>
        <v>12</v>
      </c>
      <c r="J39" s="2" t="str">
        <f t="shared" si="3"/>
        <v>08</v>
      </c>
      <c r="K39" s="2" t="str">
        <f t="shared" si="4"/>
        <v>10</v>
      </c>
      <c r="L39" s="2" t="str">
        <f t="shared" si="5"/>
        <v>2025</v>
      </c>
      <c r="M39" s="2" t="str">
        <f t="shared" si="6"/>
        <v>-</v>
      </c>
      <c r="N39" s="4" t="str">
        <f t="shared" si="7"/>
        <v>-</v>
      </c>
      <c r="O39" s="2" t="str">
        <f t="shared" si="8"/>
        <v>-</v>
      </c>
    </row>
    <row r="40" spans="1:15" ht="25.5" hidden="1" x14ac:dyDescent="0.25">
      <c r="A40" s="9" t="s">
        <v>306</v>
      </c>
      <c r="B40" s="10" t="s">
        <v>17</v>
      </c>
      <c r="C40" s="11" t="s">
        <v>307</v>
      </c>
      <c r="D40" s="11" t="s">
        <v>199</v>
      </c>
      <c r="E40" s="11" t="s">
        <v>308</v>
      </c>
      <c r="F40" s="3"/>
      <c r="G40" s="2" t="str">
        <f t="shared" si="0"/>
        <v>JMH2E</v>
      </c>
      <c r="H40" s="2">
        <f t="shared" si="1"/>
        <v>247</v>
      </c>
      <c r="I40" s="2">
        <f t="shared" si="2"/>
        <v>12</v>
      </c>
      <c r="J40" s="2" t="str">
        <f t="shared" si="3"/>
        <v>14</v>
      </c>
      <c r="K40" s="2" t="str">
        <f t="shared" si="4"/>
        <v>07</v>
      </c>
      <c r="L40" s="2" t="str">
        <f t="shared" si="5"/>
        <v>2025</v>
      </c>
      <c r="M40" s="2" t="str">
        <f t="shared" si="6"/>
        <v>-</v>
      </c>
      <c r="N40" s="4" t="str">
        <f t="shared" si="7"/>
        <v>-</v>
      </c>
      <c r="O40" s="2" t="str">
        <f t="shared" si="8"/>
        <v>-</v>
      </c>
    </row>
    <row r="41" spans="1:15" ht="25.5" hidden="1" x14ac:dyDescent="0.25">
      <c r="A41" s="9" t="s">
        <v>309</v>
      </c>
      <c r="B41" s="10" t="s">
        <v>17</v>
      </c>
      <c r="C41" s="11" t="s">
        <v>107</v>
      </c>
      <c r="D41" s="11" t="s">
        <v>199</v>
      </c>
      <c r="E41" s="11" t="s">
        <v>310</v>
      </c>
      <c r="F41" s="3"/>
      <c r="G41" s="2" t="str">
        <f t="shared" si="0"/>
        <v>JMH2E</v>
      </c>
      <c r="H41" s="2">
        <f t="shared" si="1"/>
        <v>141</v>
      </c>
      <c r="I41" s="2">
        <f t="shared" si="2"/>
        <v>12</v>
      </c>
      <c r="J41" s="2" t="str">
        <f t="shared" si="3"/>
        <v>28</v>
      </c>
      <c r="K41" s="2" t="str">
        <f t="shared" si="4"/>
        <v>10</v>
      </c>
      <c r="L41" s="2" t="str">
        <f t="shared" si="5"/>
        <v>2025</v>
      </c>
      <c r="M41" s="2" t="str">
        <f t="shared" si="6"/>
        <v>-</v>
      </c>
      <c r="N41" s="4" t="str">
        <f t="shared" si="7"/>
        <v>-</v>
      </c>
      <c r="O41" s="2" t="str">
        <f t="shared" si="8"/>
        <v>-</v>
      </c>
    </row>
    <row r="42" spans="1:15" ht="25.5" hidden="1" x14ac:dyDescent="0.25">
      <c r="A42" s="9" t="s">
        <v>311</v>
      </c>
      <c r="B42" s="10" t="s">
        <v>17</v>
      </c>
      <c r="C42" s="11" t="s">
        <v>298</v>
      </c>
      <c r="D42" s="11" t="s">
        <v>199</v>
      </c>
      <c r="E42" s="11" t="s">
        <v>312</v>
      </c>
      <c r="F42" s="3"/>
      <c r="G42" s="2" t="str">
        <f t="shared" si="0"/>
        <v>JMH1E</v>
      </c>
      <c r="H42" s="2">
        <f t="shared" si="1"/>
        <v>240</v>
      </c>
      <c r="I42" s="2">
        <f t="shared" si="2"/>
        <v>12</v>
      </c>
      <c r="J42" s="2" t="str">
        <f t="shared" si="3"/>
        <v>21</v>
      </c>
      <c r="K42" s="2" t="str">
        <f t="shared" si="4"/>
        <v>07</v>
      </c>
      <c r="L42" s="2" t="str">
        <f t="shared" si="5"/>
        <v>2025</v>
      </c>
      <c r="M42" s="2" t="str">
        <f t="shared" si="6"/>
        <v>-</v>
      </c>
      <c r="N42" s="4" t="str">
        <f t="shared" si="7"/>
        <v>-</v>
      </c>
      <c r="O42" s="2" t="str">
        <f t="shared" si="8"/>
        <v>-</v>
      </c>
    </row>
    <row r="43" spans="1:15" ht="25.5" x14ac:dyDescent="0.25">
      <c r="A43" s="14" t="s">
        <v>313</v>
      </c>
      <c r="B43" s="10" t="s">
        <v>17</v>
      </c>
      <c r="C43" s="10" t="s">
        <v>314</v>
      </c>
      <c r="D43" s="10" t="s">
        <v>199</v>
      </c>
      <c r="E43" s="10" t="s">
        <v>315</v>
      </c>
      <c r="F43" s="3" t="s">
        <v>138</v>
      </c>
      <c r="G43" s="2" t="str">
        <f t="shared" si="0"/>
        <v>JMH2E</v>
      </c>
      <c r="H43" s="2">
        <f t="shared" si="1"/>
        <v>230</v>
      </c>
      <c r="I43" s="2">
        <f t="shared" si="2"/>
        <v>12</v>
      </c>
      <c r="J43" s="2" t="str">
        <f t="shared" si="3"/>
        <v>31</v>
      </c>
      <c r="K43" s="2" t="str">
        <f t="shared" si="4"/>
        <v>07</v>
      </c>
      <c r="L43" s="2" t="str">
        <f t="shared" si="5"/>
        <v>2025</v>
      </c>
      <c r="M43" s="2" t="str">
        <f t="shared" si="6"/>
        <v>-</v>
      </c>
      <c r="N43" s="4" t="str">
        <f t="shared" si="7"/>
        <v>-</v>
      </c>
      <c r="O43" s="2" t="str">
        <f t="shared" si="8"/>
        <v>-</v>
      </c>
    </row>
    <row r="44" spans="1:15" ht="25.5" hidden="1" x14ac:dyDescent="0.25">
      <c r="A44" s="9" t="s">
        <v>316</v>
      </c>
      <c r="B44" s="10" t="s">
        <v>17</v>
      </c>
      <c r="C44" s="11" t="s">
        <v>317</v>
      </c>
      <c r="D44" s="11" t="s">
        <v>199</v>
      </c>
      <c r="E44" s="11" t="s">
        <v>318</v>
      </c>
      <c r="F44" s="3"/>
      <c r="G44" s="2" t="str">
        <f t="shared" si="0"/>
        <v>JMH2E</v>
      </c>
      <c r="H44" s="2">
        <f t="shared" si="1"/>
        <v>219</v>
      </c>
      <c r="I44" s="2">
        <f t="shared" si="2"/>
        <v>12</v>
      </c>
      <c r="J44" s="2" t="str">
        <f t="shared" si="3"/>
        <v>11</v>
      </c>
      <c r="K44" s="2" t="str">
        <f t="shared" si="4"/>
        <v>08</v>
      </c>
      <c r="L44" s="2" t="str">
        <f t="shared" si="5"/>
        <v>2025</v>
      </c>
      <c r="M44" s="2" t="str">
        <f t="shared" si="6"/>
        <v>-</v>
      </c>
      <c r="N44" s="4" t="str">
        <f t="shared" si="7"/>
        <v>-</v>
      </c>
      <c r="O44" s="2" t="str">
        <f t="shared" si="8"/>
        <v>-</v>
      </c>
    </row>
    <row r="45" spans="1:15" ht="25.5" hidden="1" x14ac:dyDescent="0.25">
      <c r="A45" s="9" t="s">
        <v>319</v>
      </c>
      <c r="B45" s="10" t="s">
        <v>17</v>
      </c>
      <c r="C45" s="11" t="s">
        <v>320</v>
      </c>
      <c r="D45" s="11" t="s">
        <v>199</v>
      </c>
      <c r="E45" s="11" t="s">
        <v>321</v>
      </c>
      <c r="F45" s="3"/>
      <c r="G45" s="2" t="str">
        <f t="shared" si="0"/>
        <v>JMH2E</v>
      </c>
      <c r="H45" s="2">
        <f t="shared" si="1"/>
        <v>235</v>
      </c>
      <c r="I45" s="2">
        <f t="shared" si="2"/>
        <v>12</v>
      </c>
      <c r="J45" s="2" t="str">
        <f t="shared" si="3"/>
        <v>26</v>
      </c>
      <c r="K45" s="2" t="str">
        <f t="shared" si="4"/>
        <v>07</v>
      </c>
      <c r="L45" s="2" t="str">
        <f t="shared" si="5"/>
        <v>2025</v>
      </c>
      <c r="M45" s="2" t="str">
        <f t="shared" si="6"/>
        <v>-</v>
      </c>
      <c r="N45" s="4" t="str">
        <f t="shared" si="7"/>
        <v>-</v>
      </c>
      <c r="O45" s="2" t="str">
        <f t="shared" si="8"/>
        <v>-</v>
      </c>
    </row>
    <row r="46" spans="1:15" ht="25.5" hidden="1" x14ac:dyDescent="0.25">
      <c r="A46" s="9" t="s">
        <v>322</v>
      </c>
      <c r="B46" s="10" t="s">
        <v>17</v>
      </c>
      <c r="C46" s="11" t="s">
        <v>323</v>
      </c>
      <c r="D46" s="11" t="s">
        <v>199</v>
      </c>
      <c r="E46" s="11" t="s">
        <v>324</v>
      </c>
      <c r="F46" s="3"/>
      <c r="G46" s="2" t="str">
        <f t="shared" si="0"/>
        <v>JMH2E</v>
      </c>
      <c r="H46" s="2">
        <f t="shared" si="1"/>
        <v>244</v>
      </c>
      <c r="I46" s="2">
        <f t="shared" si="2"/>
        <v>12</v>
      </c>
      <c r="J46" s="2" t="str">
        <f t="shared" si="3"/>
        <v>17</v>
      </c>
      <c r="K46" s="2" t="str">
        <f t="shared" si="4"/>
        <v>07</v>
      </c>
      <c r="L46" s="2" t="str">
        <f t="shared" si="5"/>
        <v>2025</v>
      </c>
      <c r="M46" s="2" t="str">
        <f t="shared" si="6"/>
        <v>-</v>
      </c>
      <c r="N46" s="4" t="str">
        <f t="shared" si="7"/>
        <v>-</v>
      </c>
      <c r="O46" s="2" t="str">
        <f t="shared" si="8"/>
        <v>-</v>
      </c>
    </row>
    <row r="47" spans="1:15" ht="25.5" hidden="1" x14ac:dyDescent="0.25">
      <c r="A47" s="9" t="s">
        <v>325</v>
      </c>
      <c r="B47" s="10" t="s">
        <v>18</v>
      </c>
      <c r="C47" s="11" t="s">
        <v>326</v>
      </c>
      <c r="D47" s="11" t="s">
        <v>199</v>
      </c>
      <c r="E47" s="11" t="s">
        <v>327</v>
      </c>
      <c r="F47" s="3"/>
      <c r="G47" s="2" t="str">
        <f t="shared" si="0"/>
        <v>JMH2E</v>
      </c>
      <c r="H47" s="2">
        <f t="shared" si="1"/>
        <v>275</v>
      </c>
      <c r="I47" s="2">
        <f t="shared" si="2"/>
        <v>12</v>
      </c>
      <c r="J47" s="2" t="str">
        <f t="shared" si="3"/>
        <v>16</v>
      </c>
      <c r="K47" s="2" t="str">
        <f t="shared" si="4"/>
        <v>06</v>
      </c>
      <c r="L47" s="2" t="str">
        <f t="shared" si="5"/>
        <v>2025</v>
      </c>
      <c r="M47" s="2" t="str">
        <f t="shared" si="6"/>
        <v>-</v>
      </c>
      <c r="N47" s="4" t="str">
        <f t="shared" si="7"/>
        <v>-</v>
      </c>
      <c r="O47" s="2" t="str">
        <f t="shared" si="8"/>
        <v>-</v>
      </c>
    </row>
    <row r="48" spans="1:15" ht="25.5" hidden="1" x14ac:dyDescent="0.25">
      <c r="A48" s="9" t="s">
        <v>328</v>
      </c>
      <c r="B48" s="10" t="s">
        <v>16</v>
      </c>
      <c r="C48" s="11" t="s">
        <v>329</v>
      </c>
      <c r="D48" s="11" t="s">
        <v>199</v>
      </c>
      <c r="E48" s="11" t="s">
        <v>170</v>
      </c>
      <c r="F48" s="3"/>
      <c r="G48" s="2" t="str">
        <f t="shared" si="0"/>
        <v>KFD1E</v>
      </c>
      <c r="H48" s="2">
        <f t="shared" si="1"/>
        <v>190</v>
      </c>
      <c r="I48" s="2">
        <f t="shared" si="2"/>
        <v>12</v>
      </c>
      <c r="J48" s="2" t="str">
        <f t="shared" si="3"/>
        <v>09</v>
      </c>
      <c r="K48" s="2" t="str">
        <f t="shared" si="4"/>
        <v>09</v>
      </c>
      <c r="L48" s="2" t="str">
        <f t="shared" si="5"/>
        <v>2025</v>
      </c>
      <c r="M48" s="2" t="str">
        <f t="shared" si="6"/>
        <v>tolong cek</v>
      </c>
      <c r="N48" s="4" t="str">
        <f t="shared" si="7"/>
        <v>-</v>
      </c>
      <c r="O48" s="2" t="str">
        <f t="shared" si="8"/>
        <v>-</v>
      </c>
    </row>
    <row r="49" spans="1:15" ht="25.5" hidden="1" x14ac:dyDescent="0.25">
      <c r="A49" s="9" t="s">
        <v>330</v>
      </c>
      <c r="B49" s="10" t="s">
        <v>17</v>
      </c>
      <c r="C49" s="11" t="s">
        <v>331</v>
      </c>
      <c r="D49" s="11" t="s">
        <v>218</v>
      </c>
      <c r="E49" s="11" t="s">
        <v>332</v>
      </c>
      <c r="F49" s="3"/>
      <c r="G49" s="2" t="str">
        <f t="shared" si="0"/>
        <v>KFD1E</v>
      </c>
      <c r="H49" s="2">
        <f t="shared" si="1"/>
        <v>136</v>
      </c>
      <c r="I49" s="2">
        <f t="shared" si="2"/>
        <v>12</v>
      </c>
      <c r="J49" s="2" t="str">
        <f t="shared" si="3"/>
        <v>31</v>
      </c>
      <c r="K49" s="2" t="str">
        <f t="shared" si="4"/>
        <v>10</v>
      </c>
      <c r="L49" s="2" t="str">
        <f t="shared" si="5"/>
        <v>2025</v>
      </c>
      <c r="M49" s="2" t="str">
        <f t="shared" si="6"/>
        <v>-</v>
      </c>
      <c r="N49" s="4" t="str">
        <f t="shared" si="7"/>
        <v>-</v>
      </c>
      <c r="O49" s="2" t="str">
        <f t="shared" si="8"/>
        <v>-</v>
      </c>
    </row>
    <row r="50" spans="1:15" ht="25.5" hidden="1" x14ac:dyDescent="0.25">
      <c r="A50" s="9" t="s">
        <v>333</v>
      </c>
      <c r="B50" s="10" t="s">
        <v>11</v>
      </c>
      <c r="C50" s="11" t="s">
        <v>14</v>
      </c>
      <c r="D50" s="11" t="s">
        <v>234</v>
      </c>
      <c r="E50" s="11" t="s">
        <v>334</v>
      </c>
      <c r="F50" s="3"/>
      <c r="G50" s="2" t="str">
        <f t="shared" si="0"/>
        <v>JBP1E</v>
      </c>
      <c r="H50" s="2">
        <f t="shared" si="1"/>
        <v>29</v>
      </c>
      <c r="I50" s="2">
        <f t="shared" si="2"/>
        <v>12</v>
      </c>
      <c r="J50" s="2" t="str">
        <f t="shared" si="3"/>
        <v>16</v>
      </c>
      <c r="K50" s="2" t="str">
        <f t="shared" si="4"/>
        <v>02</v>
      </c>
      <c r="L50" s="2" t="str">
        <f t="shared" si="5"/>
        <v>2026</v>
      </c>
      <c r="M50" s="2" t="str">
        <f t="shared" si="6"/>
        <v>-</v>
      </c>
      <c r="N50" s="4" t="str">
        <f t="shared" si="7"/>
        <v>-</v>
      </c>
      <c r="O50" s="2" t="str">
        <f t="shared" si="8"/>
        <v>-</v>
      </c>
    </row>
    <row r="51" spans="1:15" ht="25.5" hidden="1" x14ac:dyDescent="0.25">
      <c r="A51" s="9" t="s">
        <v>335</v>
      </c>
      <c r="B51" s="10" t="s">
        <v>11</v>
      </c>
      <c r="C51" s="11" t="s">
        <v>273</v>
      </c>
      <c r="D51" s="11" t="s">
        <v>240</v>
      </c>
      <c r="E51" s="11" t="s">
        <v>336</v>
      </c>
      <c r="F51" s="3"/>
      <c r="G51" s="2" t="str">
        <f t="shared" si="0"/>
        <v>JMK1E</v>
      </c>
      <c r="H51" s="2">
        <f t="shared" si="1"/>
        <v>25</v>
      </c>
      <c r="I51" s="2">
        <f t="shared" si="2"/>
        <v>12</v>
      </c>
      <c r="J51" s="2" t="str">
        <f t="shared" si="3"/>
        <v>13</v>
      </c>
      <c r="K51" s="2" t="str">
        <f t="shared" si="4"/>
        <v>02</v>
      </c>
      <c r="L51" s="2" t="str">
        <f t="shared" si="5"/>
        <v>2026</v>
      </c>
      <c r="M51" s="2" t="str">
        <f t="shared" si="6"/>
        <v>-</v>
      </c>
      <c r="N51" s="4" t="str">
        <f t="shared" si="7"/>
        <v>-</v>
      </c>
      <c r="O51" s="2" t="str">
        <f t="shared" si="8"/>
        <v>-</v>
      </c>
    </row>
    <row r="52" spans="1:15" ht="25.5" hidden="1" x14ac:dyDescent="0.25">
      <c r="A52" s="9" t="s">
        <v>337</v>
      </c>
      <c r="B52" s="10" t="s">
        <v>17</v>
      </c>
      <c r="C52" s="11" t="s">
        <v>338</v>
      </c>
      <c r="D52" s="11" t="s">
        <v>339</v>
      </c>
      <c r="E52" s="11" t="s">
        <v>340</v>
      </c>
      <c r="F52" s="3"/>
      <c r="G52" s="2" t="str">
        <f t="shared" si="0"/>
        <v>JMK1E</v>
      </c>
      <c r="H52" s="2">
        <f t="shared" si="1"/>
        <v>62</v>
      </c>
      <c r="I52" s="2">
        <f t="shared" si="2"/>
        <v>12</v>
      </c>
      <c r="J52" s="2" t="str">
        <f t="shared" si="3"/>
        <v>06</v>
      </c>
      <c r="K52" s="2" t="str">
        <f t="shared" si="4"/>
        <v>01</v>
      </c>
      <c r="L52" s="2" t="str">
        <f t="shared" si="5"/>
        <v>2026</v>
      </c>
      <c r="M52" s="2" t="str">
        <f t="shared" si="6"/>
        <v>-</v>
      </c>
      <c r="N52" s="4" t="str">
        <f t="shared" si="7"/>
        <v>-</v>
      </c>
      <c r="O52" s="2" t="str">
        <f t="shared" si="8"/>
        <v>-</v>
      </c>
    </row>
    <row r="53" spans="1:15" ht="25.5" hidden="1" x14ac:dyDescent="0.25">
      <c r="A53" s="9" t="s">
        <v>341</v>
      </c>
      <c r="B53" s="10" t="s">
        <v>17</v>
      </c>
      <c r="C53" s="11" t="s">
        <v>60</v>
      </c>
      <c r="D53" s="11" t="s">
        <v>218</v>
      </c>
      <c r="E53" s="11" t="s">
        <v>342</v>
      </c>
      <c r="F53" s="3"/>
      <c r="G53" s="2" t="str">
        <f t="shared" si="0"/>
        <v>JMD1E</v>
      </c>
      <c r="H53" s="2">
        <f t="shared" si="1"/>
        <v>116</v>
      </c>
      <c r="I53" s="2">
        <f t="shared" si="2"/>
        <v>12</v>
      </c>
      <c r="J53" s="2" t="str">
        <f t="shared" si="3"/>
        <v>20</v>
      </c>
      <c r="K53" s="2" t="str">
        <f t="shared" si="4"/>
        <v>11</v>
      </c>
      <c r="L53" s="2" t="str">
        <f t="shared" si="5"/>
        <v>2025</v>
      </c>
      <c r="M53" s="2" t="str">
        <f t="shared" si="6"/>
        <v>-</v>
      </c>
      <c r="N53" s="4" t="str">
        <f t="shared" si="7"/>
        <v>-</v>
      </c>
      <c r="O53" s="2" t="str">
        <f t="shared" si="8"/>
        <v>-</v>
      </c>
    </row>
    <row r="54" spans="1:15" ht="25.5" hidden="1" x14ac:dyDescent="0.25">
      <c r="A54" s="9" t="s">
        <v>343</v>
      </c>
      <c r="B54" s="10" t="s">
        <v>17</v>
      </c>
      <c r="C54" s="11" t="s">
        <v>344</v>
      </c>
      <c r="D54" s="11" t="s">
        <v>234</v>
      </c>
      <c r="E54" s="11" t="s">
        <v>345</v>
      </c>
      <c r="F54" s="3"/>
      <c r="G54" s="2" t="str">
        <f t="shared" si="0"/>
        <v>JMD1E</v>
      </c>
      <c r="H54" s="2">
        <f t="shared" si="1"/>
        <v>173</v>
      </c>
      <c r="I54" s="2">
        <f t="shared" si="2"/>
        <v>12</v>
      </c>
      <c r="J54" s="2" t="str">
        <f t="shared" si="3"/>
        <v>25</v>
      </c>
      <c r="K54" s="2" t="str">
        <f t="shared" si="4"/>
        <v>09</v>
      </c>
      <c r="L54" s="2" t="str">
        <f t="shared" si="5"/>
        <v>2025</v>
      </c>
      <c r="M54" s="2" t="str">
        <f t="shared" si="6"/>
        <v>-</v>
      </c>
      <c r="N54" s="4" t="str">
        <f t="shared" si="7"/>
        <v>-</v>
      </c>
      <c r="O54" s="2" t="str">
        <f t="shared" si="8"/>
        <v>-</v>
      </c>
    </row>
    <row r="55" spans="1:15" ht="25.5" x14ac:dyDescent="0.25">
      <c r="A55" s="14" t="s">
        <v>346</v>
      </c>
      <c r="B55" s="10" t="s">
        <v>17</v>
      </c>
      <c r="C55" s="10" t="s">
        <v>347</v>
      </c>
      <c r="D55" s="10" t="s">
        <v>199</v>
      </c>
      <c r="E55" s="10" t="s">
        <v>310</v>
      </c>
      <c r="F55" s="3" t="s">
        <v>138</v>
      </c>
      <c r="G55" s="2" t="str">
        <f t="shared" si="0"/>
        <v>JMD1E</v>
      </c>
      <c r="H55" s="2">
        <f t="shared" si="1"/>
        <v>216</v>
      </c>
      <c r="I55" s="2">
        <f t="shared" si="2"/>
        <v>12</v>
      </c>
      <c r="J55" s="2" t="str">
        <f t="shared" si="3"/>
        <v>14</v>
      </c>
      <c r="K55" s="2" t="str">
        <f t="shared" si="4"/>
        <v>08</v>
      </c>
      <c r="L55" s="2" t="str">
        <f t="shared" si="5"/>
        <v>2025</v>
      </c>
      <c r="M55" s="2" t="str">
        <f t="shared" si="6"/>
        <v>-</v>
      </c>
      <c r="N55" s="4" t="str">
        <f t="shared" si="7"/>
        <v>-</v>
      </c>
      <c r="O55" s="2" t="str">
        <f t="shared" si="8"/>
        <v>-</v>
      </c>
    </row>
    <row r="56" spans="1:15" ht="25.5" hidden="1" x14ac:dyDescent="0.25">
      <c r="A56" s="9" t="s">
        <v>348</v>
      </c>
      <c r="B56" s="10" t="s">
        <v>17</v>
      </c>
      <c r="C56" s="11" t="s">
        <v>304</v>
      </c>
      <c r="D56" s="11" t="s">
        <v>199</v>
      </c>
      <c r="E56" s="11" t="s">
        <v>349</v>
      </c>
      <c r="F56" s="3"/>
      <c r="G56" s="2" t="str">
        <f t="shared" si="0"/>
        <v>JMD1E</v>
      </c>
      <c r="H56" s="2">
        <f t="shared" si="1"/>
        <v>161</v>
      </c>
      <c r="I56" s="2">
        <f t="shared" si="2"/>
        <v>12</v>
      </c>
      <c r="J56" s="2" t="str">
        <f t="shared" si="3"/>
        <v>08</v>
      </c>
      <c r="K56" s="2" t="str">
        <f t="shared" si="4"/>
        <v>10</v>
      </c>
      <c r="L56" s="2" t="str">
        <f t="shared" si="5"/>
        <v>2025</v>
      </c>
      <c r="M56" s="2" t="str">
        <f t="shared" si="6"/>
        <v>-</v>
      </c>
      <c r="N56" s="4" t="str">
        <f t="shared" si="7"/>
        <v>-</v>
      </c>
      <c r="O56" s="2" t="str">
        <f t="shared" si="8"/>
        <v>-</v>
      </c>
    </row>
    <row r="57" spans="1:15" ht="25.5" hidden="1" x14ac:dyDescent="0.25">
      <c r="A57" s="9" t="s">
        <v>350</v>
      </c>
      <c r="B57" s="10" t="s">
        <v>18</v>
      </c>
      <c r="C57" s="11" t="s">
        <v>60</v>
      </c>
      <c r="D57" s="11" t="s">
        <v>208</v>
      </c>
      <c r="E57" s="11" t="s">
        <v>351</v>
      </c>
      <c r="F57" s="3"/>
      <c r="G57" s="2" t="str">
        <f t="shared" si="0"/>
        <v>JMC1E</v>
      </c>
      <c r="H57" s="2">
        <f t="shared" si="1"/>
        <v>119</v>
      </c>
      <c r="I57" s="2">
        <f t="shared" si="2"/>
        <v>12</v>
      </c>
      <c r="J57" s="2" t="str">
        <f t="shared" si="3"/>
        <v>20</v>
      </c>
      <c r="K57" s="2" t="str">
        <f t="shared" si="4"/>
        <v>11</v>
      </c>
      <c r="L57" s="2" t="str">
        <f t="shared" si="5"/>
        <v>2025</v>
      </c>
      <c r="M57" s="2" t="str">
        <f t="shared" si="6"/>
        <v>-</v>
      </c>
      <c r="N57" s="4" t="str">
        <f t="shared" si="7"/>
        <v>-</v>
      </c>
      <c r="O57" s="2" t="str">
        <f t="shared" si="8"/>
        <v>-</v>
      </c>
    </row>
    <row r="58" spans="1:15" ht="25.5" hidden="1" x14ac:dyDescent="0.25">
      <c r="A58" s="9" t="s">
        <v>352</v>
      </c>
      <c r="B58" s="10" t="s">
        <v>18</v>
      </c>
      <c r="C58" s="11" t="s">
        <v>353</v>
      </c>
      <c r="D58" s="11" t="s">
        <v>208</v>
      </c>
      <c r="E58" s="11" t="s">
        <v>354</v>
      </c>
      <c r="F58" s="3"/>
      <c r="G58" s="2" t="str">
        <f t="shared" si="0"/>
        <v>JMC1E</v>
      </c>
      <c r="H58" s="2">
        <f t="shared" si="1"/>
        <v>128</v>
      </c>
      <c r="I58" s="2">
        <f t="shared" si="2"/>
        <v>12</v>
      </c>
      <c r="J58" s="2" t="str">
        <f t="shared" si="3"/>
        <v>11</v>
      </c>
      <c r="K58" s="2" t="str">
        <f t="shared" si="4"/>
        <v>11</v>
      </c>
      <c r="L58" s="2" t="str">
        <f t="shared" si="5"/>
        <v>2025</v>
      </c>
      <c r="M58" s="2" t="str">
        <f t="shared" si="6"/>
        <v>-</v>
      </c>
      <c r="N58" s="4" t="str">
        <f t="shared" si="7"/>
        <v>-</v>
      </c>
      <c r="O58" s="2" t="str">
        <f t="shared" si="8"/>
        <v>-</v>
      </c>
    </row>
    <row r="59" spans="1:15" ht="25.5" hidden="1" x14ac:dyDescent="0.25">
      <c r="A59" s="9" t="s">
        <v>355</v>
      </c>
      <c r="B59" s="10" t="s">
        <v>11</v>
      </c>
      <c r="C59" s="11" t="s">
        <v>21</v>
      </c>
      <c r="D59" s="11" t="s">
        <v>234</v>
      </c>
      <c r="E59" s="11" t="s">
        <v>356</v>
      </c>
      <c r="F59" s="3"/>
      <c r="G59" s="2" t="str">
        <f t="shared" si="0"/>
        <v>KC04E</v>
      </c>
      <c r="H59" s="2">
        <f t="shared" si="1"/>
        <v>38</v>
      </c>
      <c r="I59" s="2">
        <f t="shared" si="2"/>
        <v>12</v>
      </c>
      <c r="J59" s="2" t="str">
        <f t="shared" si="3"/>
        <v>07</v>
      </c>
      <c r="K59" s="2" t="str">
        <f t="shared" si="4"/>
        <v>02</v>
      </c>
      <c r="L59" s="2" t="str">
        <f t="shared" si="5"/>
        <v>2026</v>
      </c>
      <c r="M59" s="2" t="str">
        <f t="shared" si="6"/>
        <v>-</v>
      </c>
      <c r="N59" s="4" t="str">
        <f t="shared" si="7"/>
        <v>-</v>
      </c>
      <c r="O59" s="2" t="str">
        <f t="shared" si="8"/>
        <v>-</v>
      </c>
    </row>
    <row r="60" spans="1:15" ht="25.5" hidden="1" x14ac:dyDescent="0.25">
      <c r="A60" s="9" t="s">
        <v>357</v>
      </c>
      <c r="B60" s="10" t="s">
        <v>11</v>
      </c>
      <c r="C60" s="11" t="s">
        <v>14</v>
      </c>
      <c r="D60" s="11" t="s">
        <v>199</v>
      </c>
      <c r="E60" s="11" t="s">
        <v>358</v>
      </c>
      <c r="F60" s="3"/>
      <c r="G60" s="2" t="str">
        <f t="shared" si="0"/>
        <v>KC04E</v>
      </c>
      <c r="H60" s="2">
        <f t="shared" si="1"/>
        <v>30</v>
      </c>
      <c r="I60" s="2">
        <f t="shared" si="2"/>
        <v>12</v>
      </c>
      <c r="J60" s="2" t="str">
        <f t="shared" si="3"/>
        <v>16</v>
      </c>
      <c r="K60" s="2" t="str">
        <f t="shared" si="4"/>
        <v>02</v>
      </c>
      <c r="L60" s="2" t="str">
        <f t="shared" si="5"/>
        <v>2026</v>
      </c>
      <c r="M60" s="2" t="str">
        <f t="shared" si="6"/>
        <v>-</v>
      </c>
      <c r="N60" s="4" t="str">
        <f t="shared" si="7"/>
        <v>-</v>
      </c>
      <c r="O60" s="2" t="str">
        <f t="shared" si="8"/>
        <v>-</v>
      </c>
    </row>
    <row r="61" spans="1:15" ht="25.5" hidden="1" x14ac:dyDescent="0.25">
      <c r="A61" s="9" t="s">
        <v>359</v>
      </c>
      <c r="B61" s="10" t="s">
        <v>11</v>
      </c>
      <c r="C61" s="11" t="s">
        <v>360</v>
      </c>
      <c r="D61" s="11" t="s">
        <v>199</v>
      </c>
      <c r="E61" s="11" t="s">
        <v>358</v>
      </c>
      <c r="F61" s="3"/>
      <c r="G61" s="2" t="str">
        <f t="shared" si="0"/>
        <v>KC04E</v>
      </c>
      <c r="H61" s="2">
        <f t="shared" si="1"/>
        <v>54</v>
      </c>
      <c r="I61" s="2">
        <f t="shared" si="2"/>
        <v>12</v>
      </c>
      <c r="J61" s="2" t="str">
        <f t="shared" si="3"/>
        <v>23</v>
      </c>
      <c r="K61" s="2" t="str">
        <f t="shared" si="4"/>
        <v>01</v>
      </c>
      <c r="L61" s="2" t="str">
        <f t="shared" si="5"/>
        <v>2026</v>
      </c>
      <c r="M61" s="2" t="str">
        <f t="shared" si="6"/>
        <v>-</v>
      </c>
      <c r="N61" s="4" t="str">
        <f t="shared" si="7"/>
        <v>-</v>
      </c>
      <c r="O61" s="2" t="str">
        <f t="shared" si="8"/>
        <v>-</v>
      </c>
    </row>
    <row r="62" spans="1:15" ht="25.5" hidden="1" x14ac:dyDescent="0.25">
      <c r="A62" s="9" t="s">
        <v>361</v>
      </c>
      <c r="B62" s="10" t="s">
        <v>18</v>
      </c>
      <c r="C62" s="11" t="s">
        <v>362</v>
      </c>
      <c r="D62" s="11" t="s">
        <v>287</v>
      </c>
      <c r="E62" s="11" t="s">
        <v>363</v>
      </c>
      <c r="F62" s="3"/>
      <c r="G62" s="2" t="str">
        <f t="shared" si="0"/>
        <v>KC04E</v>
      </c>
      <c r="H62" s="2">
        <f t="shared" si="1"/>
        <v>110</v>
      </c>
      <c r="I62" s="2">
        <f t="shared" si="2"/>
        <v>12</v>
      </c>
      <c r="J62" s="2" t="str">
        <f t="shared" si="3"/>
        <v>17</v>
      </c>
      <c r="K62" s="2" t="str">
        <f t="shared" si="4"/>
        <v>11</v>
      </c>
      <c r="L62" s="2" t="str">
        <f t="shared" si="5"/>
        <v>2025</v>
      </c>
      <c r="M62" s="2" t="str">
        <f t="shared" si="6"/>
        <v>-</v>
      </c>
      <c r="N62" s="4" t="str">
        <f t="shared" si="7"/>
        <v>-</v>
      </c>
      <c r="O62" s="2" t="str">
        <f t="shared" si="8"/>
        <v>-</v>
      </c>
    </row>
    <row r="63" spans="1:15" ht="25.5" hidden="1" x14ac:dyDescent="0.25">
      <c r="A63" s="9" t="s">
        <v>364</v>
      </c>
      <c r="B63" s="10" t="s">
        <v>18</v>
      </c>
      <c r="C63" s="11" t="s">
        <v>365</v>
      </c>
      <c r="D63" s="11" t="s">
        <v>218</v>
      </c>
      <c r="E63" s="11" t="s">
        <v>366</v>
      </c>
      <c r="F63" s="3"/>
      <c r="G63" s="2" t="str">
        <f t="shared" si="0"/>
        <v>KC04E</v>
      </c>
      <c r="H63" s="2">
        <f t="shared" si="1"/>
        <v>132</v>
      </c>
      <c r="I63" s="2">
        <f t="shared" si="2"/>
        <v>12</v>
      </c>
      <c r="J63" s="2" t="str">
        <f t="shared" si="3"/>
        <v>04</v>
      </c>
      <c r="K63" s="2" t="str">
        <f t="shared" si="4"/>
        <v>11</v>
      </c>
      <c r="L63" s="2" t="str">
        <f t="shared" si="5"/>
        <v>2025</v>
      </c>
      <c r="M63" s="2" t="str">
        <f t="shared" si="6"/>
        <v>-</v>
      </c>
      <c r="N63" s="4" t="str">
        <f t="shared" si="7"/>
        <v>-</v>
      </c>
      <c r="O63" s="2" t="str">
        <f t="shared" si="8"/>
        <v>-</v>
      </c>
    </row>
  </sheetData>
  <autoFilter ref="A1:O63" xr:uid="{5391AF7F-2DD0-431D-94E5-BD1B98F49558}">
    <filterColumn colId="5">
      <filters>
        <filter val="Salah input service ID (tidak bisa klaim)"/>
        <filter val="Tidak ada fisik KP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A334-1192-40C6-A97C-6BBDD512B207}">
  <sheetPr filterMode="1">
    <tabColor rgb="FF92D050"/>
  </sheetPr>
  <dimension ref="A1:O122"/>
  <sheetViews>
    <sheetView tabSelected="1" workbookViewId="0">
      <selection activeCell="L134" sqref="L134"/>
    </sheetView>
  </sheetViews>
  <sheetFormatPr defaultRowHeight="12.75" x14ac:dyDescent="0.2"/>
  <cols>
    <col min="1" max="1" width="15.140625" style="21" customWidth="1"/>
    <col min="2" max="2" width="8.140625" style="21" customWidth="1"/>
    <col min="3" max="4" width="11.28515625" style="21" customWidth="1"/>
    <col min="5" max="5" width="7.140625" style="21" customWidth="1"/>
    <col min="6" max="6" width="33.42578125" style="21" bestFit="1" customWidth="1"/>
    <col min="7" max="16384" width="9.140625" style="21"/>
  </cols>
  <sheetData>
    <row r="1" spans="1:15" ht="16.7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18" t="s">
        <v>5</v>
      </c>
      <c r="G1" s="19" t="s">
        <v>6</v>
      </c>
      <c r="H1" s="20" t="s">
        <v>7</v>
      </c>
      <c r="I1" s="20" t="s">
        <v>8</v>
      </c>
      <c r="J1" s="20" t="s">
        <v>2</v>
      </c>
      <c r="K1" s="19" t="s">
        <v>9</v>
      </c>
      <c r="L1" s="20" t="s">
        <v>10</v>
      </c>
      <c r="M1" s="20"/>
      <c r="N1" s="20"/>
      <c r="O1" s="20"/>
    </row>
    <row r="2" spans="1:15" ht="15" hidden="1" x14ac:dyDescent="0.25">
      <c r="A2" s="22" t="s">
        <v>367</v>
      </c>
      <c r="B2" s="23" t="s">
        <v>11</v>
      </c>
      <c r="C2" s="23" t="s">
        <v>368</v>
      </c>
      <c r="D2" s="23" t="s">
        <v>369</v>
      </c>
      <c r="E2" s="23" t="s">
        <v>89</v>
      </c>
      <c r="G2" s="20" t="str">
        <f t="shared" ref="G2:G65" si="0">LEFT(A2, 5)</f>
        <v>KFF1E</v>
      </c>
      <c r="H2" s="20">
        <f t="shared" ref="H2:H65" si="1">D2-C2</f>
        <v>38</v>
      </c>
      <c r="I2" s="20">
        <f t="shared" ref="I2:I65" si="2">LEN(A2)</f>
        <v>12</v>
      </c>
      <c r="J2" s="20" t="str">
        <f t="shared" ref="J2:J65" si="3">LEFT(C2, 2)</f>
        <v>20</v>
      </c>
      <c r="K2" s="20" t="str">
        <f t="shared" ref="K2:K65" si="4">MID(C2, 4, 2)</f>
        <v>02</v>
      </c>
      <c r="L2" s="20" t="str">
        <f t="shared" ref="L2:L65" si="5">RIGHT(C2, 4)</f>
        <v>2026</v>
      </c>
      <c r="M2" s="20" t="str">
        <f t="shared" ref="M2:M65" si="6">IF(AND(B2="1",H2&gt;=75),"tolong cek",  IF(AND(B2="2",H2&gt;=135),"tolong cek",  IF(AND(B2="3",H2&gt;=255),"tolong cek",  IF(AND(B2="4",H2&gt;=375),"tolong cek","-"))))</f>
        <v>-</v>
      </c>
      <c r="N2" s="20" t="str">
        <f t="shared" ref="N2:N65" si="7">IF(AND(B2="1",VALUE(K2)&lt;=5,VALUE(L2)&lt;=2025),"tolong cek kadaluarsa",  IF(AND(B2="2",VALUE(K2)&lt;=3,VALUE(L2)&lt;=2025),"tolong cek kadaluarsa",  IF(AND(B2="3",VALUE(K2)&lt;=11,VALUE(L2)&lt;=2024),"tolong cek kadaluarsa",  IF(AND(B2="4",VALUE(K2)&lt;=7, VALUE(L2)&lt;=2024),"tolong cek kadaluarsa","-"))))</f>
        <v>-</v>
      </c>
      <c r="O2" s="20" t="str">
        <f t="shared" ref="O2:O65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15" hidden="1" x14ac:dyDescent="0.25">
      <c r="A3" s="22" t="s">
        <v>370</v>
      </c>
      <c r="B3" s="23" t="s">
        <v>11</v>
      </c>
      <c r="C3" s="23" t="s">
        <v>26</v>
      </c>
      <c r="D3" s="23" t="s">
        <v>371</v>
      </c>
      <c r="E3" s="23" t="s">
        <v>89</v>
      </c>
      <c r="G3" s="20" t="str">
        <f t="shared" si="0"/>
        <v>JME1E</v>
      </c>
      <c r="H3" s="20">
        <f t="shared" si="1"/>
        <v>50</v>
      </c>
      <c r="I3" s="20">
        <f t="shared" si="2"/>
        <v>12</v>
      </c>
      <c r="J3" s="20" t="str">
        <f t="shared" si="3"/>
        <v>06</v>
      </c>
      <c r="K3" s="20" t="str">
        <f t="shared" si="4"/>
        <v>02</v>
      </c>
      <c r="L3" s="20" t="str">
        <f t="shared" si="5"/>
        <v>2026</v>
      </c>
      <c r="M3" s="20" t="str">
        <f t="shared" si="6"/>
        <v>-</v>
      </c>
      <c r="N3" s="20" t="str">
        <f t="shared" si="7"/>
        <v>-</v>
      </c>
      <c r="O3" s="20" t="str">
        <f t="shared" si="8"/>
        <v>-</v>
      </c>
    </row>
    <row r="4" spans="1:15" ht="15" hidden="1" x14ac:dyDescent="0.25">
      <c r="A4" s="22" t="s">
        <v>372</v>
      </c>
      <c r="B4" s="23" t="s">
        <v>11</v>
      </c>
      <c r="C4" s="23" t="s">
        <v>19</v>
      </c>
      <c r="D4" s="23" t="s">
        <v>373</v>
      </c>
      <c r="E4" s="23" t="s">
        <v>27</v>
      </c>
      <c r="G4" s="20" t="str">
        <f t="shared" si="0"/>
        <v>JMF2E</v>
      </c>
      <c r="H4" s="20">
        <f t="shared" si="1"/>
        <v>34</v>
      </c>
      <c r="I4" s="20">
        <f t="shared" si="2"/>
        <v>12</v>
      </c>
      <c r="J4" s="20" t="str">
        <f t="shared" si="3"/>
        <v>23</v>
      </c>
      <c r="K4" s="20" t="str">
        <f t="shared" si="4"/>
        <v>02</v>
      </c>
      <c r="L4" s="20" t="str">
        <f t="shared" si="5"/>
        <v>2026</v>
      </c>
      <c r="M4" s="20" t="str">
        <f t="shared" si="6"/>
        <v>-</v>
      </c>
      <c r="N4" s="20" t="str">
        <f t="shared" si="7"/>
        <v>-</v>
      </c>
      <c r="O4" s="20" t="str">
        <f t="shared" si="8"/>
        <v>-</v>
      </c>
    </row>
    <row r="5" spans="1:15" ht="15" hidden="1" x14ac:dyDescent="0.25">
      <c r="A5" s="22" t="s">
        <v>374</v>
      </c>
      <c r="B5" s="23" t="s">
        <v>11</v>
      </c>
      <c r="C5" s="23" t="s">
        <v>20</v>
      </c>
      <c r="D5" s="23" t="s">
        <v>373</v>
      </c>
      <c r="E5" s="23" t="s">
        <v>375</v>
      </c>
      <c r="G5" s="20" t="str">
        <f t="shared" si="0"/>
        <v>JMF1E</v>
      </c>
      <c r="H5" s="20">
        <f t="shared" si="1"/>
        <v>46</v>
      </c>
      <c r="I5" s="20">
        <f t="shared" si="2"/>
        <v>12</v>
      </c>
      <c r="J5" s="20" t="str">
        <f t="shared" si="3"/>
        <v>11</v>
      </c>
      <c r="K5" s="20" t="str">
        <f t="shared" si="4"/>
        <v>02</v>
      </c>
      <c r="L5" s="20" t="str">
        <f t="shared" si="5"/>
        <v>2026</v>
      </c>
      <c r="M5" s="20" t="str">
        <f t="shared" si="6"/>
        <v>-</v>
      </c>
      <c r="N5" s="20" t="str">
        <f t="shared" si="7"/>
        <v>-</v>
      </c>
      <c r="O5" s="20" t="str">
        <f t="shared" si="8"/>
        <v>-</v>
      </c>
    </row>
    <row r="6" spans="1:15" ht="15" hidden="1" x14ac:dyDescent="0.25">
      <c r="A6" s="22" t="s">
        <v>376</v>
      </c>
      <c r="B6" s="23" t="s">
        <v>11</v>
      </c>
      <c r="C6" s="23" t="s">
        <v>377</v>
      </c>
      <c r="D6" s="23" t="s">
        <v>373</v>
      </c>
      <c r="E6" s="23" t="s">
        <v>375</v>
      </c>
      <c r="G6" s="20" t="str">
        <f t="shared" si="0"/>
        <v>JME1E</v>
      </c>
      <c r="H6" s="20">
        <f t="shared" si="1"/>
        <v>47</v>
      </c>
      <c r="I6" s="20">
        <f t="shared" si="2"/>
        <v>12</v>
      </c>
      <c r="J6" s="20" t="str">
        <f t="shared" si="3"/>
        <v>10</v>
      </c>
      <c r="K6" s="20" t="str">
        <f t="shared" si="4"/>
        <v>02</v>
      </c>
      <c r="L6" s="20" t="str">
        <f t="shared" si="5"/>
        <v>2026</v>
      </c>
      <c r="M6" s="20" t="str">
        <f t="shared" si="6"/>
        <v>-</v>
      </c>
      <c r="N6" s="20" t="str">
        <f t="shared" si="7"/>
        <v>-</v>
      </c>
      <c r="O6" s="20" t="str">
        <f t="shared" si="8"/>
        <v>-</v>
      </c>
    </row>
    <row r="7" spans="1:15" ht="15" hidden="1" x14ac:dyDescent="0.25">
      <c r="A7" s="22" t="s">
        <v>378</v>
      </c>
      <c r="B7" s="23" t="s">
        <v>11</v>
      </c>
      <c r="C7" s="23" t="s">
        <v>379</v>
      </c>
      <c r="D7" s="23" t="s">
        <v>373</v>
      </c>
      <c r="E7" s="23" t="s">
        <v>375</v>
      </c>
      <c r="G7" s="20" t="str">
        <f t="shared" si="0"/>
        <v>JMF1E</v>
      </c>
      <c r="H7" s="20">
        <f t="shared" si="1"/>
        <v>53</v>
      </c>
      <c r="I7" s="20">
        <f t="shared" si="2"/>
        <v>12</v>
      </c>
      <c r="J7" s="20" t="str">
        <f t="shared" si="3"/>
        <v>04</v>
      </c>
      <c r="K7" s="20" t="str">
        <f t="shared" si="4"/>
        <v>02</v>
      </c>
      <c r="L7" s="20" t="str">
        <f t="shared" si="5"/>
        <v>2026</v>
      </c>
      <c r="M7" s="20" t="str">
        <f t="shared" si="6"/>
        <v>-</v>
      </c>
      <c r="N7" s="20" t="str">
        <f t="shared" si="7"/>
        <v>-</v>
      </c>
      <c r="O7" s="20" t="str">
        <f t="shared" si="8"/>
        <v>-</v>
      </c>
    </row>
    <row r="8" spans="1:15" ht="15" hidden="1" x14ac:dyDescent="0.25">
      <c r="A8" s="22" t="s">
        <v>380</v>
      </c>
      <c r="B8" s="23" t="s">
        <v>11</v>
      </c>
      <c r="C8" s="23" t="s">
        <v>172</v>
      </c>
      <c r="D8" s="23" t="s">
        <v>369</v>
      </c>
      <c r="E8" s="23" t="s">
        <v>358</v>
      </c>
      <c r="G8" s="20" t="str">
        <f t="shared" si="0"/>
        <v>JMF1E</v>
      </c>
      <c r="H8" s="20">
        <f t="shared" si="1"/>
        <v>56</v>
      </c>
      <c r="I8" s="20">
        <f t="shared" si="2"/>
        <v>12</v>
      </c>
      <c r="J8" s="20" t="str">
        <f t="shared" si="3"/>
        <v>02</v>
      </c>
      <c r="K8" s="20" t="str">
        <f t="shared" si="4"/>
        <v>02</v>
      </c>
      <c r="L8" s="20" t="str">
        <f t="shared" si="5"/>
        <v>2026</v>
      </c>
      <c r="M8" s="20" t="str">
        <f t="shared" si="6"/>
        <v>-</v>
      </c>
      <c r="N8" s="20" t="str">
        <f t="shared" si="7"/>
        <v>-</v>
      </c>
      <c r="O8" s="20" t="str">
        <f t="shared" si="8"/>
        <v>-</v>
      </c>
    </row>
    <row r="9" spans="1:15" ht="15" hidden="1" x14ac:dyDescent="0.25">
      <c r="A9" s="22" t="s">
        <v>381</v>
      </c>
      <c r="B9" s="23" t="s">
        <v>11</v>
      </c>
      <c r="C9" s="23" t="s">
        <v>130</v>
      </c>
      <c r="D9" s="23" t="s">
        <v>369</v>
      </c>
      <c r="E9" s="23" t="s">
        <v>382</v>
      </c>
      <c r="G9" s="20" t="str">
        <f t="shared" si="0"/>
        <v>JME1E</v>
      </c>
      <c r="H9" s="20">
        <f t="shared" si="1"/>
        <v>33</v>
      </c>
      <c r="I9" s="20">
        <f t="shared" si="2"/>
        <v>12</v>
      </c>
      <c r="J9" s="20" t="str">
        <f t="shared" si="3"/>
        <v>25</v>
      </c>
      <c r="K9" s="20" t="str">
        <f t="shared" si="4"/>
        <v>02</v>
      </c>
      <c r="L9" s="20" t="str">
        <f t="shared" si="5"/>
        <v>2026</v>
      </c>
      <c r="M9" s="20" t="str">
        <f t="shared" si="6"/>
        <v>-</v>
      </c>
      <c r="N9" s="20" t="str">
        <f t="shared" si="7"/>
        <v>-</v>
      </c>
      <c r="O9" s="20" t="str">
        <f t="shared" si="8"/>
        <v>-</v>
      </c>
    </row>
    <row r="10" spans="1:15" ht="15" hidden="1" x14ac:dyDescent="0.25">
      <c r="A10" s="22" t="s">
        <v>383</v>
      </c>
      <c r="B10" s="23" t="s">
        <v>11</v>
      </c>
      <c r="C10" s="23" t="s">
        <v>384</v>
      </c>
      <c r="D10" s="23" t="s">
        <v>385</v>
      </c>
      <c r="E10" s="23" t="s">
        <v>386</v>
      </c>
      <c r="G10" s="20" t="str">
        <f t="shared" si="0"/>
        <v>JME1E</v>
      </c>
      <c r="H10" s="20">
        <f t="shared" si="1"/>
        <v>31</v>
      </c>
      <c r="I10" s="20">
        <f t="shared" si="2"/>
        <v>12</v>
      </c>
      <c r="J10" s="20" t="str">
        <f t="shared" si="3"/>
        <v>28</v>
      </c>
      <c r="K10" s="20" t="str">
        <f t="shared" si="4"/>
        <v>02</v>
      </c>
      <c r="L10" s="20" t="str">
        <f t="shared" si="5"/>
        <v>2026</v>
      </c>
      <c r="M10" s="20" t="str">
        <f t="shared" si="6"/>
        <v>-</v>
      </c>
      <c r="N10" s="20" t="str">
        <f t="shared" si="7"/>
        <v>-</v>
      </c>
      <c r="O10" s="20" t="str">
        <f t="shared" si="8"/>
        <v>-</v>
      </c>
    </row>
    <row r="11" spans="1:15" ht="15" hidden="1" x14ac:dyDescent="0.25">
      <c r="A11" s="22" t="s">
        <v>387</v>
      </c>
      <c r="B11" s="23" t="s">
        <v>16</v>
      </c>
      <c r="C11" s="23" t="s">
        <v>388</v>
      </c>
      <c r="D11" s="23" t="s">
        <v>371</v>
      </c>
      <c r="E11" s="23" t="s">
        <v>389</v>
      </c>
      <c r="G11" s="20" t="str">
        <f t="shared" si="0"/>
        <v>JME1E</v>
      </c>
      <c r="H11" s="20">
        <f t="shared" si="1"/>
        <v>80</v>
      </c>
      <c r="I11" s="20">
        <f t="shared" si="2"/>
        <v>12</v>
      </c>
      <c r="J11" s="20" t="str">
        <f t="shared" si="3"/>
        <v>07</v>
      </c>
      <c r="K11" s="20" t="str">
        <f t="shared" si="4"/>
        <v>01</v>
      </c>
      <c r="L11" s="20" t="str">
        <f t="shared" si="5"/>
        <v>2026</v>
      </c>
      <c r="M11" s="20" t="str">
        <f t="shared" si="6"/>
        <v>-</v>
      </c>
      <c r="N11" s="20" t="str">
        <f t="shared" si="7"/>
        <v>-</v>
      </c>
      <c r="O11" s="20" t="str">
        <f t="shared" si="8"/>
        <v>-</v>
      </c>
    </row>
    <row r="12" spans="1:15" ht="15" hidden="1" x14ac:dyDescent="0.25">
      <c r="A12" s="22" t="s">
        <v>390</v>
      </c>
      <c r="B12" s="23" t="s">
        <v>18</v>
      </c>
      <c r="C12" s="23" t="s">
        <v>391</v>
      </c>
      <c r="D12" s="23" t="s">
        <v>369</v>
      </c>
      <c r="E12" s="23" t="s">
        <v>392</v>
      </c>
      <c r="G12" s="20" t="str">
        <f t="shared" si="0"/>
        <v>JME1E</v>
      </c>
      <c r="H12" s="20">
        <f t="shared" si="1"/>
        <v>293</v>
      </c>
      <c r="I12" s="20">
        <f t="shared" si="2"/>
        <v>12</v>
      </c>
      <c r="J12" s="20" t="str">
        <f t="shared" si="3"/>
        <v>10</v>
      </c>
      <c r="K12" s="20" t="str">
        <f t="shared" si="4"/>
        <v>06</v>
      </c>
      <c r="L12" s="20" t="str">
        <f t="shared" si="5"/>
        <v>2025</v>
      </c>
      <c r="M12" s="20" t="str">
        <f t="shared" si="6"/>
        <v>-</v>
      </c>
      <c r="N12" s="20" t="str">
        <f t="shared" si="7"/>
        <v>-</v>
      </c>
      <c r="O12" s="20" t="str">
        <f t="shared" si="8"/>
        <v>-</v>
      </c>
    </row>
    <row r="13" spans="1:15" ht="15" hidden="1" x14ac:dyDescent="0.25">
      <c r="A13" s="22" t="s">
        <v>393</v>
      </c>
      <c r="B13" s="23" t="s">
        <v>18</v>
      </c>
      <c r="C13" s="23" t="s">
        <v>394</v>
      </c>
      <c r="D13" s="23" t="s">
        <v>385</v>
      </c>
      <c r="E13" s="23" t="s">
        <v>395</v>
      </c>
      <c r="G13" s="20" t="str">
        <f t="shared" si="0"/>
        <v>JMF1E</v>
      </c>
      <c r="H13" s="20">
        <f t="shared" si="1"/>
        <v>152</v>
      </c>
      <c r="I13" s="20">
        <f t="shared" si="2"/>
        <v>12</v>
      </c>
      <c r="J13" s="20" t="str">
        <f t="shared" si="3"/>
        <v>30</v>
      </c>
      <c r="K13" s="20" t="str">
        <f t="shared" si="4"/>
        <v>10</v>
      </c>
      <c r="L13" s="20" t="str">
        <f t="shared" si="5"/>
        <v>2025</v>
      </c>
      <c r="M13" s="20" t="str">
        <f t="shared" si="6"/>
        <v>-</v>
      </c>
      <c r="N13" s="20" t="str">
        <f t="shared" si="7"/>
        <v>-</v>
      </c>
      <c r="O13" s="20" t="str">
        <f t="shared" si="8"/>
        <v>-</v>
      </c>
    </row>
    <row r="14" spans="1:15" ht="15" hidden="1" x14ac:dyDescent="0.25">
      <c r="A14" s="22" t="s">
        <v>396</v>
      </c>
      <c r="B14" s="23" t="s">
        <v>11</v>
      </c>
      <c r="C14" s="23" t="s">
        <v>130</v>
      </c>
      <c r="D14" s="23" t="s">
        <v>369</v>
      </c>
      <c r="E14" s="23" t="s">
        <v>397</v>
      </c>
      <c r="G14" s="20" t="str">
        <f t="shared" si="0"/>
        <v>KD11E</v>
      </c>
      <c r="H14" s="20">
        <f t="shared" si="1"/>
        <v>33</v>
      </c>
      <c r="I14" s="20">
        <f t="shared" si="2"/>
        <v>12</v>
      </c>
      <c r="J14" s="20" t="str">
        <f t="shared" si="3"/>
        <v>25</v>
      </c>
      <c r="K14" s="20" t="str">
        <f t="shared" si="4"/>
        <v>02</v>
      </c>
      <c r="L14" s="20" t="str">
        <f t="shared" si="5"/>
        <v>2026</v>
      </c>
      <c r="M14" s="20" t="str">
        <f t="shared" si="6"/>
        <v>-</v>
      </c>
      <c r="N14" s="20" t="str">
        <f t="shared" si="7"/>
        <v>-</v>
      </c>
      <c r="O14" s="20" t="str">
        <f t="shared" si="8"/>
        <v>-</v>
      </c>
    </row>
    <row r="15" spans="1:15" ht="15" hidden="1" x14ac:dyDescent="0.25">
      <c r="A15" s="22" t="s">
        <v>398</v>
      </c>
      <c r="B15" s="23" t="s">
        <v>16</v>
      </c>
      <c r="C15" s="23" t="s">
        <v>51</v>
      </c>
      <c r="D15" s="23" t="s">
        <v>385</v>
      </c>
      <c r="E15" s="23" t="s">
        <v>399</v>
      </c>
      <c r="G15" s="20" t="str">
        <f t="shared" si="0"/>
        <v>KD11E</v>
      </c>
      <c r="H15" s="20">
        <f t="shared" si="1"/>
        <v>80</v>
      </c>
      <c r="I15" s="20">
        <f t="shared" si="2"/>
        <v>12</v>
      </c>
      <c r="J15" s="20" t="str">
        <f t="shared" si="3"/>
        <v>10</v>
      </c>
      <c r="K15" s="20" t="str">
        <f t="shared" si="4"/>
        <v>01</v>
      </c>
      <c r="L15" s="20" t="str">
        <f t="shared" si="5"/>
        <v>2026</v>
      </c>
      <c r="M15" s="20" t="str">
        <f t="shared" si="6"/>
        <v>-</v>
      </c>
      <c r="N15" s="20" t="str">
        <f t="shared" si="7"/>
        <v>-</v>
      </c>
      <c r="O15" s="20" t="str">
        <f t="shared" si="8"/>
        <v>-</v>
      </c>
    </row>
    <row r="16" spans="1:15" ht="15" hidden="1" x14ac:dyDescent="0.25">
      <c r="A16" s="22" t="s">
        <v>400</v>
      </c>
      <c r="B16" s="23" t="s">
        <v>17</v>
      </c>
      <c r="C16" s="23" t="s">
        <v>222</v>
      </c>
      <c r="D16" s="23" t="s">
        <v>385</v>
      </c>
      <c r="E16" s="23" t="s">
        <v>401</v>
      </c>
      <c r="G16" s="20" t="str">
        <f t="shared" si="0"/>
        <v>KD11E</v>
      </c>
      <c r="H16" s="20">
        <f t="shared" si="1"/>
        <v>105</v>
      </c>
      <c r="I16" s="20">
        <f t="shared" si="2"/>
        <v>12</v>
      </c>
      <c r="J16" s="20" t="str">
        <f t="shared" si="3"/>
        <v>16</v>
      </c>
      <c r="K16" s="20" t="str">
        <f t="shared" si="4"/>
        <v>12</v>
      </c>
      <c r="L16" s="20" t="str">
        <f t="shared" si="5"/>
        <v>2025</v>
      </c>
      <c r="M16" s="20" t="str">
        <f t="shared" si="6"/>
        <v>-</v>
      </c>
      <c r="N16" s="20" t="str">
        <f t="shared" si="7"/>
        <v>-</v>
      </c>
      <c r="O16" s="20" t="str">
        <f t="shared" si="8"/>
        <v>-</v>
      </c>
    </row>
    <row r="17" spans="1:15" ht="15" hidden="1" x14ac:dyDescent="0.25">
      <c r="A17" s="22" t="s">
        <v>402</v>
      </c>
      <c r="B17" s="23" t="s">
        <v>11</v>
      </c>
      <c r="C17" s="23" t="s">
        <v>403</v>
      </c>
      <c r="D17" s="23" t="s">
        <v>404</v>
      </c>
      <c r="E17" s="23" t="s">
        <v>405</v>
      </c>
      <c r="G17" s="20" t="str">
        <f t="shared" si="0"/>
        <v>KFE1E</v>
      </c>
      <c r="H17" s="20">
        <f t="shared" si="1"/>
        <v>36</v>
      </c>
      <c r="I17" s="20">
        <f t="shared" si="2"/>
        <v>12</v>
      </c>
      <c r="J17" s="20" t="str">
        <f t="shared" si="3"/>
        <v>19</v>
      </c>
      <c r="K17" s="20" t="str">
        <f t="shared" si="4"/>
        <v>02</v>
      </c>
      <c r="L17" s="20" t="str">
        <f t="shared" si="5"/>
        <v>2026</v>
      </c>
      <c r="M17" s="20" t="str">
        <f t="shared" si="6"/>
        <v>-</v>
      </c>
      <c r="N17" s="20" t="str">
        <f t="shared" si="7"/>
        <v>-</v>
      </c>
      <c r="O17" s="20" t="str">
        <f t="shared" si="8"/>
        <v>-</v>
      </c>
    </row>
    <row r="18" spans="1:15" ht="15" hidden="1" x14ac:dyDescent="0.25">
      <c r="A18" s="22" t="s">
        <v>406</v>
      </c>
      <c r="B18" s="23" t="s">
        <v>11</v>
      </c>
      <c r="C18" s="23" t="s">
        <v>407</v>
      </c>
      <c r="D18" s="23" t="s">
        <v>408</v>
      </c>
      <c r="E18" s="23" t="s">
        <v>259</v>
      </c>
      <c r="G18" s="20" t="str">
        <f t="shared" si="0"/>
        <v>JBK1E</v>
      </c>
      <c r="H18" s="20">
        <f t="shared" si="1"/>
        <v>33</v>
      </c>
      <c r="I18" s="20">
        <f t="shared" si="2"/>
        <v>12</v>
      </c>
      <c r="J18" s="20" t="str">
        <f t="shared" si="3"/>
        <v>21</v>
      </c>
      <c r="K18" s="20" t="str">
        <f t="shared" si="4"/>
        <v>02</v>
      </c>
      <c r="L18" s="20" t="str">
        <f t="shared" si="5"/>
        <v>2026</v>
      </c>
      <c r="M18" s="20" t="str">
        <f t="shared" si="6"/>
        <v>-</v>
      </c>
      <c r="N18" s="20" t="str">
        <f t="shared" si="7"/>
        <v>-</v>
      </c>
      <c r="O18" s="20" t="str">
        <f t="shared" si="8"/>
        <v>-</v>
      </c>
    </row>
    <row r="19" spans="1:15" ht="15" hidden="1" x14ac:dyDescent="0.25">
      <c r="A19" s="22" t="s">
        <v>409</v>
      </c>
      <c r="B19" s="23" t="s">
        <v>11</v>
      </c>
      <c r="C19" s="23" t="s">
        <v>41</v>
      </c>
      <c r="D19" s="23" t="s">
        <v>408</v>
      </c>
      <c r="E19" s="23" t="s">
        <v>27</v>
      </c>
      <c r="G19" s="20" t="str">
        <f t="shared" si="0"/>
        <v>JBK3E</v>
      </c>
      <c r="H19" s="20">
        <f t="shared" si="1"/>
        <v>36</v>
      </c>
      <c r="I19" s="20">
        <f t="shared" si="2"/>
        <v>12</v>
      </c>
      <c r="J19" s="20" t="str">
        <f t="shared" si="3"/>
        <v>18</v>
      </c>
      <c r="K19" s="20" t="str">
        <f t="shared" si="4"/>
        <v>02</v>
      </c>
      <c r="L19" s="20" t="str">
        <f t="shared" si="5"/>
        <v>2026</v>
      </c>
      <c r="M19" s="20" t="str">
        <f t="shared" si="6"/>
        <v>-</v>
      </c>
      <c r="N19" s="20" t="str">
        <f t="shared" si="7"/>
        <v>-</v>
      </c>
      <c r="O19" s="20" t="str">
        <f t="shared" si="8"/>
        <v>-</v>
      </c>
    </row>
    <row r="20" spans="1:15" ht="15" hidden="1" x14ac:dyDescent="0.25">
      <c r="A20" s="22" t="s">
        <v>410</v>
      </c>
      <c r="B20" s="23" t="s">
        <v>11</v>
      </c>
      <c r="C20" s="23" t="s">
        <v>411</v>
      </c>
      <c r="D20" s="23" t="s">
        <v>404</v>
      </c>
      <c r="E20" s="23" t="s">
        <v>358</v>
      </c>
      <c r="G20" s="20" t="str">
        <f t="shared" si="0"/>
        <v>JBK1E</v>
      </c>
      <c r="H20" s="20">
        <f t="shared" si="1"/>
        <v>24</v>
      </c>
      <c r="I20" s="20">
        <f t="shared" si="2"/>
        <v>12</v>
      </c>
      <c r="J20" s="20" t="str">
        <f t="shared" si="3"/>
        <v>03</v>
      </c>
      <c r="K20" s="20" t="str">
        <f t="shared" si="4"/>
        <v>03</v>
      </c>
      <c r="L20" s="20" t="str">
        <f t="shared" si="5"/>
        <v>2026</v>
      </c>
      <c r="M20" s="20" t="str">
        <f t="shared" si="6"/>
        <v>-</v>
      </c>
      <c r="N20" s="20" t="str">
        <f t="shared" si="7"/>
        <v>-</v>
      </c>
      <c r="O20" s="20" t="str">
        <f t="shared" si="8"/>
        <v>-</v>
      </c>
    </row>
    <row r="21" spans="1:15" ht="15" hidden="1" x14ac:dyDescent="0.25">
      <c r="A21" s="22" t="s">
        <v>412</v>
      </c>
      <c r="B21" s="23" t="s">
        <v>11</v>
      </c>
      <c r="C21" s="23" t="s">
        <v>33</v>
      </c>
      <c r="D21" s="23" t="s">
        <v>404</v>
      </c>
      <c r="E21" s="23" t="s">
        <v>209</v>
      </c>
      <c r="G21" s="20" t="str">
        <f t="shared" si="0"/>
        <v>JBK1E</v>
      </c>
      <c r="H21" s="20">
        <f t="shared" si="1"/>
        <v>59</v>
      </c>
      <c r="I21" s="20">
        <f t="shared" si="2"/>
        <v>12</v>
      </c>
      <c r="J21" s="20" t="str">
        <f t="shared" si="3"/>
        <v>27</v>
      </c>
      <c r="K21" s="20" t="str">
        <f t="shared" si="4"/>
        <v>01</v>
      </c>
      <c r="L21" s="20" t="str">
        <f t="shared" si="5"/>
        <v>2026</v>
      </c>
      <c r="M21" s="20" t="str">
        <f t="shared" si="6"/>
        <v>-</v>
      </c>
      <c r="N21" s="20" t="str">
        <f t="shared" si="7"/>
        <v>-</v>
      </c>
      <c r="O21" s="20" t="str">
        <f t="shared" si="8"/>
        <v>-</v>
      </c>
    </row>
    <row r="22" spans="1:15" ht="15" hidden="1" x14ac:dyDescent="0.25">
      <c r="A22" s="22" t="s">
        <v>413</v>
      </c>
      <c r="B22" s="23" t="s">
        <v>11</v>
      </c>
      <c r="C22" s="23" t="s">
        <v>263</v>
      </c>
      <c r="D22" s="23" t="s">
        <v>373</v>
      </c>
      <c r="E22" s="23" t="s">
        <v>414</v>
      </c>
      <c r="G22" s="20" t="str">
        <f t="shared" si="0"/>
        <v>JBK1E</v>
      </c>
      <c r="H22" s="20">
        <f t="shared" si="1"/>
        <v>25</v>
      </c>
      <c r="I22" s="20">
        <f t="shared" si="2"/>
        <v>12</v>
      </c>
      <c r="J22" s="20" t="str">
        <f t="shared" si="3"/>
        <v>04</v>
      </c>
      <c r="K22" s="20" t="str">
        <f t="shared" si="4"/>
        <v>03</v>
      </c>
      <c r="L22" s="20" t="str">
        <f t="shared" si="5"/>
        <v>2026</v>
      </c>
      <c r="M22" s="20" t="str">
        <f t="shared" si="6"/>
        <v>-</v>
      </c>
      <c r="N22" s="20" t="str">
        <f t="shared" si="7"/>
        <v>-</v>
      </c>
      <c r="O22" s="20" t="str">
        <f t="shared" si="8"/>
        <v>-</v>
      </c>
    </row>
    <row r="23" spans="1:15" ht="15" hidden="1" x14ac:dyDescent="0.25">
      <c r="A23" s="22" t="s">
        <v>415</v>
      </c>
      <c r="B23" s="23" t="s">
        <v>11</v>
      </c>
      <c r="C23" s="24" t="s">
        <v>416</v>
      </c>
      <c r="D23" s="23" t="s">
        <v>373</v>
      </c>
      <c r="E23" s="23" t="s">
        <v>417</v>
      </c>
      <c r="F23" s="21" t="s">
        <v>418</v>
      </c>
      <c r="G23" s="20" t="str">
        <f t="shared" si="0"/>
        <v>JBK1E</v>
      </c>
      <c r="H23" s="20">
        <f t="shared" si="1"/>
        <v>43</v>
      </c>
      <c r="I23" s="20">
        <f t="shared" si="2"/>
        <v>12</v>
      </c>
      <c r="J23" s="20" t="str">
        <f t="shared" si="3"/>
        <v>14</v>
      </c>
      <c r="K23" s="20" t="str">
        <f t="shared" si="4"/>
        <v>02</v>
      </c>
      <c r="L23" s="20" t="str">
        <f t="shared" si="5"/>
        <v>2026</v>
      </c>
      <c r="M23" s="20" t="str">
        <f t="shared" si="6"/>
        <v>-</v>
      </c>
      <c r="N23" s="20" t="str">
        <f t="shared" si="7"/>
        <v>-</v>
      </c>
      <c r="O23" s="20" t="str">
        <f t="shared" si="8"/>
        <v>-</v>
      </c>
    </row>
    <row r="24" spans="1:15" ht="15" hidden="1" x14ac:dyDescent="0.25">
      <c r="A24" s="22" t="s">
        <v>419</v>
      </c>
      <c r="B24" s="23" t="s">
        <v>11</v>
      </c>
      <c r="C24" s="23" t="s">
        <v>360</v>
      </c>
      <c r="D24" s="23" t="s">
        <v>373</v>
      </c>
      <c r="E24" s="23" t="s">
        <v>420</v>
      </c>
      <c r="G24" s="20" t="str">
        <f t="shared" si="0"/>
        <v>JBK3E</v>
      </c>
      <c r="H24" s="20">
        <f t="shared" si="1"/>
        <v>65</v>
      </c>
      <c r="I24" s="20">
        <f t="shared" si="2"/>
        <v>12</v>
      </c>
      <c r="J24" s="20" t="str">
        <f t="shared" si="3"/>
        <v>23</v>
      </c>
      <c r="K24" s="20" t="str">
        <f t="shared" si="4"/>
        <v>01</v>
      </c>
      <c r="L24" s="20" t="str">
        <f t="shared" si="5"/>
        <v>2026</v>
      </c>
      <c r="M24" s="20" t="str">
        <f t="shared" si="6"/>
        <v>-</v>
      </c>
      <c r="N24" s="20" t="str">
        <f t="shared" si="7"/>
        <v>-</v>
      </c>
      <c r="O24" s="20" t="str">
        <f t="shared" si="8"/>
        <v>-</v>
      </c>
    </row>
    <row r="25" spans="1:15" ht="15" hidden="1" x14ac:dyDescent="0.25">
      <c r="A25" s="22" t="s">
        <v>421</v>
      </c>
      <c r="B25" s="23" t="s">
        <v>11</v>
      </c>
      <c r="C25" s="23" t="s">
        <v>422</v>
      </c>
      <c r="D25" s="23" t="s">
        <v>385</v>
      </c>
      <c r="E25" s="23" t="s">
        <v>73</v>
      </c>
      <c r="G25" s="20" t="str">
        <f t="shared" si="0"/>
        <v>JBK1E</v>
      </c>
      <c r="H25" s="20">
        <f t="shared" si="1"/>
        <v>19</v>
      </c>
      <c r="I25" s="20">
        <f t="shared" si="2"/>
        <v>12</v>
      </c>
      <c r="J25" s="20" t="str">
        <f t="shared" si="3"/>
        <v>12</v>
      </c>
      <c r="K25" s="20" t="str">
        <f t="shared" si="4"/>
        <v>03</v>
      </c>
      <c r="L25" s="20" t="str">
        <f t="shared" si="5"/>
        <v>2026</v>
      </c>
      <c r="M25" s="20" t="str">
        <f t="shared" si="6"/>
        <v>-</v>
      </c>
      <c r="N25" s="20" t="str">
        <f t="shared" si="7"/>
        <v>-</v>
      </c>
      <c r="O25" s="20" t="str">
        <f t="shared" si="8"/>
        <v>-</v>
      </c>
    </row>
    <row r="26" spans="1:15" ht="15" hidden="1" x14ac:dyDescent="0.25">
      <c r="A26" s="22" t="s">
        <v>423</v>
      </c>
      <c r="B26" s="23" t="s">
        <v>11</v>
      </c>
      <c r="C26" s="23" t="s">
        <v>424</v>
      </c>
      <c r="D26" s="23" t="s">
        <v>385</v>
      </c>
      <c r="E26" s="23" t="s">
        <v>186</v>
      </c>
      <c r="G26" s="20" t="str">
        <f t="shared" si="0"/>
        <v>JBK1E</v>
      </c>
      <c r="H26" s="20">
        <f t="shared" si="1"/>
        <v>29</v>
      </c>
      <c r="I26" s="20">
        <f t="shared" si="2"/>
        <v>12</v>
      </c>
      <c r="J26" s="20" t="str">
        <f t="shared" si="3"/>
        <v>02</v>
      </c>
      <c r="K26" s="20" t="str">
        <f t="shared" si="4"/>
        <v>03</v>
      </c>
      <c r="L26" s="20" t="str">
        <f t="shared" si="5"/>
        <v>2026</v>
      </c>
      <c r="M26" s="20" t="str">
        <f t="shared" si="6"/>
        <v>-</v>
      </c>
      <c r="N26" s="20" t="str">
        <f t="shared" si="7"/>
        <v>-</v>
      </c>
      <c r="O26" s="20" t="str">
        <f t="shared" si="8"/>
        <v>-</v>
      </c>
    </row>
    <row r="27" spans="1:15" ht="15" hidden="1" x14ac:dyDescent="0.25">
      <c r="A27" s="22" t="s">
        <v>425</v>
      </c>
      <c r="B27" s="23" t="s">
        <v>11</v>
      </c>
      <c r="C27" s="23" t="s">
        <v>426</v>
      </c>
      <c r="D27" s="23" t="s">
        <v>385</v>
      </c>
      <c r="E27" s="23" t="s">
        <v>427</v>
      </c>
      <c r="G27" s="20" t="str">
        <f t="shared" si="0"/>
        <v>JBK1E</v>
      </c>
      <c r="H27" s="20">
        <f t="shared" si="1"/>
        <v>56</v>
      </c>
      <c r="I27" s="20">
        <f t="shared" si="2"/>
        <v>12</v>
      </c>
      <c r="J27" s="20" t="str">
        <f t="shared" si="3"/>
        <v>03</v>
      </c>
      <c r="K27" s="20" t="str">
        <f t="shared" si="4"/>
        <v>02</v>
      </c>
      <c r="L27" s="20" t="str">
        <f t="shared" si="5"/>
        <v>2026</v>
      </c>
      <c r="M27" s="20" t="str">
        <f t="shared" si="6"/>
        <v>-</v>
      </c>
      <c r="N27" s="20" t="str">
        <f t="shared" si="7"/>
        <v>-</v>
      </c>
      <c r="O27" s="20" t="str">
        <f t="shared" si="8"/>
        <v>-</v>
      </c>
    </row>
    <row r="28" spans="1:15" ht="15" hidden="1" x14ac:dyDescent="0.25">
      <c r="A28" s="22" t="s">
        <v>428</v>
      </c>
      <c r="B28" s="23" t="s">
        <v>16</v>
      </c>
      <c r="C28" s="23" t="s">
        <v>429</v>
      </c>
      <c r="D28" s="23" t="s">
        <v>408</v>
      </c>
      <c r="E28" s="23" t="s">
        <v>430</v>
      </c>
      <c r="G28" s="20" t="str">
        <f t="shared" si="0"/>
        <v>JBK1E</v>
      </c>
      <c r="H28" s="20">
        <f t="shared" si="1"/>
        <v>106</v>
      </c>
      <c r="I28" s="20">
        <f t="shared" si="2"/>
        <v>12</v>
      </c>
      <c r="J28" s="20" t="str">
        <f t="shared" si="3"/>
        <v>10</v>
      </c>
      <c r="K28" s="20" t="str">
        <f t="shared" si="4"/>
        <v>12</v>
      </c>
      <c r="L28" s="20" t="str">
        <f t="shared" si="5"/>
        <v>2025</v>
      </c>
      <c r="M28" s="20" t="str">
        <f t="shared" si="6"/>
        <v>-</v>
      </c>
      <c r="N28" s="20" t="str">
        <f t="shared" si="7"/>
        <v>-</v>
      </c>
      <c r="O28" s="20" t="str">
        <f t="shared" si="8"/>
        <v>-</v>
      </c>
    </row>
    <row r="29" spans="1:15" ht="15" hidden="1" x14ac:dyDescent="0.25">
      <c r="A29" s="22" t="s">
        <v>431</v>
      </c>
      <c r="B29" s="23" t="s">
        <v>16</v>
      </c>
      <c r="C29" s="23" t="s">
        <v>432</v>
      </c>
      <c r="D29" s="23" t="s">
        <v>408</v>
      </c>
      <c r="E29" s="23" t="s">
        <v>27</v>
      </c>
      <c r="G29" s="20" t="str">
        <f t="shared" si="0"/>
        <v>JBK3E</v>
      </c>
      <c r="H29" s="20">
        <f t="shared" si="1"/>
        <v>95</v>
      </c>
      <c r="I29" s="20">
        <f t="shared" si="2"/>
        <v>12</v>
      </c>
      <c r="J29" s="20" t="str">
        <f t="shared" si="3"/>
        <v>21</v>
      </c>
      <c r="K29" s="20" t="str">
        <f t="shared" si="4"/>
        <v>12</v>
      </c>
      <c r="L29" s="20" t="str">
        <f t="shared" si="5"/>
        <v>2025</v>
      </c>
      <c r="M29" s="20" t="str">
        <f t="shared" si="6"/>
        <v>-</v>
      </c>
      <c r="N29" s="20" t="str">
        <f t="shared" si="7"/>
        <v>-</v>
      </c>
      <c r="O29" s="20" t="str">
        <f t="shared" si="8"/>
        <v>-</v>
      </c>
    </row>
    <row r="30" spans="1:15" ht="15" hidden="1" x14ac:dyDescent="0.25">
      <c r="A30" s="22" t="s">
        <v>433</v>
      </c>
      <c r="B30" s="23" t="s">
        <v>16</v>
      </c>
      <c r="C30" s="23" t="s">
        <v>158</v>
      </c>
      <c r="D30" s="23" t="s">
        <v>408</v>
      </c>
      <c r="E30" s="23" t="s">
        <v>434</v>
      </c>
      <c r="G30" s="20" t="str">
        <f t="shared" si="0"/>
        <v>JBK3E</v>
      </c>
      <c r="H30" s="20">
        <f t="shared" si="1"/>
        <v>122</v>
      </c>
      <c r="I30" s="20">
        <f t="shared" si="2"/>
        <v>12</v>
      </c>
      <c r="J30" s="20" t="str">
        <f t="shared" si="3"/>
        <v>24</v>
      </c>
      <c r="K30" s="20" t="str">
        <f t="shared" si="4"/>
        <v>11</v>
      </c>
      <c r="L30" s="20" t="str">
        <f t="shared" si="5"/>
        <v>2025</v>
      </c>
      <c r="M30" s="20" t="str">
        <f t="shared" si="6"/>
        <v>-</v>
      </c>
      <c r="N30" s="20" t="str">
        <f t="shared" si="7"/>
        <v>-</v>
      </c>
      <c r="O30" s="20" t="str">
        <f t="shared" si="8"/>
        <v>-</v>
      </c>
    </row>
    <row r="31" spans="1:15" ht="15" hidden="1" x14ac:dyDescent="0.25">
      <c r="A31" s="22" t="s">
        <v>435</v>
      </c>
      <c r="B31" s="23" t="s">
        <v>16</v>
      </c>
      <c r="C31" s="23" t="s">
        <v>436</v>
      </c>
      <c r="D31" s="23" t="s">
        <v>371</v>
      </c>
      <c r="E31" s="23" t="s">
        <v>186</v>
      </c>
      <c r="G31" s="20" t="str">
        <f t="shared" si="0"/>
        <v>JBK3E</v>
      </c>
      <c r="H31" s="20">
        <f t="shared" si="1"/>
        <v>96</v>
      </c>
      <c r="I31" s="20">
        <f t="shared" si="2"/>
        <v>12</v>
      </c>
      <c r="J31" s="20" t="str">
        <f t="shared" si="3"/>
        <v>22</v>
      </c>
      <c r="K31" s="20" t="str">
        <f t="shared" si="4"/>
        <v>12</v>
      </c>
      <c r="L31" s="20" t="str">
        <f t="shared" si="5"/>
        <v>2025</v>
      </c>
      <c r="M31" s="20" t="str">
        <f t="shared" si="6"/>
        <v>-</v>
      </c>
      <c r="N31" s="20" t="str">
        <f t="shared" si="7"/>
        <v>-</v>
      </c>
      <c r="O31" s="20" t="str">
        <f t="shared" si="8"/>
        <v>-</v>
      </c>
    </row>
    <row r="32" spans="1:15" ht="15" hidden="1" x14ac:dyDescent="0.25">
      <c r="A32" s="22" t="s">
        <v>437</v>
      </c>
      <c r="B32" s="23" t="s">
        <v>16</v>
      </c>
      <c r="C32" s="23" t="s">
        <v>438</v>
      </c>
      <c r="D32" s="23" t="s">
        <v>371</v>
      </c>
      <c r="E32" s="23" t="s">
        <v>439</v>
      </c>
      <c r="G32" s="20" t="str">
        <f t="shared" si="0"/>
        <v>JBK1E</v>
      </c>
      <c r="H32" s="20">
        <f t="shared" si="1"/>
        <v>101</v>
      </c>
      <c r="I32" s="20">
        <f t="shared" si="2"/>
        <v>12</v>
      </c>
      <c r="J32" s="20" t="str">
        <f t="shared" si="3"/>
        <v>17</v>
      </c>
      <c r="K32" s="20" t="str">
        <f t="shared" si="4"/>
        <v>12</v>
      </c>
      <c r="L32" s="20" t="str">
        <f t="shared" si="5"/>
        <v>2025</v>
      </c>
      <c r="M32" s="20" t="str">
        <f t="shared" si="6"/>
        <v>-</v>
      </c>
      <c r="N32" s="20" t="str">
        <f t="shared" si="7"/>
        <v>-</v>
      </c>
      <c r="O32" s="20" t="str">
        <f t="shared" si="8"/>
        <v>-</v>
      </c>
    </row>
    <row r="33" spans="1:15" ht="15" hidden="1" x14ac:dyDescent="0.25">
      <c r="A33" s="22" t="s">
        <v>440</v>
      </c>
      <c r="B33" s="23" t="s">
        <v>16</v>
      </c>
      <c r="C33" s="23" t="s">
        <v>255</v>
      </c>
      <c r="D33" s="23" t="s">
        <v>371</v>
      </c>
      <c r="E33" s="23" t="s">
        <v>441</v>
      </c>
      <c r="G33" s="20" t="str">
        <f t="shared" si="0"/>
        <v>JBK3E</v>
      </c>
      <c r="H33" s="20">
        <f t="shared" si="1"/>
        <v>98</v>
      </c>
      <c r="I33" s="20">
        <f t="shared" si="2"/>
        <v>12</v>
      </c>
      <c r="J33" s="20" t="str">
        <f t="shared" si="3"/>
        <v>20</v>
      </c>
      <c r="K33" s="20" t="str">
        <f t="shared" si="4"/>
        <v>12</v>
      </c>
      <c r="L33" s="20" t="str">
        <f t="shared" si="5"/>
        <v>2025</v>
      </c>
      <c r="M33" s="20" t="str">
        <f t="shared" si="6"/>
        <v>-</v>
      </c>
      <c r="N33" s="20" t="str">
        <f t="shared" si="7"/>
        <v>-</v>
      </c>
      <c r="O33" s="20" t="str">
        <f t="shared" si="8"/>
        <v>-</v>
      </c>
    </row>
    <row r="34" spans="1:15" ht="15" hidden="1" x14ac:dyDescent="0.25">
      <c r="A34" s="22" t="s">
        <v>442</v>
      </c>
      <c r="B34" s="23" t="s">
        <v>16</v>
      </c>
      <c r="C34" s="23" t="s">
        <v>443</v>
      </c>
      <c r="D34" s="23" t="s">
        <v>371</v>
      </c>
      <c r="E34" s="23" t="s">
        <v>444</v>
      </c>
      <c r="G34" s="20" t="str">
        <f t="shared" si="0"/>
        <v>JBK3E</v>
      </c>
      <c r="H34" s="20">
        <f t="shared" si="1"/>
        <v>122</v>
      </c>
      <c r="I34" s="20">
        <f t="shared" si="2"/>
        <v>12</v>
      </c>
      <c r="J34" s="20" t="str">
        <f t="shared" si="3"/>
        <v>26</v>
      </c>
      <c r="K34" s="20" t="str">
        <f t="shared" si="4"/>
        <v>11</v>
      </c>
      <c r="L34" s="20" t="str">
        <f t="shared" si="5"/>
        <v>2025</v>
      </c>
      <c r="M34" s="20" t="str">
        <f t="shared" si="6"/>
        <v>-</v>
      </c>
      <c r="N34" s="20" t="str">
        <f t="shared" si="7"/>
        <v>-</v>
      </c>
      <c r="O34" s="20" t="str">
        <f t="shared" si="8"/>
        <v>-</v>
      </c>
    </row>
    <row r="35" spans="1:15" ht="15" hidden="1" x14ac:dyDescent="0.25">
      <c r="A35" s="22" t="s">
        <v>445</v>
      </c>
      <c r="B35" s="23" t="s">
        <v>16</v>
      </c>
      <c r="C35" s="23" t="s">
        <v>47</v>
      </c>
      <c r="D35" s="23" t="s">
        <v>373</v>
      </c>
      <c r="E35" s="23" t="s">
        <v>446</v>
      </c>
      <c r="G35" s="20" t="str">
        <f t="shared" si="0"/>
        <v>JBK3E</v>
      </c>
      <c r="H35" s="20">
        <f t="shared" si="1"/>
        <v>68</v>
      </c>
      <c r="I35" s="20">
        <f t="shared" si="2"/>
        <v>12</v>
      </c>
      <c r="J35" s="20" t="str">
        <f t="shared" si="3"/>
        <v>20</v>
      </c>
      <c r="K35" s="20" t="str">
        <f t="shared" si="4"/>
        <v>01</v>
      </c>
      <c r="L35" s="20" t="str">
        <f t="shared" si="5"/>
        <v>2026</v>
      </c>
      <c r="M35" s="20" t="str">
        <f t="shared" si="6"/>
        <v>-</v>
      </c>
      <c r="N35" s="20" t="str">
        <f t="shared" si="7"/>
        <v>-</v>
      </c>
      <c r="O35" s="20" t="str">
        <f t="shared" si="8"/>
        <v>-</v>
      </c>
    </row>
    <row r="36" spans="1:15" ht="15" hidden="1" x14ac:dyDescent="0.25">
      <c r="A36" s="22" t="s">
        <v>447</v>
      </c>
      <c r="B36" s="23" t="s">
        <v>16</v>
      </c>
      <c r="C36" s="23" t="s">
        <v>448</v>
      </c>
      <c r="D36" s="23" t="s">
        <v>373</v>
      </c>
      <c r="E36" s="23" t="s">
        <v>186</v>
      </c>
      <c r="G36" s="20" t="str">
        <f t="shared" si="0"/>
        <v>JBK1E</v>
      </c>
      <c r="H36" s="20">
        <f t="shared" si="1"/>
        <v>90</v>
      </c>
      <c r="I36" s="20">
        <f t="shared" si="2"/>
        <v>12</v>
      </c>
      <c r="J36" s="20" t="str">
        <f t="shared" si="3"/>
        <v>29</v>
      </c>
      <c r="K36" s="20" t="str">
        <f t="shared" si="4"/>
        <v>12</v>
      </c>
      <c r="L36" s="20" t="str">
        <f t="shared" si="5"/>
        <v>2025</v>
      </c>
      <c r="M36" s="20" t="str">
        <f t="shared" si="6"/>
        <v>-</v>
      </c>
      <c r="N36" s="20" t="str">
        <f t="shared" si="7"/>
        <v>-</v>
      </c>
      <c r="O36" s="20" t="str">
        <f t="shared" si="8"/>
        <v>-</v>
      </c>
    </row>
    <row r="37" spans="1:15" ht="15" hidden="1" x14ac:dyDescent="0.25">
      <c r="A37" s="22" t="s">
        <v>449</v>
      </c>
      <c r="B37" s="23" t="s">
        <v>16</v>
      </c>
      <c r="C37" s="23" t="s">
        <v>450</v>
      </c>
      <c r="D37" s="23" t="s">
        <v>373</v>
      </c>
      <c r="E37" s="23" t="s">
        <v>417</v>
      </c>
      <c r="G37" s="20" t="str">
        <f t="shared" si="0"/>
        <v>JBK1E</v>
      </c>
      <c r="H37" s="20">
        <f t="shared" si="1"/>
        <v>93</v>
      </c>
      <c r="I37" s="20">
        <f t="shared" si="2"/>
        <v>12</v>
      </c>
      <c r="J37" s="20" t="str">
        <f t="shared" si="3"/>
        <v>26</v>
      </c>
      <c r="K37" s="20" t="str">
        <f t="shared" si="4"/>
        <v>12</v>
      </c>
      <c r="L37" s="20" t="str">
        <f t="shared" si="5"/>
        <v>2025</v>
      </c>
      <c r="M37" s="20" t="str">
        <f t="shared" si="6"/>
        <v>-</v>
      </c>
      <c r="N37" s="20" t="str">
        <f t="shared" si="7"/>
        <v>-</v>
      </c>
      <c r="O37" s="20" t="str">
        <f t="shared" si="8"/>
        <v>-</v>
      </c>
    </row>
    <row r="38" spans="1:15" ht="15" hidden="1" x14ac:dyDescent="0.25">
      <c r="A38" s="22" t="s">
        <v>451</v>
      </c>
      <c r="B38" s="23" t="s">
        <v>16</v>
      </c>
      <c r="C38" s="23" t="s">
        <v>95</v>
      </c>
      <c r="D38" s="23" t="s">
        <v>369</v>
      </c>
      <c r="E38" s="23" t="s">
        <v>452</v>
      </c>
      <c r="G38" s="20" t="str">
        <f t="shared" si="0"/>
        <v>JBK3E</v>
      </c>
      <c r="H38" s="20">
        <f t="shared" si="1"/>
        <v>50</v>
      </c>
      <c r="I38" s="20">
        <f t="shared" si="2"/>
        <v>12</v>
      </c>
      <c r="J38" s="20" t="str">
        <f t="shared" si="3"/>
        <v>08</v>
      </c>
      <c r="K38" s="20" t="str">
        <f t="shared" si="4"/>
        <v>02</v>
      </c>
      <c r="L38" s="20" t="str">
        <f t="shared" si="5"/>
        <v>2026</v>
      </c>
      <c r="M38" s="20" t="str">
        <f t="shared" si="6"/>
        <v>-</v>
      </c>
      <c r="N38" s="20" t="str">
        <f t="shared" si="7"/>
        <v>-</v>
      </c>
      <c r="O38" s="20" t="str">
        <f t="shared" si="8"/>
        <v>-</v>
      </c>
    </row>
    <row r="39" spans="1:15" ht="15" hidden="1" x14ac:dyDescent="0.25">
      <c r="A39" s="22" t="s">
        <v>453</v>
      </c>
      <c r="B39" s="23" t="s">
        <v>16</v>
      </c>
      <c r="C39" s="23" t="s">
        <v>293</v>
      </c>
      <c r="D39" s="23" t="s">
        <v>385</v>
      </c>
      <c r="E39" s="23" t="s">
        <v>454</v>
      </c>
      <c r="G39" s="20" t="str">
        <f t="shared" si="0"/>
        <v>JBK3E</v>
      </c>
      <c r="H39" s="20">
        <f t="shared" si="1"/>
        <v>59</v>
      </c>
      <c r="I39" s="20">
        <f t="shared" si="2"/>
        <v>12</v>
      </c>
      <c r="J39" s="20" t="str">
        <f t="shared" si="3"/>
        <v>31</v>
      </c>
      <c r="K39" s="20" t="str">
        <f t="shared" si="4"/>
        <v>01</v>
      </c>
      <c r="L39" s="20" t="str">
        <f t="shared" si="5"/>
        <v>2026</v>
      </c>
      <c r="M39" s="20" t="str">
        <f t="shared" si="6"/>
        <v>-</v>
      </c>
      <c r="N39" s="20" t="str">
        <f t="shared" si="7"/>
        <v>-</v>
      </c>
      <c r="O39" s="20" t="str">
        <f t="shared" si="8"/>
        <v>-</v>
      </c>
    </row>
    <row r="40" spans="1:15" ht="15" hidden="1" x14ac:dyDescent="0.25">
      <c r="A40" s="22" t="s">
        <v>455</v>
      </c>
      <c r="B40" s="23" t="s">
        <v>16</v>
      </c>
      <c r="C40" s="23" t="s">
        <v>293</v>
      </c>
      <c r="D40" s="23" t="s">
        <v>385</v>
      </c>
      <c r="E40" s="23" t="s">
        <v>456</v>
      </c>
      <c r="G40" s="20" t="str">
        <f t="shared" si="0"/>
        <v>JBK3E</v>
      </c>
      <c r="H40" s="20">
        <f t="shared" si="1"/>
        <v>59</v>
      </c>
      <c r="I40" s="20">
        <f t="shared" si="2"/>
        <v>12</v>
      </c>
      <c r="J40" s="20" t="str">
        <f t="shared" si="3"/>
        <v>31</v>
      </c>
      <c r="K40" s="20" t="str">
        <f t="shared" si="4"/>
        <v>01</v>
      </c>
      <c r="L40" s="20" t="str">
        <f t="shared" si="5"/>
        <v>2026</v>
      </c>
      <c r="M40" s="20" t="str">
        <f t="shared" si="6"/>
        <v>-</v>
      </c>
      <c r="N40" s="20" t="str">
        <f t="shared" si="7"/>
        <v>-</v>
      </c>
      <c r="O40" s="20" t="str">
        <f t="shared" si="8"/>
        <v>-</v>
      </c>
    </row>
    <row r="41" spans="1:15" ht="15" hidden="1" x14ac:dyDescent="0.25">
      <c r="A41" s="22" t="s">
        <v>457</v>
      </c>
      <c r="B41" s="23" t="s">
        <v>16</v>
      </c>
      <c r="C41" s="23" t="s">
        <v>43</v>
      </c>
      <c r="D41" s="23" t="s">
        <v>385</v>
      </c>
      <c r="E41" s="23" t="s">
        <v>458</v>
      </c>
      <c r="G41" s="20" t="str">
        <f t="shared" si="0"/>
        <v>JBK1E</v>
      </c>
      <c r="H41" s="20">
        <f t="shared" si="1"/>
        <v>112</v>
      </c>
      <c r="I41" s="20">
        <f t="shared" si="2"/>
        <v>12</v>
      </c>
      <c r="J41" s="20" t="str">
        <f t="shared" si="3"/>
        <v>09</v>
      </c>
      <c r="K41" s="20" t="str">
        <f t="shared" si="4"/>
        <v>12</v>
      </c>
      <c r="L41" s="20" t="str">
        <f t="shared" si="5"/>
        <v>2025</v>
      </c>
      <c r="M41" s="20" t="str">
        <f t="shared" si="6"/>
        <v>-</v>
      </c>
      <c r="N41" s="20" t="str">
        <f t="shared" si="7"/>
        <v>-</v>
      </c>
      <c r="O41" s="20" t="str">
        <f t="shared" si="8"/>
        <v>-</v>
      </c>
    </row>
    <row r="42" spans="1:15" ht="15" hidden="1" x14ac:dyDescent="0.25">
      <c r="A42" s="22" t="s">
        <v>228</v>
      </c>
      <c r="B42" s="23" t="s">
        <v>16</v>
      </c>
      <c r="C42" s="23" t="s">
        <v>41</v>
      </c>
      <c r="D42" s="23" t="s">
        <v>385</v>
      </c>
      <c r="E42" s="23" t="s">
        <v>459</v>
      </c>
      <c r="G42" s="20" t="str">
        <f t="shared" si="0"/>
        <v>JBK3E</v>
      </c>
      <c r="H42" s="20">
        <f t="shared" si="1"/>
        <v>41</v>
      </c>
      <c r="I42" s="20">
        <f t="shared" si="2"/>
        <v>12</v>
      </c>
      <c r="J42" s="20" t="str">
        <f t="shared" si="3"/>
        <v>18</v>
      </c>
      <c r="K42" s="20" t="str">
        <f t="shared" si="4"/>
        <v>02</v>
      </c>
      <c r="L42" s="20" t="str">
        <f t="shared" si="5"/>
        <v>2026</v>
      </c>
      <c r="M42" s="20" t="str">
        <f t="shared" si="6"/>
        <v>-</v>
      </c>
      <c r="N42" s="20" t="str">
        <f t="shared" si="7"/>
        <v>-</v>
      </c>
      <c r="O42" s="20" t="str">
        <f t="shared" si="8"/>
        <v>-</v>
      </c>
    </row>
    <row r="43" spans="1:15" ht="15" hidden="1" x14ac:dyDescent="0.25">
      <c r="A43" s="22" t="s">
        <v>460</v>
      </c>
      <c r="B43" s="23" t="s">
        <v>16</v>
      </c>
      <c r="C43" s="23" t="s">
        <v>31</v>
      </c>
      <c r="D43" s="23" t="s">
        <v>385</v>
      </c>
      <c r="E43" s="23" t="s">
        <v>461</v>
      </c>
      <c r="G43" s="20" t="str">
        <f t="shared" si="0"/>
        <v>JBK1E</v>
      </c>
      <c r="H43" s="20">
        <f t="shared" si="1"/>
        <v>98</v>
      </c>
      <c r="I43" s="20">
        <f t="shared" si="2"/>
        <v>12</v>
      </c>
      <c r="J43" s="20" t="str">
        <f t="shared" si="3"/>
        <v>23</v>
      </c>
      <c r="K43" s="20" t="str">
        <f t="shared" si="4"/>
        <v>12</v>
      </c>
      <c r="L43" s="20" t="str">
        <f t="shared" si="5"/>
        <v>2025</v>
      </c>
      <c r="M43" s="20" t="str">
        <f t="shared" si="6"/>
        <v>-</v>
      </c>
      <c r="N43" s="20" t="str">
        <f t="shared" si="7"/>
        <v>-</v>
      </c>
      <c r="O43" s="20" t="str">
        <f t="shared" si="8"/>
        <v>-</v>
      </c>
    </row>
    <row r="44" spans="1:15" ht="15" x14ac:dyDescent="0.25">
      <c r="A44" s="25" t="s">
        <v>462</v>
      </c>
      <c r="B44" s="23" t="s">
        <v>16</v>
      </c>
      <c r="C44" s="23" t="s">
        <v>422</v>
      </c>
      <c r="D44" s="23" t="s">
        <v>385</v>
      </c>
      <c r="E44" s="23" t="s">
        <v>463</v>
      </c>
      <c r="F44" s="21" t="s">
        <v>464</v>
      </c>
      <c r="G44" s="20" t="str">
        <f t="shared" si="0"/>
        <v>JBK3E</v>
      </c>
      <c r="H44" s="20">
        <f t="shared" si="1"/>
        <v>19</v>
      </c>
      <c r="I44" s="20">
        <f t="shared" si="2"/>
        <v>12</v>
      </c>
      <c r="J44" s="20" t="str">
        <f t="shared" si="3"/>
        <v>12</v>
      </c>
      <c r="K44" s="20" t="str">
        <f t="shared" si="4"/>
        <v>03</v>
      </c>
      <c r="L44" s="20" t="str">
        <f t="shared" si="5"/>
        <v>2026</v>
      </c>
      <c r="M44" s="20" t="str">
        <f t="shared" si="6"/>
        <v>-</v>
      </c>
      <c r="N44" s="20" t="str">
        <f t="shared" si="7"/>
        <v>-</v>
      </c>
      <c r="O44" s="20" t="str">
        <f t="shared" si="8"/>
        <v>-</v>
      </c>
    </row>
    <row r="45" spans="1:15" ht="15" hidden="1" x14ac:dyDescent="0.25">
      <c r="A45" s="22" t="s">
        <v>465</v>
      </c>
      <c r="B45" s="23" t="s">
        <v>16</v>
      </c>
      <c r="C45" s="23" t="s">
        <v>466</v>
      </c>
      <c r="D45" s="23" t="s">
        <v>385</v>
      </c>
      <c r="E45" s="23" t="s">
        <v>467</v>
      </c>
      <c r="G45" s="20" t="str">
        <f t="shared" si="0"/>
        <v>JBK1E</v>
      </c>
      <c r="H45" s="20">
        <f t="shared" si="1"/>
        <v>133</v>
      </c>
      <c r="I45" s="20">
        <f t="shared" si="2"/>
        <v>12</v>
      </c>
      <c r="J45" s="20" t="str">
        <f t="shared" si="3"/>
        <v>18</v>
      </c>
      <c r="K45" s="20" t="str">
        <f t="shared" si="4"/>
        <v>11</v>
      </c>
      <c r="L45" s="20" t="str">
        <f t="shared" si="5"/>
        <v>2025</v>
      </c>
      <c r="M45" s="20" t="str">
        <f t="shared" si="6"/>
        <v>-</v>
      </c>
      <c r="N45" s="20" t="str">
        <f t="shared" si="7"/>
        <v>-</v>
      </c>
      <c r="O45" s="20" t="str">
        <f t="shared" si="8"/>
        <v>-</v>
      </c>
    </row>
    <row r="46" spans="1:15" ht="15" hidden="1" x14ac:dyDescent="0.25">
      <c r="A46" s="22" t="s">
        <v>468</v>
      </c>
      <c r="B46" s="23" t="s">
        <v>16</v>
      </c>
      <c r="C46" s="23" t="s">
        <v>60</v>
      </c>
      <c r="D46" s="23" t="s">
        <v>385</v>
      </c>
      <c r="E46" s="23" t="s">
        <v>469</v>
      </c>
      <c r="G46" s="20" t="str">
        <f t="shared" si="0"/>
        <v>JBK1E</v>
      </c>
      <c r="H46" s="20">
        <f t="shared" si="1"/>
        <v>131</v>
      </c>
      <c r="I46" s="20">
        <f t="shared" si="2"/>
        <v>12</v>
      </c>
      <c r="J46" s="20" t="str">
        <f t="shared" si="3"/>
        <v>20</v>
      </c>
      <c r="K46" s="20" t="str">
        <f t="shared" si="4"/>
        <v>11</v>
      </c>
      <c r="L46" s="20" t="str">
        <f t="shared" si="5"/>
        <v>2025</v>
      </c>
      <c r="M46" s="20" t="str">
        <f t="shared" si="6"/>
        <v>-</v>
      </c>
      <c r="N46" s="20" t="str">
        <f t="shared" si="7"/>
        <v>-</v>
      </c>
      <c r="O46" s="20" t="str">
        <f t="shared" si="8"/>
        <v>-</v>
      </c>
    </row>
    <row r="47" spans="1:15" ht="15" hidden="1" x14ac:dyDescent="0.25">
      <c r="A47" s="22" t="s">
        <v>470</v>
      </c>
      <c r="B47" s="23" t="s">
        <v>16</v>
      </c>
      <c r="C47" s="23" t="s">
        <v>471</v>
      </c>
      <c r="D47" s="23" t="s">
        <v>385</v>
      </c>
      <c r="E47" s="23" t="s">
        <v>472</v>
      </c>
      <c r="G47" s="20" t="str">
        <f t="shared" si="0"/>
        <v>JBK1E</v>
      </c>
      <c r="H47" s="20">
        <f t="shared" si="1"/>
        <v>122</v>
      </c>
      <c r="I47" s="20">
        <f t="shared" si="2"/>
        <v>12</v>
      </c>
      <c r="J47" s="20" t="str">
        <f t="shared" si="3"/>
        <v>29</v>
      </c>
      <c r="K47" s="20" t="str">
        <f t="shared" si="4"/>
        <v>11</v>
      </c>
      <c r="L47" s="20" t="str">
        <f t="shared" si="5"/>
        <v>2025</v>
      </c>
      <c r="M47" s="20" t="str">
        <f t="shared" si="6"/>
        <v>-</v>
      </c>
      <c r="N47" s="20" t="str">
        <f t="shared" si="7"/>
        <v>-</v>
      </c>
      <c r="O47" s="20" t="str">
        <f t="shared" si="8"/>
        <v>-</v>
      </c>
    </row>
    <row r="48" spans="1:15" ht="15" hidden="1" x14ac:dyDescent="0.25">
      <c r="A48" s="22" t="s">
        <v>473</v>
      </c>
      <c r="B48" s="23" t="s">
        <v>16</v>
      </c>
      <c r="C48" s="23" t="s">
        <v>41</v>
      </c>
      <c r="D48" s="23" t="s">
        <v>385</v>
      </c>
      <c r="E48" s="23" t="s">
        <v>474</v>
      </c>
      <c r="G48" s="20" t="str">
        <f t="shared" si="0"/>
        <v>JBK3E</v>
      </c>
      <c r="H48" s="20">
        <f t="shared" si="1"/>
        <v>41</v>
      </c>
      <c r="I48" s="20">
        <f t="shared" si="2"/>
        <v>12</v>
      </c>
      <c r="J48" s="20" t="str">
        <f t="shared" si="3"/>
        <v>18</v>
      </c>
      <c r="K48" s="20" t="str">
        <f t="shared" si="4"/>
        <v>02</v>
      </c>
      <c r="L48" s="20" t="str">
        <f t="shared" si="5"/>
        <v>2026</v>
      </c>
      <c r="M48" s="20" t="str">
        <f t="shared" si="6"/>
        <v>-</v>
      </c>
      <c r="N48" s="20" t="str">
        <f t="shared" si="7"/>
        <v>-</v>
      </c>
      <c r="O48" s="20" t="str">
        <f t="shared" si="8"/>
        <v>-</v>
      </c>
    </row>
    <row r="49" spans="1:15" ht="15" hidden="1" x14ac:dyDescent="0.25">
      <c r="A49" s="22" t="s">
        <v>475</v>
      </c>
      <c r="B49" s="23" t="s">
        <v>17</v>
      </c>
      <c r="C49" s="23" t="s">
        <v>438</v>
      </c>
      <c r="D49" s="23" t="s">
        <v>408</v>
      </c>
      <c r="E49" s="23" t="s">
        <v>476</v>
      </c>
      <c r="G49" s="20" t="str">
        <f t="shared" si="0"/>
        <v>JBK1E</v>
      </c>
      <c r="H49" s="20">
        <f t="shared" si="1"/>
        <v>99</v>
      </c>
      <c r="I49" s="20">
        <f t="shared" si="2"/>
        <v>12</v>
      </c>
      <c r="J49" s="20" t="str">
        <f t="shared" si="3"/>
        <v>17</v>
      </c>
      <c r="K49" s="20" t="str">
        <f t="shared" si="4"/>
        <v>12</v>
      </c>
      <c r="L49" s="20" t="str">
        <f t="shared" si="5"/>
        <v>2025</v>
      </c>
      <c r="M49" s="20" t="str">
        <f t="shared" si="6"/>
        <v>-</v>
      </c>
      <c r="N49" s="20" t="str">
        <f t="shared" si="7"/>
        <v>-</v>
      </c>
      <c r="O49" s="20" t="str">
        <f t="shared" si="8"/>
        <v>-</v>
      </c>
    </row>
    <row r="50" spans="1:15" ht="15" hidden="1" x14ac:dyDescent="0.25">
      <c r="A50" s="22" t="s">
        <v>477</v>
      </c>
      <c r="B50" s="23" t="s">
        <v>17</v>
      </c>
      <c r="C50" s="23" t="s">
        <v>353</v>
      </c>
      <c r="D50" s="23" t="s">
        <v>404</v>
      </c>
      <c r="E50" s="23" t="s">
        <v>478</v>
      </c>
      <c r="G50" s="20" t="str">
        <f t="shared" si="0"/>
        <v>JBK3E</v>
      </c>
      <c r="H50" s="20">
        <f t="shared" si="1"/>
        <v>136</v>
      </c>
      <c r="I50" s="20">
        <f t="shared" si="2"/>
        <v>12</v>
      </c>
      <c r="J50" s="20" t="str">
        <f t="shared" si="3"/>
        <v>11</v>
      </c>
      <c r="K50" s="20" t="str">
        <f t="shared" si="4"/>
        <v>11</v>
      </c>
      <c r="L50" s="20" t="str">
        <f t="shared" si="5"/>
        <v>2025</v>
      </c>
      <c r="M50" s="20" t="str">
        <f t="shared" si="6"/>
        <v>-</v>
      </c>
      <c r="N50" s="20" t="str">
        <f t="shared" si="7"/>
        <v>-</v>
      </c>
      <c r="O50" s="20" t="str">
        <f t="shared" si="8"/>
        <v>-</v>
      </c>
    </row>
    <row r="51" spans="1:15" ht="15" hidden="1" x14ac:dyDescent="0.25">
      <c r="A51" s="22" t="s">
        <v>479</v>
      </c>
      <c r="B51" s="23" t="s">
        <v>17</v>
      </c>
      <c r="C51" s="23" t="s">
        <v>480</v>
      </c>
      <c r="D51" s="23" t="s">
        <v>371</v>
      </c>
      <c r="E51" s="23" t="s">
        <v>481</v>
      </c>
      <c r="G51" s="20" t="str">
        <f t="shared" si="0"/>
        <v>JBK3E</v>
      </c>
      <c r="H51" s="20">
        <f t="shared" si="1"/>
        <v>163</v>
      </c>
      <c r="I51" s="20">
        <f t="shared" si="2"/>
        <v>12</v>
      </c>
      <c r="J51" s="20" t="str">
        <f t="shared" si="3"/>
        <v>16</v>
      </c>
      <c r="K51" s="20" t="str">
        <f t="shared" si="4"/>
        <v>10</v>
      </c>
      <c r="L51" s="20" t="str">
        <f t="shared" si="5"/>
        <v>2025</v>
      </c>
      <c r="M51" s="20" t="str">
        <f t="shared" si="6"/>
        <v>-</v>
      </c>
      <c r="N51" s="20" t="str">
        <f t="shared" si="7"/>
        <v>-</v>
      </c>
      <c r="O51" s="20" t="str">
        <f t="shared" si="8"/>
        <v>-</v>
      </c>
    </row>
    <row r="52" spans="1:15" ht="15" hidden="1" x14ac:dyDescent="0.25">
      <c r="A52" s="22" t="s">
        <v>482</v>
      </c>
      <c r="B52" s="23" t="s">
        <v>17</v>
      </c>
      <c r="C52" s="23" t="s">
        <v>483</v>
      </c>
      <c r="D52" s="23" t="s">
        <v>371</v>
      </c>
      <c r="E52" s="23" t="s">
        <v>484</v>
      </c>
      <c r="G52" s="20" t="str">
        <f t="shared" si="0"/>
        <v>JBK3E</v>
      </c>
      <c r="H52" s="20">
        <f t="shared" si="1"/>
        <v>199</v>
      </c>
      <c r="I52" s="20">
        <f t="shared" si="2"/>
        <v>12</v>
      </c>
      <c r="J52" s="20" t="str">
        <f t="shared" si="3"/>
        <v>10</v>
      </c>
      <c r="K52" s="20" t="str">
        <f t="shared" si="4"/>
        <v>09</v>
      </c>
      <c r="L52" s="20" t="str">
        <f t="shared" si="5"/>
        <v>2025</v>
      </c>
      <c r="M52" s="20" t="str">
        <f t="shared" si="6"/>
        <v>-</v>
      </c>
      <c r="N52" s="20" t="str">
        <f t="shared" si="7"/>
        <v>-</v>
      </c>
      <c r="O52" s="20" t="str">
        <f t="shared" si="8"/>
        <v>-</v>
      </c>
    </row>
    <row r="53" spans="1:15" ht="15" hidden="1" x14ac:dyDescent="0.25">
      <c r="A53" s="22" t="s">
        <v>485</v>
      </c>
      <c r="B53" s="23" t="s">
        <v>17</v>
      </c>
      <c r="C53" s="23" t="s">
        <v>104</v>
      </c>
      <c r="D53" s="23" t="s">
        <v>371</v>
      </c>
      <c r="E53" s="23" t="s">
        <v>486</v>
      </c>
      <c r="G53" s="20" t="str">
        <f t="shared" si="0"/>
        <v>JBK3E</v>
      </c>
      <c r="H53" s="20">
        <f t="shared" si="1"/>
        <v>198</v>
      </c>
      <c r="I53" s="20">
        <f t="shared" si="2"/>
        <v>12</v>
      </c>
      <c r="J53" s="20" t="str">
        <f t="shared" si="3"/>
        <v>11</v>
      </c>
      <c r="K53" s="20" t="str">
        <f t="shared" si="4"/>
        <v>09</v>
      </c>
      <c r="L53" s="20" t="str">
        <f t="shared" si="5"/>
        <v>2025</v>
      </c>
      <c r="M53" s="20" t="str">
        <f t="shared" si="6"/>
        <v>-</v>
      </c>
      <c r="N53" s="20" t="str">
        <f t="shared" si="7"/>
        <v>-</v>
      </c>
      <c r="O53" s="20" t="str">
        <f t="shared" si="8"/>
        <v>-</v>
      </c>
    </row>
    <row r="54" spans="1:15" ht="15" hidden="1" x14ac:dyDescent="0.25">
      <c r="A54" s="22" t="s">
        <v>487</v>
      </c>
      <c r="B54" s="23" t="s">
        <v>17</v>
      </c>
      <c r="C54" s="23" t="s">
        <v>488</v>
      </c>
      <c r="D54" s="23" t="s">
        <v>385</v>
      </c>
      <c r="E54" s="23" t="s">
        <v>489</v>
      </c>
      <c r="G54" s="20" t="str">
        <f t="shared" si="0"/>
        <v>JBK1E</v>
      </c>
      <c r="H54" s="20">
        <f t="shared" si="1"/>
        <v>117</v>
      </c>
      <c r="I54" s="20">
        <f t="shared" si="2"/>
        <v>12</v>
      </c>
      <c r="J54" s="20" t="str">
        <f t="shared" si="3"/>
        <v>04</v>
      </c>
      <c r="K54" s="20" t="str">
        <f t="shared" si="4"/>
        <v>12</v>
      </c>
      <c r="L54" s="20" t="str">
        <f t="shared" si="5"/>
        <v>2025</v>
      </c>
      <c r="M54" s="20" t="str">
        <f t="shared" si="6"/>
        <v>-</v>
      </c>
      <c r="N54" s="20" t="str">
        <f t="shared" si="7"/>
        <v>-</v>
      </c>
      <c r="O54" s="20" t="str">
        <f t="shared" si="8"/>
        <v>-</v>
      </c>
    </row>
    <row r="55" spans="1:15" ht="15" hidden="1" x14ac:dyDescent="0.25">
      <c r="A55" s="22" t="s">
        <v>490</v>
      </c>
      <c r="B55" s="23" t="s">
        <v>17</v>
      </c>
      <c r="C55" s="23" t="s">
        <v>491</v>
      </c>
      <c r="D55" s="23" t="s">
        <v>385</v>
      </c>
      <c r="E55" s="23" t="s">
        <v>492</v>
      </c>
      <c r="G55" s="20" t="str">
        <f t="shared" si="0"/>
        <v>JBK1E</v>
      </c>
      <c r="H55" s="20">
        <f t="shared" si="1"/>
        <v>97</v>
      </c>
      <c r="I55" s="20">
        <f t="shared" si="2"/>
        <v>12</v>
      </c>
      <c r="J55" s="20" t="str">
        <f t="shared" si="3"/>
        <v>24</v>
      </c>
      <c r="K55" s="20" t="str">
        <f t="shared" si="4"/>
        <v>12</v>
      </c>
      <c r="L55" s="20" t="str">
        <f t="shared" si="5"/>
        <v>2025</v>
      </c>
      <c r="M55" s="20" t="str">
        <f t="shared" si="6"/>
        <v>-</v>
      </c>
      <c r="N55" s="20" t="str">
        <f t="shared" si="7"/>
        <v>-</v>
      </c>
      <c r="O55" s="20" t="str">
        <f t="shared" si="8"/>
        <v>-</v>
      </c>
    </row>
    <row r="56" spans="1:15" ht="15" hidden="1" x14ac:dyDescent="0.25">
      <c r="A56" s="22" t="s">
        <v>493</v>
      </c>
      <c r="B56" s="23" t="s">
        <v>17</v>
      </c>
      <c r="C56" s="23" t="s">
        <v>494</v>
      </c>
      <c r="D56" s="23" t="s">
        <v>385</v>
      </c>
      <c r="E56" s="23" t="s">
        <v>495</v>
      </c>
      <c r="G56" s="20" t="str">
        <f t="shared" si="0"/>
        <v>JBK1E</v>
      </c>
      <c r="H56" s="20">
        <f t="shared" si="1"/>
        <v>139</v>
      </c>
      <c r="I56" s="20">
        <f t="shared" si="2"/>
        <v>12</v>
      </c>
      <c r="J56" s="20" t="str">
        <f t="shared" si="3"/>
        <v>12</v>
      </c>
      <c r="K56" s="20" t="str">
        <f t="shared" si="4"/>
        <v>11</v>
      </c>
      <c r="L56" s="20" t="str">
        <f t="shared" si="5"/>
        <v>2025</v>
      </c>
      <c r="M56" s="20" t="str">
        <f t="shared" si="6"/>
        <v>-</v>
      </c>
      <c r="N56" s="20" t="str">
        <f t="shared" si="7"/>
        <v>-</v>
      </c>
      <c r="O56" s="20" t="str">
        <f t="shared" si="8"/>
        <v>-</v>
      </c>
    </row>
    <row r="57" spans="1:15" ht="15" hidden="1" x14ac:dyDescent="0.25">
      <c r="A57" s="22" t="s">
        <v>496</v>
      </c>
      <c r="B57" s="23" t="s">
        <v>17</v>
      </c>
      <c r="C57" s="23" t="s">
        <v>107</v>
      </c>
      <c r="D57" s="23" t="s">
        <v>385</v>
      </c>
      <c r="E57" s="23" t="s">
        <v>497</v>
      </c>
      <c r="G57" s="20" t="str">
        <f t="shared" si="0"/>
        <v>JBK1E</v>
      </c>
      <c r="H57" s="20">
        <f t="shared" si="1"/>
        <v>154</v>
      </c>
      <c r="I57" s="20">
        <f t="shared" si="2"/>
        <v>12</v>
      </c>
      <c r="J57" s="20" t="str">
        <f t="shared" si="3"/>
        <v>28</v>
      </c>
      <c r="K57" s="20" t="str">
        <f t="shared" si="4"/>
        <v>10</v>
      </c>
      <c r="L57" s="20" t="str">
        <f t="shared" si="5"/>
        <v>2025</v>
      </c>
      <c r="M57" s="20" t="str">
        <f t="shared" si="6"/>
        <v>-</v>
      </c>
      <c r="N57" s="20" t="str">
        <f t="shared" si="7"/>
        <v>-</v>
      </c>
      <c r="O57" s="20" t="str">
        <f t="shared" si="8"/>
        <v>-</v>
      </c>
    </row>
    <row r="58" spans="1:15" ht="15" hidden="1" x14ac:dyDescent="0.25">
      <c r="A58" s="22" t="s">
        <v>498</v>
      </c>
      <c r="B58" s="23" t="s">
        <v>17</v>
      </c>
      <c r="C58" s="23" t="s">
        <v>266</v>
      </c>
      <c r="D58" s="23" t="s">
        <v>385</v>
      </c>
      <c r="E58" s="23" t="s">
        <v>499</v>
      </c>
      <c r="G58" s="20" t="str">
        <f t="shared" si="0"/>
        <v>JBK1E</v>
      </c>
      <c r="H58" s="20">
        <f t="shared" si="1"/>
        <v>144</v>
      </c>
      <c r="I58" s="20">
        <f t="shared" si="2"/>
        <v>12</v>
      </c>
      <c r="J58" s="20" t="str">
        <f t="shared" si="3"/>
        <v>07</v>
      </c>
      <c r="K58" s="20" t="str">
        <f t="shared" si="4"/>
        <v>11</v>
      </c>
      <c r="L58" s="20" t="str">
        <f t="shared" si="5"/>
        <v>2025</v>
      </c>
      <c r="M58" s="20" t="str">
        <f t="shared" si="6"/>
        <v>-</v>
      </c>
      <c r="N58" s="20" t="str">
        <f t="shared" si="7"/>
        <v>-</v>
      </c>
      <c r="O58" s="20" t="str">
        <f t="shared" si="8"/>
        <v>-</v>
      </c>
    </row>
    <row r="59" spans="1:15" ht="15" hidden="1" x14ac:dyDescent="0.25">
      <c r="A59" s="22" t="s">
        <v>500</v>
      </c>
      <c r="B59" s="23" t="s">
        <v>17</v>
      </c>
      <c r="C59" s="23" t="s">
        <v>75</v>
      </c>
      <c r="D59" s="23" t="s">
        <v>385</v>
      </c>
      <c r="E59" s="23" t="s">
        <v>444</v>
      </c>
      <c r="G59" s="20" t="str">
        <f t="shared" si="0"/>
        <v>JBK1E</v>
      </c>
      <c r="H59" s="20">
        <f t="shared" si="1"/>
        <v>79</v>
      </c>
      <c r="I59" s="20">
        <f t="shared" si="2"/>
        <v>12</v>
      </c>
      <c r="J59" s="20" t="str">
        <f t="shared" si="3"/>
        <v>11</v>
      </c>
      <c r="K59" s="20" t="str">
        <f t="shared" si="4"/>
        <v>01</v>
      </c>
      <c r="L59" s="20" t="str">
        <f t="shared" si="5"/>
        <v>2026</v>
      </c>
      <c r="M59" s="20" t="str">
        <f t="shared" si="6"/>
        <v>-</v>
      </c>
      <c r="N59" s="20" t="str">
        <f t="shared" si="7"/>
        <v>-</v>
      </c>
      <c r="O59" s="20" t="str">
        <f t="shared" si="8"/>
        <v>-</v>
      </c>
    </row>
    <row r="60" spans="1:15" ht="15" hidden="1" x14ac:dyDescent="0.25">
      <c r="A60" s="22" t="s">
        <v>501</v>
      </c>
      <c r="B60" s="23" t="s">
        <v>18</v>
      </c>
      <c r="C60" s="23" t="s">
        <v>502</v>
      </c>
      <c r="D60" s="23" t="s">
        <v>408</v>
      </c>
      <c r="E60" s="23" t="s">
        <v>503</v>
      </c>
      <c r="G60" s="20" t="str">
        <f t="shared" si="0"/>
        <v>JBK1E</v>
      </c>
      <c r="H60" s="20">
        <f t="shared" si="1"/>
        <v>190</v>
      </c>
      <c r="I60" s="20">
        <f t="shared" si="2"/>
        <v>12</v>
      </c>
      <c r="J60" s="20" t="str">
        <f t="shared" si="3"/>
        <v>17</v>
      </c>
      <c r="K60" s="20" t="str">
        <f t="shared" si="4"/>
        <v>09</v>
      </c>
      <c r="L60" s="20" t="str">
        <f t="shared" si="5"/>
        <v>2025</v>
      </c>
      <c r="M60" s="20" t="str">
        <f t="shared" si="6"/>
        <v>-</v>
      </c>
      <c r="N60" s="20" t="str">
        <f t="shared" si="7"/>
        <v>-</v>
      </c>
      <c r="O60" s="20" t="str">
        <f t="shared" si="8"/>
        <v>-</v>
      </c>
    </row>
    <row r="61" spans="1:15" ht="15" hidden="1" x14ac:dyDescent="0.25">
      <c r="A61" s="22" t="s">
        <v>504</v>
      </c>
      <c r="B61" s="23" t="s">
        <v>18</v>
      </c>
      <c r="C61" s="23" t="s">
        <v>505</v>
      </c>
      <c r="D61" s="23" t="s">
        <v>371</v>
      </c>
      <c r="E61" s="23" t="s">
        <v>506</v>
      </c>
      <c r="G61" s="20" t="str">
        <f t="shared" si="0"/>
        <v>JBK3E</v>
      </c>
      <c r="H61" s="20">
        <f t="shared" si="1"/>
        <v>258</v>
      </c>
      <c r="I61" s="20">
        <f t="shared" si="2"/>
        <v>12</v>
      </c>
      <c r="J61" s="20" t="str">
        <f t="shared" si="3"/>
        <v>13</v>
      </c>
      <c r="K61" s="20" t="str">
        <f t="shared" si="4"/>
        <v>07</v>
      </c>
      <c r="L61" s="20" t="str">
        <f t="shared" si="5"/>
        <v>2025</v>
      </c>
      <c r="M61" s="20" t="str">
        <f t="shared" si="6"/>
        <v>-</v>
      </c>
      <c r="N61" s="20" t="str">
        <f t="shared" si="7"/>
        <v>-</v>
      </c>
      <c r="O61" s="20" t="str">
        <f t="shared" si="8"/>
        <v>-</v>
      </c>
    </row>
    <row r="62" spans="1:15" ht="15" hidden="1" x14ac:dyDescent="0.25">
      <c r="A62" s="22" t="s">
        <v>507</v>
      </c>
      <c r="B62" s="23" t="s">
        <v>18</v>
      </c>
      <c r="C62" s="23" t="s">
        <v>57</v>
      </c>
      <c r="D62" s="23" t="s">
        <v>371</v>
      </c>
      <c r="E62" s="23" t="s">
        <v>508</v>
      </c>
      <c r="G62" s="20" t="str">
        <f t="shared" si="0"/>
        <v>JBK1E</v>
      </c>
      <c r="H62" s="20">
        <f t="shared" si="1"/>
        <v>224</v>
      </c>
      <c r="I62" s="20">
        <f t="shared" si="2"/>
        <v>12</v>
      </c>
      <c r="J62" s="20" t="str">
        <f t="shared" si="3"/>
        <v>16</v>
      </c>
      <c r="K62" s="20" t="str">
        <f t="shared" si="4"/>
        <v>08</v>
      </c>
      <c r="L62" s="20" t="str">
        <f t="shared" si="5"/>
        <v>2025</v>
      </c>
      <c r="M62" s="20" t="str">
        <f t="shared" si="6"/>
        <v>-</v>
      </c>
      <c r="N62" s="20" t="str">
        <f t="shared" si="7"/>
        <v>-</v>
      </c>
      <c r="O62" s="20" t="str">
        <f t="shared" si="8"/>
        <v>-</v>
      </c>
    </row>
    <row r="63" spans="1:15" ht="15" hidden="1" x14ac:dyDescent="0.25">
      <c r="A63" s="22" t="s">
        <v>103</v>
      </c>
      <c r="B63" s="23" t="s">
        <v>18</v>
      </c>
      <c r="C63" s="23" t="s">
        <v>104</v>
      </c>
      <c r="D63" s="23" t="s">
        <v>371</v>
      </c>
      <c r="E63" s="23" t="s">
        <v>509</v>
      </c>
      <c r="G63" s="20" t="str">
        <f t="shared" si="0"/>
        <v>JBK3E</v>
      </c>
      <c r="H63" s="20">
        <f t="shared" si="1"/>
        <v>198</v>
      </c>
      <c r="I63" s="20">
        <f t="shared" si="2"/>
        <v>12</v>
      </c>
      <c r="J63" s="20" t="str">
        <f t="shared" si="3"/>
        <v>11</v>
      </c>
      <c r="K63" s="20" t="str">
        <f t="shared" si="4"/>
        <v>09</v>
      </c>
      <c r="L63" s="20" t="str">
        <f t="shared" si="5"/>
        <v>2025</v>
      </c>
      <c r="M63" s="20" t="str">
        <f t="shared" si="6"/>
        <v>-</v>
      </c>
      <c r="N63" s="20" t="str">
        <f t="shared" si="7"/>
        <v>-</v>
      </c>
      <c r="O63" s="20" t="str">
        <f t="shared" si="8"/>
        <v>-</v>
      </c>
    </row>
    <row r="64" spans="1:15" ht="15" hidden="1" x14ac:dyDescent="0.25">
      <c r="A64" s="22" t="s">
        <v>510</v>
      </c>
      <c r="B64" s="23" t="s">
        <v>18</v>
      </c>
      <c r="C64" s="24" t="s">
        <v>344</v>
      </c>
      <c r="D64" s="23" t="s">
        <v>369</v>
      </c>
      <c r="E64" s="23" t="s">
        <v>511</v>
      </c>
      <c r="F64" s="21" t="s">
        <v>512</v>
      </c>
      <c r="G64" s="20" t="str">
        <f t="shared" si="0"/>
        <v>JBK3E</v>
      </c>
      <c r="H64" s="20">
        <f t="shared" si="1"/>
        <v>186</v>
      </c>
      <c r="I64" s="20">
        <f t="shared" si="2"/>
        <v>12</v>
      </c>
      <c r="J64" s="20" t="str">
        <f t="shared" si="3"/>
        <v>25</v>
      </c>
      <c r="K64" s="20" t="str">
        <f t="shared" si="4"/>
        <v>09</v>
      </c>
      <c r="L64" s="20" t="str">
        <f t="shared" si="5"/>
        <v>2025</v>
      </c>
      <c r="M64" s="20" t="str">
        <f t="shared" si="6"/>
        <v>-</v>
      </c>
      <c r="N64" s="20" t="str">
        <f t="shared" si="7"/>
        <v>-</v>
      </c>
      <c r="O64" s="20" t="str">
        <f t="shared" si="8"/>
        <v>-</v>
      </c>
    </row>
    <row r="65" spans="1:15" ht="15" hidden="1" x14ac:dyDescent="0.25">
      <c r="A65" s="22" t="s">
        <v>513</v>
      </c>
      <c r="B65" s="23" t="s">
        <v>18</v>
      </c>
      <c r="C65" s="23" t="s">
        <v>514</v>
      </c>
      <c r="D65" s="23" t="s">
        <v>369</v>
      </c>
      <c r="E65" s="23" t="s">
        <v>515</v>
      </c>
      <c r="G65" s="20" t="str">
        <f t="shared" si="0"/>
        <v>JBK1E</v>
      </c>
      <c r="H65" s="20">
        <f t="shared" si="1"/>
        <v>147</v>
      </c>
      <c r="I65" s="20">
        <f t="shared" si="2"/>
        <v>12</v>
      </c>
      <c r="J65" s="20" t="str">
        <f t="shared" si="3"/>
        <v>03</v>
      </c>
      <c r="K65" s="20" t="str">
        <f t="shared" si="4"/>
        <v>11</v>
      </c>
      <c r="L65" s="20" t="str">
        <f t="shared" si="5"/>
        <v>2025</v>
      </c>
      <c r="M65" s="20" t="str">
        <f t="shared" si="6"/>
        <v>-</v>
      </c>
      <c r="N65" s="20" t="str">
        <f t="shared" si="7"/>
        <v>-</v>
      </c>
      <c r="O65" s="20" t="str">
        <f t="shared" si="8"/>
        <v>-</v>
      </c>
    </row>
    <row r="66" spans="1:15" ht="15" hidden="1" x14ac:dyDescent="0.25">
      <c r="A66" s="22" t="s">
        <v>516</v>
      </c>
      <c r="B66" s="23" t="s">
        <v>18</v>
      </c>
      <c r="C66" s="23" t="s">
        <v>517</v>
      </c>
      <c r="D66" s="23" t="s">
        <v>369</v>
      </c>
      <c r="E66" s="23" t="s">
        <v>518</v>
      </c>
      <c r="G66" s="20" t="str">
        <f t="shared" ref="G66:G122" si="9">LEFT(A66, 5)</f>
        <v>JBK1E</v>
      </c>
      <c r="H66" s="20">
        <f t="shared" ref="H66:H122" si="10">D66-C66</f>
        <v>241</v>
      </c>
      <c r="I66" s="20">
        <f t="shared" ref="I66:I122" si="11">LEN(A66)</f>
        <v>12</v>
      </c>
      <c r="J66" s="20" t="str">
        <f t="shared" ref="J66:J122" si="12">LEFT(C66, 2)</f>
        <v>01</v>
      </c>
      <c r="K66" s="20" t="str">
        <f t="shared" ref="K66:K122" si="13">MID(C66, 4, 2)</f>
        <v>08</v>
      </c>
      <c r="L66" s="20" t="str">
        <f t="shared" ref="L66:L122" si="14">RIGHT(C66, 4)</f>
        <v>2025</v>
      </c>
      <c r="M66" s="20" t="str">
        <f t="shared" ref="M66:M122" si="15">IF(AND(B66="1",H66&gt;=75),"tolong cek",  IF(AND(B66="2",H66&gt;=135),"tolong cek",  IF(AND(B66="3",H66&gt;=255),"tolong cek",  IF(AND(B66="4",H66&gt;=375),"tolong cek","-"))))</f>
        <v>-</v>
      </c>
      <c r="N66" s="20" t="str">
        <f t="shared" ref="N66:N122" si="16">IF(AND(B66="1",VALUE(K66)&lt;=5,VALUE(L66)&lt;=2025),"tolong cek kadaluarsa",  IF(AND(B66="2",VALUE(K66)&lt;=3,VALUE(L66)&lt;=2025),"tolong cek kadaluarsa",  IF(AND(B66="3",VALUE(K66)&lt;=11,VALUE(L66)&lt;=2024),"tolong cek kadaluarsa",  IF(AND(B66="4",VALUE(K66)&lt;=7, VALUE(L66)&lt;=2024),"tolong cek kadaluarsa","-"))))</f>
        <v>-</v>
      </c>
      <c r="O66" s="20" t="str">
        <f t="shared" ref="O66:O122" si="17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15" hidden="1" x14ac:dyDescent="0.25">
      <c r="A67" s="22" t="s">
        <v>519</v>
      </c>
      <c r="B67" s="23" t="s">
        <v>18</v>
      </c>
      <c r="C67" s="23" t="s">
        <v>520</v>
      </c>
      <c r="D67" s="23" t="s">
        <v>385</v>
      </c>
      <c r="E67" s="23" t="s">
        <v>521</v>
      </c>
      <c r="G67" s="20" t="str">
        <f t="shared" si="9"/>
        <v>JBK1E</v>
      </c>
      <c r="H67" s="20">
        <f t="shared" si="10"/>
        <v>189</v>
      </c>
      <c r="I67" s="20">
        <f t="shared" si="11"/>
        <v>12</v>
      </c>
      <c r="J67" s="20" t="str">
        <f t="shared" si="12"/>
        <v>23</v>
      </c>
      <c r="K67" s="20" t="str">
        <f t="shared" si="13"/>
        <v>09</v>
      </c>
      <c r="L67" s="20" t="str">
        <f t="shared" si="14"/>
        <v>2025</v>
      </c>
      <c r="M67" s="20" t="str">
        <f t="shared" si="15"/>
        <v>-</v>
      </c>
      <c r="N67" s="20" t="str">
        <f t="shared" si="16"/>
        <v>-</v>
      </c>
      <c r="O67" s="20" t="str">
        <f t="shared" si="17"/>
        <v>-</v>
      </c>
    </row>
    <row r="68" spans="1:15" ht="15" hidden="1" x14ac:dyDescent="0.25">
      <c r="A68" s="22" t="s">
        <v>522</v>
      </c>
      <c r="B68" s="23" t="s">
        <v>18</v>
      </c>
      <c r="C68" s="23" t="s">
        <v>198</v>
      </c>
      <c r="D68" s="23" t="s">
        <v>385</v>
      </c>
      <c r="E68" s="23" t="s">
        <v>523</v>
      </c>
      <c r="G68" s="20" t="str">
        <f t="shared" si="9"/>
        <v>JBK1E</v>
      </c>
      <c r="H68" s="20">
        <f t="shared" si="10"/>
        <v>124</v>
      </c>
      <c r="I68" s="20">
        <f t="shared" si="11"/>
        <v>12</v>
      </c>
      <c r="J68" s="20" t="str">
        <f t="shared" si="12"/>
        <v>27</v>
      </c>
      <c r="K68" s="20" t="str">
        <f t="shared" si="13"/>
        <v>11</v>
      </c>
      <c r="L68" s="20" t="str">
        <f t="shared" si="14"/>
        <v>2025</v>
      </c>
      <c r="M68" s="20" t="str">
        <f t="shared" si="15"/>
        <v>-</v>
      </c>
      <c r="N68" s="20" t="str">
        <f t="shared" si="16"/>
        <v>-</v>
      </c>
      <c r="O68" s="20" t="str">
        <f t="shared" si="17"/>
        <v>-</v>
      </c>
    </row>
    <row r="69" spans="1:15" ht="15" hidden="1" x14ac:dyDescent="0.25">
      <c r="A69" s="22" t="s">
        <v>524</v>
      </c>
      <c r="B69" s="23" t="s">
        <v>18</v>
      </c>
      <c r="C69" s="23" t="s">
        <v>347</v>
      </c>
      <c r="D69" s="23" t="s">
        <v>385</v>
      </c>
      <c r="E69" s="23" t="s">
        <v>525</v>
      </c>
      <c r="G69" s="20" t="str">
        <f t="shared" si="9"/>
        <v>JBK1E</v>
      </c>
      <c r="H69" s="20">
        <f t="shared" si="10"/>
        <v>229</v>
      </c>
      <c r="I69" s="20">
        <f t="shared" si="11"/>
        <v>12</v>
      </c>
      <c r="J69" s="20" t="str">
        <f t="shared" si="12"/>
        <v>14</v>
      </c>
      <c r="K69" s="20" t="str">
        <f t="shared" si="13"/>
        <v>08</v>
      </c>
      <c r="L69" s="20" t="str">
        <f t="shared" si="14"/>
        <v>2025</v>
      </c>
      <c r="M69" s="20" t="str">
        <f t="shared" si="15"/>
        <v>-</v>
      </c>
      <c r="N69" s="20" t="str">
        <f t="shared" si="16"/>
        <v>-</v>
      </c>
      <c r="O69" s="20" t="str">
        <f t="shared" si="17"/>
        <v>-</v>
      </c>
    </row>
    <row r="70" spans="1:15" ht="15" hidden="1" x14ac:dyDescent="0.25">
      <c r="A70" s="22" t="s">
        <v>526</v>
      </c>
      <c r="B70" s="23" t="s">
        <v>18</v>
      </c>
      <c r="C70" s="23" t="s">
        <v>527</v>
      </c>
      <c r="D70" s="23" t="s">
        <v>385</v>
      </c>
      <c r="E70" s="23" t="s">
        <v>521</v>
      </c>
      <c r="G70" s="20" t="str">
        <f t="shared" si="9"/>
        <v>JBK1E</v>
      </c>
      <c r="H70" s="20">
        <f t="shared" si="10"/>
        <v>246</v>
      </c>
      <c r="I70" s="20">
        <f t="shared" si="11"/>
        <v>12</v>
      </c>
      <c r="J70" s="20" t="str">
        <f t="shared" si="12"/>
        <v>28</v>
      </c>
      <c r="K70" s="20" t="str">
        <f t="shared" si="13"/>
        <v>07</v>
      </c>
      <c r="L70" s="20" t="str">
        <f t="shared" si="14"/>
        <v>2025</v>
      </c>
      <c r="M70" s="20" t="str">
        <f t="shared" si="15"/>
        <v>-</v>
      </c>
      <c r="N70" s="20" t="str">
        <f t="shared" si="16"/>
        <v>-</v>
      </c>
      <c r="O70" s="20" t="str">
        <f t="shared" si="17"/>
        <v>-</v>
      </c>
    </row>
    <row r="71" spans="1:15" ht="15" hidden="1" x14ac:dyDescent="0.25">
      <c r="A71" s="22" t="s">
        <v>528</v>
      </c>
      <c r="B71" s="23" t="s">
        <v>18</v>
      </c>
      <c r="C71" s="23" t="s">
        <v>529</v>
      </c>
      <c r="D71" s="23" t="s">
        <v>385</v>
      </c>
      <c r="E71" s="23" t="s">
        <v>530</v>
      </c>
      <c r="G71" s="20" t="str">
        <f t="shared" si="9"/>
        <v>JBK1E</v>
      </c>
      <c r="H71" s="20">
        <f t="shared" si="10"/>
        <v>231</v>
      </c>
      <c r="I71" s="20">
        <f t="shared" si="11"/>
        <v>12</v>
      </c>
      <c r="J71" s="20" t="str">
        <f t="shared" si="12"/>
        <v>12</v>
      </c>
      <c r="K71" s="20" t="str">
        <f t="shared" si="13"/>
        <v>08</v>
      </c>
      <c r="L71" s="20" t="str">
        <f t="shared" si="14"/>
        <v>2025</v>
      </c>
      <c r="M71" s="20" t="str">
        <f t="shared" si="15"/>
        <v>-</v>
      </c>
      <c r="N71" s="20" t="str">
        <f t="shared" si="16"/>
        <v>-</v>
      </c>
      <c r="O71" s="20" t="str">
        <f t="shared" si="17"/>
        <v>-</v>
      </c>
    </row>
    <row r="72" spans="1:15" ht="15" hidden="1" x14ac:dyDescent="0.25">
      <c r="A72" s="22" t="s">
        <v>531</v>
      </c>
      <c r="B72" s="23" t="s">
        <v>18</v>
      </c>
      <c r="C72" s="23" t="s">
        <v>532</v>
      </c>
      <c r="D72" s="23" t="s">
        <v>385</v>
      </c>
      <c r="E72" s="23" t="s">
        <v>533</v>
      </c>
      <c r="G72" s="20" t="str">
        <f t="shared" si="9"/>
        <v>JBK1E</v>
      </c>
      <c r="H72" s="20">
        <f t="shared" si="10"/>
        <v>255</v>
      </c>
      <c r="I72" s="20">
        <f t="shared" si="11"/>
        <v>12</v>
      </c>
      <c r="J72" s="20" t="str">
        <f t="shared" si="12"/>
        <v>19</v>
      </c>
      <c r="K72" s="20" t="str">
        <f t="shared" si="13"/>
        <v>07</v>
      </c>
      <c r="L72" s="20" t="str">
        <f t="shared" si="14"/>
        <v>2025</v>
      </c>
      <c r="M72" s="20" t="str">
        <f t="shared" si="15"/>
        <v>-</v>
      </c>
      <c r="N72" s="20" t="str">
        <f t="shared" si="16"/>
        <v>-</v>
      </c>
      <c r="O72" s="20" t="str">
        <f t="shared" si="17"/>
        <v>-</v>
      </c>
    </row>
    <row r="73" spans="1:15" ht="15" hidden="1" x14ac:dyDescent="0.25">
      <c r="A73" s="22" t="s">
        <v>534</v>
      </c>
      <c r="B73" s="23" t="s">
        <v>18</v>
      </c>
      <c r="C73" s="23" t="s">
        <v>317</v>
      </c>
      <c r="D73" s="23" t="s">
        <v>385</v>
      </c>
      <c r="E73" s="23" t="s">
        <v>535</v>
      </c>
      <c r="G73" s="20" t="str">
        <f t="shared" si="9"/>
        <v>JBK1E</v>
      </c>
      <c r="H73" s="20">
        <f t="shared" si="10"/>
        <v>232</v>
      </c>
      <c r="I73" s="20">
        <f t="shared" si="11"/>
        <v>12</v>
      </c>
      <c r="J73" s="20" t="str">
        <f t="shared" si="12"/>
        <v>11</v>
      </c>
      <c r="K73" s="20" t="str">
        <f t="shared" si="13"/>
        <v>08</v>
      </c>
      <c r="L73" s="20" t="str">
        <f t="shared" si="14"/>
        <v>2025</v>
      </c>
      <c r="M73" s="20" t="str">
        <f t="shared" si="15"/>
        <v>-</v>
      </c>
      <c r="N73" s="20" t="str">
        <f t="shared" si="16"/>
        <v>-</v>
      </c>
      <c r="O73" s="20" t="str">
        <f t="shared" si="17"/>
        <v>-</v>
      </c>
    </row>
    <row r="74" spans="1:15" ht="15" hidden="1" x14ac:dyDescent="0.25">
      <c r="A74" s="22" t="s">
        <v>536</v>
      </c>
      <c r="B74" s="23" t="s">
        <v>18</v>
      </c>
      <c r="C74" s="23" t="s">
        <v>537</v>
      </c>
      <c r="D74" s="23" t="s">
        <v>385</v>
      </c>
      <c r="E74" s="23" t="s">
        <v>538</v>
      </c>
      <c r="G74" s="20" t="str">
        <f t="shared" si="9"/>
        <v>JBK1E</v>
      </c>
      <c r="H74" s="20">
        <f t="shared" si="10"/>
        <v>251</v>
      </c>
      <c r="I74" s="20">
        <f t="shared" si="11"/>
        <v>12</v>
      </c>
      <c r="J74" s="20" t="str">
        <f t="shared" si="12"/>
        <v>23</v>
      </c>
      <c r="K74" s="20" t="str">
        <f t="shared" si="13"/>
        <v>07</v>
      </c>
      <c r="L74" s="20" t="str">
        <f t="shared" si="14"/>
        <v>2025</v>
      </c>
      <c r="M74" s="20" t="str">
        <f t="shared" si="15"/>
        <v>-</v>
      </c>
      <c r="N74" s="20" t="str">
        <f t="shared" si="16"/>
        <v>-</v>
      </c>
      <c r="O74" s="20" t="str">
        <f t="shared" si="17"/>
        <v>-</v>
      </c>
    </row>
    <row r="75" spans="1:15" ht="15" hidden="1" x14ac:dyDescent="0.25">
      <c r="A75" s="22" t="s">
        <v>539</v>
      </c>
      <c r="B75" s="23" t="s">
        <v>18</v>
      </c>
      <c r="C75" s="23" t="s">
        <v>540</v>
      </c>
      <c r="D75" s="23" t="s">
        <v>385</v>
      </c>
      <c r="E75" s="23" t="s">
        <v>541</v>
      </c>
      <c r="G75" s="20" t="str">
        <f t="shared" si="9"/>
        <v>JBK1E</v>
      </c>
      <c r="H75" s="20">
        <f t="shared" si="10"/>
        <v>199</v>
      </c>
      <c r="I75" s="20">
        <f t="shared" si="11"/>
        <v>12</v>
      </c>
      <c r="J75" s="20" t="str">
        <f t="shared" si="12"/>
        <v>13</v>
      </c>
      <c r="K75" s="20" t="str">
        <f t="shared" si="13"/>
        <v>09</v>
      </c>
      <c r="L75" s="20" t="str">
        <f t="shared" si="14"/>
        <v>2025</v>
      </c>
      <c r="M75" s="20" t="str">
        <f t="shared" si="15"/>
        <v>-</v>
      </c>
      <c r="N75" s="20" t="str">
        <f t="shared" si="16"/>
        <v>-</v>
      </c>
      <c r="O75" s="20" t="str">
        <f t="shared" si="17"/>
        <v>-</v>
      </c>
    </row>
    <row r="76" spans="1:15" ht="15" hidden="1" x14ac:dyDescent="0.25">
      <c r="A76" s="22" t="s">
        <v>542</v>
      </c>
      <c r="B76" s="23" t="s">
        <v>18</v>
      </c>
      <c r="C76" s="23" t="s">
        <v>514</v>
      </c>
      <c r="D76" s="23" t="s">
        <v>385</v>
      </c>
      <c r="E76" s="23" t="s">
        <v>543</v>
      </c>
      <c r="G76" s="20" t="str">
        <f t="shared" si="9"/>
        <v>JBK1E</v>
      </c>
      <c r="H76" s="20">
        <f t="shared" si="10"/>
        <v>148</v>
      </c>
      <c r="I76" s="20">
        <f t="shared" si="11"/>
        <v>12</v>
      </c>
      <c r="J76" s="20" t="str">
        <f t="shared" si="12"/>
        <v>03</v>
      </c>
      <c r="K76" s="20" t="str">
        <f t="shared" si="13"/>
        <v>11</v>
      </c>
      <c r="L76" s="20" t="str">
        <f t="shared" si="14"/>
        <v>2025</v>
      </c>
      <c r="M76" s="20" t="str">
        <f t="shared" si="15"/>
        <v>-</v>
      </c>
      <c r="N76" s="20" t="str">
        <f t="shared" si="16"/>
        <v>-</v>
      </c>
      <c r="O76" s="20" t="str">
        <f t="shared" si="17"/>
        <v>-</v>
      </c>
    </row>
    <row r="77" spans="1:15" ht="15" hidden="1" x14ac:dyDescent="0.25">
      <c r="A77" s="22" t="s">
        <v>544</v>
      </c>
      <c r="B77" s="23" t="s">
        <v>18</v>
      </c>
      <c r="C77" s="23" t="s">
        <v>545</v>
      </c>
      <c r="D77" s="23" t="s">
        <v>385</v>
      </c>
      <c r="E77" s="23" t="s">
        <v>546</v>
      </c>
      <c r="G77" s="20" t="str">
        <f t="shared" si="9"/>
        <v>JBK1E</v>
      </c>
      <c r="H77" s="20">
        <f t="shared" si="10"/>
        <v>312</v>
      </c>
      <c r="I77" s="20">
        <f t="shared" si="11"/>
        <v>12</v>
      </c>
      <c r="J77" s="20" t="str">
        <f t="shared" si="12"/>
        <v>23</v>
      </c>
      <c r="K77" s="20" t="str">
        <f t="shared" si="13"/>
        <v>05</v>
      </c>
      <c r="L77" s="20" t="str">
        <f t="shared" si="14"/>
        <v>2025</v>
      </c>
      <c r="M77" s="20" t="str">
        <f t="shared" si="15"/>
        <v>-</v>
      </c>
      <c r="N77" s="20" t="str">
        <f t="shared" si="16"/>
        <v>-</v>
      </c>
      <c r="O77" s="20" t="str">
        <f t="shared" si="17"/>
        <v>-</v>
      </c>
    </row>
    <row r="78" spans="1:15" ht="15" hidden="1" x14ac:dyDescent="0.25">
      <c r="A78" s="22" t="s">
        <v>547</v>
      </c>
      <c r="B78" s="23" t="s">
        <v>18</v>
      </c>
      <c r="C78" s="23" t="s">
        <v>548</v>
      </c>
      <c r="D78" s="23" t="s">
        <v>385</v>
      </c>
      <c r="E78" s="23" t="s">
        <v>549</v>
      </c>
      <c r="G78" s="20" t="str">
        <f t="shared" si="9"/>
        <v>JBK3E</v>
      </c>
      <c r="H78" s="20">
        <f t="shared" si="10"/>
        <v>270</v>
      </c>
      <c r="I78" s="20">
        <f t="shared" si="11"/>
        <v>12</v>
      </c>
      <c r="J78" s="20" t="str">
        <f t="shared" si="12"/>
        <v>04</v>
      </c>
      <c r="K78" s="20" t="str">
        <f t="shared" si="13"/>
        <v>07</v>
      </c>
      <c r="L78" s="20" t="str">
        <f t="shared" si="14"/>
        <v>2025</v>
      </c>
      <c r="M78" s="20" t="str">
        <f t="shared" si="15"/>
        <v>-</v>
      </c>
      <c r="N78" s="20" t="str">
        <f t="shared" si="16"/>
        <v>-</v>
      </c>
      <c r="O78" s="20" t="str">
        <f t="shared" si="17"/>
        <v>-</v>
      </c>
    </row>
    <row r="79" spans="1:15" ht="15" hidden="1" x14ac:dyDescent="0.25">
      <c r="A79" s="22" t="s">
        <v>550</v>
      </c>
      <c r="B79" s="23" t="s">
        <v>18</v>
      </c>
      <c r="C79" s="23" t="s">
        <v>35</v>
      </c>
      <c r="D79" s="23" t="s">
        <v>385</v>
      </c>
      <c r="E79" s="23" t="s">
        <v>530</v>
      </c>
      <c r="G79" s="20" t="str">
        <f t="shared" si="9"/>
        <v>JBK3E</v>
      </c>
      <c r="H79" s="20">
        <f t="shared" si="10"/>
        <v>94</v>
      </c>
      <c r="I79" s="20">
        <f t="shared" si="11"/>
        <v>12</v>
      </c>
      <c r="J79" s="20" t="str">
        <f t="shared" si="12"/>
        <v>27</v>
      </c>
      <c r="K79" s="20" t="str">
        <f t="shared" si="13"/>
        <v>12</v>
      </c>
      <c r="L79" s="20" t="str">
        <f t="shared" si="14"/>
        <v>2025</v>
      </c>
      <c r="M79" s="20" t="str">
        <f t="shared" si="15"/>
        <v>-</v>
      </c>
      <c r="N79" s="20" t="str">
        <f t="shared" si="16"/>
        <v>-</v>
      </c>
      <c r="O79" s="20" t="str">
        <f t="shared" si="17"/>
        <v>-</v>
      </c>
    </row>
    <row r="80" spans="1:15" ht="15" hidden="1" x14ac:dyDescent="0.25">
      <c r="A80" s="22" t="s">
        <v>551</v>
      </c>
      <c r="B80" s="23" t="s">
        <v>11</v>
      </c>
      <c r="C80" s="23" t="s">
        <v>19</v>
      </c>
      <c r="D80" s="23" t="s">
        <v>552</v>
      </c>
      <c r="E80" s="23" t="s">
        <v>553</v>
      </c>
      <c r="G80" s="20" t="str">
        <f t="shared" si="9"/>
        <v>JMH2E</v>
      </c>
      <c r="H80" s="20">
        <f t="shared" si="10"/>
        <v>19</v>
      </c>
      <c r="I80" s="20">
        <f t="shared" si="11"/>
        <v>12</v>
      </c>
      <c r="J80" s="20" t="str">
        <f t="shared" si="12"/>
        <v>23</v>
      </c>
      <c r="K80" s="20" t="str">
        <f t="shared" si="13"/>
        <v>02</v>
      </c>
      <c r="L80" s="20" t="str">
        <f t="shared" si="14"/>
        <v>2026</v>
      </c>
      <c r="M80" s="20" t="str">
        <f t="shared" si="15"/>
        <v>-</v>
      </c>
      <c r="N80" s="20" t="str">
        <f t="shared" si="16"/>
        <v>-</v>
      </c>
      <c r="O80" s="20" t="str">
        <f t="shared" si="17"/>
        <v>-</v>
      </c>
    </row>
    <row r="81" spans="1:15" ht="15" hidden="1" x14ac:dyDescent="0.25">
      <c r="A81" s="22" t="s">
        <v>554</v>
      </c>
      <c r="B81" s="23" t="s">
        <v>11</v>
      </c>
      <c r="C81" s="23" t="s">
        <v>41</v>
      </c>
      <c r="D81" s="23" t="s">
        <v>408</v>
      </c>
      <c r="E81" s="23" t="s">
        <v>555</v>
      </c>
      <c r="G81" s="20" t="str">
        <f t="shared" si="9"/>
        <v>JMH2E</v>
      </c>
      <c r="H81" s="20">
        <f t="shared" si="10"/>
        <v>36</v>
      </c>
      <c r="I81" s="20">
        <f t="shared" si="11"/>
        <v>12</v>
      </c>
      <c r="J81" s="20" t="str">
        <f t="shared" si="12"/>
        <v>18</v>
      </c>
      <c r="K81" s="20" t="str">
        <f t="shared" si="13"/>
        <v>02</v>
      </c>
      <c r="L81" s="20" t="str">
        <f t="shared" si="14"/>
        <v>2026</v>
      </c>
      <c r="M81" s="20" t="str">
        <f t="shared" si="15"/>
        <v>-</v>
      </c>
      <c r="N81" s="20" t="str">
        <f t="shared" si="16"/>
        <v>-</v>
      </c>
      <c r="O81" s="20" t="str">
        <f t="shared" si="17"/>
        <v>-</v>
      </c>
    </row>
    <row r="82" spans="1:15" ht="15" hidden="1" x14ac:dyDescent="0.25">
      <c r="A82" s="22" t="s">
        <v>556</v>
      </c>
      <c r="B82" s="23" t="s">
        <v>11</v>
      </c>
      <c r="C82" s="23" t="s">
        <v>557</v>
      </c>
      <c r="D82" s="23" t="s">
        <v>404</v>
      </c>
      <c r="E82" s="23" t="s">
        <v>259</v>
      </c>
      <c r="G82" s="20" t="str">
        <f t="shared" si="9"/>
        <v>JMH1E</v>
      </c>
      <c r="H82" s="20">
        <f t="shared" si="10"/>
        <v>28</v>
      </c>
      <c r="I82" s="20">
        <f t="shared" si="11"/>
        <v>12</v>
      </c>
      <c r="J82" s="20" t="str">
        <f t="shared" si="12"/>
        <v>27</v>
      </c>
      <c r="K82" s="20" t="str">
        <f t="shared" si="13"/>
        <v>02</v>
      </c>
      <c r="L82" s="20" t="str">
        <f t="shared" si="14"/>
        <v>2026</v>
      </c>
      <c r="M82" s="20" t="str">
        <f t="shared" si="15"/>
        <v>-</v>
      </c>
      <c r="N82" s="20" t="str">
        <f t="shared" si="16"/>
        <v>-</v>
      </c>
      <c r="O82" s="20" t="str">
        <f t="shared" si="17"/>
        <v>-</v>
      </c>
    </row>
    <row r="83" spans="1:15" ht="15" hidden="1" x14ac:dyDescent="0.25">
      <c r="A83" s="22" t="s">
        <v>558</v>
      </c>
      <c r="B83" s="23" t="s">
        <v>11</v>
      </c>
      <c r="C83" s="23" t="s">
        <v>559</v>
      </c>
      <c r="D83" s="23" t="s">
        <v>404</v>
      </c>
      <c r="E83" s="23" t="s">
        <v>560</v>
      </c>
      <c r="G83" s="20" t="str">
        <f t="shared" si="9"/>
        <v>JMH2E</v>
      </c>
      <c r="H83" s="20">
        <f t="shared" si="10"/>
        <v>43</v>
      </c>
      <c r="I83" s="20">
        <f t="shared" si="11"/>
        <v>12</v>
      </c>
      <c r="J83" s="20" t="str">
        <f t="shared" si="12"/>
        <v>12</v>
      </c>
      <c r="K83" s="20" t="str">
        <f t="shared" si="13"/>
        <v>02</v>
      </c>
      <c r="L83" s="20" t="str">
        <f t="shared" si="14"/>
        <v>2026</v>
      </c>
      <c r="M83" s="20" t="str">
        <f t="shared" si="15"/>
        <v>-</v>
      </c>
      <c r="N83" s="20" t="str">
        <f t="shared" si="16"/>
        <v>-</v>
      </c>
      <c r="O83" s="20" t="str">
        <f t="shared" si="17"/>
        <v>-</v>
      </c>
    </row>
    <row r="84" spans="1:15" ht="15" hidden="1" x14ac:dyDescent="0.25">
      <c r="A84" s="22" t="s">
        <v>561</v>
      </c>
      <c r="B84" s="23" t="s">
        <v>11</v>
      </c>
      <c r="C84" s="23" t="s">
        <v>47</v>
      </c>
      <c r="D84" s="23" t="s">
        <v>371</v>
      </c>
      <c r="E84" s="23" t="s">
        <v>562</v>
      </c>
      <c r="G84" s="20" t="str">
        <f t="shared" si="9"/>
        <v>JMH2E</v>
      </c>
      <c r="H84" s="20">
        <f t="shared" si="10"/>
        <v>67</v>
      </c>
      <c r="I84" s="20">
        <f t="shared" si="11"/>
        <v>12</v>
      </c>
      <c r="J84" s="20" t="str">
        <f t="shared" si="12"/>
        <v>20</v>
      </c>
      <c r="K84" s="20" t="str">
        <f t="shared" si="13"/>
        <v>01</v>
      </c>
      <c r="L84" s="20" t="str">
        <f t="shared" si="14"/>
        <v>2026</v>
      </c>
      <c r="M84" s="20" t="str">
        <f t="shared" si="15"/>
        <v>-</v>
      </c>
      <c r="N84" s="20" t="str">
        <f t="shared" si="16"/>
        <v>-</v>
      </c>
      <c r="O84" s="20" t="str">
        <f t="shared" si="17"/>
        <v>-</v>
      </c>
    </row>
    <row r="85" spans="1:15" ht="15" hidden="1" x14ac:dyDescent="0.25">
      <c r="A85" s="22" t="s">
        <v>563</v>
      </c>
      <c r="B85" s="23" t="s">
        <v>11</v>
      </c>
      <c r="C85" s="23" t="s">
        <v>564</v>
      </c>
      <c r="D85" s="23" t="s">
        <v>385</v>
      </c>
      <c r="E85" s="23" t="s">
        <v>89</v>
      </c>
      <c r="G85" s="20" t="str">
        <f t="shared" si="9"/>
        <v>JMH1E</v>
      </c>
      <c r="H85" s="20">
        <f t="shared" si="10"/>
        <v>60</v>
      </c>
      <c r="I85" s="20">
        <f t="shared" si="11"/>
        <v>12</v>
      </c>
      <c r="J85" s="20" t="str">
        <f t="shared" si="12"/>
        <v>30</v>
      </c>
      <c r="K85" s="20" t="str">
        <f t="shared" si="13"/>
        <v>01</v>
      </c>
      <c r="L85" s="20" t="str">
        <f t="shared" si="14"/>
        <v>2026</v>
      </c>
      <c r="M85" s="20" t="str">
        <f t="shared" si="15"/>
        <v>-</v>
      </c>
      <c r="N85" s="20" t="str">
        <f t="shared" si="16"/>
        <v>-</v>
      </c>
      <c r="O85" s="20" t="str">
        <f t="shared" si="17"/>
        <v>-</v>
      </c>
    </row>
    <row r="86" spans="1:15" ht="15" hidden="1" x14ac:dyDescent="0.25">
      <c r="A86" s="22" t="s">
        <v>565</v>
      </c>
      <c r="B86" s="23" t="s">
        <v>11</v>
      </c>
      <c r="C86" s="23" t="s">
        <v>566</v>
      </c>
      <c r="D86" s="23" t="s">
        <v>385</v>
      </c>
      <c r="E86" s="23" t="s">
        <v>567</v>
      </c>
      <c r="G86" s="20" t="str">
        <f t="shared" si="9"/>
        <v>JMH2E</v>
      </c>
      <c r="H86" s="20">
        <f t="shared" si="10"/>
        <v>75</v>
      </c>
      <c r="I86" s="20">
        <f t="shared" si="11"/>
        <v>12</v>
      </c>
      <c r="J86" s="20" t="str">
        <f t="shared" si="12"/>
        <v>15</v>
      </c>
      <c r="K86" s="20" t="str">
        <f t="shared" si="13"/>
        <v>01</v>
      </c>
      <c r="L86" s="20" t="str">
        <f t="shared" si="14"/>
        <v>2026</v>
      </c>
      <c r="M86" s="20" t="str">
        <f t="shared" si="15"/>
        <v>tolong cek</v>
      </c>
      <c r="N86" s="20" t="str">
        <f t="shared" si="16"/>
        <v>-</v>
      </c>
      <c r="O86" s="20" t="str">
        <f t="shared" si="17"/>
        <v>-</v>
      </c>
    </row>
    <row r="87" spans="1:15" ht="15" hidden="1" x14ac:dyDescent="0.25">
      <c r="A87" s="22" t="s">
        <v>568</v>
      </c>
      <c r="B87" s="23" t="s">
        <v>16</v>
      </c>
      <c r="C87" s="23" t="s">
        <v>123</v>
      </c>
      <c r="D87" s="23" t="s">
        <v>408</v>
      </c>
      <c r="E87" s="23" t="s">
        <v>569</v>
      </c>
      <c r="G87" s="20" t="str">
        <f t="shared" si="9"/>
        <v>JMH2E</v>
      </c>
      <c r="H87" s="20">
        <f t="shared" si="10"/>
        <v>97</v>
      </c>
      <c r="I87" s="20">
        <f t="shared" si="11"/>
        <v>12</v>
      </c>
      <c r="J87" s="20" t="str">
        <f t="shared" si="12"/>
        <v>19</v>
      </c>
      <c r="K87" s="20" t="str">
        <f t="shared" si="13"/>
        <v>12</v>
      </c>
      <c r="L87" s="20" t="str">
        <f t="shared" si="14"/>
        <v>2025</v>
      </c>
      <c r="M87" s="20" t="str">
        <f t="shared" si="15"/>
        <v>-</v>
      </c>
      <c r="N87" s="20" t="str">
        <f t="shared" si="16"/>
        <v>-</v>
      </c>
      <c r="O87" s="20" t="str">
        <f t="shared" si="17"/>
        <v>-</v>
      </c>
    </row>
    <row r="88" spans="1:15" ht="15" hidden="1" x14ac:dyDescent="0.25">
      <c r="A88" s="22" t="s">
        <v>570</v>
      </c>
      <c r="B88" s="23" t="s">
        <v>16</v>
      </c>
      <c r="C88" s="23" t="s">
        <v>66</v>
      </c>
      <c r="D88" s="23" t="s">
        <v>371</v>
      </c>
      <c r="E88" s="23" t="s">
        <v>571</v>
      </c>
      <c r="G88" s="20" t="str">
        <f t="shared" si="9"/>
        <v>JMH2E</v>
      </c>
      <c r="H88" s="20">
        <f t="shared" si="10"/>
        <v>65</v>
      </c>
      <c r="I88" s="20">
        <f t="shared" si="11"/>
        <v>12</v>
      </c>
      <c r="J88" s="20" t="str">
        <f t="shared" si="12"/>
        <v>22</v>
      </c>
      <c r="K88" s="20" t="str">
        <f t="shared" si="13"/>
        <v>01</v>
      </c>
      <c r="L88" s="20" t="str">
        <f t="shared" si="14"/>
        <v>2026</v>
      </c>
      <c r="M88" s="20" t="str">
        <f t="shared" si="15"/>
        <v>-</v>
      </c>
      <c r="N88" s="20" t="str">
        <f t="shared" si="16"/>
        <v>-</v>
      </c>
      <c r="O88" s="20" t="str">
        <f t="shared" si="17"/>
        <v>-</v>
      </c>
    </row>
    <row r="89" spans="1:15" ht="15" hidden="1" x14ac:dyDescent="0.25">
      <c r="A89" s="22" t="s">
        <v>572</v>
      </c>
      <c r="B89" s="23" t="s">
        <v>17</v>
      </c>
      <c r="C89" s="23" t="s">
        <v>573</v>
      </c>
      <c r="D89" s="23" t="s">
        <v>385</v>
      </c>
      <c r="E89" s="23" t="s">
        <v>574</v>
      </c>
      <c r="G89" s="20" t="str">
        <f t="shared" si="9"/>
        <v>JMH2E</v>
      </c>
      <c r="H89" s="20">
        <f t="shared" si="10"/>
        <v>93</v>
      </c>
      <c r="I89" s="20">
        <f t="shared" si="11"/>
        <v>12</v>
      </c>
      <c r="J89" s="20" t="str">
        <f t="shared" si="12"/>
        <v>28</v>
      </c>
      <c r="K89" s="20" t="str">
        <f t="shared" si="13"/>
        <v>12</v>
      </c>
      <c r="L89" s="20" t="str">
        <f t="shared" si="14"/>
        <v>2025</v>
      </c>
      <c r="M89" s="20" t="str">
        <f t="shared" si="15"/>
        <v>-</v>
      </c>
      <c r="N89" s="20" t="str">
        <f t="shared" si="16"/>
        <v>-</v>
      </c>
      <c r="O89" s="20" t="str">
        <f t="shared" si="17"/>
        <v>-</v>
      </c>
    </row>
    <row r="90" spans="1:15" ht="15" hidden="1" x14ac:dyDescent="0.25">
      <c r="A90" s="22" t="s">
        <v>575</v>
      </c>
      <c r="B90" s="23" t="s">
        <v>18</v>
      </c>
      <c r="C90" s="23" t="s">
        <v>576</v>
      </c>
      <c r="D90" s="23" t="s">
        <v>369</v>
      </c>
      <c r="E90" s="23" t="s">
        <v>577</v>
      </c>
      <c r="G90" s="20" t="str">
        <f t="shared" si="9"/>
        <v>JMH2E</v>
      </c>
      <c r="H90" s="20">
        <f t="shared" si="10"/>
        <v>234</v>
      </c>
      <c r="I90" s="20">
        <f t="shared" si="11"/>
        <v>12</v>
      </c>
      <c r="J90" s="20" t="str">
        <f t="shared" si="12"/>
        <v>08</v>
      </c>
      <c r="K90" s="20" t="str">
        <f t="shared" si="13"/>
        <v>08</v>
      </c>
      <c r="L90" s="20" t="str">
        <f t="shared" si="14"/>
        <v>2025</v>
      </c>
      <c r="M90" s="20" t="str">
        <f t="shared" si="15"/>
        <v>-</v>
      </c>
      <c r="N90" s="20" t="str">
        <f t="shared" si="16"/>
        <v>-</v>
      </c>
      <c r="O90" s="20" t="str">
        <f t="shared" si="17"/>
        <v>-</v>
      </c>
    </row>
    <row r="91" spans="1:15" ht="15" hidden="1" x14ac:dyDescent="0.25">
      <c r="A91" s="22" t="s">
        <v>578</v>
      </c>
      <c r="B91" s="23" t="s">
        <v>18</v>
      </c>
      <c r="C91" s="23" t="s">
        <v>548</v>
      </c>
      <c r="D91" s="23" t="s">
        <v>385</v>
      </c>
      <c r="E91" s="23" t="s">
        <v>579</v>
      </c>
      <c r="G91" s="20" t="str">
        <f t="shared" si="9"/>
        <v>JMH1E</v>
      </c>
      <c r="H91" s="20">
        <f t="shared" si="10"/>
        <v>270</v>
      </c>
      <c r="I91" s="20">
        <f t="shared" si="11"/>
        <v>12</v>
      </c>
      <c r="J91" s="20" t="str">
        <f t="shared" si="12"/>
        <v>04</v>
      </c>
      <c r="K91" s="20" t="str">
        <f t="shared" si="13"/>
        <v>07</v>
      </c>
      <c r="L91" s="20" t="str">
        <f t="shared" si="14"/>
        <v>2025</v>
      </c>
      <c r="M91" s="20" t="str">
        <f t="shared" si="15"/>
        <v>-</v>
      </c>
      <c r="N91" s="20" t="str">
        <f t="shared" si="16"/>
        <v>-</v>
      </c>
      <c r="O91" s="20" t="str">
        <f t="shared" si="17"/>
        <v>-</v>
      </c>
    </row>
    <row r="92" spans="1:15" ht="15" hidden="1" x14ac:dyDescent="0.25">
      <c r="A92" s="22" t="s">
        <v>580</v>
      </c>
      <c r="B92" s="23" t="s">
        <v>18</v>
      </c>
      <c r="C92" s="23" t="s">
        <v>22</v>
      </c>
      <c r="D92" s="23" t="s">
        <v>385</v>
      </c>
      <c r="E92" s="23" t="s">
        <v>324</v>
      </c>
      <c r="G92" s="20" t="str">
        <f t="shared" si="9"/>
        <v>JMH2E</v>
      </c>
      <c r="H92" s="20">
        <f t="shared" si="10"/>
        <v>155</v>
      </c>
      <c r="I92" s="20">
        <f t="shared" si="11"/>
        <v>12</v>
      </c>
      <c r="J92" s="20" t="str">
        <f t="shared" si="12"/>
        <v>27</v>
      </c>
      <c r="K92" s="20" t="str">
        <f t="shared" si="13"/>
        <v>10</v>
      </c>
      <c r="L92" s="20" t="str">
        <f t="shared" si="14"/>
        <v>2025</v>
      </c>
      <c r="M92" s="20" t="str">
        <f t="shared" si="15"/>
        <v>-</v>
      </c>
      <c r="N92" s="20" t="str">
        <f t="shared" si="16"/>
        <v>-</v>
      </c>
      <c r="O92" s="20" t="str">
        <f t="shared" si="17"/>
        <v>-</v>
      </c>
    </row>
    <row r="93" spans="1:15" ht="15" hidden="1" x14ac:dyDescent="0.25">
      <c r="A93" s="22" t="s">
        <v>581</v>
      </c>
      <c r="B93" s="23" t="s">
        <v>11</v>
      </c>
      <c r="C93" s="23" t="s">
        <v>424</v>
      </c>
      <c r="D93" s="23" t="s">
        <v>408</v>
      </c>
      <c r="E93" s="23" t="s">
        <v>209</v>
      </c>
      <c r="G93" s="20" t="str">
        <f t="shared" si="9"/>
        <v>KFC1E</v>
      </c>
      <c r="H93" s="20">
        <f t="shared" si="10"/>
        <v>24</v>
      </c>
      <c r="I93" s="20">
        <f t="shared" si="11"/>
        <v>12</v>
      </c>
      <c r="J93" s="20" t="str">
        <f t="shared" si="12"/>
        <v>02</v>
      </c>
      <c r="K93" s="20" t="str">
        <f t="shared" si="13"/>
        <v>03</v>
      </c>
      <c r="L93" s="20" t="str">
        <f t="shared" si="14"/>
        <v>2026</v>
      </c>
      <c r="M93" s="20" t="str">
        <f t="shared" si="15"/>
        <v>-</v>
      </c>
      <c r="N93" s="20" t="str">
        <f t="shared" si="16"/>
        <v>-</v>
      </c>
      <c r="O93" s="20" t="str">
        <f t="shared" si="17"/>
        <v>-</v>
      </c>
    </row>
    <row r="94" spans="1:15" ht="15" hidden="1" x14ac:dyDescent="0.25">
      <c r="A94" s="22" t="s">
        <v>582</v>
      </c>
      <c r="B94" s="23" t="s">
        <v>11</v>
      </c>
      <c r="C94" s="23" t="s">
        <v>403</v>
      </c>
      <c r="D94" s="23" t="s">
        <v>408</v>
      </c>
      <c r="E94" s="23" t="s">
        <v>583</v>
      </c>
      <c r="G94" s="20" t="str">
        <f t="shared" si="9"/>
        <v>KFC1E</v>
      </c>
      <c r="H94" s="20">
        <f t="shared" si="10"/>
        <v>35</v>
      </c>
      <c r="I94" s="20">
        <f t="shared" si="11"/>
        <v>12</v>
      </c>
      <c r="J94" s="20" t="str">
        <f t="shared" si="12"/>
        <v>19</v>
      </c>
      <c r="K94" s="20" t="str">
        <f t="shared" si="13"/>
        <v>02</v>
      </c>
      <c r="L94" s="20" t="str">
        <f t="shared" si="14"/>
        <v>2026</v>
      </c>
      <c r="M94" s="20" t="str">
        <f t="shared" si="15"/>
        <v>-</v>
      </c>
      <c r="N94" s="20" t="str">
        <f t="shared" si="16"/>
        <v>-</v>
      </c>
      <c r="O94" s="20" t="str">
        <f t="shared" si="17"/>
        <v>-</v>
      </c>
    </row>
    <row r="95" spans="1:15" ht="15" hidden="1" x14ac:dyDescent="0.25">
      <c r="A95" s="22" t="s">
        <v>584</v>
      </c>
      <c r="B95" s="23" t="s">
        <v>11</v>
      </c>
      <c r="C95" s="23" t="s">
        <v>559</v>
      </c>
      <c r="D95" s="23" t="s">
        <v>385</v>
      </c>
      <c r="E95" s="23" t="s">
        <v>358</v>
      </c>
      <c r="G95" s="20" t="str">
        <f t="shared" si="9"/>
        <v>KFC1E</v>
      </c>
      <c r="H95" s="20">
        <f t="shared" si="10"/>
        <v>47</v>
      </c>
      <c r="I95" s="20">
        <f t="shared" si="11"/>
        <v>12</v>
      </c>
      <c r="J95" s="20" t="str">
        <f t="shared" si="12"/>
        <v>12</v>
      </c>
      <c r="K95" s="20" t="str">
        <f t="shared" si="13"/>
        <v>02</v>
      </c>
      <c r="L95" s="20" t="str">
        <f t="shared" si="14"/>
        <v>2026</v>
      </c>
      <c r="M95" s="20" t="str">
        <f t="shared" si="15"/>
        <v>-</v>
      </c>
      <c r="N95" s="20" t="str">
        <f t="shared" si="16"/>
        <v>-</v>
      </c>
      <c r="O95" s="20" t="str">
        <f t="shared" si="17"/>
        <v>-</v>
      </c>
    </row>
    <row r="96" spans="1:15" ht="15" hidden="1" x14ac:dyDescent="0.25">
      <c r="A96" s="22" t="s">
        <v>585</v>
      </c>
      <c r="B96" s="23" t="s">
        <v>11</v>
      </c>
      <c r="C96" s="23" t="s">
        <v>282</v>
      </c>
      <c r="D96" s="23" t="s">
        <v>404</v>
      </c>
      <c r="E96" s="23" t="s">
        <v>358</v>
      </c>
      <c r="G96" s="20" t="str">
        <f t="shared" si="9"/>
        <v>JBP1E</v>
      </c>
      <c r="H96" s="20">
        <f t="shared" si="10"/>
        <v>21</v>
      </c>
      <c r="I96" s="20">
        <f t="shared" si="11"/>
        <v>12</v>
      </c>
      <c r="J96" s="20" t="str">
        <f t="shared" si="12"/>
        <v>06</v>
      </c>
      <c r="K96" s="20" t="str">
        <f t="shared" si="13"/>
        <v>03</v>
      </c>
      <c r="L96" s="20" t="str">
        <f t="shared" si="14"/>
        <v>2026</v>
      </c>
      <c r="M96" s="20" t="str">
        <f t="shared" si="15"/>
        <v>-</v>
      </c>
      <c r="N96" s="20" t="str">
        <f t="shared" si="16"/>
        <v>-</v>
      </c>
      <c r="O96" s="20" t="str">
        <f t="shared" si="17"/>
        <v>-</v>
      </c>
    </row>
    <row r="97" spans="1:15" ht="15" hidden="1" x14ac:dyDescent="0.25">
      <c r="A97" s="22" t="s">
        <v>586</v>
      </c>
      <c r="B97" s="23" t="s">
        <v>11</v>
      </c>
      <c r="C97" s="23" t="s">
        <v>20</v>
      </c>
      <c r="D97" s="23" t="s">
        <v>404</v>
      </c>
      <c r="E97" s="23" t="s">
        <v>358</v>
      </c>
      <c r="G97" s="20" t="str">
        <f t="shared" si="9"/>
        <v>JBP1E</v>
      </c>
      <c r="H97" s="20">
        <f t="shared" si="10"/>
        <v>44</v>
      </c>
      <c r="I97" s="20">
        <f t="shared" si="11"/>
        <v>12</v>
      </c>
      <c r="J97" s="20" t="str">
        <f t="shared" si="12"/>
        <v>11</v>
      </c>
      <c r="K97" s="20" t="str">
        <f t="shared" si="13"/>
        <v>02</v>
      </c>
      <c r="L97" s="20" t="str">
        <f t="shared" si="14"/>
        <v>2026</v>
      </c>
      <c r="M97" s="20" t="str">
        <f t="shared" si="15"/>
        <v>-</v>
      </c>
      <c r="N97" s="20" t="str">
        <f t="shared" si="16"/>
        <v>-</v>
      </c>
      <c r="O97" s="20" t="str">
        <f t="shared" si="17"/>
        <v>-</v>
      </c>
    </row>
    <row r="98" spans="1:15" ht="15" hidden="1" x14ac:dyDescent="0.25">
      <c r="A98" s="22" t="s">
        <v>587</v>
      </c>
      <c r="B98" s="23" t="s">
        <v>11</v>
      </c>
      <c r="C98" s="23" t="s">
        <v>588</v>
      </c>
      <c r="D98" s="23" t="s">
        <v>369</v>
      </c>
      <c r="E98" s="23" t="s">
        <v>209</v>
      </c>
      <c r="G98" s="20" t="str">
        <f t="shared" si="9"/>
        <v>JBP1E</v>
      </c>
      <c r="H98" s="20">
        <f t="shared" si="10"/>
        <v>49</v>
      </c>
      <c r="I98" s="20">
        <f t="shared" si="11"/>
        <v>12</v>
      </c>
      <c r="J98" s="20" t="str">
        <f t="shared" si="12"/>
        <v>09</v>
      </c>
      <c r="K98" s="20" t="str">
        <f t="shared" si="13"/>
        <v>02</v>
      </c>
      <c r="L98" s="20" t="str">
        <f t="shared" si="14"/>
        <v>2026</v>
      </c>
      <c r="M98" s="20" t="str">
        <f t="shared" si="15"/>
        <v>-</v>
      </c>
      <c r="N98" s="20" t="str">
        <f t="shared" si="16"/>
        <v>-</v>
      </c>
      <c r="O98" s="20" t="str">
        <f t="shared" si="17"/>
        <v>-</v>
      </c>
    </row>
    <row r="99" spans="1:15" ht="15" hidden="1" x14ac:dyDescent="0.25">
      <c r="A99" s="22" t="s">
        <v>589</v>
      </c>
      <c r="B99" s="23" t="s">
        <v>11</v>
      </c>
      <c r="C99" s="23" t="s">
        <v>559</v>
      </c>
      <c r="D99" s="23" t="s">
        <v>369</v>
      </c>
      <c r="E99" s="23" t="s">
        <v>590</v>
      </c>
      <c r="G99" s="20" t="str">
        <f t="shared" si="9"/>
        <v>JBP1E</v>
      </c>
      <c r="H99" s="20">
        <f t="shared" si="10"/>
        <v>46</v>
      </c>
      <c r="I99" s="20">
        <f t="shared" si="11"/>
        <v>12</v>
      </c>
      <c r="J99" s="20" t="str">
        <f t="shared" si="12"/>
        <v>12</v>
      </c>
      <c r="K99" s="20" t="str">
        <f t="shared" si="13"/>
        <v>02</v>
      </c>
      <c r="L99" s="20" t="str">
        <f t="shared" si="14"/>
        <v>2026</v>
      </c>
      <c r="M99" s="20" t="str">
        <f t="shared" si="15"/>
        <v>-</v>
      </c>
      <c r="N99" s="20" t="str">
        <f t="shared" si="16"/>
        <v>-</v>
      </c>
      <c r="O99" s="20" t="str">
        <f t="shared" si="17"/>
        <v>-</v>
      </c>
    </row>
    <row r="100" spans="1:15" ht="15" hidden="1" x14ac:dyDescent="0.25">
      <c r="A100" s="22" t="s">
        <v>591</v>
      </c>
      <c r="B100" s="23" t="s">
        <v>11</v>
      </c>
      <c r="C100" s="23" t="s">
        <v>559</v>
      </c>
      <c r="D100" s="23" t="s">
        <v>373</v>
      </c>
      <c r="E100" s="23" t="s">
        <v>334</v>
      </c>
      <c r="G100" s="20" t="str">
        <f t="shared" si="9"/>
        <v>JMK1E</v>
      </c>
      <c r="H100" s="20">
        <f t="shared" si="10"/>
        <v>45</v>
      </c>
      <c r="I100" s="20">
        <f t="shared" si="11"/>
        <v>12</v>
      </c>
      <c r="J100" s="20" t="str">
        <f t="shared" si="12"/>
        <v>12</v>
      </c>
      <c r="K100" s="20" t="str">
        <f t="shared" si="13"/>
        <v>02</v>
      </c>
      <c r="L100" s="20" t="str">
        <f t="shared" si="14"/>
        <v>2026</v>
      </c>
      <c r="M100" s="20" t="str">
        <f t="shared" si="15"/>
        <v>-</v>
      </c>
      <c r="N100" s="20" t="str">
        <f t="shared" si="16"/>
        <v>-</v>
      </c>
      <c r="O100" s="20" t="str">
        <f t="shared" si="17"/>
        <v>-</v>
      </c>
    </row>
    <row r="101" spans="1:15" ht="15" hidden="1" x14ac:dyDescent="0.25">
      <c r="A101" s="22" t="s">
        <v>592</v>
      </c>
      <c r="B101" s="23" t="s">
        <v>16</v>
      </c>
      <c r="C101" s="23" t="s">
        <v>338</v>
      </c>
      <c r="D101" s="23" t="s">
        <v>593</v>
      </c>
      <c r="E101" s="23" t="s">
        <v>594</v>
      </c>
      <c r="G101" s="20" t="str">
        <f t="shared" si="9"/>
        <v>JMK1E</v>
      </c>
      <c r="H101" s="20">
        <f t="shared" si="10"/>
        <v>66</v>
      </c>
      <c r="I101" s="20">
        <f t="shared" si="11"/>
        <v>12</v>
      </c>
      <c r="J101" s="20" t="str">
        <f t="shared" si="12"/>
        <v>06</v>
      </c>
      <c r="K101" s="20" t="str">
        <f t="shared" si="13"/>
        <v>01</v>
      </c>
      <c r="L101" s="20" t="str">
        <f t="shared" si="14"/>
        <v>2026</v>
      </c>
      <c r="M101" s="20" t="str">
        <f t="shared" si="15"/>
        <v>-</v>
      </c>
      <c r="N101" s="20" t="str">
        <f t="shared" si="16"/>
        <v>-</v>
      </c>
      <c r="O101" s="20" t="str">
        <f t="shared" si="17"/>
        <v>-</v>
      </c>
    </row>
    <row r="102" spans="1:15" ht="15" hidden="1" x14ac:dyDescent="0.25">
      <c r="A102" s="22" t="s">
        <v>595</v>
      </c>
      <c r="B102" s="23" t="s">
        <v>16</v>
      </c>
      <c r="C102" s="23" t="s">
        <v>362</v>
      </c>
      <c r="D102" s="23" t="s">
        <v>404</v>
      </c>
      <c r="E102" s="23" t="s">
        <v>596</v>
      </c>
      <c r="G102" s="20" t="str">
        <f t="shared" si="9"/>
        <v>JMC1E</v>
      </c>
      <c r="H102" s="20">
        <f t="shared" si="10"/>
        <v>130</v>
      </c>
      <c r="I102" s="20">
        <f t="shared" si="11"/>
        <v>12</v>
      </c>
      <c r="J102" s="20" t="str">
        <f t="shared" si="12"/>
        <v>17</v>
      </c>
      <c r="K102" s="20" t="str">
        <f t="shared" si="13"/>
        <v>11</v>
      </c>
      <c r="L102" s="20" t="str">
        <f t="shared" si="14"/>
        <v>2025</v>
      </c>
      <c r="M102" s="20" t="str">
        <f t="shared" si="15"/>
        <v>-</v>
      </c>
      <c r="N102" s="20" t="str">
        <f t="shared" si="16"/>
        <v>-</v>
      </c>
      <c r="O102" s="20" t="str">
        <f t="shared" si="17"/>
        <v>-</v>
      </c>
    </row>
    <row r="103" spans="1:15" ht="15" hidden="1" x14ac:dyDescent="0.25">
      <c r="A103" s="22" t="s">
        <v>597</v>
      </c>
      <c r="B103" s="23" t="s">
        <v>16</v>
      </c>
      <c r="C103" s="23" t="s">
        <v>251</v>
      </c>
      <c r="D103" s="23" t="s">
        <v>385</v>
      </c>
      <c r="E103" s="23" t="s">
        <v>399</v>
      </c>
      <c r="G103" s="20" t="str">
        <f t="shared" si="9"/>
        <v>JMK1E</v>
      </c>
      <c r="H103" s="20">
        <f t="shared" si="10"/>
        <v>77</v>
      </c>
      <c r="I103" s="20">
        <f t="shared" si="11"/>
        <v>12</v>
      </c>
      <c r="J103" s="20" t="str">
        <f t="shared" si="12"/>
        <v>13</v>
      </c>
      <c r="K103" s="20" t="str">
        <f t="shared" si="13"/>
        <v>01</v>
      </c>
      <c r="L103" s="20" t="str">
        <f t="shared" si="14"/>
        <v>2026</v>
      </c>
      <c r="M103" s="20" t="str">
        <f t="shared" si="15"/>
        <v>-</v>
      </c>
      <c r="N103" s="20" t="str">
        <f t="shared" si="16"/>
        <v>-</v>
      </c>
      <c r="O103" s="20" t="str">
        <f t="shared" si="17"/>
        <v>-</v>
      </c>
    </row>
    <row r="104" spans="1:15" ht="15" hidden="1" x14ac:dyDescent="0.25">
      <c r="A104" s="22" t="s">
        <v>598</v>
      </c>
      <c r="B104" s="23" t="s">
        <v>16</v>
      </c>
      <c r="C104" s="23" t="s">
        <v>255</v>
      </c>
      <c r="D104" s="23" t="s">
        <v>385</v>
      </c>
      <c r="E104" s="23" t="s">
        <v>571</v>
      </c>
      <c r="G104" s="20" t="str">
        <f t="shared" si="9"/>
        <v>JMD1E</v>
      </c>
      <c r="H104" s="20">
        <f t="shared" si="10"/>
        <v>101</v>
      </c>
      <c r="I104" s="20">
        <f t="shared" si="11"/>
        <v>12</v>
      </c>
      <c r="J104" s="20" t="str">
        <f t="shared" si="12"/>
        <v>20</v>
      </c>
      <c r="K104" s="20" t="str">
        <f t="shared" si="13"/>
        <v>12</v>
      </c>
      <c r="L104" s="20" t="str">
        <f t="shared" si="14"/>
        <v>2025</v>
      </c>
      <c r="M104" s="20" t="str">
        <f t="shared" si="15"/>
        <v>-</v>
      </c>
      <c r="N104" s="20" t="str">
        <f t="shared" si="16"/>
        <v>-</v>
      </c>
      <c r="O104" s="20" t="str">
        <f t="shared" si="17"/>
        <v>-</v>
      </c>
    </row>
    <row r="105" spans="1:15" ht="15" hidden="1" x14ac:dyDescent="0.25">
      <c r="A105" s="22" t="s">
        <v>599</v>
      </c>
      <c r="B105" s="23" t="s">
        <v>18</v>
      </c>
      <c r="C105" s="23" t="s">
        <v>600</v>
      </c>
      <c r="D105" s="23" t="s">
        <v>385</v>
      </c>
      <c r="E105" s="23" t="s">
        <v>601</v>
      </c>
      <c r="G105" s="20" t="str">
        <f t="shared" si="9"/>
        <v>JMC1E</v>
      </c>
      <c r="H105" s="20">
        <f t="shared" si="10"/>
        <v>191</v>
      </c>
      <c r="I105" s="20">
        <f t="shared" si="11"/>
        <v>12</v>
      </c>
      <c r="J105" s="20" t="str">
        <f t="shared" si="12"/>
        <v>21</v>
      </c>
      <c r="K105" s="20" t="str">
        <f t="shared" si="13"/>
        <v>09</v>
      </c>
      <c r="L105" s="20" t="str">
        <f t="shared" si="14"/>
        <v>2025</v>
      </c>
      <c r="M105" s="20" t="str">
        <f t="shared" si="15"/>
        <v>-</v>
      </c>
      <c r="N105" s="20" t="str">
        <f t="shared" si="16"/>
        <v>-</v>
      </c>
      <c r="O105" s="20" t="str">
        <f t="shared" si="17"/>
        <v>-</v>
      </c>
    </row>
    <row r="106" spans="1:15" ht="15" hidden="1" x14ac:dyDescent="0.25">
      <c r="A106" s="22" t="s">
        <v>602</v>
      </c>
      <c r="B106" s="23" t="s">
        <v>11</v>
      </c>
      <c r="C106" s="23" t="s">
        <v>422</v>
      </c>
      <c r="D106" s="23" t="s">
        <v>371</v>
      </c>
      <c r="E106" s="23" t="s">
        <v>603</v>
      </c>
      <c r="G106" s="20" t="str">
        <f t="shared" si="9"/>
        <v>KFA1E</v>
      </c>
      <c r="H106" s="20">
        <f t="shared" si="10"/>
        <v>16</v>
      </c>
      <c r="I106" s="20">
        <f t="shared" si="11"/>
        <v>12</v>
      </c>
      <c r="J106" s="20" t="str">
        <f t="shared" si="12"/>
        <v>12</v>
      </c>
      <c r="K106" s="20" t="str">
        <f t="shared" si="13"/>
        <v>03</v>
      </c>
      <c r="L106" s="20" t="str">
        <f t="shared" si="14"/>
        <v>2026</v>
      </c>
      <c r="M106" s="20" t="str">
        <f t="shared" si="15"/>
        <v>-</v>
      </c>
      <c r="N106" s="20" t="str">
        <f t="shared" si="16"/>
        <v>-</v>
      </c>
      <c r="O106" s="20" t="str">
        <f t="shared" si="17"/>
        <v>-</v>
      </c>
    </row>
    <row r="107" spans="1:15" ht="15" hidden="1" x14ac:dyDescent="0.25">
      <c r="A107" s="22" t="s">
        <v>139</v>
      </c>
      <c r="B107" s="23" t="s">
        <v>17</v>
      </c>
      <c r="C107" s="23" t="s">
        <v>140</v>
      </c>
      <c r="D107" s="23" t="s">
        <v>371</v>
      </c>
      <c r="E107" s="23" t="s">
        <v>604</v>
      </c>
      <c r="G107" s="20" t="str">
        <f t="shared" si="9"/>
        <v>KF01E</v>
      </c>
      <c r="H107" s="20">
        <f t="shared" si="10"/>
        <v>183</v>
      </c>
      <c r="I107" s="20">
        <f t="shared" si="11"/>
        <v>12</v>
      </c>
      <c r="J107" s="20" t="str">
        <f t="shared" si="12"/>
        <v>26</v>
      </c>
      <c r="K107" s="20" t="str">
        <f t="shared" si="13"/>
        <v>09</v>
      </c>
      <c r="L107" s="20" t="str">
        <f t="shared" si="14"/>
        <v>2025</v>
      </c>
      <c r="M107" s="20" t="str">
        <f t="shared" si="15"/>
        <v>-</v>
      </c>
      <c r="N107" s="20" t="str">
        <f t="shared" si="16"/>
        <v>-</v>
      </c>
      <c r="O107" s="20" t="str">
        <f t="shared" si="17"/>
        <v>-</v>
      </c>
    </row>
    <row r="108" spans="1:15" ht="15" hidden="1" x14ac:dyDescent="0.25">
      <c r="A108" s="22" t="s">
        <v>605</v>
      </c>
      <c r="B108" s="23" t="s">
        <v>11</v>
      </c>
      <c r="C108" s="23" t="s">
        <v>25</v>
      </c>
      <c r="D108" s="23" t="s">
        <v>408</v>
      </c>
      <c r="E108" s="23" t="s">
        <v>209</v>
      </c>
      <c r="G108" s="20" t="str">
        <f t="shared" si="9"/>
        <v>KC04E</v>
      </c>
      <c r="H108" s="20">
        <f t="shared" si="10"/>
        <v>15</v>
      </c>
      <c r="I108" s="20">
        <f t="shared" si="11"/>
        <v>12</v>
      </c>
      <c r="J108" s="20" t="str">
        <f t="shared" si="12"/>
        <v>11</v>
      </c>
      <c r="K108" s="20" t="str">
        <f t="shared" si="13"/>
        <v>03</v>
      </c>
      <c r="L108" s="20" t="str">
        <f t="shared" si="14"/>
        <v>2026</v>
      </c>
      <c r="M108" s="20" t="str">
        <f t="shared" si="15"/>
        <v>-</v>
      </c>
      <c r="N108" s="20" t="str">
        <f t="shared" si="16"/>
        <v>-</v>
      </c>
      <c r="O108" s="20" t="str">
        <f t="shared" si="17"/>
        <v>-</v>
      </c>
    </row>
    <row r="109" spans="1:15" ht="15" hidden="1" x14ac:dyDescent="0.25">
      <c r="A109" s="22" t="s">
        <v>606</v>
      </c>
      <c r="B109" s="23" t="s">
        <v>11</v>
      </c>
      <c r="C109" s="23" t="s">
        <v>130</v>
      </c>
      <c r="D109" s="23" t="s">
        <v>404</v>
      </c>
      <c r="E109" s="23" t="s">
        <v>607</v>
      </c>
      <c r="G109" s="20" t="str">
        <f t="shared" si="9"/>
        <v>KC04E</v>
      </c>
      <c r="H109" s="20">
        <f t="shared" si="10"/>
        <v>30</v>
      </c>
      <c r="I109" s="20">
        <f t="shared" si="11"/>
        <v>12</v>
      </c>
      <c r="J109" s="20" t="str">
        <f t="shared" si="12"/>
        <v>25</v>
      </c>
      <c r="K109" s="20" t="str">
        <f t="shared" si="13"/>
        <v>02</v>
      </c>
      <c r="L109" s="20" t="str">
        <f t="shared" si="14"/>
        <v>2026</v>
      </c>
      <c r="M109" s="20" t="str">
        <f t="shared" si="15"/>
        <v>-</v>
      </c>
      <c r="N109" s="20" t="str">
        <f t="shared" si="16"/>
        <v>-</v>
      </c>
      <c r="O109" s="20" t="str">
        <f t="shared" si="17"/>
        <v>-</v>
      </c>
    </row>
    <row r="110" spans="1:15" ht="15" hidden="1" x14ac:dyDescent="0.25">
      <c r="A110" s="22" t="s">
        <v>608</v>
      </c>
      <c r="B110" s="23" t="s">
        <v>11</v>
      </c>
      <c r="C110" s="23" t="s">
        <v>14</v>
      </c>
      <c r="D110" s="23" t="s">
        <v>371</v>
      </c>
      <c r="E110" s="23" t="s">
        <v>356</v>
      </c>
      <c r="G110" s="20" t="str">
        <f t="shared" si="9"/>
        <v>KC04E</v>
      </c>
      <c r="H110" s="20">
        <f t="shared" si="10"/>
        <v>40</v>
      </c>
      <c r="I110" s="20">
        <f t="shared" si="11"/>
        <v>12</v>
      </c>
      <c r="J110" s="20" t="str">
        <f t="shared" si="12"/>
        <v>16</v>
      </c>
      <c r="K110" s="20" t="str">
        <f t="shared" si="13"/>
        <v>02</v>
      </c>
      <c r="L110" s="20" t="str">
        <f t="shared" si="14"/>
        <v>2026</v>
      </c>
      <c r="M110" s="20" t="str">
        <f t="shared" si="15"/>
        <v>-</v>
      </c>
      <c r="N110" s="20" t="str">
        <f t="shared" si="16"/>
        <v>-</v>
      </c>
      <c r="O110" s="20" t="str">
        <f t="shared" si="17"/>
        <v>-</v>
      </c>
    </row>
    <row r="111" spans="1:15" ht="15" hidden="1" x14ac:dyDescent="0.25">
      <c r="A111" s="22" t="s">
        <v>609</v>
      </c>
      <c r="B111" s="23" t="s">
        <v>11</v>
      </c>
      <c r="C111" s="23" t="s">
        <v>273</v>
      </c>
      <c r="D111" s="23" t="s">
        <v>385</v>
      </c>
      <c r="E111" s="23" t="s">
        <v>414</v>
      </c>
      <c r="G111" s="20" t="str">
        <f t="shared" si="9"/>
        <v>KC04E</v>
      </c>
      <c r="H111" s="20">
        <f t="shared" si="10"/>
        <v>46</v>
      </c>
      <c r="I111" s="20">
        <f t="shared" si="11"/>
        <v>12</v>
      </c>
      <c r="J111" s="20" t="str">
        <f t="shared" si="12"/>
        <v>13</v>
      </c>
      <c r="K111" s="20" t="str">
        <f t="shared" si="13"/>
        <v>02</v>
      </c>
      <c r="L111" s="20" t="str">
        <f t="shared" si="14"/>
        <v>2026</v>
      </c>
      <c r="M111" s="20" t="str">
        <f t="shared" si="15"/>
        <v>-</v>
      </c>
      <c r="N111" s="20" t="str">
        <f t="shared" si="16"/>
        <v>-</v>
      </c>
      <c r="O111" s="20" t="str">
        <f t="shared" si="17"/>
        <v>-</v>
      </c>
    </row>
    <row r="112" spans="1:15" ht="15" hidden="1" x14ac:dyDescent="0.25">
      <c r="A112" s="22" t="s">
        <v>610</v>
      </c>
      <c r="B112" s="23" t="s">
        <v>11</v>
      </c>
      <c r="C112" s="23" t="s">
        <v>47</v>
      </c>
      <c r="D112" s="23" t="s">
        <v>385</v>
      </c>
      <c r="E112" s="23" t="s">
        <v>611</v>
      </c>
      <c r="G112" s="20" t="str">
        <f t="shared" si="9"/>
        <v>KC04E</v>
      </c>
      <c r="H112" s="20">
        <f t="shared" si="10"/>
        <v>70</v>
      </c>
      <c r="I112" s="20">
        <f t="shared" si="11"/>
        <v>12</v>
      </c>
      <c r="J112" s="20" t="str">
        <f t="shared" si="12"/>
        <v>20</v>
      </c>
      <c r="K112" s="20" t="str">
        <f t="shared" si="13"/>
        <v>01</v>
      </c>
      <c r="L112" s="20" t="str">
        <f t="shared" si="14"/>
        <v>2026</v>
      </c>
      <c r="M112" s="20" t="str">
        <f t="shared" si="15"/>
        <v>-</v>
      </c>
      <c r="N112" s="20" t="str">
        <f t="shared" si="16"/>
        <v>-</v>
      </c>
      <c r="O112" s="20" t="str">
        <f t="shared" si="17"/>
        <v>-</v>
      </c>
    </row>
    <row r="113" spans="1:15" ht="15" hidden="1" x14ac:dyDescent="0.25">
      <c r="A113" s="22" t="s">
        <v>612</v>
      </c>
      <c r="B113" s="23" t="s">
        <v>11</v>
      </c>
      <c r="C113" s="23" t="s">
        <v>424</v>
      </c>
      <c r="D113" s="23" t="s">
        <v>385</v>
      </c>
      <c r="E113" s="23" t="s">
        <v>613</v>
      </c>
      <c r="G113" s="20" t="str">
        <f t="shared" si="9"/>
        <v>KC04E</v>
      </c>
      <c r="H113" s="20">
        <f t="shared" si="10"/>
        <v>29</v>
      </c>
      <c r="I113" s="20">
        <f t="shared" si="11"/>
        <v>12</v>
      </c>
      <c r="J113" s="20" t="str">
        <f t="shared" si="12"/>
        <v>02</v>
      </c>
      <c r="K113" s="20" t="str">
        <f t="shared" si="13"/>
        <v>03</v>
      </c>
      <c r="L113" s="20" t="str">
        <f t="shared" si="14"/>
        <v>2026</v>
      </c>
      <c r="M113" s="20" t="str">
        <f t="shared" si="15"/>
        <v>-</v>
      </c>
      <c r="N113" s="20" t="str">
        <f t="shared" si="16"/>
        <v>-</v>
      </c>
      <c r="O113" s="20" t="str">
        <f t="shared" si="17"/>
        <v>-</v>
      </c>
    </row>
    <row r="114" spans="1:15" ht="15" hidden="1" x14ac:dyDescent="0.25">
      <c r="A114" s="22" t="s">
        <v>614</v>
      </c>
      <c r="B114" s="23" t="s">
        <v>16</v>
      </c>
      <c r="C114" s="23" t="s">
        <v>255</v>
      </c>
      <c r="D114" s="23" t="s">
        <v>371</v>
      </c>
      <c r="E114" s="23" t="s">
        <v>615</v>
      </c>
      <c r="G114" s="20" t="str">
        <f t="shared" si="9"/>
        <v>KC04E</v>
      </c>
      <c r="H114" s="20">
        <f t="shared" si="10"/>
        <v>98</v>
      </c>
      <c r="I114" s="20">
        <f t="shared" si="11"/>
        <v>12</v>
      </c>
      <c r="J114" s="20" t="str">
        <f t="shared" si="12"/>
        <v>20</v>
      </c>
      <c r="K114" s="20" t="str">
        <f t="shared" si="13"/>
        <v>12</v>
      </c>
      <c r="L114" s="20" t="str">
        <f t="shared" si="14"/>
        <v>2025</v>
      </c>
      <c r="M114" s="20" t="str">
        <f t="shared" si="15"/>
        <v>-</v>
      </c>
      <c r="N114" s="20" t="str">
        <f t="shared" si="16"/>
        <v>-</v>
      </c>
      <c r="O114" s="20" t="str">
        <f t="shared" si="17"/>
        <v>-</v>
      </c>
    </row>
    <row r="115" spans="1:15" ht="15" hidden="1" x14ac:dyDescent="0.25">
      <c r="A115" s="22" t="s">
        <v>616</v>
      </c>
      <c r="B115" s="23" t="s">
        <v>16</v>
      </c>
      <c r="C115" s="23" t="s">
        <v>273</v>
      </c>
      <c r="D115" s="23" t="s">
        <v>371</v>
      </c>
      <c r="E115" s="23" t="s">
        <v>617</v>
      </c>
      <c r="G115" s="20" t="str">
        <f t="shared" si="9"/>
        <v>KC04E</v>
      </c>
      <c r="H115" s="20">
        <f t="shared" si="10"/>
        <v>43</v>
      </c>
      <c r="I115" s="20">
        <f t="shared" si="11"/>
        <v>12</v>
      </c>
      <c r="J115" s="20" t="str">
        <f t="shared" si="12"/>
        <v>13</v>
      </c>
      <c r="K115" s="20" t="str">
        <f t="shared" si="13"/>
        <v>02</v>
      </c>
      <c r="L115" s="20" t="str">
        <f t="shared" si="14"/>
        <v>2026</v>
      </c>
      <c r="M115" s="20" t="str">
        <f t="shared" si="15"/>
        <v>-</v>
      </c>
      <c r="N115" s="20" t="str">
        <f t="shared" si="16"/>
        <v>-</v>
      </c>
      <c r="O115" s="20" t="str">
        <f t="shared" si="17"/>
        <v>-</v>
      </c>
    </row>
    <row r="116" spans="1:15" ht="15" hidden="1" x14ac:dyDescent="0.25">
      <c r="A116" s="22" t="s">
        <v>618</v>
      </c>
      <c r="B116" s="23" t="s">
        <v>16</v>
      </c>
      <c r="C116" s="23" t="s">
        <v>66</v>
      </c>
      <c r="D116" s="23" t="s">
        <v>385</v>
      </c>
      <c r="E116" s="23" t="s">
        <v>613</v>
      </c>
      <c r="G116" s="20" t="str">
        <f t="shared" si="9"/>
        <v>KC04E</v>
      </c>
      <c r="H116" s="20">
        <f t="shared" si="10"/>
        <v>68</v>
      </c>
      <c r="I116" s="20">
        <f t="shared" si="11"/>
        <v>12</v>
      </c>
      <c r="J116" s="20" t="str">
        <f t="shared" si="12"/>
        <v>22</v>
      </c>
      <c r="K116" s="20" t="str">
        <f t="shared" si="13"/>
        <v>01</v>
      </c>
      <c r="L116" s="20" t="str">
        <f t="shared" si="14"/>
        <v>2026</v>
      </c>
      <c r="M116" s="20" t="str">
        <f t="shared" si="15"/>
        <v>-</v>
      </c>
      <c r="N116" s="20" t="str">
        <f t="shared" si="16"/>
        <v>-</v>
      </c>
      <c r="O116" s="20" t="str">
        <f t="shared" si="17"/>
        <v>-</v>
      </c>
    </row>
    <row r="117" spans="1:15" ht="15" hidden="1" x14ac:dyDescent="0.25">
      <c r="A117" s="22" t="s">
        <v>619</v>
      </c>
      <c r="B117" s="23" t="s">
        <v>16</v>
      </c>
      <c r="C117" s="23" t="s">
        <v>360</v>
      </c>
      <c r="D117" s="23" t="s">
        <v>385</v>
      </c>
      <c r="E117" s="23" t="s">
        <v>452</v>
      </c>
      <c r="G117" s="20" t="str">
        <f t="shared" si="9"/>
        <v>KC04E</v>
      </c>
      <c r="H117" s="20">
        <f t="shared" si="10"/>
        <v>67</v>
      </c>
      <c r="I117" s="20">
        <f t="shared" si="11"/>
        <v>12</v>
      </c>
      <c r="J117" s="20" t="str">
        <f t="shared" si="12"/>
        <v>23</v>
      </c>
      <c r="K117" s="20" t="str">
        <f t="shared" si="13"/>
        <v>01</v>
      </c>
      <c r="L117" s="20" t="str">
        <f t="shared" si="14"/>
        <v>2026</v>
      </c>
      <c r="M117" s="20" t="str">
        <f t="shared" si="15"/>
        <v>-</v>
      </c>
      <c r="N117" s="20" t="str">
        <f t="shared" si="16"/>
        <v>-</v>
      </c>
      <c r="O117" s="20" t="str">
        <f t="shared" si="17"/>
        <v>-</v>
      </c>
    </row>
    <row r="118" spans="1:15" ht="15" hidden="1" x14ac:dyDescent="0.25">
      <c r="A118" s="22" t="s">
        <v>620</v>
      </c>
      <c r="B118" s="23" t="s">
        <v>17</v>
      </c>
      <c r="C118" s="23" t="s">
        <v>45</v>
      </c>
      <c r="D118" s="23" t="s">
        <v>408</v>
      </c>
      <c r="E118" s="23" t="s">
        <v>621</v>
      </c>
      <c r="G118" s="20" t="str">
        <f t="shared" si="9"/>
        <v>KC04E</v>
      </c>
      <c r="H118" s="20">
        <f t="shared" si="10"/>
        <v>76</v>
      </c>
      <c r="I118" s="20">
        <f t="shared" si="11"/>
        <v>12</v>
      </c>
      <c r="J118" s="20" t="str">
        <f t="shared" si="12"/>
        <v>09</v>
      </c>
      <c r="K118" s="20" t="str">
        <f t="shared" si="13"/>
        <v>01</v>
      </c>
      <c r="L118" s="20" t="str">
        <f t="shared" si="14"/>
        <v>2026</v>
      </c>
      <c r="M118" s="20" t="str">
        <f t="shared" si="15"/>
        <v>-</v>
      </c>
      <c r="N118" s="20" t="str">
        <f t="shared" si="16"/>
        <v>-</v>
      </c>
      <c r="O118" s="20" t="str">
        <f t="shared" si="17"/>
        <v>-</v>
      </c>
    </row>
    <row r="119" spans="1:15" ht="15" hidden="1" x14ac:dyDescent="0.25">
      <c r="A119" s="22" t="s">
        <v>622</v>
      </c>
      <c r="B119" s="23" t="s">
        <v>17</v>
      </c>
      <c r="C119" s="23" t="s">
        <v>483</v>
      </c>
      <c r="D119" s="23" t="s">
        <v>371</v>
      </c>
      <c r="E119" s="23" t="s">
        <v>623</v>
      </c>
      <c r="G119" s="20" t="str">
        <f t="shared" si="9"/>
        <v>KC03E</v>
      </c>
      <c r="H119" s="20">
        <f t="shared" si="10"/>
        <v>199</v>
      </c>
      <c r="I119" s="20">
        <f t="shared" si="11"/>
        <v>12</v>
      </c>
      <c r="J119" s="20" t="str">
        <f t="shared" si="12"/>
        <v>10</v>
      </c>
      <c r="K119" s="20" t="str">
        <f t="shared" si="13"/>
        <v>09</v>
      </c>
      <c r="L119" s="20" t="str">
        <f t="shared" si="14"/>
        <v>2025</v>
      </c>
      <c r="M119" s="20" t="str">
        <f t="shared" si="15"/>
        <v>-</v>
      </c>
      <c r="N119" s="20" t="str">
        <f t="shared" si="16"/>
        <v>-</v>
      </c>
      <c r="O119" s="20" t="str">
        <f t="shared" si="17"/>
        <v>-</v>
      </c>
    </row>
    <row r="120" spans="1:15" ht="15" x14ac:dyDescent="0.25">
      <c r="A120" s="25" t="s">
        <v>624</v>
      </c>
      <c r="B120" s="24" t="s">
        <v>17</v>
      </c>
      <c r="C120" s="23" t="s">
        <v>588</v>
      </c>
      <c r="D120" s="23" t="s">
        <v>369</v>
      </c>
      <c r="E120" s="23" t="s">
        <v>259</v>
      </c>
      <c r="F120" s="21" t="s">
        <v>464</v>
      </c>
      <c r="G120" s="20" t="str">
        <f t="shared" si="9"/>
        <v>KC04E</v>
      </c>
      <c r="H120" s="20">
        <f t="shared" si="10"/>
        <v>49</v>
      </c>
      <c r="I120" s="20">
        <f t="shared" si="11"/>
        <v>12</v>
      </c>
      <c r="J120" s="20" t="str">
        <f t="shared" si="12"/>
        <v>09</v>
      </c>
      <c r="K120" s="20" t="str">
        <f t="shared" si="13"/>
        <v>02</v>
      </c>
      <c r="L120" s="20" t="str">
        <f t="shared" si="14"/>
        <v>2026</v>
      </c>
      <c r="M120" s="20" t="str">
        <f t="shared" si="15"/>
        <v>-</v>
      </c>
      <c r="N120" s="20" t="str">
        <f t="shared" si="16"/>
        <v>-</v>
      </c>
      <c r="O120" s="20" t="str">
        <f t="shared" si="17"/>
        <v>-</v>
      </c>
    </row>
    <row r="121" spans="1:15" ht="15" hidden="1" x14ac:dyDescent="0.25">
      <c r="A121" s="22" t="s">
        <v>625</v>
      </c>
      <c r="B121" s="23" t="s">
        <v>17</v>
      </c>
      <c r="C121" s="24" t="s">
        <v>222</v>
      </c>
      <c r="D121" s="23" t="s">
        <v>385</v>
      </c>
      <c r="E121" s="23" t="s">
        <v>626</v>
      </c>
      <c r="F121" s="21" t="s">
        <v>627</v>
      </c>
      <c r="G121" s="20" t="str">
        <f t="shared" si="9"/>
        <v>KC04E</v>
      </c>
      <c r="H121" s="20">
        <f t="shared" si="10"/>
        <v>105</v>
      </c>
      <c r="I121" s="20">
        <f t="shared" si="11"/>
        <v>12</v>
      </c>
      <c r="J121" s="20" t="str">
        <f t="shared" si="12"/>
        <v>16</v>
      </c>
      <c r="K121" s="20" t="str">
        <f t="shared" si="13"/>
        <v>12</v>
      </c>
      <c r="L121" s="20" t="str">
        <f t="shared" si="14"/>
        <v>2025</v>
      </c>
      <c r="M121" s="20" t="str">
        <f t="shared" si="15"/>
        <v>-</v>
      </c>
      <c r="N121" s="20" t="str">
        <f t="shared" si="16"/>
        <v>-</v>
      </c>
      <c r="O121" s="20" t="str">
        <f t="shared" si="17"/>
        <v>-</v>
      </c>
    </row>
    <row r="122" spans="1:15" ht="15" hidden="1" x14ac:dyDescent="0.25">
      <c r="A122" s="22" t="s">
        <v>628</v>
      </c>
      <c r="B122" s="23" t="s">
        <v>18</v>
      </c>
      <c r="C122" s="23" t="s">
        <v>629</v>
      </c>
      <c r="D122" s="23" t="s">
        <v>385</v>
      </c>
      <c r="E122" s="23" t="s">
        <v>533</v>
      </c>
      <c r="G122" s="20" t="str">
        <f t="shared" si="9"/>
        <v>KC04E</v>
      </c>
      <c r="H122" s="20">
        <f t="shared" si="10"/>
        <v>321</v>
      </c>
      <c r="I122" s="20">
        <f t="shared" si="11"/>
        <v>12</v>
      </c>
      <c r="J122" s="20" t="str">
        <f t="shared" si="12"/>
        <v>14</v>
      </c>
      <c r="K122" s="20" t="str">
        <f t="shared" si="13"/>
        <v>05</v>
      </c>
      <c r="L122" s="20" t="str">
        <f t="shared" si="14"/>
        <v>2025</v>
      </c>
      <c r="M122" s="20" t="str">
        <f t="shared" si="15"/>
        <v>-</v>
      </c>
      <c r="N122" s="20" t="str">
        <f t="shared" si="16"/>
        <v>-</v>
      </c>
      <c r="O122" s="20" t="str">
        <f t="shared" si="17"/>
        <v>-</v>
      </c>
    </row>
  </sheetData>
  <autoFilter ref="A1:O122" xr:uid="{638EA334-1192-40C6-A97C-6BBDD512B207}">
    <filterColumn colId="5">
      <filters>
        <filter val="Salah input service ID (Tidak bisa claim)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3656-305A-4E36-893B-023C01F0EB73}">
  <sheetPr>
    <tabColor rgb="FF92D050"/>
  </sheetPr>
  <dimension ref="A1:N16"/>
  <sheetViews>
    <sheetView workbookViewId="0">
      <selection activeCell="K14" sqref="K14"/>
    </sheetView>
  </sheetViews>
  <sheetFormatPr defaultRowHeight="12.75" x14ac:dyDescent="0.2"/>
  <cols>
    <col min="1" max="1" width="14.85546875" style="21" customWidth="1"/>
    <col min="2" max="2" width="8.140625" style="21" customWidth="1"/>
    <col min="3" max="4" width="11.28515625" style="21" customWidth="1"/>
    <col min="5" max="5" width="7.140625" style="21" customWidth="1"/>
    <col min="6" max="16384" width="9.140625" style="21"/>
  </cols>
  <sheetData>
    <row r="1" spans="1:14" ht="31.5" x14ac:dyDescent="0.25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18" t="s">
        <v>5</v>
      </c>
      <c r="G1" s="19" t="s">
        <v>6</v>
      </c>
      <c r="H1" s="20" t="s">
        <v>7</v>
      </c>
      <c r="I1" s="20" t="s">
        <v>8</v>
      </c>
      <c r="J1" s="20" t="s">
        <v>2</v>
      </c>
      <c r="K1" s="19" t="s">
        <v>9</v>
      </c>
      <c r="L1" s="20" t="s">
        <v>10</v>
      </c>
      <c r="M1" s="20"/>
      <c r="N1" s="20"/>
    </row>
    <row r="2" spans="1:14" ht="15" x14ac:dyDescent="0.25">
      <c r="A2" s="22" t="s">
        <v>630</v>
      </c>
      <c r="B2" s="23" t="s">
        <v>17</v>
      </c>
      <c r="C2" s="23" t="s">
        <v>631</v>
      </c>
      <c r="D2" s="23" t="s">
        <v>199</v>
      </c>
      <c r="E2" s="23" t="s">
        <v>632</v>
      </c>
      <c r="G2" s="20" t="str">
        <f t="shared" ref="G2:G16" si="0">LEFT(A2, 5)</f>
        <v>JMF2E</v>
      </c>
      <c r="H2" s="20">
        <f t="shared" ref="H2:H16" si="1">D2-C2</f>
        <v>105</v>
      </c>
      <c r="I2" s="20">
        <f t="shared" ref="I2:I16" si="2">LEN(A2)</f>
        <v>12</v>
      </c>
      <c r="J2" s="20" t="str">
        <f t="shared" ref="J2:J16" si="3">LEFT(C2, 2)</f>
        <v>03</v>
      </c>
      <c r="K2" s="20" t="str">
        <f t="shared" ref="K2:K16" si="4">MID(C2, 4, 2)</f>
        <v>12</v>
      </c>
      <c r="L2" s="20" t="str">
        <f t="shared" ref="L2:L16" si="5">RIGHT(C2, 4)</f>
        <v>2025</v>
      </c>
      <c r="M2" s="20" t="str">
        <f t="shared" ref="M2:M16" si="6">IF(AND(B2="1",H2&gt;=75),"tolong cek",  IF(AND(B2="2",H2&gt;=135),"tolong cek",  IF(AND(B2="3",H2&gt;=255),"tolong cek",  IF(AND(B2="4",H2&gt;=375),"tolong cek","-"))))</f>
        <v>-</v>
      </c>
      <c r="N2" s="20" t="str">
        <f t="shared" ref="N2:N16" si="7">IF(AND(B2="1",VALUE(K2)&lt;=5,VALUE(L2)&lt;=2025),"tolong cek kadaluarsa",  IF(AND(B2="2",VALUE(K2)&lt;=3,VALUE(L2)&lt;=2025),"tolong cek kadaluarsa",  IF(AND(B2="3",VALUE(K2)&lt;=11,VALUE(L2)&lt;=2024),"tolong cek kadaluarsa",  IF(AND(B2="4",VALUE(K2)&lt;=7, VALUE(L2)&lt;=2024),"tolong cek kadaluarsa","-"))))</f>
        <v>-</v>
      </c>
    </row>
    <row r="3" spans="1:14" ht="15" x14ac:dyDescent="0.25">
      <c r="A3" s="22" t="s">
        <v>633</v>
      </c>
      <c r="B3" s="23" t="s">
        <v>18</v>
      </c>
      <c r="C3" s="23" t="s">
        <v>262</v>
      </c>
      <c r="D3" s="23" t="s">
        <v>23</v>
      </c>
      <c r="E3" s="23" t="s">
        <v>634</v>
      </c>
      <c r="G3" s="20" t="str">
        <f t="shared" si="0"/>
        <v>JME1E</v>
      </c>
      <c r="H3" s="20">
        <f t="shared" si="1"/>
        <v>132</v>
      </c>
      <c r="I3" s="20">
        <f t="shared" si="2"/>
        <v>12</v>
      </c>
      <c r="J3" s="20" t="str">
        <f t="shared" si="3"/>
        <v>13</v>
      </c>
      <c r="K3" s="20" t="str">
        <f t="shared" si="4"/>
        <v>11</v>
      </c>
      <c r="L3" s="20" t="str">
        <f t="shared" si="5"/>
        <v>2025</v>
      </c>
      <c r="M3" s="20" t="str">
        <f t="shared" si="6"/>
        <v>-</v>
      </c>
      <c r="N3" s="20" t="str">
        <f t="shared" si="7"/>
        <v>-</v>
      </c>
    </row>
    <row r="4" spans="1:14" ht="15" x14ac:dyDescent="0.25">
      <c r="A4" s="22" t="s">
        <v>635</v>
      </c>
      <c r="B4" s="23" t="s">
        <v>11</v>
      </c>
      <c r="C4" s="23" t="s">
        <v>403</v>
      </c>
      <c r="D4" s="23" t="s">
        <v>199</v>
      </c>
      <c r="E4" s="23" t="s">
        <v>636</v>
      </c>
      <c r="G4" s="20" t="str">
        <f t="shared" si="0"/>
        <v>JBK1E</v>
      </c>
      <c r="H4" s="20">
        <f t="shared" si="1"/>
        <v>27</v>
      </c>
      <c r="I4" s="20">
        <f t="shared" si="2"/>
        <v>12</v>
      </c>
      <c r="J4" s="20" t="str">
        <f t="shared" si="3"/>
        <v>19</v>
      </c>
      <c r="K4" s="20" t="str">
        <f t="shared" si="4"/>
        <v>02</v>
      </c>
      <c r="L4" s="20" t="str">
        <f t="shared" si="5"/>
        <v>2026</v>
      </c>
      <c r="M4" s="20" t="str">
        <f t="shared" si="6"/>
        <v>-</v>
      </c>
      <c r="N4" s="20" t="str">
        <f t="shared" si="7"/>
        <v>-</v>
      </c>
    </row>
    <row r="5" spans="1:14" ht="15" x14ac:dyDescent="0.25">
      <c r="A5" s="22" t="s">
        <v>637</v>
      </c>
      <c r="B5" s="23" t="s">
        <v>16</v>
      </c>
      <c r="C5" s="23" t="s">
        <v>438</v>
      </c>
      <c r="D5" s="23" t="s">
        <v>199</v>
      </c>
      <c r="E5" s="23" t="s">
        <v>638</v>
      </c>
      <c r="G5" s="20" t="str">
        <f t="shared" si="0"/>
        <v>JBK3E</v>
      </c>
      <c r="H5" s="20">
        <f t="shared" si="1"/>
        <v>91</v>
      </c>
      <c r="I5" s="20">
        <f t="shared" si="2"/>
        <v>12</v>
      </c>
      <c r="J5" s="20" t="str">
        <f t="shared" si="3"/>
        <v>17</v>
      </c>
      <c r="K5" s="20" t="str">
        <f t="shared" si="4"/>
        <v>12</v>
      </c>
      <c r="L5" s="20" t="str">
        <f t="shared" si="5"/>
        <v>2025</v>
      </c>
      <c r="M5" s="20" t="str">
        <f t="shared" si="6"/>
        <v>-</v>
      </c>
      <c r="N5" s="20" t="str">
        <f t="shared" si="7"/>
        <v>-</v>
      </c>
    </row>
    <row r="6" spans="1:14" ht="15" x14ac:dyDescent="0.25">
      <c r="A6" s="22" t="s">
        <v>639</v>
      </c>
      <c r="B6" s="23" t="s">
        <v>16</v>
      </c>
      <c r="C6" s="23" t="s">
        <v>13</v>
      </c>
      <c r="D6" s="23" t="s">
        <v>32</v>
      </c>
      <c r="E6" s="23" t="s">
        <v>640</v>
      </c>
      <c r="G6" s="20" t="str">
        <f t="shared" si="0"/>
        <v>JBK3E</v>
      </c>
      <c r="H6" s="20">
        <f t="shared" si="1"/>
        <v>62</v>
      </c>
      <c r="I6" s="20">
        <f t="shared" si="2"/>
        <v>12</v>
      </c>
      <c r="J6" s="20" t="str">
        <f t="shared" si="3"/>
        <v>19</v>
      </c>
      <c r="K6" s="20" t="str">
        <f t="shared" si="4"/>
        <v>01</v>
      </c>
      <c r="L6" s="20" t="str">
        <f t="shared" si="5"/>
        <v>2026</v>
      </c>
      <c r="M6" s="20" t="str">
        <f t="shared" si="6"/>
        <v>-</v>
      </c>
      <c r="N6" s="20" t="str">
        <f t="shared" si="7"/>
        <v>-</v>
      </c>
    </row>
    <row r="7" spans="1:14" ht="15" x14ac:dyDescent="0.25">
      <c r="A7" s="22" t="s">
        <v>641</v>
      </c>
      <c r="B7" s="23" t="s">
        <v>17</v>
      </c>
      <c r="C7" s="23" t="s">
        <v>642</v>
      </c>
      <c r="D7" s="23" t="s">
        <v>199</v>
      </c>
      <c r="E7" s="23" t="s">
        <v>643</v>
      </c>
      <c r="G7" s="20" t="str">
        <f t="shared" si="0"/>
        <v>JBK3E</v>
      </c>
      <c r="H7" s="20">
        <f t="shared" si="1"/>
        <v>151</v>
      </c>
      <c r="I7" s="20">
        <f t="shared" si="2"/>
        <v>12</v>
      </c>
      <c r="J7" s="20" t="str">
        <f t="shared" si="3"/>
        <v>18</v>
      </c>
      <c r="K7" s="20" t="str">
        <f t="shared" si="4"/>
        <v>10</v>
      </c>
      <c r="L7" s="20" t="str">
        <f t="shared" si="5"/>
        <v>2025</v>
      </c>
      <c r="M7" s="20" t="str">
        <f t="shared" si="6"/>
        <v>-</v>
      </c>
      <c r="N7" s="20" t="str">
        <f t="shared" si="7"/>
        <v>-</v>
      </c>
    </row>
    <row r="8" spans="1:14" ht="15" x14ac:dyDescent="0.25">
      <c r="A8" s="22" t="s">
        <v>644</v>
      </c>
      <c r="B8" s="23" t="s">
        <v>17</v>
      </c>
      <c r="C8" s="23" t="s">
        <v>645</v>
      </c>
      <c r="D8" s="23" t="s">
        <v>199</v>
      </c>
      <c r="E8" s="23" t="s">
        <v>646</v>
      </c>
      <c r="G8" s="20" t="str">
        <f t="shared" si="0"/>
        <v>JBK1E</v>
      </c>
      <c r="H8" s="20">
        <f t="shared" si="1"/>
        <v>164</v>
      </c>
      <c r="I8" s="20">
        <f t="shared" si="2"/>
        <v>12</v>
      </c>
      <c r="J8" s="20" t="str">
        <f t="shared" si="3"/>
        <v>05</v>
      </c>
      <c r="K8" s="20" t="str">
        <f t="shared" si="4"/>
        <v>10</v>
      </c>
      <c r="L8" s="20" t="str">
        <f t="shared" si="5"/>
        <v>2025</v>
      </c>
      <c r="M8" s="20" t="str">
        <f t="shared" si="6"/>
        <v>-</v>
      </c>
      <c r="N8" s="20" t="str">
        <f t="shared" si="7"/>
        <v>-</v>
      </c>
    </row>
    <row r="9" spans="1:14" ht="15" x14ac:dyDescent="0.25">
      <c r="A9" s="22" t="s">
        <v>647</v>
      </c>
      <c r="B9" s="23" t="s">
        <v>17</v>
      </c>
      <c r="C9" s="23" t="s">
        <v>648</v>
      </c>
      <c r="D9" s="23" t="s">
        <v>30</v>
      </c>
      <c r="E9" s="23" t="s">
        <v>308</v>
      </c>
      <c r="G9" s="20" t="str">
        <f t="shared" si="0"/>
        <v>JBK1E</v>
      </c>
      <c r="H9" s="20">
        <f t="shared" si="1"/>
        <v>98</v>
      </c>
      <c r="I9" s="20">
        <f t="shared" si="2"/>
        <v>12</v>
      </c>
      <c r="J9" s="20" t="str">
        <f t="shared" si="3"/>
        <v>15</v>
      </c>
      <c r="K9" s="20" t="str">
        <f t="shared" si="4"/>
        <v>12</v>
      </c>
      <c r="L9" s="20" t="str">
        <f t="shared" si="5"/>
        <v>2025</v>
      </c>
      <c r="M9" s="20" t="str">
        <f t="shared" si="6"/>
        <v>-</v>
      </c>
      <c r="N9" s="20" t="str">
        <f t="shared" si="7"/>
        <v>-</v>
      </c>
    </row>
    <row r="10" spans="1:14" ht="15" x14ac:dyDescent="0.25">
      <c r="A10" s="22" t="s">
        <v>649</v>
      </c>
      <c r="B10" s="23" t="s">
        <v>18</v>
      </c>
      <c r="C10" s="23" t="s">
        <v>650</v>
      </c>
      <c r="D10" s="23" t="s">
        <v>199</v>
      </c>
      <c r="E10" s="23" t="s">
        <v>651</v>
      </c>
      <c r="G10" s="20" t="str">
        <f t="shared" si="0"/>
        <v>JBK1E</v>
      </c>
      <c r="H10" s="20">
        <f t="shared" si="1"/>
        <v>187</v>
      </c>
      <c r="I10" s="20">
        <f t="shared" si="2"/>
        <v>12</v>
      </c>
      <c r="J10" s="20" t="str">
        <f t="shared" si="3"/>
        <v>12</v>
      </c>
      <c r="K10" s="20" t="str">
        <f t="shared" si="4"/>
        <v>09</v>
      </c>
      <c r="L10" s="20" t="str">
        <f t="shared" si="5"/>
        <v>2025</v>
      </c>
      <c r="M10" s="20" t="str">
        <f t="shared" si="6"/>
        <v>-</v>
      </c>
      <c r="N10" s="20" t="str">
        <f t="shared" si="7"/>
        <v>-</v>
      </c>
    </row>
    <row r="11" spans="1:14" ht="15" x14ac:dyDescent="0.25">
      <c r="A11" s="22" t="s">
        <v>652</v>
      </c>
      <c r="B11" s="23" t="s">
        <v>18</v>
      </c>
      <c r="C11" s="23" t="s">
        <v>653</v>
      </c>
      <c r="D11" s="23" t="s">
        <v>199</v>
      </c>
      <c r="E11" s="23" t="s">
        <v>312</v>
      </c>
      <c r="G11" s="20" t="str">
        <f t="shared" si="0"/>
        <v>JBK3E</v>
      </c>
      <c r="H11" s="20">
        <f t="shared" si="1"/>
        <v>305</v>
      </c>
      <c r="I11" s="20">
        <f t="shared" si="2"/>
        <v>12</v>
      </c>
      <c r="J11" s="20" t="str">
        <f t="shared" si="3"/>
        <v>17</v>
      </c>
      <c r="K11" s="20" t="str">
        <f t="shared" si="4"/>
        <v>05</v>
      </c>
      <c r="L11" s="20" t="str">
        <f t="shared" si="5"/>
        <v>2025</v>
      </c>
      <c r="M11" s="20" t="str">
        <f t="shared" si="6"/>
        <v>-</v>
      </c>
      <c r="N11" s="20" t="str">
        <f t="shared" si="7"/>
        <v>-</v>
      </c>
    </row>
    <row r="12" spans="1:14" ht="15" x14ac:dyDescent="0.25">
      <c r="A12" s="22" t="s">
        <v>654</v>
      </c>
      <c r="B12" s="23" t="s">
        <v>16</v>
      </c>
      <c r="C12" s="23" t="s">
        <v>47</v>
      </c>
      <c r="D12" s="23" t="s">
        <v>199</v>
      </c>
      <c r="E12" s="23" t="s">
        <v>655</v>
      </c>
      <c r="G12" s="20" t="str">
        <f t="shared" si="0"/>
        <v>JMH2E</v>
      </c>
      <c r="H12" s="20">
        <f t="shared" si="1"/>
        <v>57</v>
      </c>
      <c r="I12" s="20">
        <f t="shared" si="2"/>
        <v>12</v>
      </c>
      <c r="J12" s="20" t="str">
        <f t="shared" si="3"/>
        <v>20</v>
      </c>
      <c r="K12" s="20" t="str">
        <f t="shared" si="4"/>
        <v>01</v>
      </c>
      <c r="L12" s="20" t="str">
        <f t="shared" si="5"/>
        <v>2026</v>
      </c>
      <c r="M12" s="20" t="str">
        <f t="shared" si="6"/>
        <v>-</v>
      </c>
      <c r="N12" s="20" t="str">
        <f t="shared" si="7"/>
        <v>-</v>
      </c>
    </row>
    <row r="13" spans="1:14" ht="15" x14ac:dyDescent="0.25">
      <c r="A13" s="22" t="s">
        <v>656</v>
      </c>
      <c r="B13" s="23" t="s">
        <v>16</v>
      </c>
      <c r="C13" s="23" t="s">
        <v>198</v>
      </c>
      <c r="D13" s="23" t="s">
        <v>208</v>
      </c>
      <c r="E13" s="23" t="s">
        <v>657</v>
      </c>
      <c r="G13" s="20" t="str">
        <f t="shared" si="0"/>
        <v>JMH2E</v>
      </c>
      <c r="H13" s="20">
        <f t="shared" si="1"/>
        <v>112</v>
      </c>
      <c r="I13" s="20">
        <f t="shared" si="2"/>
        <v>12</v>
      </c>
      <c r="J13" s="20" t="str">
        <f t="shared" si="3"/>
        <v>27</v>
      </c>
      <c r="K13" s="20" t="str">
        <f t="shared" si="4"/>
        <v>11</v>
      </c>
      <c r="L13" s="20" t="str">
        <f t="shared" si="5"/>
        <v>2025</v>
      </c>
      <c r="M13" s="20" t="str">
        <f t="shared" si="6"/>
        <v>-</v>
      </c>
      <c r="N13" s="20" t="str">
        <f t="shared" si="7"/>
        <v>-</v>
      </c>
    </row>
    <row r="14" spans="1:14" ht="15" x14ac:dyDescent="0.25">
      <c r="A14" s="22" t="s">
        <v>658</v>
      </c>
      <c r="B14" s="23" t="s">
        <v>17</v>
      </c>
      <c r="C14" s="23" t="s">
        <v>60</v>
      </c>
      <c r="D14" s="23" t="s">
        <v>199</v>
      </c>
      <c r="E14" s="23" t="s">
        <v>659</v>
      </c>
      <c r="G14" s="20" t="str">
        <f t="shared" si="0"/>
        <v>JMH2E</v>
      </c>
      <c r="H14" s="20">
        <f t="shared" si="1"/>
        <v>118</v>
      </c>
      <c r="I14" s="20">
        <f t="shared" si="2"/>
        <v>12</v>
      </c>
      <c r="J14" s="20" t="str">
        <f t="shared" si="3"/>
        <v>20</v>
      </c>
      <c r="K14" s="20" t="str">
        <f t="shared" si="4"/>
        <v>11</v>
      </c>
      <c r="L14" s="20" t="str">
        <f t="shared" si="5"/>
        <v>2025</v>
      </c>
      <c r="M14" s="20" t="str">
        <f t="shared" si="6"/>
        <v>-</v>
      </c>
      <c r="N14" s="20" t="str">
        <f t="shared" si="7"/>
        <v>-</v>
      </c>
    </row>
    <row r="15" spans="1:14" ht="15" x14ac:dyDescent="0.25">
      <c r="A15" s="22" t="s">
        <v>660</v>
      </c>
      <c r="B15" s="23" t="s">
        <v>17</v>
      </c>
      <c r="C15" s="23" t="s">
        <v>388</v>
      </c>
      <c r="D15" s="23" t="s">
        <v>218</v>
      </c>
      <c r="E15" s="23" t="s">
        <v>661</v>
      </c>
      <c r="G15" s="20" t="str">
        <f t="shared" si="0"/>
        <v>JMJ1E</v>
      </c>
      <c r="H15" s="20">
        <f t="shared" si="1"/>
        <v>68</v>
      </c>
      <c r="I15" s="20">
        <f t="shared" si="2"/>
        <v>12</v>
      </c>
      <c r="J15" s="20" t="str">
        <f t="shared" si="3"/>
        <v>07</v>
      </c>
      <c r="K15" s="20" t="str">
        <f t="shared" si="4"/>
        <v>01</v>
      </c>
      <c r="L15" s="20" t="str">
        <f t="shared" si="5"/>
        <v>2026</v>
      </c>
      <c r="M15" s="20" t="str">
        <f t="shared" si="6"/>
        <v>-</v>
      </c>
      <c r="N15" s="20" t="str">
        <f t="shared" si="7"/>
        <v>-</v>
      </c>
    </row>
    <row r="16" spans="1:14" ht="15" x14ac:dyDescent="0.25">
      <c r="A16" s="22" t="s">
        <v>662</v>
      </c>
      <c r="B16" s="23" t="s">
        <v>18</v>
      </c>
      <c r="C16" s="23" t="s">
        <v>663</v>
      </c>
      <c r="D16" s="23" t="s">
        <v>218</v>
      </c>
      <c r="E16" s="23" t="s">
        <v>664</v>
      </c>
      <c r="G16" s="20" t="str">
        <f t="shared" si="0"/>
        <v>JMD1E</v>
      </c>
      <c r="H16" s="20">
        <f t="shared" si="1"/>
        <v>114</v>
      </c>
      <c r="I16" s="20">
        <f t="shared" si="2"/>
        <v>12</v>
      </c>
      <c r="J16" s="20" t="str">
        <f t="shared" si="3"/>
        <v>22</v>
      </c>
      <c r="K16" s="20" t="str">
        <f t="shared" si="4"/>
        <v>11</v>
      </c>
      <c r="L16" s="20" t="str">
        <f t="shared" si="5"/>
        <v>2025</v>
      </c>
      <c r="M16" s="20" t="str">
        <f t="shared" si="6"/>
        <v>-</v>
      </c>
      <c r="N16" s="20" t="str">
        <f t="shared" si="7"/>
        <v>-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13198-260326_2049</vt:lpstr>
      <vt:lpstr>13198-260326_2105</vt:lpstr>
      <vt:lpstr>13198-260323_1648</vt:lpstr>
      <vt:lpstr>13198-260401_1153</vt:lpstr>
      <vt:lpstr>13198-260408_1115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William</dc:creator>
  <cp:lastModifiedBy>Cindy Aprilia</cp:lastModifiedBy>
  <dcterms:created xsi:type="dcterms:W3CDTF">2015-06-05T18:17:20Z</dcterms:created>
  <dcterms:modified xsi:type="dcterms:W3CDTF">2026-04-14T04:00:42Z</dcterms:modified>
</cp:coreProperties>
</file>