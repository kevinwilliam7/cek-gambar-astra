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Nov 2025\"/>
    </mc:Choice>
  </mc:AlternateContent>
  <xr:revisionPtr revIDLastSave="0" documentId="13_ncr:1_{37AD3851-F32B-4700-9B39-A8DD690F9B4A}" xr6:coauthVersionLast="47" xr6:coauthVersionMax="47" xr10:uidLastSave="{00000000-0000-0000-0000-000000000000}"/>
  <bookViews>
    <workbookView xWindow="-120" yWindow="-120" windowWidth="20730" windowHeight="11040" xr2:uid="{AFAF7DFC-E358-47A7-B0AD-403CA94C297B}"/>
  </bookViews>
  <sheets>
    <sheet name="Sheet1" sheetId="1" r:id="rId1"/>
  </sheets>
  <definedNames>
    <definedName name="_xlnm._FilterDatabase" localSheetId="0" hidden="1">Sheet1!$A$1:$O$7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M7" i="1"/>
  <c r="M6" i="1"/>
  <c r="M5" i="1"/>
  <c r="M4" i="1"/>
  <c r="M3" i="1"/>
  <c r="M2" i="1"/>
  <c r="J2" i="1"/>
  <c r="J3" i="1"/>
  <c r="J4" i="1"/>
  <c r="J5" i="1"/>
  <c r="J6" i="1"/>
  <c r="J7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<sst xmlns="http://schemas.openxmlformats.org/spreadsheetml/2006/main" count="45" uniqueCount="35">
  <si>
    <t>no_mesin</t>
  </si>
  <si>
    <t>kpb_type</t>
  </si>
  <si>
    <t>km</t>
  </si>
  <si>
    <t>tanggal_beli</t>
  </si>
  <si>
    <t>tanggal_claim</t>
  </si>
  <si>
    <t>photo_url</t>
  </si>
  <si>
    <t>Noted</t>
  </si>
  <si>
    <t>EF32E1001694</t>
  </si>
  <si>
    <t>KPB1</t>
  </si>
  <si>
    <t>https://hana.modakita.com/azd942/avatar/211702110202511190950597FROQ2.jpg</t>
  </si>
  <si>
    <t>KPB2</t>
  </si>
  <si>
    <t>JB04E7000648</t>
  </si>
  <si>
    <t>KPB3</t>
  </si>
  <si>
    <t>https://hana.modakita.com/azd942/avatar/21436082520251106100633MNXPHA.jpg</t>
  </si>
  <si>
    <t>JMC1E1695733</t>
  </si>
  <si>
    <t>https://hana.modakita.com/azd942/avatar/21395758920251127114221YHN1DW.jpg</t>
  </si>
  <si>
    <t>KF01E1929295</t>
  </si>
  <si>
    <t>https://hana.modakita.com/azd942/avatar/21170211020251120110723QLG3AA.jpg</t>
  </si>
  <si>
    <t>KFC1E1189046</t>
  </si>
  <si>
    <t>https://hana.modakita.com/azd942/avatar/21170211020251114090721LPWD71.jpg</t>
  </si>
  <si>
    <t>KFE3E1043455</t>
  </si>
  <si>
    <t>https://hana.modakita.com/azd942/avatar/212010508202511050845107RHHIC.jpg</t>
  </si>
  <si>
    <t>No. Surat Klaim</t>
  </si>
  <si>
    <t>09887-251123_2030</t>
  </si>
  <si>
    <t>09887-251113_0828</t>
  </si>
  <si>
    <t>09887-251203_1105</t>
  </si>
  <si>
    <t>Tgls STAR</t>
  </si>
  <si>
    <t>Cek Tgls</t>
  </si>
  <si>
    <t>Tglb STAR</t>
  </si>
  <si>
    <t>Selisih</t>
  </si>
  <si>
    <t>Cek Tglb</t>
  </si>
  <si>
    <t>KM STAR</t>
  </si>
  <si>
    <t>Cek KM</t>
  </si>
  <si>
    <t>Ok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</si>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</sst>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634F-C905-4CF6-A3D2-D5AD96C262C9}">
  <dimension ref="A1:O7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5.85546875" hidden="1" customWidth="1"/>
    <col min="15" max="15" width="6.5703125" bestFit="1" customWidth="1"/>
  </cols>
  <sheetData>
    <row r="1" spans="1:15" x14ac:dyDescent="0.25">
      <c r="A1" s="3" t="s">
        <v>22</v>
      </c>
      <c r="B1" s="1" t="s">
        <v>0</v>
      </c>
      <c r="C1" s="1" t="s">
        <v>1</v>
      </c>
      <c r="D1" s="1" t="s">
        <v>2</v>
      </c>
      <c r="E1" s="1" t="s">
        <v>31</v>
      </c>
      <c r="F1" s="1" t="s">
        <v>32</v>
      </c>
      <c r="G1" s="1" t="s">
        <v>3</v>
      </c>
      <c r="H1" s="1" t="s">
        <v>28</v>
      </c>
      <c r="I1" s="4" t="s">
        <v>29</v>
      </c>
      <c r="J1" s="1" t="s">
        <v>30</v>
      </c>
      <c r="K1" s="1" t="s">
        <v>4</v>
      </c>
      <c r="L1" s="1" t="s">
        <v>26</v>
      </c>
      <c r="M1" s="1" t="s">
        <v>27</v>
      </c>
      <c r="N1" s="1" t="s">
        <v>5</v>
      </c>
      <c r="O1" s="1" t="s">
        <v>6</v>
      </c>
    </row>
    <row r="2" spans="1:15" x14ac:dyDescent="0.25">
      <c r="A2" t="s">
        <v>23</v>
      </c>
      <c r="B2" t="s">
        <v>7</v>
      </c>
      <c r="C2" t="s">
        <v>8</v>
      </c>
      <c r="D2">
        <v>681</v>
      </c>
      <c r="E2">
        <v>681</v>
      </c>
      <c r="F2" t="str">
        <f t="shared" ref="F2:F7" si="0">IF(D2=E2,"OK","Not")</f>
        <v>OK</v>
      </c>
      <c r="G2" s="2">
        <v>45867</v>
      </c>
      <c r="H2" s="2">
        <v>45866</v>
      </c>
      <c r="I2">
        <f t="shared" ref="I2:I7" si="1">H2-G2</f>
        <v>-1</v>
      </c>
      <c r="J2" t="str">
        <f t="shared" ref="J2:J7" si="2">IF(G2=H2,"OK","Not")</f>
        <v>Not</v>
      </c>
      <c r="K2" s="2">
        <v>45980</v>
      </c>
      <c r="L2" s="2">
        <v>45980</v>
      </c>
      <c r="M2" t="str">
        <f t="shared" ref="M2:M7" si="3">IF(K2=L2,"OK","Not")</f>
        <v>OK</v>
      </c>
      <c r="N2" t="s">
        <v>9</v>
      </c>
      <c r="O2" t="s">
        <v>34</v>
      </c>
    </row>
    <row r="3" spans="1:15" x14ac:dyDescent="0.25">
      <c r="A3" t="s">
        <v>24</v>
      </c>
      <c r="B3" t="s">
        <v>11</v>
      </c>
      <c r="C3" t="s">
        <v>12</v>
      </c>
      <c r="D3">
        <v>831</v>
      </c>
      <c r="E3">
        <v>831</v>
      </c>
      <c r="F3" t="str">
        <f t="shared" si="0"/>
        <v>OK</v>
      </c>
      <c r="G3" s="2">
        <v>45652</v>
      </c>
      <c r="H3" s="2">
        <v>45652</v>
      </c>
      <c r="I3">
        <f t="shared" si="1"/>
        <v>0</v>
      </c>
      <c r="J3" t="str">
        <f t="shared" si="2"/>
        <v>OK</v>
      </c>
      <c r="K3" s="2">
        <v>45967</v>
      </c>
      <c r="L3" s="2">
        <v>45967</v>
      </c>
      <c r="M3" t="str">
        <f t="shared" si="3"/>
        <v>OK</v>
      </c>
      <c r="N3" t="s">
        <v>13</v>
      </c>
      <c r="O3" t="s">
        <v>34</v>
      </c>
    </row>
    <row r="4" spans="1:15" x14ac:dyDescent="0.25">
      <c r="A4" t="s">
        <v>25</v>
      </c>
      <c r="B4" t="s">
        <v>14</v>
      </c>
      <c r="C4" t="s">
        <v>10</v>
      </c>
      <c r="D4">
        <v>1475</v>
      </c>
      <c r="E4">
        <v>1475</v>
      </c>
      <c r="F4" t="str">
        <f t="shared" si="0"/>
        <v>OK</v>
      </c>
      <c r="G4" s="2">
        <v>45889</v>
      </c>
      <c r="H4" s="2">
        <v>45889</v>
      </c>
      <c r="I4">
        <f t="shared" si="1"/>
        <v>0</v>
      </c>
      <c r="J4" t="str">
        <f t="shared" si="2"/>
        <v>OK</v>
      </c>
      <c r="K4" s="2">
        <v>45988</v>
      </c>
      <c r="L4" s="2">
        <v>45988</v>
      </c>
      <c r="M4" t="str">
        <f t="shared" si="3"/>
        <v>OK</v>
      </c>
      <c r="N4" t="s">
        <v>15</v>
      </c>
      <c r="O4" t="s">
        <v>34</v>
      </c>
    </row>
    <row r="5" spans="1:15" x14ac:dyDescent="0.25">
      <c r="A5" t="s">
        <v>23</v>
      </c>
      <c r="B5" t="s">
        <v>16</v>
      </c>
      <c r="C5" t="s">
        <v>10</v>
      </c>
      <c r="D5">
        <v>3142</v>
      </c>
      <c r="E5">
        <v>3142</v>
      </c>
      <c r="F5" t="str">
        <f t="shared" si="0"/>
        <v>OK</v>
      </c>
      <c r="G5" s="2">
        <v>45862</v>
      </c>
      <c r="H5" s="2">
        <v>45862</v>
      </c>
      <c r="I5">
        <f t="shared" si="1"/>
        <v>0</v>
      </c>
      <c r="J5" t="str">
        <f t="shared" si="2"/>
        <v>OK</v>
      </c>
      <c r="K5" s="2">
        <v>45981</v>
      </c>
      <c r="L5" s="2">
        <v>45981</v>
      </c>
      <c r="M5" t="str">
        <f t="shared" si="3"/>
        <v>OK</v>
      </c>
      <c r="N5" t="s">
        <v>17</v>
      </c>
      <c r="O5" t="s">
        <v>34</v>
      </c>
    </row>
    <row r="6" spans="1:15" x14ac:dyDescent="0.25">
      <c r="A6" t="s">
        <v>23</v>
      </c>
      <c r="B6" t="s">
        <v>18</v>
      </c>
      <c r="C6" t="s">
        <v>8</v>
      </c>
      <c r="D6">
        <v>664</v>
      </c>
      <c r="E6">
        <v>664</v>
      </c>
      <c r="F6" t="str">
        <f t="shared" si="0"/>
        <v>OK</v>
      </c>
      <c r="G6" s="2">
        <v>45916</v>
      </c>
      <c r="H6" s="2">
        <v>45916</v>
      </c>
      <c r="I6">
        <f t="shared" si="1"/>
        <v>0</v>
      </c>
      <c r="J6" t="str">
        <f t="shared" si="2"/>
        <v>OK</v>
      </c>
      <c r="K6" s="2">
        <v>45975</v>
      </c>
      <c r="L6" s="2">
        <v>45975</v>
      </c>
      <c r="M6" t="str">
        <f t="shared" si="3"/>
        <v>OK</v>
      </c>
      <c r="N6" t="s">
        <v>19</v>
      </c>
      <c r="O6" t="s">
        <v>33</v>
      </c>
    </row>
    <row r="7" spans="1:15" x14ac:dyDescent="0.25">
      <c r="A7" t="s">
        <v>24</v>
      </c>
      <c r="B7" t="s">
        <v>20</v>
      </c>
      <c r="C7" t="s">
        <v>10</v>
      </c>
      <c r="D7">
        <v>2407</v>
      </c>
      <c r="E7">
        <v>2407</v>
      </c>
      <c r="F7" t="str">
        <f t="shared" si="0"/>
        <v>OK</v>
      </c>
      <c r="G7" s="2">
        <v>45857</v>
      </c>
      <c r="H7" s="2">
        <v>45857</v>
      </c>
      <c r="I7">
        <f t="shared" si="1"/>
        <v>0</v>
      </c>
      <c r="J7" t="str">
        <f t="shared" si="2"/>
        <v>OK</v>
      </c>
      <c r="K7" s="2">
        <v>45966</v>
      </c>
      <c r="L7" s="2">
        <v>45966</v>
      </c>
      <c r="M7" t="str">
        <f t="shared" si="3"/>
        <v>OK</v>
      </c>
      <c r="N7" t="s">
        <v>21</v>
      </c>
      <c r="O7" t="s">
        <v>33</v>
      </c>
    </row>
  </sheetData>
  <autoFilter ref="A1:O7" xr:uid="{A59F634F-C905-4CF6-A3D2-D5AD96C262C9}">
    <sortState xmlns:xlrd2="http://schemas.microsoft.com/office/spreadsheetml/2017/richdata2" ref="A2:O7">
      <sortCondition ref="B1:B7"/>
    </sortState>
  </autoFilter>
  <conditionalFormatting sqref="B1:B1048576">
    <cfRule type="duplicateValues" dxfId="6" priority="2"/>
    <cfRule type="duplicateValues" dxfId="5" priority="3"/>
  </conditionalFormatting>
  <conditionalFormatting sqref="D1:D1048576">
    <cfRule type="duplicateValues" dxfId="4" priority="1"/>
  </conditionalFormatting>
  <conditionalFormatting sqref="F1:F1048576">
    <cfRule type="containsText" dxfId="3" priority="7" operator="containsText" text="OK">
      <formula>NOT(ISERROR(SEARCH("OK",F1)))</formula>
    </cfRule>
  </conditionalFormatting>
  <conditionalFormatting sqref="J1:J1048576">
    <cfRule type="containsText" dxfId="2" priority="4" operator="containsText" text="Not">
      <formula>NOT(ISERROR(SEARCH("Not",J1)))</formula>
    </cfRule>
    <cfRule type="containsText" dxfId="1" priority="5" operator="containsText" text="OK">
      <formula>NOT(ISERROR(SEARCH("OK",J1)))</formula>
    </cfRule>
  </conditionalFormatting>
  <conditionalFormatting sqref="M2:M7">
    <cfRule type="containsText" dxfId="0" priority="6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2025-12-12T09:00:37Z</dcterms:created>
  <dcterms:modified xsi:type="dcterms:W3CDTF">2025-12-18T03:11:48Z</dcterms:modified>
</cp:coreProperties>
</file>