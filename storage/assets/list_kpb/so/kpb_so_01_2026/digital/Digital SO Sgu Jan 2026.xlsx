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FF13586A-5087-4408-B8E2-7B197BD0B53D}" xr6:coauthVersionLast="47" xr6:coauthVersionMax="47" xr10:uidLastSave="{00000000-0000-0000-0000-000000000000}"/>
  <bookViews>
    <workbookView xWindow="-120" yWindow="-120" windowWidth="20730" windowHeight="11040" activeTab="4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  <sheet name="21-25 Jan" sheetId="5" r:id="rId5"/>
  </sheets>
  <definedNames>
    <definedName name="_xlnm._FilterDatabase" localSheetId="2" hidden="1">'11-15 Jan'!$A$1:$O$25</definedName>
    <definedName name="_xlnm._FilterDatabase" localSheetId="0" hidden="1">'1-5 Jan'!$A$1:$O$16</definedName>
    <definedName name="_xlnm._FilterDatabase" localSheetId="3" hidden="1">'16-20 Jan'!$A$1:$O$38</definedName>
    <definedName name="_xlnm._FilterDatabase" localSheetId="4" hidden="1">'21-25 Jan'!$A$1:$O$36</definedName>
    <definedName name="_xlnm._FilterDatabase" localSheetId="1" hidden="1">'6-10 Jan'!$A$1:$O$55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5" l="1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4" i="5"/>
  <c r="J4" i="5"/>
  <c r="M4" i="5"/>
  <c r="M9" i="5"/>
  <c r="J9" i="5"/>
  <c r="I9" i="5"/>
  <c r="F9" i="5"/>
  <c r="M8" i="5"/>
  <c r="J8" i="5"/>
  <c r="I8" i="5"/>
  <c r="F8" i="5"/>
  <c r="M7" i="5"/>
  <c r="J7" i="5"/>
  <c r="I7" i="5"/>
  <c r="F7" i="5"/>
  <c r="M6" i="5"/>
  <c r="J6" i="5"/>
  <c r="I6" i="5"/>
  <c r="F6" i="5"/>
  <c r="M5" i="5"/>
  <c r="J5" i="5"/>
  <c r="I5" i="5"/>
  <c r="F5" i="5"/>
  <c r="M3" i="5"/>
  <c r="J3" i="5"/>
  <c r="I3" i="5"/>
  <c r="F3" i="5"/>
  <c r="M2" i="5"/>
  <c r="J2" i="5"/>
  <c r="I2" i="5"/>
  <c r="F2" i="5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M2" i="4"/>
  <c r="J2" i="4"/>
  <c r="F2" i="4"/>
  <c r="M3" i="4"/>
  <c r="J3" i="4"/>
  <c r="I3" i="4"/>
  <c r="F3" i="4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3" i="3"/>
  <c r="I3" i="3"/>
  <c r="M6" i="3"/>
  <c r="J6" i="3"/>
  <c r="I6" i="3"/>
  <c r="F6" i="3"/>
  <c r="M5" i="3"/>
  <c r="J5" i="3"/>
  <c r="I5" i="3"/>
  <c r="F5" i="3"/>
  <c r="M4" i="3"/>
  <c r="J4" i="3"/>
  <c r="I4" i="3"/>
  <c r="F4" i="3"/>
  <c r="M3" i="3"/>
  <c r="M2" i="3"/>
  <c r="J2" i="3"/>
  <c r="I2" i="3"/>
  <c r="F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2" i="2"/>
  <c r="I2" i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M2" i="2"/>
  <c r="M4" i="2"/>
  <c r="F4" i="2"/>
  <c r="M3" i="2"/>
  <c r="F3" i="2"/>
  <c r="F2" i="2"/>
  <c r="I4" i="5" l="1"/>
  <c r="I2" i="4"/>
  <c r="J3" i="3"/>
  <c r="M13" i="1"/>
  <c r="M8" i="1"/>
  <c r="M9" i="1"/>
  <c r="M10" i="1"/>
  <c r="M11" i="1"/>
  <c r="M12" i="1"/>
  <c r="M14" i="1"/>
  <c r="M15" i="1"/>
  <c r="M16" i="1"/>
  <c r="I8" i="1"/>
  <c r="I9" i="1"/>
  <c r="I10" i="1"/>
  <c r="I11" i="1"/>
  <c r="I12" i="1"/>
  <c r="I13" i="1"/>
  <c r="I14" i="1"/>
  <c r="I15" i="1"/>
  <c r="I16" i="1"/>
  <c r="J8" i="1"/>
  <c r="J9" i="1"/>
  <c r="J10" i="1"/>
  <c r="J11" i="1"/>
  <c r="J12" i="1"/>
  <c r="J13" i="1"/>
  <c r="J14" i="1"/>
  <c r="J15" i="1"/>
  <c r="J16" i="1"/>
  <c r="F8" i="1"/>
  <c r="F9" i="1"/>
  <c r="F10" i="1"/>
  <c r="F11" i="1"/>
  <c r="F12" i="1"/>
  <c r="F13" i="1"/>
  <c r="F14" i="1"/>
  <c r="F15" i="1"/>
  <c r="F16" i="1"/>
  <c r="F2" i="1"/>
  <c r="I3" i="1" l="1"/>
  <c r="I4" i="1"/>
  <c r="I5" i="1"/>
  <c r="I6" i="1"/>
  <c r="I7" i="1"/>
  <c r="M7" i="1"/>
  <c r="M6" i="1"/>
  <c r="M5" i="1"/>
  <c r="M4" i="1"/>
  <c r="M3" i="1"/>
  <c r="J2" i="1"/>
  <c r="J3" i="1"/>
  <c r="J4" i="1"/>
  <c r="J5" i="1"/>
  <c r="J6" i="1"/>
  <c r="J7" i="1"/>
  <c r="F3" i="1"/>
  <c r="F4" i="1"/>
  <c r="F5" i="1"/>
  <c r="F6" i="1"/>
  <c r="F7" i="1"/>
  <c r="M2" i="1" l="1"/>
</calcChain>
</file>

<file path=xl/sharedStrings.xml><?xml version="1.0" encoding="utf-8"?>
<sst xmlns="http://schemas.openxmlformats.org/spreadsheetml/2006/main" count="900" uniqueCount="358">
  <si>
    <t>no_mesin</t>
  </si>
  <si>
    <t>kpb_type</t>
  </si>
  <si>
    <t>km</t>
  </si>
  <si>
    <t>tanggal_beli</t>
  </si>
  <si>
    <t>tanggal_claim</t>
  </si>
  <si>
    <t>photo_url</t>
  </si>
  <si>
    <t>noted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</si>
  <si>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</si>
  <si>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</si>
  <si>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</si>
  <si>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</si>
  <si>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</si>
  <si>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</si>
  <si>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</si>
  <si>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</si>
  <si>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KPB3</t>
  </si>
  <si>
    <t>KPB1</t>
  </si>
  <si>
    <t>KPB2</t>
  </si>
  <si>
    <t>Ok</t>
  </si>
  <si>
    <t>JBK3E1611461</t>
  </si>
  <si>
    <t>JBK3E1612429</t>
  </si>
  <si>
    <t>JBK3E1612633</t>
  </si>
  <si>
    <t>JMC1E1744791</t>
  </si>
  <si>
    <t>JMC1E1764635</t>
  </si>
  <si>
    <t>JMC1E1778696</t>
  </si>
  <si>
    <t>JME1E1636424</t>
  </si>
  <si>
    <t>JME1E1645207</t>
  </si>
  <si>
    <t>JMF1E1318106</t>
  </si>
  <si>
    <t>JMF1E1365877</t>
  </si>
  <si>
    <t>JMH2E1636365</t>
  </si>
  <si>
    <t>KC04E1031670</t>
  </si>
  <si>
    <t>KF01E1975601</t>
  </si>
  <si>
    <t>KFB2E1077227</t>
  </si>
  <si>
    <t>KFF1E1000311</t>
  </si>
  <si>
    <t>https://squarix.modakita.com//m2tf6l//avatar/21370715220260105092419WUT9FW.jpg</t>
  </si>
  <si>
    <t>https://squarix.modakita.com//m2tf6l//avatar/21153619920260105100534RYK1KF.jpg</t>
  </si>
  <si>
    <t>https://squarix.modakita.com//m2tf6l//avatar/21153619920260105080400CMVA79.jpg</t>
  </si>
  <si>
    <t>https://squarix.modakita.com//m2tf6l//avatar/211536199202601020946090FMO76.jpg</t>
  </si>
  <si>
    <t>https://squarix.modakita.com//m2tf6l//avatar/21153619920260105131527OTTCUI.jpg</t>
  </si>
  <si>
    <t>https://squarix.modakita.com//m2tf6l//avatar/21153619920260102091459K7IYMM.jpg</t>
  </si>
  <si>
    <t>https://squarix.modakita.com//m2tf6l//avatar/21153619920260105100232A2VK1D.jpg</t>
  </si>
  <si>
    <t>https://squarix.modakita.com//m2tf6l//avatar/213813086202601051127491OQ0NH.jpg</t>
  </si>
  <si>
    <t>https://squarix.modakita.com//m2tf6l//avatar/21153619920260105081732VL5LTT.jpg</t>
  </si>
  <si>
    <t>https://squarix.modakita.com//m2tf6l//avatar/21153619920260105153837WDERTW.jpg</t>
  </si>
  <si>
    <t>https://squarix.modakita.com//m2tf6l//avatar/28369420260105114532GGL2EE.jpg</t>
  </si>
  <si>
    <t>https://squarix.modakita.com//m2tf6l//avatar/211536199202601050826190ATEZX.jpg</t>
  </si>
  <si>
    <t>https://squarix.modakita.com//m2tf6l//avatar/21370715220260105090044MIDS1F.jpg</t>
  </si>
  <si>
    <t>https://squarix.modakita.com//m2tf6l//avatar/21370715220260105093802MD0U9W.jpg</t>
  </si>
  <si>
    <t>https://squarix.modakita.com//m2tf6l//avatar/28369420260105111537YF6Z1I.jpg</t>
  </si>
  <si>
    <t>09821-260105_1738</t>
  </si>
  <si>
    <t>KPB4</t>
  </si>
  <si>
    <t>JBK1E2115200</t>
  </si>
  <si>
    <t>JBK1E2119337</t>
  </si>
  <si>
    <t>JBK1E2124120</t>
  </si>
  <si>
    <t>JBK1E2137204</t>
  </si>
  <si>
    <t>JBK1E2143510</t>
  </si>
  <si>
    <t>JBK1E2147080</t>
  </si>
  <si>
    <t>JBK1E2150692</t>
  </si>
  <si>
    <t>JBK1E2156263</t>
  </si>
  <si>
    <t>JBK3E1576726</t>
  </si>
  <si>
    <t>JBK3E1590357</t>
  </si>
  <si>
    <t>JBK3E1596614</t>
  </si>
  <si>
    <t>JBK3E1596655</t>
  </si>
  <si>
    <t>JBK3E1596915</t>
  </si>
  <si>
    <t>JBK3E1598268</t>
  </si>
  <si>
    <t>JBK3E1598492</t>
  </si>
  <si>
    <t>JBK3E1609049</t>
  </si>
  <si>
    <t>JBK3E1610813</t>
  </si>
  <si>
    <t>JBP1E2130530</t>
  </si>
  <si>
    <t>JMC1E1722408</t>
  </si>
  <si>
    <t>JMC1E1736431</t>
  </si>
  <si>
    <t>JMC1E1786242</t>
  </si>
  <si>
    <t>JMC1E1787934</t>
  </si>
  <si>
    <t>JMD1E2092159</t>
  </si>
  <si>
    <t>JMD1E2108646</t>
  </si>
  <si>
    <t>JMD1E2112676</t>
  </si>
  <si>
    <t>JMD1E2157364</t>
  </si>
  <si>
    <t>JMD1E2169403</t>
  </si>
  <si>
    <t>JME1E1654526</t>
  </si>
  <si>
    <t>JME1E1778128</t>
  </si>
  <si>
    <t>JME1E1840857</t>
  </si>
  <si>
    <t>JMF1E1193665</t>
  </si>
  <si>
    <t>JMF1E1255983</t>
  </si>
  <si>
    <t>JMF1E1307054</t>
  </si>
  <si>
    <t>JMF1E1370861</t>
  </si>
  <si>
    <t>JMF2E1299136</t>
  </si>
  <si>
    <t>JMF2E1559974</t>
  </si>
  <si>
    <t>JMF2E1572095</t>
  </si>
  <si>
    <t>JMG1E1554387</t>
  </si>
  <si>
    <t>JMH1E1071892</t>
  </si>
  <si>
    <t>JMH1E1164519</t>
  </si>
  <si>
    <t>JMH1E1274436</t>
  </si>
  <si>
    <t>JMH2E1249561</t>
  </si>
  <si>
    <t>JMH2E1535049</t>
  </si>
  <si>
    <t>JMH2E1545471</t>
  </si>
  <si>
    <t>JMH2E1601140</t>
  </si>
  <si>
    <t>JMH2E1654160</t>
  </si>
  <si>
    <t>KC04E1001192</t>
  </si>
  <si>
    <t>KC04E1016707</t>
  </si>
  <si>
    <t>KC04E1020060</t>
  </si>
  <si>
    <t>KC04E1028997</t>
  </si>
  <si>
    <t>KD11E1643303</t>
  </si>
  <si>
    <t>KFA1E1330108</t>
  </si>
  <si>
    <t>KFC1E1203510</t>
  </si>
  <si>
    <t>KFE3E1065459</t>
  </si>
  <si>
    <t>https://squarix.modakita.com//m2tf6l//avatar/2872300820260106141923BNHE5K.jpg</t>
  </si>
  <si>
    <t>https://squarix.modakita.com//m2tf6l//avatar/28723008202601061414371IFQQQ.jpg</t>
  </si>
  <si>
    <t>https://squarix.modakita.com//m2tf6l//avatar/28369420260107134936TJ15EX.jpg</t>
  </si>
  <si>
    <t>https://squarix.modakita.com//m2tf6l//avatar/21370715220260108114117AABAQR.jpg</t>
  </si>
  <si>
    <t>https://squarix.modakita.com//m2tf6l//avatar/28369420260106101931SPQ4QO.jpg</t>
  </si>
  <si>
    <t>https://squarix.modakita.com//m2tf6l//avatar/211536199202601080821215TWXV7.jpg</t>
  </si>
  <si>
    <t>https://squarix.modakita.com//m2tf6l//avatar/21153619920260106095239VJGAQU.jpg</t>
  </si>
  <si>
    <t>https://squarix.modakita.com//m2tf6l//avatar/21370715220260109104415D5LL0Z.jpg</t>
  </si>
  <si>
    <t>https://squarix.modakita.com//m2tf6l//avatar/21370715220260110090241KL6ZYW.jpg</t>
  </si>
  <si>
    <t>https://squarix.modakita.com//m2tf6l//avatar/21153619920260110102536EJAUXP.jpg</t>
  </si>
  <si>
    <t>https://squarix.modakita.com//m2tf6l//avatar/21370715220260110114048VJLQGY.jpg</t>
  </si>
  <si>
    <t>https://squarix.modakita.com//m2tf6l//avatar/28369420260106105754CB3PFV.jpg</t>
  </si>
  <si>
    <t>https://squarix.modakita.com//m2tf6l//avatar/21153619920260108100550PVPBMA.jpg</t>
  </si>
  <si>
    <t>https://squarix.modakita.com//m2tf6l//avatar/211536199202601061114526RCH0L.jpg</t>
  </si>
  <si>
    <t>https://squarix.modakita.com//m2tf6l//avatar/28369420260109152028XA6ML5.jpg</t>
  </si>
  <si>
    <t>https://squarix.modakita.com//m2tf6l//avatar/28369420260106110226DJNH0L.jpg</t>
  </si>
  <si>
    <t>https://squarix.modakita.com//m2tf6l//avatar/21469833820260107102616YVGRYP.jpg</t>
  </si>
  <si>
    <t>https://squarix.modakita.com//m2tf6l//avatar/213707152202601091005059YBCU4.jpg</t>
  </si>
  <si>
    <t>https://squarix.modakita.com//m2tf6l//avatar/21477198920260110114347IRKLCC.jpg</t>
  </si>
  <si>
    <t>https://squarix.modakita.com//m2tf6l//avatar/21153619920260107141300ERVMWZ.jpg</t>
  </si>
  <si>
    <t>https://squarix.modakita.com//m2tf6l//avatar/21475456420260107111740L7NOFS.jpg</t>
  </si>
  <si>
    <t>https://squarix.modakita.com//m2tf6l//avatar/2147654342026010909455122H3QD.jpg</t>
  </si>
  <si>
    <t>https://squarix.modakita.com//m2tf6l//avatar/21153619920260110112442UMIC4M.jpg</t>
  </si>
  <si>
    <t>https://squarix.modakita.com//m2tf6l//avatar/211536199202601061156520MT0UD.jpg</t>
  </si>
  <si>
    <t>https://squarix.modakita.com//m2tf6l//avatar/28369420260109142927SKZRAP.jpg</t>
  </si>
  <si>
    <t>https://squarix.modakita.com//m2tf6l//avatar/21475015920260106103044KD9CZV.jpg</t>
  </si>
  <si>
    <t>https://squarix.modakita.com//m2tf6l//avatar/211536199202601061543230ITASS.jpg</t>
  </si>
  <si>
    <t>https://squarix.modakita.com//m2tf6l//avatar/21228143320260110103830WX8DYR.jpg</t>
  </si>
  <si>
    <t>https://squarix.modakita.com//m2tf6l//avatar/213707152202601091351191LWGYW.jpg</t>
  </si>
  <si>
    <t>https://squarix.modakita.com//m2tf6l//avatar/21454736420260106094042BM6JNK.jpg</t>
  </si>
  <si>
    <t>https://squarix.modakita.com//m2tf6l//avatar/21381308620260110113145XGYP10.jpg</t>
  </si>
  <si>
    <t>https://squarix.modakita.com//m2tf6l//avatar/283694202601061128588B0GW9.jpg</t>
  </si>
  <si>
    <t>https://squarix.modakita.com//m2tf6l//avatar/21153619920260109143139WZBUZ8.jpg</t>
  </si>
  <si>
    <t>https://squarix.modakita.com//m2tf6l//avatar/21370715220260108164700EPM1ER.jpg</t>
  </si>
  <si>
    <t>https://squarix.modakita.com//m2tf6l//avatar/28723008202601061432428ZZJFS.jpg</t>
  </si>
  <si>
    <t>https://squarix.modakita.com//m2tf6l//avatar/21370715220260110131102OFKMAW.jpg</t>
  </si>
  <si>
    <t>https://squarix.modakita.com//m2tf6l//avatar/213707152202601100915536IB4QS.jpg</t>
  </si>
  <si>
    <t>https://squarix.modakita.com//m2tf6l//avatar/21370715220260110101908HHFEHT.jpg</t>
  </si>
  <si>
    <t>https://squarix.modakita.com//m2tf6l//avatar/213813086202601091104526LN4OD.jpg</t>
  </si>
  <si>
    <t>https://squarix.modakita.com//m2tf6l//avatar/28369420260109141733XWXGRG.jpg</t>
  </si>
  <si>
    <t>https://squarix.modakita.com//m2tf6l//avatar/21381308620260110135558PSTWXP.jpg</t>
  </si>
  <si>
    <t>https://squarix.modakita.com//m2tf6l//avatar/21153619920260106160521GKNZUZ.jpg</t>
  </si>
  <si>
    <t>https://squarix.modakita.com//m2tf6l//avatar/211536199202601101033298NICJ8.jpg</t>
  </si>
  <si>
    <t>https://squarix.modakita.com//m2tf6l//avatar/2872300820260106142316UT0KWI.jpg</t>
  </si>
  <si>
    <t>https://squarix.modakita.com//m2tf6l//avatar/21370715220260108123639N1ZXZD.jpg</t>
  </si>
  <si>
    <t>https://squarix.modakita.com//m2tf6l//avatar/21475511020260107105845V6ZGDH.jpg</t>
  </si>
  <si>
    <t>https://squarix.modakita.com//m2tf6l//avatar/21370715220260107135455AHV1BM.jpg</t>
  </si>
  <si>
    <t>https://squarix.modakita.com//m2tf6l//avatar/21370715220260107113344WKIO9Z.jpg</t>
  </si>
  <si>
    <t>https://squarix.modakita.com//m2tf6l//avatar/28723008202601061421491VUIH9.jpg</t>
  </si>
  <si>
    <t>https://squarix.modakita.com//m2tf6l//avatar/28369420260106103601ECMDBL.jpg</t>
  </si>
  <si>
    <t>https://squarix.modakita.com//m2tf6l//avatar/21153619920260110091135UJJ4KQ.jpg</t>
  </si>
  <si>
    <t>https://squarix.modakita.com//m2tf6l//avatar/21153619920260106112936B6HU8J.jpg</t>
  </si>
  <si>
    <t>https://squarix.modakita.com//m2tf6l//avatar/2872300820260106141812CEWDEX.jpg</t>
  </si>
  <si>
    <t>https://squarix.modakita.com//m2tf6l//avatar/21370715220260107103522MACRZB.jpg</t>
  </si>
  <si>
    <t>09821-260110_1751</t>
  </si>
  <si>
    <t>Speedo tidak sesuai tipe</t>
  </si>
  <si>
    <t>Speedo tidak sesuai tipe (tidak ada fisik)</t>
  </si>
  <si>
    <t>Ok (tidak ada fisik)</t>
  </si>
  <si>
    <t>JBK1E2113580</t>
  </si>
  <si>
    <t>JBK1E2126637</t>
  </si>
  <si>
    <t>JBK1E2135060</t>
  </si>
  <si>
    <t>JBK1E2149818</t>
  </si>
  <si>
    <t>JBK1E2156220</t>
  </si>
  <si>
    <t>JBK3E1603258</t>
  </si>
  <si>
    <t>JBK3E1608091</t>
  </si>
  <si>
    <t>JBP1E2130294</t>
  </si>
  <si>
    <t>JMD1E2019631</t>
  </si>
  <si>
    <t>JMD1E2112696</t>
  </si>
  <si>
    <t>JMD1E2123275</t>
  </si>
  <si>
    <t>JMD1E2130676</t>
  </si>
  <si>
    <t>JME1E1656563</t>
  </si>
  <si>
    <t>JME1E1708173</t>
  </si>
  <si>
    <t>JME1E1788456</t>
  </si>
  <si>
    <t>JMF1E1369113</t>
  </si>
  <si>
    <t>JMF1E1370963</t>
  </si>
  <si>
    <t>JMG1E1611760</t>
  </si>
  <si>
    <t>JMH1E1297410</t>
  </si>
  <si>
    <t>JMH2E1405778</t>
  </si>
  <si>
    <t>JMH2E1540529</t>
  </si>
  <si>
    <t>KC04E1028976</t>
  </si>
  <si>
    <t>KF01E1973233</t>
  </si>
  <si>
    <t>KFD1E1173323</t>
  </si>
  <si>
    <t>https://squarix.modakita.com//m2tf6l//avatar/21153619920260114094403P9TFSO.jpg</t>
  </si>
  <si>
    <t>https://squarix.modakita.com//m2tf6l//avatar/21153619920260112083752RKO5KZ.jpg</t>
  </si>
  <si>
    <t>https://squarix.modakita.com//m2tf6l//avatar/21153619920260113100704UL9MPL.jpg</t>
  </si>
  <si>
    <t>https://squarix.modakita.com//m2tf6l//avatar/21153619920260113121048FMHZNN.jpg</t>
  </si>
  <si>
    <t>https://squarix.modakita.com//m2tf6l//avatar/21479632720260115093152RVKBXR.jpg</t>
  </si>
  <si>
    <t>https://squarix.modakita.com//m2tf6l//avatar/28369420260115123420LYBWF1.jpg</t>
  </si>
  <si>
    <t>https://squarix.modakita.com//m2tf6l//avatar/21370715220260113095551RI6LNU.jpg</t>
  </si>
  <si>
    <t>https://squarix.modakita.com//m2tf6l//avatar/21153619920260113153907IGG4FF.jpg</t>
  </si>
  <si>
    <t>https://squarix.modakita.com//m2tf6l//avatar/21370715220260112134734SZVSLA.jpg</t>
  </si>
  <si>
    <t>https://squarix.modakita.com//m2tf6l//avatar/211536199202601121206210IPANI.jpg</t>
  </si>
  <si>
    <t>https://squarix.modakita.com//m2tf6l//avatar/21370715220260113152524O2PW55.jpg</t>
  </si>
  <si>
    <t>https://squarix.modakita.com//m2tf6l//avatar/21153619920260112084323O8MSD9.jpg</t>
  </si>
  <si>
    <t>https://squarix.modakita.com//m2tf6l//avatar/21381308620260115103514FVDQ4W.jpg</t>
  </si>
  <si>
    <t>https://squarix.modakita.com//m2tf6l//avatar/211536199202601121401163FA4TX.jpg</t>
  </si>
  <si>
    <t>https://squarix.modakita.com//m2tf6l//avatar/21477929820260112110107XRVL8O.jpg</t>
  </si>
  <si>
    <t>https://squarix.modakita.com//m2tf6l//avatar/21153619920260112152704US8ZCT.jpg</t>
  </si>
  <si>
    <t>https://squarix.modakita.com//m2tf6l//avatar/21153619920260115112635YHJBSS.jpg</t>
  </si>
  <si>
    <t>https://squarix.modakita.com//m2tf6l//avatar/214416156202601141309287BUOAP.jpg</t>
  </si>
  <si>
    <t>https://squarix.modakita.com//m2tf6l//avatar/21153619920260112082245WANQMR.jpg</t>
  </si>
  <si>
    <t>https://squarix.modakita.com//m2tf6l//avatar/21153619920260115090523R2T00Q.jpg</t>
  </si>
  <si>
    <t>https://squarix.modakita.com//m2tf6l//avatar/21370715220260115112944P8GB6F.jpg</t>
  </si>
  <si>
    <t>https://squarix.modakita.com//m2tf6l//avatar/21153619920260112100800KLRYSA.jpg</t>
  </si>
  <si>
    <t>https://squarix.modakita.com//m2tf6l//avatar/21153619920260113094526TLPTQX.jpg</t>
  </si>
  <si>
    <t>https://squarix.modakita.com//m2tf6l//avatar/21153619920260112105245APJA1O.jpg</t>
  </si>
  <si>
    <t>09821-260115_1856</t>
  </si>
  <si>
    <t>JBK1E2112901</t>
  </si>
  <si>
    <t>JBK1E2127388</t>
  </si>
  <si>
    <t>JBK1E2147376</t>
  </si>
  <si>
    <t>JBK1E2151325</t>
  </si>
  <si>
    <t>JBK1E2154101</t>
  </si>
  <si>
    <t>JBK1E2154704</t>
  </si>
  <si>
    <t>JBK1E2155835</t>
  </si>
  <si>
    <t>JBK1E2155838</t>
  </si>
  <si>
    <t>JBK3E1604156</t>
  </si>
  <si>
    <t>JBK3E1615616</t>
  </si>
  <si>
    <t>JBP1E2131861</t>
  </si>
  <si>
    <t>JBP1E2140561</t>
  </si>
  <si>
    <t>JMA1E1206660</t>
  </si>
  <si>
    <t>JMD1E2000080</t>
  </si>
  <si>
    <t>JMD1E2075428</t>
  </si>
  <si>
    <t>JMD1E2108636</t>
  </si>
  <si>
    <t>JMD1E2112725</t>
  </si>
  <si>
    <t>JMD1E2152457</t>
  </si>
  <si>
    <t>JMF1E1231234</t>
  </si>
  <si>
    <t>JMF1E1317900</t>
  </si>
  <si>
    <t>JMF1E1343768</t>
  </si>
  <si>
    <t>JMF1E1364101</t>
  </si>
  <si>
    <t>JMF1E1370453</t>
  </si>
  <si>
    <t>JMH2E1565834</t>
  </si>
  <si>
    <t>JMH2E1585640</t>
  </si>
  <si>
    <t>JMJ1E1008871</t>
  </si>
  <si>
    <t>JMK2E1000953</t>
  </si>
  <si>
    <t>KC03E1008248</t>
  </si>
  <si>
    <t>KC04E1006863</t>
  </si>
  <si>
    <t>KC04E1023002</t>
  </si>
  <si>
    <t>KC04E1028300</t>
  </si>
  <si>
    <t>KC04E1028862</t>
  </si>
  <si>
    <t>KD11E1667155</t>
  </si>
  <si>
    <t>KF01E2014280</t>
  </si>
  <si>
    <t>KFC1E1243147</t>
  </si>
  <si>
    <t>KFD1E1193511</t>
  </si>
  <si>
    <t>KFE3E1056403</t>
  </si>
  <si>
    <t>https://squarix.modakita.com//m2tf6l//avatar/211812031202601191014245Z8UY1.jpg</t>
  </si>
  <si>
    <t>https://squarix.modakita.com//m2tf6l//avatar/21153619920260119163604XJSFML.jpg</t>
  </si>
  <si>
    <t>https://squarix.modakita.com//m2tf6l//avatar/2872300820260117121729TTKZNN.jpg</t>
  </si>
  <si>
    <t>https://squarix.modakita.com//m2tf6l//avatar/21153619920260119101206QMG3YW.jpg</t>
  </si>
  <si>
    <t>https://squarix.modakita.com//m2tf6l//avatar/283694202601171259056QMI6O.jpg</t>
  </si>
  <si>
    <t>https://squarix.modakita.com//m2tf6l//avatar/214805476202601170957296TN972.jpg</t>
  </si>
  <si>
    <t>https://squarix.modakita.com//m2tf6l//avatar/214814575202601191357422D0ZNW.jpg</t>
  </si>
  <si>
    <t>https://squarix.modakita.com//m2tf6l//avatar/21153619920260120124837SKSTU7.jpg</t>
  </si>
  <si>
    <t>https://squarix.modakita.com//m2tf6l//avatar/21440482320260117121615Q2VB1T.jpg</t>
  </si>
  <si>
    <t>https://squarix.modakita.com//m2tf6l//avatar/21153619920260117095159LIJQPB.jpg</t>
  </si>
  <si>
    <t>https://squarix.modakita.com//m2tf6l//avatar/21370715220260117110842IQBBX5.jpg</t>
  </si>
  <si>
    <t>https://squarix.modakita.com//m2tf6l//avatar/211536199202601191507477XZDWI.jpg</t>
  </si>
  <si>
    <t>https://squarix.modakita.com//m2tf6l//avatar/21481484020260119142151F5OVDE.jpg</t>
  </si>
  <si>
    <t>https://squarix.modakita.com//m2tf6l//avatar/21370715220260117100200RIQHQH.jpg</t>
  </si>
  <si>
    <t>https://squarix.modakita.com//m2tf6l//avatar/213707152202601171149506OXYJK.jpg</t>
  </si>
  <si>
    <t>https://squarix.modakita.com//m2tf6l//avatar/214815092202601191521446FNA9J.jpg</t>
  </si>
  <si>
    <t>https://squarix.modakita.com//m2tf6l//avatar/21153619920260119135641LVIP3J.jpg</t>
  </si>
  <si>
    <t>https://squarix.modakita.com//m2tf6l//avatar/21370715220260117112653PFT2Q8.jpg</t>
  </si>
  <si>
    <t>https://squarix.modakita.com//m2tf6l//avatar/2115361992026011708105338JCNB.jpg</t>
  </si>
  <si>
    <t>https://squarix.modakita.com//m2tf6l//avatar/21153619920260119124557XX9TO1.jpg</t>
  </si>
  <si>
    <t>https://squarix.modakita.com//m2tf6l//avatar/21153619920260117161802QOSIEH.jpg</t>
  </si>
  <si>
    <t>https://squarix.modakita.com//m2tf6l//avatar/21153619920260119112341U5OIYM.jpg</t>
  </si>
  <si>
    <t>https://squarix.modakita.com//m2tf6l//avatar/28369420260119103611LOHPQO.jpg</t>
  </si>
  <si>
    <t>https://squarix.modakita.com//m2tf6l//avatar/21153619920260117114455F73OIJ.jpg</t>
  </si>
  <si>
    <t>https://squarix.modakita.com//m2tf6l//avatar/21153619920260119103248D49Z93.jpg</t>
  </si>
  <si>
    <t>https://squarix.modakita.com//m2tf6l//avatar/21153619920260117105729QPUI59.jpg</t>
  </si>
  <si>
    <t>https://squarix.modakita.com//m2tf6l//avatar/21153619920260119101051GCMWZW.jpg</t>
  </si>
  <si>
    <t>https://squarix.modakita.com//m2tf6l//avatar/21480541520260117095046JQWHYM.jpg</t>
  </si>
  <si>
    <t>https://squarix.modakita.com//m2tf6l//avatar/2872300820260117122556EMCSWD.jpg</t>
  </si>
  <si>
    <t>https://squarix.modakita.com//m2tf6l//avatar/21370715220260119084040EAN9BP.jpg</t>
  </si>
  <si>
    <t>https://squarix.modakita.com//m2tf6l//avatar/21153619920260119095809PT69XU.jpg</t>
  </si>
  <si>
    <t>https://squarix.modakita.com//m2tf6l//avatar/21462343320260120152322IWFFJO.jpg</t>
  </si>
  <si>
    <t>https://squarix.modakita.com//m2tf6l//avatar/21153619920260119092143FWMPQ5.jpg</t>
  </si>
  <si>
    <t>https://squarix.modakita.com//m2tf6l//avatar/21381308620260120115556SR8Q6J.jpg</t>
  </si>
  <si>
    <t>https://squarix.modakita.com//m2tf6l//avatar/21440482320260117121205JFNEY5.jpg</t>
  </si>
  <si>
    <t>https://squarix.modakita.com//m2tf6l//avatar/2872300820260117121825OAVZFG.jpg</t>
  </si>
  <si>
    <t>https://squarix.modakita.com//m2tf6l//avatar/21153619920260119131941Z5AMEE.jpg</t>
  </si>
  <si>
    <t>09821-260121_1609</t>
  </si>
  <si>
    <t>JBK1E2156112</t>
  </si>
  <si>
    <t>JBK3E1610789</t>
  </si>
  <si>
    <t>JBK3E1616753</t>
  </si>
  <si>
    <t>JBP1E2113205</t>
  </si>
  <si>
    <t>JBP1E2133267</t>
  </si>
  <si>
    <t>JBP1E2136018</t>
  </si>
  <si>
    <t>JBP1E2141223</t>
  </si>
  <si>
    <t>JMC1E1705748</t>
  </si>
  <si>
    <t>JMC1E1714018</t>
  </si>
  <si>
    <t>JMC1E1771353</t>
  </si>
  <si>
    <t>JMD1E2090272</t>
  </si>
  <si>
    <t>JMD1E2090341</t>
  </si>
  <si>
    <t>JMD1E2142422</t>
  </si>
  <si>
    <t>JMD1E2165927</t>
  </si>
  <si>
    <t>JME1E1805097</t>
  </si>
  <si>
    <t>JMF1E1326774</t>
  </si>
  <si>
    <t>JMF2E1278195</t>
  </si>
  <si>
    <t>JMF2E1571748</t>
  </si>
  <si>
    <t>JMF2E1578465</t>
  </si>
  <si>
    <t>JMF2E1648971</t>
  </si>
  <si>
    <t>JMG1E1678518</t>
  </si>
  <si>
    <t>JMH2E1473619</t>
  </si>
  <si>
    <t>KC03E1008046</t>
  </si>
  <si>
    <t>KC04E1001276</t>
  </si>
  <si>
    <t>KC04E1027347</t>
  </si>
  <si>
    <t>KC04E1029390</t>
  </si>
  <si>
    <t>KC04E1036015</t>
  </si>
  <si>
    <t>KC04E1036742</t>
  </si>
  <si>
    <t>KD11E1611665</t>
  </si>
  <si>
    <t>KD11E1661268</t>
  </si>
  <si>
    <t>KF01E1960892</t>
  </si>
  <si>
    <t>KF01E1983382</t>
  </si>
  <si>
    <t>KF01E1997404</t>
  </si>
  <si>
    <t>KFD1E1214011</t>
  </si>
  <si>
    <t>KFE3E1057127</t>
  </si>
  <si>
    <t>https://squarix.modakita.com//m2tf6l//avatar/21180958320260124081125PIBXYT.jpg</t>
  </si>
  <si>
    <t>https://squarix.modakita.com//m2tf6l//avatar/28369420260124115950MTZQ3P.jpg</t>
  </si>
  <si>
    <t>https://squarix.modakita.com//m2tf6l//avatar/21381308620260122133221FW4NV9.jpg</t>
  </si>
  <si>
    <t>https://squarix.modakita.com//m2tf6l//avatar/21149420620260121121019ABUSGQ.jpg</t>
  </si>
  <si>
    <t>https://squarix.modakita.com//m2tf6l//avatar/2872300820260122115136BBZPS0.jpg</t>
  </si>
  <si>
    <t>https://squarix.modakita.com//m2tf6l//avatar/21370715220260122144601OMWTAB.jpg</t>
  </si>
  <si>
    <t>https://squarix.modakita.com//m2tf6l//avatar/21153619920260121090824WNNYCJ.jpg</t>
  </si>
  <si>
    <t>https://squarix.modakita.com//m2tf6l//avatar/21228143320260125100847FJB2XY.jpg</t>
  </si>
  <si>
    <t>https://squarix.modakita.com//m2tf6l//avatar/2872300820260123164354WMNRBD.jpg</t>
  </si>
  <si>
    <t>https://squarix.modakita.com//m2tf6l//avatar/211536199202601211603049WNBUB.jpg</t>
  </si>
  <si>
    <t>https://squarix.modakita.com//m2tf6l//avatar/28369420260123135705SE8XEQ.jpg</t>
  </si>
  <si>
    <t>https://squarix.modakita.com//m2tf6l//avatar/2872300820260123164232YRMC4I.jpg</t>
  </si>
  <si>
    <t>https://squarix.modakita.com//m2tf6l//avatar/21153619920260122090845JFTJJD.jpg</t>
  </si>
  <si>
    <t>https://squarix.modakita.com//m2tf6l//avatar/21228143320260125101317U3II3J.jpg</t>
  </si>
  <si>
    <t>https://squarix.modakita.com//m2tf6l//avatar/213813086202601231307100EM6RN.jpg</t>
  </si>
  <si>
    <t>https://squarix.modakita.com//m2tf6l//avatar/21153619920260121131927USU66M.jpg</t>
  </si>
  <si>
    <t>https://squarix.modakita.com//m2tf6l//avatar/211536199202601231414278UMTYR.jpg</t>
  </si>
  <si>
    <t>https://squarix.modakita.com//m2tf6l//avatar/21370715220260122163007USDU3U.jpg</t>
  </si>
  <si>
    <t>https://squarix.modakita.com//m2tf6l//avatar/2115361992026012114034208LEAH.jpg</t>
  </si>
  <si>
    <t>https://squarix.modakita.com//m2tf6l//avatar/21464740420260122120606PC7EUM.jpg</t>
  </si>
  <si>
    <t>https://squarix.modakita.com//m2tf6l//avatar/21370715220260121120242BQDKLT.jpg</t>
  </si>
  <si>
    <t>https://squarix.modakita.com//m2tf6l//avatar/21370715220260121084037MOPHJF.jpg</t>
  </si>
  <si>
    <t>https://squarix.modakita.com//m2tf6l//avatar/21181203120260121101841RMAOK8.jpg</t>
  </si>
  <si>
    <t>https://squarix.modakita.com//m2tf6l//avatar/21370715220260121115305WLRWXJ.jpg</t>
  </si>
  <si>
    <t>https://squarix.modakita.com//m2tf6l//avatar/21153619920260122105704KLT4KW.jpg</t>
  </si>
  <si>
    <t>https://squarix.modakita.com//m2tf6l//avatar/21311914520260124082205Z42IYF.jpg</t>
  </si>
  <si>
    <t>https://squarix.modakita.com//m2tf6l//avatar/21153619920260121142225RIPOXN.jpg</t>
  </si>
  <si>
    <t>https://squarix.modakita.com//m2tf6l//avatar/21311914520260121102934UDMPXR.jpg</t>
  </si>
  <si>
    <t>https://squarix.modakita.com//m2tf6l//avatar/21153619920260124153258YE714H.jpg</t>
  </si>
  <si>
    <t>https://squarix.modakita.com//m2tf6l//avatar/21311914520260121103622H4LL1G.jpg</t>
  </si>
  <si>
    <t>https://squarix.modakita.com//m2tf6l//avatar/2137071522026012211054901VHGO.jpg</t>
  </si>
  <si>
    <t>https://squarix.modakita.com//m2tf6l//avatar/28369420260122122737RVVF1H.jpg</t>
  </si>
  <si>
    <t>https://squarix.modakita.com//m2tf6l//avatar/2545012720260124142512GPDHA2.jpg</t>
  </si>
  <si>
    <t>https://squarix.modakita.com//m2tf6l//avatar/21228143320260122111654UNWNNJ.jpg</t>
  </si>
  <si>
    <t>https://squarix.modakita.com//m2tf6l//avatar/21228143320260121100818GOEZ5Q.jpg</t>
  </si>
  <si>
    <t>09821-260126_1447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</si>
</sst>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dimension ref="A1:O16"/>
  <sheetViews>
    <sheetView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49</v>
      </c>
      <c r="B2" t="s">
        <v>19</v>
      </c>
      <c r="C2" t="s">
        <v>16</v>
      </c>
      <c r="D2">
        <v>211</v>
      </c>
      <c r="E2">
        <v>211</v>
      </c>
      <c r="F2" t="str">
        <f t="shared" ref="F2:F16" si="0">IF(D2=E2,"OK","Not")</f>
        <v>OK</v>
      </c>
      <c r="G2" s="2">
        <v>46000</v>
      </c>
      <c r="H2" s="2">
        <v>45998</v>
      </c>
      <c r="I2">
        <f>H2-G2</f>
        <v>-2</v>
      </c>
      <c r="J2" t="str">
        <f t="shared" ref="J2:J16" si="1">IF(G2=H2,"OK","Not")</f>
        <v>Not</v>
      </c>
      <c r="K2" s="2">
        <v>46027</v>
      </c>
      <c r="L2" s="2">
        <v>46027</v>
      </c>
      <c r="M2" t="str">
        <f t="shared" ref="M2:M16" si="2">IF(K2=L2,"OK","Not")</f>
        <v>OK</v>
      </c>
      <c r="N2" t="s">
        <v>34</v>
      </c>
      <c r="O2" t="s">
        <v>18</v>
      </c>
    </row>
    <row r="3" spans="1:15" x14ac:dyDescent="0.25">
      <c r="A3" t="s">
        <v>49</v>
      </c>
      <c r="B3" t="s">
        <v>20</v>
      </c>
      <c r="C3" t="s">
        <v>16</v>
      </c>
      <c r="D3">
        <v>711</v>
      </c>
      <c r="E3">
        <v>711</v>
      </c>
      <c r="F3" t="str">
        <f t="shared" si="0"/>
        <v>OK</v>
      </c>
      <c r="G3" s="2">
        <v>45996</v>
      </c>
      <c r="H3" s="2">
        <v>45996</v>
      </c>
      <c r="I3">
        <f t="shared" ref="I3:I16" si="3">H3-G3</f>
        <v>0</v>
      </c>
      <c r="J3" t="str">
        <f t="shared" si="1"/>
        <v>OK</v>
      </c>
      <c r="K3" s="2">
        <v>46027</v>
      </c>
      <c r="L3" s="2">
        <v>46027</v>
      </c>
      <c r="M3" t="str">
        <f t="shared" si="2"/>
        <v>OK</v>
      </c>
      <c r="N3" t="s">
        <v>35</v>
      </c>
      <c r="O3" t="s">
        <v>18</v>
      </c>
    </row>
    <row r="4" spans="1:15" x14ac:dyDescent="0.25">
      <c r="A4" t="s">
        <v>49</v>
      </c>
      <c r="B4" t="s">
        <v>21</v>
      </c>
      <c r="C4" t="s">
        <v>16</v>
      </c>
      <c r="D4">
        <v>752</v>
      </c>
      <c r="E4">
        <v>752</v>
      </c>
      <c r="F4" t="str">
        <f t="shared" si="0"/>
        <v>OK</v>
      </c>
      <c r="G4" s="2">
        <v>45994</v>
      </c>
      <c r="H4" s="2">
        <v>45994</v>
      </c>
      <c r="I4">
        <f t="shared" si="3"/>
        <v>0</v>
      </c>
      <c r="J4" t="str">
        <f t="shared" si="1"/>
        <v>OK</v>
      </c>
      <c r="K4" s="2">
        <v>46027</v>
      </c>
      <c r="L4" s="2">
        <v>46027</v>
      </c>
      <c r="M4" t="str">
        <f t="shared" si="2"/>
        <v>OK</v>
      </c>
      <c r="N4" t="s">
        <v>36</v>
      </c>
      <c r="O4" t="s">
        <v>18</v>
      </c>
    </row>
    <row r="5" spans="1:15" x14ac:dyDescent="0.25">
      <c r="A5" t="s">
        <v>49</v>
      </c>
      <c r="B5" t="s">
        <v>22</v>
      </c>
      <c r="C5" t="s">
        <v>17</v>
      </c>
      <c r="D5">
        <v>1503</v>
      </c>
      <c r="E5">
        <v>1503</v>
      </c>
      <c r="F5" t="str">
        <f t="shared" si="0"/>
        <v>OK</v>
      </c>
      <c r="G5" s="2">
        <v>45964</v>
      </c>
      <c r="H5" s="2">
        <v>45963</v>
      </c>
      <c r="I5">
        <f t="shared" si="3"/>
        <v>-1</v>
      </c>
      <c r="J5" t="str">
        <f t="shared" si="1"/>
        <v>Not</v>
      </c>
      <c r="K5" s="2">
        <v>46024</v>
      </c>
      <c r="L5" s="2">
        <v>46024</v>
      </c>
      <c r="M5" t="str">
        <f t="shared" si="2"/>
        <v>OK</v>
      </c>
      <c r="N5" t="s">
        <v>37</v>
      </c>
      <c r="O5" t="s">
        <v>18</v>
      </c>
    </row>
    <row r="6" spans="1:15" x14ac:dyDescent="0.25">
      <c r="A6" t="s">
        <v>49</v>
      </c>
      <c r="B6" t="s">
        <v>23</v>
      </c>
      <c r="C6" t="s">
        <v>16</v>
      </c>
      <c r="D6">
        <v>569</v>
      </c>
      <c r="E6">
        <v>569</v>
      </c>
      <c r="F6" t="str">
        <f t="shared" si="0"/>
        <v>OK</v>
      </c>
      <c r="G6" s="2">
        <v>45972</v>
      </c>
      <c r="H6" s="2">
        <v>45972</v>
      </c>
      <c r="I6">
        <f t="shared" si="3"/>
        <v>0</v>
      </c>
      <c r="J6" t="str">
        <f t="shared" si="1"/>
        <v>OK</v>
      </c>
      <c r="K6" s="2">
        <v>46027</v>
      </c>
      <c r="L6" s="2">
        <v>46027</v>
      </c>
      <c r="M6" t="str">
        <f t="shared" si="2"/>
        <v>OK</v>
      </c>
      <c r="N6" t="s">
        <v>38</v>
      </c>
      <c r="O6" t="s">
        <v>18</v>
      </c>
    </row>
    <row r="7" spans="1:15" x14ac:dyDescent="0.25">
      <c r="A7" t="s">
        <v>49</v>
      </c>
      <c r="B7" t="s">
        <v>24</v>
      </c>
      <c r="C7" t="s">
        <v>16</v>
      </c>
      <c r="D7">
        <v>450</v>
      </c>
      <c r="E7">
        <v>450</v>
      </c>
      <c r="F7" t="str">
        <f t="shared" si="0"/>
        <v>OK</v>
      </c>
      <c r="G7" s="2">
        <v>45994</v>
      </c>
      <c r="H7" s="2">
        <v>45993</v>
      </c>
      <c r="I7">
        <f t="shared" si="3"/>
        <v>-1</v>
      </c>
      <c r="J7" t="str">
        <f t="shared" si="1"/>
        <v>Not</v>
      </c>
      <c r="K7" s="2">
        <v>46024</v>
      </c>
      <c r="L7" s="2">
        <v>46024</v>
      </c>
      <c r="M7" t="str">
        <f t="shared" si="2"/>
        <v>OK</v>
      </c>
      <c r="N7" t="s">
        <v>39</v>
      </c>
      <c r="O7" t="s">
        <v>18</v>
      </c>
    </row>
    <row r="8" spans="1:15" x14ac:dyDescent="0.25">
      <c r="A8" t="s">
        <v>49</v>
      </c>
      <c r="B8" t="s">
        <v>25</v>
      </c>
      <c r="C8" t="s">
        <v>15</v>
      </c>
      <c r="D8">
        <v>2462</v>
      </c>
      <c r="E8">
        <v>2462</v>
      </c>
      <c r="F8" t="str">
        <f t="shared" si="0"/>
        <v>OK</v>
      </c>
      <c r="G8" s="2">
        <v>45859</v>
      </c>
      <c r="H8" s="2">
        <v>45858</v>
      </c>
      <c r="I8">
        <f t="shared" si="3"/>
        <v>-1</v>
      </c>
      <c r="J8" t="str">
        <f t="shared" si="1"/>
        <v>Not</v>
      </c>
      <c r="K8" s="2">
        <v>46027</v>
      </c>
      <c r="L8" s="2">
        <v>46027</v>
      </c>
      <c r="M8" t="str">
        <f t="shared" si="2"/>
        <v>OK</v>
      </c>
      <c r="N8" t="s">
        <v>40</v>
      </c>
      <c r="O8" t="s">
        <v>18</v>
      </c>
    </row>
    <row r="9" spans="1:15" x14ac:dyDescent="0.25">
      <c r="A9" t="s">
        <v>49</v>
      </c>
      <c r="B9" t="s">
        <v>26</v>
      </c>
      <c r="C9" t="s">
        <v>15</v>
      </c>
      <c r="D9">
        <v>3313</v>
      </c>
      <c r="E9">
        <v>3313</v>
      </c>
      <c r="F9" t="str">
        <f t="shared" si="0"/>
        <v>OK</v>
      </c>
      <c r="G9" s="2">
        <v>45881</v>
      </c>
      <c r="H9" s="2">
        <v>45878</v>
      </c>
      <c r="I9">
        <f t="shared" si="3"/>
        <v>-3</v>
      </c>
      <c r="J9" t="str">
        <f t="shared" si="1"/>
        <v>Not</v>
      </c>
      <c r="K9" s="2">
        <v>46027</v>
      </c>
      <c r="L9" s="2">
        <v>46027</v>
      </c>
      <c r="M9" t="str">
        <f t="shared" si="2"/>
        <v>OK</v>
      </c>
      <c r="N9" t="s">
        <v>41</v>
      </c>
      <c r="O9" t="s">
        <v>18</v>
      </c>
    </row>
    <row r="10" spans="1:15" x14ac:dyDescent="0.25">
      <c r="A10" t="s">
        <v>49</v>
      </c>
      <c r="B10" t="s">
        <v>27</v>
      </c>
      <c r="C10" t="s">
        <v>15</v>
      </c>
      <c r="D10">
        <v>6047</v>
      </c>
      <c r="E10">
        <v>6047</v>
      </c>
      <c r="F10" t="str">
        <f t="shared" si="0"/>
        <v>OK</v>
      </c>
      <c r="G10" s="2">
        <v>45930</v>
      </c>
      <c r="H10" s="2">
        <v>45930</v>
      </c>
      <c r="I10">
        <f t="shared" si="3"/>
        <v>0</v>
      </c>
      <c r="J10" t="str">
        <f t="shared" si="1"/>
        <v>OK</v>
      </c>
      <c r="K10" s="2">
        <v>46027</v>
      </c>
      <c r="L10" s="2">
        <v>46027</v>
      </c>
      <c r="M10" t="str">
        <f t="shared" si="2"/>
        <v>OK</v>
      </c>
      <c r="N10" t="s">
        <v>42</v>
      </c>
      <c r="O10" t="s">
        <v>18</v>
      </c>
    </row>
    <row r="11" spans="1:15" x14ac:dyDescent="0.25">
      <c r="A11" t="s">
        <v>49</v>
      </c>
      <c r="B11" t="s">
        <v>28</v>
      </c>
      <c r="C11" t="s">
        <v>16</v>
      </c>
      <c r="D11">
        <v>284</v>
      </c>
      <c r="E11">
        <v>284</v>
      </c>
      <c r="F11" t="str">
        <f t="shared" si="0"/>
        <v>OK</v>
      </c>
      <c r="G11" s="2">
        <v>46002</v>
      </c>
      <c r="H11" s="2">
        <v>46002</v>
      </c>
      <c r="I11">
        <f t="shared" si="3"/>
        <v>0</v>
      </c>
      <c r="J11" t="str">
        <f t="shared" si="1"/>
        <v>OK</v>
      </c>
      <c r="K11" s="2">
        <v>46027</v>
      </c>
      <c r="L11" s="2">
        <v>46027</v>
      </c>
      <c r="M11" t="str">
        <f t="shared" si="2"/>
        <v>OK</v>
      </c>
      <c r="N11" t="s">
        <v>43</v>
      </c>
      <c r="O11" t="s">
        <v>18</v>
      </c>
    </row>
    <row r="12" spans="1:15" x14ac:dyDescent="0.25">
      <c r="A12" t="s">
        <v>49</v>
      </c>
      <c r="B12" t="s">
        <v>29</v>
      </c>
      <c r="C12" t="s">
        <v>16</v>
      </c>
      <c r="D12">
        <v>674</v>
      </c>
      <c r="E12">
        <v>674</v>
      </c>
      <c r="F12" t="str">
        <f t="shared" si="0"/>
        <v>OK</v>
      </c>
      <c r="G12" s="2">
        <v>45994</v>
      </c>
      <c r="H12" s="2">
        <v>45993</v>
      </c>
      <c r="I12">
        <f t="shared" si="3"/>
        <v>-1</v>
      </c>
      <c r="J12" t="str">
        <f t="shared" si="1"/>
        <v>Not</v>
      </c>
      <c r="K12" s="2">
        <v>46027</v>
      </c>
      <c r="L12" s="2">
        <v>46027</v>
      </c>
      <c r="M12" t="str">
        <f t="shared" si="2"/>
        <v>OK</v>
      </c>
      <c r="N12" t="s">
        <v>44</v>
      </c>
      <c r="O12" t="s">
        <v>18</v>
      </c>
    </row>
    <row r="13" spans="1:15" x14ac:dyDescent="0.25">
      <c r="A13" t="s">
        <v>49</v>
      </c>
      <c r="B13" t="s">
        <v>30</v>
      </c>
      <c r="C13" t="s">
        <v>16</v>
      </c>
      <c r="D13">
        <v>393</v>
      </c>
      <c r="E13">
        <v>393</v>
      </c>
      <c r="F13" t="str">
        <f t="shared" si="0"/>
        <v>OK</v>
      </c>
      <c r="G13" s="2">
        <v>45995</v>
      </c>
      <c r="H13" s="2">
        <v>45995</v>
      </c>
      <c r="I13">
        <f t="shared" si="3"/>
        <v>0</v>
      </c>
      <c r="J13" t="str">
        <f t="shared" si="1"/>
        <v>OK</v>
      </c>
      <c r="K13" s="2">
        <v>46027</v>
      </c>
      <c r="L13" s="2">
        <v>46027</v>
      </c>
      <c r="M13" t="str">
        <f t="shared" si="2"/>
        <v>OK</v>
      </c>
      <c r="N13" t="s">
        <v>45</v>
      </c>
      <c r="O13" t="s">
        <v>18</v>
      </c>
    </row>
    <row r="14" spans="1:15" x14ac:dyDescent="0.25">
      <c r="A14" t="s">
        <v>49</v>
      </c>
      <c r="B14" t="s">
        <v>31</v>
      </c>
      <c r="C14" t="s">
        <v>15</v>
      </c>
      <c r="D14">
        <v>2090</v>
      </c>
      <c r="E14">
        <v>2090</v>
      </c>
      <c r="F14" t="str">
        <f t="shared" si="0"/>
        <v>OK</v>
      </c>
      <c r="G14" s="2">
        <v>45930</v>
      </c>
      <c r="H14" s="2">
        <v>45930</v>
      </c>
      <c r="I14">
        <f t="shared" si="3"/>
        <v>0</v>
      </c>
      <c r="J14" t="str">
        <f t="shared" si="1"/>
        <v>OK</v>
      </c>
      <c r="K14" s="2">
        <v>46027</v>
      </c>
      <c r="L14" s="2">
        <v>46027</v>
      </c>
      <c r="M14" t="str">
        <f t="shared" si="2"/>
        <v>OK</v>
      </c>
      <c r="N14" t="s">
        <v>46</v>
      </c>
      <c r="O14" t="s">
        <v>18</v>
      </c>
    </row>
    <row r="15" spans="1:15" x14ac:dyDescent="0.25">
      <c r="A15" t="s">
        <v>49</v>
      </c>
      <c r="B15" t="s">
        <v>32</v>
      </c>
      <c r="C15" t="s">
        <v>15</v>
      </c>
      <c r="D15">
        <v>6178</v>
      </c>
      <c r="E15">
        <v>6178</v>
      </c>
      <c r="F15" t="str">
        <f t="shared" si="0"/>
        <v>OK</v>
      </c>
      <c r="G15" s="2">
        <v>45841</v>
      </c>
      <c r="H15" s="2">
        <v>45841</v>
      </c>
      <c r="I15">
        <f t="shared" si="3"/>
        <v>0</v>
      </c>
      <c r="J15" t="str">
        <f t="shared" si="1"/>
        <v>OK</v>
      </c>
      <c r="K15" s="2">
        <v>46027</v>
      </c>
      <c r="L15" s="2">
        <v>46027</v>
      </c>
      <c r="M15" t="str">
        <f t="shared" si="2"/>
        <v>OK</v>
      </c>
      <c r="N15" t="s">
        <v>47</v>
      </c>
      <c r="O15" t="s">
        <v>18</v>
      </c>
    </row>
    <row r="16" spans="1:15" x14ac:dyDescent="0.25">
      <c r="A16" t="s">
        <v>49</v>
      </c>
      <c r="B16" t="s">
        <v>33</v>
      </c>
      <c r="C16" t="s">
        <v>16</v>
      </c>
      <c r="D16">
        <v>972</v>
      </c>
      <c r="E16">
        <v>972</v>
      </c>
      <c r="F16" t="str">
        <f t="shared" si="0"/>
        <v>OK</v>
      </c>
      <c r="G16" s="2">
        <v>45988</v>
      </c>
      <c r="H16" s="2">
        <v>45987</v>
      </c>
      <c r="I16">
        <f t="shared" si="3"/>
        <v>-1</v>
      </c>
      <c r="J16" t="str">
        <f t="shared" si="1"/>
        <v>Not</v>
      </c>
      <c r="K16" s="2">
        <v>46027</v>
      </c>
      <c r="L16" s="2">
        <v>46027</v>
      </c>
      <c r="M16" t="str">
        <f t="shared" si="2"/>
        <v>OK</v>
      </c>
      <c r="N16" t="s">
        <v>48</v>
      </c>
      <c r="O16" t="s">
        <v>18</v>
      </c>
    </row>
  </sheetData>
  <autoFilter ref="A1:O16" xr:uid="{C5CEEFFB-22AA-42AF-9F9D-4A39AE7EACD4}">
    <sortState xmlns:xlrd2="http://schemas.microsoft.com/office/spreadsheetml/2017/richdata2" ref="A2:O16">
      <sortCondition ref="B1:B16"/>
    </sortState>
  </autoFilter>
  <phoneticPr fontId="3" type="noConversion"/>
  <conditionalFormatting sqref="B1:B1048576">
    <cfRule type="duplicateValues" dxfId="79" priority="3"/>
    <cfRule type="duplicateValues" dxfId="78" priority="6"/>
    <cfRule type="duplicateValues" dxfId="77" priority="7"/>
  </conditionalFormatting>
  <conditionalFormatting sqref="D1:D1048576">
    <cfRule type="duplicateValues" dxfId="76" priority="4"/>
    <cfRule type="duplicateValues" dxfId="75" priority="5"/>
  </conditionalFormatting>
  <conditionalFormatting sqref="E5">
    <cfRule type="duplicateValues" dxfId="74" priority="1"/>
    <cfRule type="duplicateValues" dxfId="73" priority="2"/>
  </conditionalFormatting>
  <conditionalFormatting sqref="F1:F1048576 M2:M16">
    <cfRule type="containsText" dxfId="72" priority="14" operator="containsText" text="Not">
      <formula>NOT(ISERROR(SEARCH("Not",F1)))</formula>
    </cfRule>
    <cfRule type="containsText" dxfId="71" priority="15" operator="containsText" text="OK">
      <formula>NOT(ISERROR(SEARCH("OK",F1)))</formula>
    </cfRule>
  </conditionalFormatting>
  <conditionalFormatting sqref="J1:J1048576">
    <cfRule type="containsText" dxfId="70" priority="10" operator="containsText" text="Not">
      <formula>NOT(ISERROR(SEARCH("Not",J1)))</formula>
    </cfRule>
  </conditionalFormatting>
  <conditionalFormatting sqref="J2:J16">
    <cfRule type="containsText" dxfId="69" priority="19" operator="containsText" text="OK">
      <formula>NOT(ISERROR(SEARCH("OK",J2)))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5672-481B-4268-974A-51245B9DDCFB}">
  <sheetPr filterMode="1"/>
  <dimension ref="A1:O55"/>
  <sheetViews>
    <sheetView topLeftCell="E1" workbookViewId="0">
      <pane ySplit="1" topLeftCell="A29" activePane="bottomLeft" state="frozen"/>
      <selection pane="bottomLeft" activeCell="P37" sqref="P37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hidden="1" x14ac:dyDescent="0.25">
      <c r="A2" t="s">
        <v>159</v>
      </c>
      <c r="B2" s="5" t="s">
        <v>51</v>
      </c>
      <c r="C2" t="s">
        <v>15</v>
      </c>
      <c r="D2">
        <v>3635</v>
      </c>
      <c r="E2">
        <v>3635</v>
      </c>
      <c r="F2" t="str">
        <f t="shared" ref="F2:F33" si="0">IF(D2=E2,"OK","Not")</f>
        <v>OK</v>
      </c>
      <c r="G2" s="2">
        <v>45882</v>
      </c>
      <c r="H2" s="2">
        <v>45882</v>
      </c>
      <c r="I2">
        <f t="shared" ref="I2:I33" si="1">H2-G2</f>
        <v>0</v>
      </c>
      <c r="J2" t="str">
        <f t="shared" ref="J2:J33" si="2">IF(G2=H2,"OK","Not")</f>
        <v>OK</v>
      </c>
      <c r="K2" s="2">
        <v>46028</v>
      </c>
      <c r="L2" s="2">
        <v>46028</v>
      </c>
      <c r="M2" t="str">
        <f t="shared" ref="M2:M33" si="3">IF(K2=L2,"OK","Not")</f>
        <v>OK</v>
      </c>
      <c r="N2" t="s">
        <v>105</v>
      </c>
      <c r="O2" t="s">
        <v>18</v>
      </c>
    </row>
    <row r="3" spans="1:15" hidden="1" x14ac:dyDescent="0.25">
      <c r="A3" t="s">
        <v>159</v>
      </c>
      <c r="B3" t="s">
        <v>52</v>
      </c>
      <c r="C3" t="s">
        <v>50</v>
      </c>
      <c r="D3">
        <v>4452</v>
      </c>
      <c r="E3">
        <v>4452</v>
      </c>
      <c r="F3" t="str">
        <f t="shared" si="0"/>
        <v>OK</v>
      </c>
      <c r="G3" s="2">
        <v>45885</v>
      </c>
      <c r="H3" s="2">
        <v>45885</v>
      </c>
      <c r="I3">
        <f t="shared" si="1"/>
        <v>0</v>
      </c>
      <c r="J3" t="str">
        <f t="shared" si="2"/>
        <v>OK</v>
      </c>
      <c r="K3" s="2">
        <v>46028</v>
      </c>
      <c r="L3" s="2">
        <v>46028</v>
      </c>
      <c r="M3" t="str">
        <f t="shared" si="3"/>
        <v>OK</v>
      </c>
      <c r="N3" t="s">
        <v>106</v>
      </c>
      <c r="O3" t="s">
        <v>18</v>
      </c>
    </row>
    <row r="4" spans="1:15" hidden="1" x14ac:dyDescent="0.25">
      <c r="A4" t="s">
        <v>159</v>
      </c>
      <c r="B4" t="s">
        <v>53</v>
      </c>
      <c r="C4" t="s">
        <v>50</v>
      </c>
      <c r="D4">
        <v>1454</v>
      </c>
      <c r="E4">
        <v>1454</v>
      </c>
      <c r="F4" t="str">
        <f t="shared" si="0"/>
        <v>OK</v>
      </c>
      <c r="G4" s="2">
        <v>45901</v>
      </c>
      <c r="H4" s="2">
        <v>45901</v>
      </c>
      <c r="I4">
        <f t="shared" si="1"/>
        <v>0</v>
      </c>
      <c r="J4" t="str">
        <f t="shared" si="2"/>
        <v>OK</v>
      </c>
      <c r="K4" s="2">
        <v>46029</v>
      </c>
      <c r="L4" s="2">
        <v>46029</v>
      </c>
      <c r="M4" t="str">
        <f t="shared" si="3"/>
        <v>OK</v>
      </c>
      <c r="N4" t="s">
        <v>107</v>
      </c>
      <c r="O4" t="s">
        <v>18</v>
      </c>
    </row>
    <row r="5" spans="1:15" hidden="1" x14ac:dyDescent="0.25">
      <c r="A5" t="s">
        <v>159</v>
      </c>
      <c r="B5" t="s">
        <v>54</v>
      </c>
      <c r="C5" t="s">
        <v>17</v>
      </c>
      <c r="D5">
        <v>1286</v>
      </c>
      <c r="E5">
        <v>1286</v>
      </c>
      <c r="F5" t="str">
        <f t="shared" si="0"/>
        <v>OK</v>
      </c>
      <c r="G5" s="2">
        <v>45944</v>
      </c>
      <c r="H5" s="2">
        <v>45943</v>
      </c>
      <c r="I5">
        <f t="shared" si="1"/>
        <v>-1</v>
      </c>
      <c r="J5" t="str">
        <f t="shared" si="2"/>
        <v>Not</v>
      </c>
      <c r="K5" s="2">
        <v>46030</v>
      </c>
      <c r="L5" s="2">
        <v>46030</v>
      </c>
      <c r="M5" t="str">
        <f t="shared" si="3"/>
        <v>OK</v>
      </c>
      <c r="N5" t="s">
        <v>108</v>
      </c>
      <c r="O5" t="s">
        <v>18</v>
      </c>
    </row>
    <row r="6" spans="1:15" hidden="1" x14ac:dyDescent="0.25">
      <c r="A6" t="s">
        <v>159</v>
      </c>
      <c r="B6" t="s">
        <v>55</v>
      </c>
      <c r="C6" t="s">
        <v>16</v>
      </c>
      <c r="D6">
        <v>946</v>
      </c>
      <c r="E6">
        <v>946</v>
      </c>
      <c r="F6" t="str">
        <f t="shared" si="0"/>
        <v>OK</v>
      </c>
      <c r="G6" s="2">
        <v>45982</v>
      </c>
      <c r="H6" s="2">
        <v>45980</v>
      </c>
      <c r="I6">
        <f t="shared" si="1"/>
        <v>-2</v>
      </c>
      <c r="J6" t="str">
        <f t="shared" si="2"/>
        <v>Not</v>
      </c>
      <c r="K6" s="2">
        <v>46028</v>
      </c>
      <c r="L6" s="2">
        <v>46028</v>
      </c>
      <c r="M6" t="str">
        <f t="shared" si="3"/>
        <v>OK</v>
      </c>
      <c r="N6" t="s">
        <v>109</v>
      </c>
      <c r="O6" t="s">
        <v>18</v>
      </c>
    </row>
    <row r="7" spans="1:15" hidden="1" x14ac:dyDescent="0.25">
      <c r="A7" t="s">
        <v>159</v>
      </c>
      <c r="B7" t="s">
        <v>56</v>
      </c>
      <c r="C7" t="s">
        <v>17</v>
      </c>
      <c r="D7">
        <v>766</v>
      </c>
      <c r="E7">
        <v>766</v>
      </c>
      <c r="F7" t="str">
        <f t="shared" si="0"/>
        <v>OK</v>
      </c>
      <c r="G7" s="2">
        <v>45972</v>
      </c>
      <c r="H7" s="2">
        <v>45972</v>
      </c>
      <c r="I7">
        <f t="shared" si="1"/>
        <v>0</v>
      </c>
      <c r="J7" t="str">
        <f t="shared" si="2"/>
        <v>OK</v>
      </c>
      <c r="K7" s="2">
        <v>46030</v>
      </c>
      <c r="L7" s="2">
        <v>46030</v>
      </c>
      <c r="M7" t="str">
        <f t="shared" si="3"/>
        <v>OK</v>
      </c>
      <c r="N7" t="s">
        <v>110</v>
      </c>
      <c r="O7" t="s">
        <v>18</v>
      </c>
    </row>
    <row r="8" spans="1:15" hidden="1" x14ac:dyDescent="0.25">
      <c r="A8" t="s">
        <v>159</v>
      </c>
      <c r="B8" t="s">
        <v>57</v>
      </c>
      <c r="C8" t="s">
        <v>16</v>
      </c>
      <c r="D8">
        <v>606</v>
      </c>
      <c r="E8">
        <v>606</v>
      </c>
      <c r="F8" t="str">
        <f t="shared" si="0"/>
        <v>OK</v>
      </c>
      <c r="G8" s="2">
        <v>45983</v>
      </c>
      <c r="H8" s="2">
        <v>45983</v>
      </c>
      <c r="I8">
        <f t="shared" si="1"/>
        <v>0</v>
      </c>
      <c r="J8" t="str">
        <f t="shared" si="2"/>
        <v>OK</v>
      </c>
      <c r="K8" s="2">
        <v>46028</v>
      </c>
      <c r="L8" s="2">
        <v>46028</v>
      </c>
      <c r="M8" t="str">
        <f t="shared" si="3"/>
        <v>OK</v>
      </c>
      <c r="N8" t="s">
        <v>111</v>
      </c>
      <c r="O8" t="s">
        <v>18</v>
      </c>
    </row>
    <row r="9" spans="1:15" hidden="1" x14ac:dyDescent="0.25">
      <c r="A9" t="s">
        <v>159</v>
      </c>
      <c r="B9" t="s">
        <v>58</v>
      </c>
      <c r="C9" t="s">
        <v>16</v>
      </c>
      <c r="D9">
        <v>592</v>
      </c>
      <c r="E9">
        <v>592</v>
      </c>
      <c r="F9" t="str">
        <f t="shared" si="0"/>
        <v>OK</v>
      </c>
      <c r="G9" s="2">
        <v>46011</v>
      </c>
      <c r="H9" s="2">
        <v>46011</v>
      </c>
      <c r="I9">
        <f t="shared" si="1"/>
        <v>0</v>
      </c>
      <c r="J9" t="str">
        <f t="shared" si="2"/>
        <v>OK</v>
      </c>
      <c r="K9" s="2">
        <v>46031</v>
      </c>
      <c r="L9" s="2">
        <v>46031</v>
      </c>
      <c r="M9" t="str">
        <f t="shared" si="3"/>
        <v>OK</v>
      </c>
      <c r="N9" t="s">
        <v>112</v>
      </c>
      <c r="O9" t="s">
        <v>18</v>
      </c>
    </row>
    <row r="10" spans="1:15" hidden="1" x14ac:dyDescent="0.25">
      <c r="A10" t="s">
        <v>159</v>
      </c>
      <c r="B10" t="s">
        <v>59</v>
      </c>
      <c r="C10" t="s">
        <v>50</v>
      </c>
      <c r="D10">
        <v>2698</v>
      </c>
      <c r="E10">
        <v>2698</v>
      </c>
      <c r="F10" t="str">
        <f t="shared" si="0"/>
        <v>OK</v>
      </c>
      <c r="G10" s="2">
        <v>45811</v>
      </c>
      <c r="H10" s="2">
        <v>45811</v>
      </c>
      <c r="I10">
        <f t="shared" si="1"/>
        <v>0</v>
      </c>
      <c r="J10" t="str">
        <f t="shared" si="2"/>
        <v>OK</v>
      </c>
      <c r="K10" s="2">
        <v>46032</v>
      </c>
      <c r="L10" s="2">
        <v>46032</v>
      </c>
      <c r="M10" t="str">
        <f t="shared" si="3"/>
        <v>OK</v>
      </c>
      <c r="N10" t="s">
        <v>113</v>
      </c>
      <c r="O10" t="s">
        <v>18</v>
      </c>
    </row>
    <row r="11" spans="1:15" hidden="1" x14ac:dyDescent="0.25">
      <c r="A11" t="s">
        <v>159</v>
      </c>
      <c r="B11" t="s">
        <v>60</v>
      </c>
      <c r="C11" t="s">
        <v>50</v>
      </c>
      <c r="D11">
        <v>3848</v>
      </c>
      <c r="E11">
        <v>3848</v>
      </c>
      <c r="F11" t="str">
        <f t="shared" si="0"/>
        <v>OK</v>
      </c>
      <c r="G11" s="2">
        <v>45891</v>
      </c>
      <c r="H11" s="2">
        <v>45891</v>
      </c>
      <c r="I11">
        <f t="shared" si="1"/>
        <v>0</v>
      </c>
      <c r="J11" t="str">
        <f t="shared" si="2"/>
        <v>OK</v>
      </c>
      <c r="K11" s="2">
        <v>46032</v>
      </c>
      <c r="L11" s="2">
        <v>46032</v>
      </c>
      <c r="M11" t="str">
        <f t="shared" si="3"/>
        <v>OK</v>
      </c>
      <c r="N11" t="s">
        <v>114</v>
      </c>
      <c r="O11" t="s">
        <v>18</v>
      </c>
    </row>
    <row r="12" spans="1:15" hidden="1" x14ac:dyDescent="0.25">
      <c r="A12" t="s">
        <v>159</v>
      </c>
      <c r="B12" t="s">
        <v>61</v>
      </c>
      <c r="C12" t="s">
        <v>15</v>
      </c>
      <c r="D12">
        <v>913</v>
      </c>
      <c r="E12">
        <v>913</v>
      </c>
      <c r="F12" t="str">
        <f t="shared" si="0"/>
        <v>OK</v>
      </c>
      <c r="G12" s="2">
        <v>45927</v>
      </c>
      <c r="H12" s="2">
        <v>45927</v>
      </c>
      <c r="I12">
        <f t="shared" si="1"/>
        <v>0</v>
      </c>
      <c r="J12" t="str">
        <f t="shared" si="2"/>
        <v>OK</v>
      </c>
      <c r="K12" s="2">
        <v>46032</v>
      </c>
      <c r="L12" s="2">
        <v>46032</v>
      </c>
      <c r="M12" t="str">
        <f t="shared" si="3"/>
        <v>OK</v>
      </c>
      <c r="N12" t="s">
        <v>115</v>
      </c>
      <c r="O12" t="s">
        <v>18</v>
      </c>
    </row>
    <row r="13" spans="1:15" hidden="1" x14ac:dyDescent="0.25">
      <c r="A13" t="s">
        <v>159</v>
      </c>
      <c r="B13" t="s">
        <v>62</v>
      </c>
      <c r="C13" t="s">
        <v>50</v>
      </c>
      <c r="D13">
        <v>7040</v>
      </c>
      <c r="E13">
        <v>7040</v>
      </c>
      <c r="F13" t="str">
        <f t="shared" si="0"/>
        <v>OK</v>
      </c>
      <c r="G13" s="2">
        <v>45920</v>
      </c>
      <c r="H13" s="2">
        <v>45920</v>
      </c>
      <c r="I13">
        <f t="shared" si="1"/>
        <v>0</v>
      </c>
      <c r="J13" t="str">
        <f t="shared" si="2"/>
        <v>OK</v>
      </c>
      <c r="K13" s="2">
        <v>46028</v>
      </c>
      <c r="L13" s="2">
        <v>46028</v>
      </c>
      <c r="M13" t="str">
        <f t="shared" si="3"/>
        <v>OK</v>
      </c>
      <c r="N13" t="s">
        <v>116</v>
      </c>
      <c r="O13" t="s">
        <v>18</v>
      </c>
    </row>
    <row r="14" spans="1:15" hidden="1" x14ac:dyDescent="0.25">
      <c r="A14" t="s">
        <v>159</v>
      </c>
      <c r="B14" t="s">
        <v>63</v>
      </c>
      <c r="C14" t="s">
        <v>15</v>
      </c>
      <c r="D14">
        <v>3704</v>
      </c>
      <c r="E14">
        <v>3704</v>
      </c>
      <c r="F14" t="str">
        <f t="shared" si="0"/>
        <v>OK</v>
      </c>
      <c r="G14" s="2">
        <v>45940</v>
      </c>
      <c r="H14" s="2">
        <v>45940</v>
      </c>
      <c r="I14">
        <f t="shared" si="1"/>
        <v>0</v>
      </c>
      <c r="J14" t="str">
        <f t="shared" si="2"/>
        <v>OK</v>
      </c>
      <c r="K14" s="2">
        <v>46030</v>
      </c>
      <c r="L14" s="2">
        <v>46030</v>
      </c>
      <c r="M14" t="str">
        <f t="shared" si="3"/>
        <v>OK</v>
      </c>
      <c r="N14" t="s">
        <v>117</v>
      </c>
      <c r="O14" t="s">
        <v>18</v>
      </c>
    </row>
    <row r="15" spans="1:15" hidden="1" x14ac:dyDescent="0.25">
      <c r="A15" t="s">
        <v>159</v>
      </c>
      <c r="B15" t="s">
        <v>64</v>
      </c>
      <c r="C15" t="s">
        <v>17</v>
      </c>
      <c r="D15">
        <v>3429</v>
      </c>
      <c r="E15">
        <v>3429</v>
      </c>
      <c r="F15" t="str">
        <f t="shared" si="0"/>
        <v>OK</v>
      </c>
      <c r="G15" s="2">
        <v>45934</v>
      </c>
      <c r="H15" s="2">
        <v>45934</v>
      </c>
      <c r="I15">
        <f t="shared" si="1"/>
        <v>0</v>
      </c>
      <c r="J15" t="str">
        <f t="shared" si="2"/>
        <v>OK</v>
      </c>
      <c r="K15" s="2">
        <v>46028</v>
      </c>
      <c r="L15" s="2">
        <v>46028</v>
      </c>
      <c r="M15" t="str">
        <f t="shared" si="3"/>
        <v>OK</v>
      </c>
      <c r="N15" t="s">
        <v>118</v>
      </c>
      <c r="O15" t="s">
        <v>18</v>
      </c>
    </row>
    <row r="16" spans="1:15" hidden="1" x14ac:dyDescent="0.25">
      <c r="A16" t="s">
        <v>159</v>
      </c>
      <c r="B16" t="s">
        <v>65</v>
      </c>
      <c r="C16" t="s">
        <v>15</v>
      </c>
      <c r="D16">
        <v>2869</v>
      </c>
      <c r="E16">
        <v>2869</v>
      </c>
      <c r="F16" t="str">
        <f t="shared" si="0"/>
        <v>OK</v>
      </c>
      <c r="G16" s="2">
        <v>45940</v>
      </c>
      <c r="H16" s="2">
        <v>45940</v>
      </c>
      <c r="I16">
        <f t="shared" si="1"/>
        <v>0</v>
      </c>
      <c r="J16" t="str">
        <f t="shared" si="2"/>
        <v>OK</v>
      </c>
      <c r="K16" s="2">
        <v>46031</v>
      </c>
      <c r="L16" s="2">
        <v>46031</v>
      </c>
      <c r="M16" t="str">
        <f t="shared" si="3"/>
        <v>OK</v>
      </c>
      <c r="N16" t="s">
        <v>119</v>
      </c>
      <c r="O16" t="s">
        <v>18</v>
      </c>
    </row>
    <row r="17" spans="1:15" hidden="1" x14ac:dyDescent="0.25">
      <c r="A17" t="s">
        <v>159</v>
      </c>
      <c r="B17" t="s">
        <v>66</v>
      </c>
      <c r="C17" t="s">
        <v>17</v>
      </c>
      <c r="D17">
        <v>1056</v>
      </c>
      <c r="E17">
        <v>1056</v>
      </c>
      <c r="F17" t="str">
        <f t="shared" si="0"/>
        <v>OK</v>
      </c>
      <c r="G17" s="2">
        <v>45982</v>
      </c>
      <c r="H17" s="2">
        <v>45981</v>
      </c>
      <c r="I17">
        <f t="shared" si="1"/>
        <v>-1</v>
      </c>
      <c r="J17" t="str">
        <f t="shared" si="2"/>
        <v>Not</v>
      </c>
      <c r="K17" s="2">
        <v>46028</v>
      </c>
      <c r="L17" s="2">
        <v>46028</v>
      </c>
      <c r="M17" t="str">
        <f t="shared" si="3"/>
        <v>OK</v>
      </c>
      <c r="N17" t="s">
        <v>120</v>
      </c>
      <c r="O17" t="s">
        <v>18</v>
      </c>
    </row>
    <row r="18" spans="1:15" hidden="1" x14ac:dyDescent="0.25">
      <c r="A18" t="s">
        <v>159</v>
      </c>
      <c r="B18" t="s">
        <v>67</v>
      </c>
      <c r="C18" t="s">
        <v>17</v>
      </c>
      <c r="D18">
        <v>1064</v>
      </c>
      <c r="E18">
        <v>1064</v>
      </c>
      <c r="F18" t="str">
        <f t="shared" si="0"/>
        <v>OK</v>
      </c>
      <c r="G18" s="2">
        <v>45990</v>
      </c>
      <c r="H18" s="2">
        <v>45990</v>
      </c>
      <c r="I18">
        <f t="shared" si="1"/>
        <v>0</v>
      </c>
      <c r="J18" t="str">
        <f t="shared" si="2"/>
        <v>OK</v>
      </c>
      <c r="K18" s="2">
        <v>46029</v>
      </c>
      <c r="L18" s="2">
        <v>46029</v>
      </c>
      <c r="M18" t="str">
        <f t="shared" si="3"/>
        <v>OK</v>
      </c>
      <c r="N18" t="s">
        <v>121</v>
      </c>
      <c r="O18" t="s">
        <v>162</v>
      </c>
    </row>
    <row r="19" spans="1:15" hidden="1" x14ac:dyDescent="0.25">
      <c r="A19" t="s">
        <v>159</v>
      </c>
      <c r="B19" t="s">
        <v>68</v>
      </c>
      <c r="C19" t="s">
        <v>15</v>
      </c>
      <c r="D19">
        <v>2542</v>
      </c>
      <c r="E19">
        <v>2542</v>
      </c>
      <c r="F19" t="str">
        <f t="shared" si="0"/>
        <v>OK</v>
      </c>
      <c r="G19" s="2">
        <v>45961</v>
      </c>
      <c r="H19" s="2">
        <v>45961</v>
      </c>
      <c r="I19">
        <f t="shared" si="1"/>
        <v>0</v>
      </c>
      <c r="J19" t="str">
        <f t="shared" si="2"/>
        <v>OK</v>
      </c>
      <c r="K19" s="2">
        <v>46031</v>
      </c>
      <c r="L19" s="2">
        <v>46031</v>
      </c>
      <c r="M19" t="str">
        <f t="shared" si="3"/>
        <v>OK</v>
      </c>
      <c r="N19" t="s">
        <v>122</v>
      </c>
      <c r="O19" t="s">
        <v>18</v>
      </c>
    </row>
    <row r="20" spans="1:15" hidden="1" x14ac:dyDescent="0.25">
      <c r="A20" t="s">
        <v>159</v>
      </c>
      <c r="B20" t="s">
        <v>69</v>
      </c>
      <c r="C20" t="s">
        <v>17</v>
      </c>
      <c r="D20">
        <v>2018</v>
      </c>
      <c r="E20">
        <v>2018</v>
      </c>
      <c r="F20" t="str">
        <f t="shared" si="0"/>
        <v>OK</v>
      </c>
      <c r="G20" s="2">
        <v>45926</v>
      </c>
      <c r="H20" s="2">
        <v>45926</v>
      </c>
      <c r="I20">
        <f t="shared" si="1"/>
        <v>0</v>
      </c>
      <c r="J20" t="str">
        <f t="shared" si="2"/>
        <v>OK</v>
      </c>
      <c r="K20" s="2">
        <v>46032</v>
      </c>
      <c r="L20" s="2">
        <v>46032</v>
      </c>
      <c r="M20" t="str">
        <f t="shared" si="3"/>
        <v>OK</v>
      </c>
      <c r="N20" t="s">
        <v>123</v>
      </c>
      <c r="O20" t="s">
        <v>162</v>
      </c>
    </row>
    <row r="21" spans="1:15" hidden="1" x14ac:dyDescent="0.25">
      <c r="A21" t="s">
        <v>159</v>
      </c>
      <c r="B21" t="s">
        <v>70</v>
      </c>
      <c r="C21" t="s">
        <v>15</v>
      </c>
      <c r="D21">
        <v>2058</v>
      </c>
      <c r="E21">
        <v>2058</v>
      </c>
      <c r="F21" t="str">
        <f t="shared" si="0"/>
        <v>OK</v>
      </c>
      <c r="G21" s="2">
        <v>45937</v>
      </c>
      <c r="H21" s="2">
        <v>45937</v>
      </c>
      <c r="I21">
        <f t="shared" si="1"/>
        <v>0</v>
      </c>
      <c r="J21" t="str">
        <f t="shared" si="2"/>
        <v>OK</v>
      </c>
      <c r="K21" s="2">
        <v>46029</v>
      </c>
      <c r="L21" s="2">
        <v>46029</v>
      </c>
      <c r="M21" t="str">
        <f t="shared" si="3"/>
        <v>OK</v>
      </c>
      <c r="N21" t="s">
        <v>124</v>
      </c>
      <c r="O21" t="s">
        <v>18</v>
      </c>
    </row>
    <row r="22" spans="1:15" hidden="1" x14ac:dyDescent="0.25">
      <c r="A22" t="s">
        <v>159</v>
      </c>
      <c r="B22" t="s">
        <v>71</v>
      </c>
      <c r="C22" t="s">
        <v>17</v>
      </c>
      <c r="D22">
        <v>2318</v>
      </c>
      <c r="E22">
        <v>2318</v>
      </c>
      <c r="F22" t="str">
        <f t="shared" si="0"/>
        <v>OK</v>
      </c>
      <c r="G22" s="2">
        <v>45997</v>
      </c>
      <c r="H22" s="2">
        <v>45997</v>
      </c>
      <c r="I22">
        <f t="shared" si="1"/>
        <v>0</v>
      </c>
      <c r="J22" t="str">
        <f t="shared" si="2"/>
        <v>OK</v>
      </c>
      <c r="K22" s="2">
        <v>46029</v>
      </c>
      <c r="L22" s="2">
        <v>46029</v>
      </c>
      <c r="M22" t="str">
        <f t="shared" si="3"/>
        <v>OK</v>
      </c>
      <c r="N22" t="s">
        <v>125</v>
      </c>
      <c r="O22" t="s">
        <v>162</v>
      </c>
    </row>
    <row r="23" spans="1:15" hidden="1" x14ac:dyDescent="0.25">
      <c r="A23" t="s">
        <v>159</v>
      </c>
      <c r="B23" t="s">
        <v>72</v>
      </c>
      <c r="C23" t="s">
        <v>17</v>
      </c>
      <c r="D23">
        <v>1579</v>
      </c>
      <c r="E23">
        <v>1579</v>
      </c>
      <c r="F23" t="str">
        <f t="shared" si="0"/>
        <v>OK</v>
      </c>
      <c r="G23" s="2">
        <v>46002</v>
      </c>
      <c r="H23" s="2">
        <v>46002</v>
      </c>
      <c r="I23">
        <f t="shared" si="1"/>
        <v>0</v>
      </c>
      <c r="J23" t="str">
        <f t="shared" si="2"/>
        <v>OK</v>
      </c>
      <c r="K23" s="2">
        <v>46031</v>
      </c>
      <c r="L23" s="2">
        <v>46031</v>
      </c>
      <c r="M23" t="str">
        <f t="shared" si="3"/>
        <v>OK</v>
      </c>
      <c r="N23" t="s">
        <v>126</v>
      </c>
      <c r="O23" t="s">
        <v>162</v>
      </c>
    </row>
    <row r="24" spans="1:15" hidden="1" x14ac:dyDescent="0.25">
      <c r="A24" t="s">
        <v>159</v>
      </c>
      <c r="B24" t="s">
        <v>73</v>
      </c>
      <c r="C24" t="s">
        <v>15</v>
      </c>
      <c r="D24">
        <v>3005</v>
      </c>
      <c r="E24">
        <v>3005</v>
      </c>
      <c r="F24" t="str">
        <f t="shared" si="0"/>
        <v>OK</v>
      </c>
      <c r="G24" s="2">
        <v>45940</v>
      </c>
      <c r="H24" s="2">
        <v>45940</v>
      </c>
      <c r="I24">
        <f t="shared" si="1"/>
        <v>0</v>
      </c>
      <c r="J24" t="str">
        <f t="shared" si="2"/>
        <v>OK</v>
      </c>
      <c r="K24" s="2">
        <v>46032</v>
      </c>
      <c r="L24" s="2">
        <v>46032</v>
      </c>
      <c r="M24" t="str">
        <f t="shared" si="3"/>
        <v>OK</v>
      </c>
      <c r="N24" t="s">
        <v>127</v>
      </c>
      <c r="O24" t="s">
        <v>18</v>
      </c>
    </row>
    <row r="25" spans="1:15" hidden="1" x14ac:dyDescent="0.25">
      <c r="A25" t="s">
        <v>159</v>
      </c>
      <c r="B25" t="s">
        <v>74</v>
      </c>
      <c r="C25" t="s">
        <v>17</v>
      </c>
      <c r="D25">
        <v>2047</v>
      </c>
      <c r="E25">
        <v>2047</v>
      </c>
      <c r="F25" t="str">
        <f t="shared" si="0"/>
        <v>OK</v>
      </c>
      <c r="G25" s="2">
        <v>45959</v>
      </c>
      <c r="H25" s="2">
        <v>45959</v>
      </c>
      <c r="I25">
        <f t="shared" si="1"/>
        <v>0</v>
      </c>
      <c r="J25" t="str">
        <f t="shared" si="2"/>
        <v>OK</v>
      </c>
      <c r="K25" s="2">
        <v>46028</v>
      </c>
      <c r="L25" s="2">
        <v>46028</v>
      </c>
      <c r="M25" t="str">
        <f t="shared" si="3"/>
        <v>OK</v>
      </c>
      <c r="N25" t="s">
        <v>128</v>
      </c>
      <c r="O25" t="s">
        <v>18</v>
      </c>
    </row>
    <row r="26" spans="1:15" hidden="1" x14ac:dyDescent="0.25">
      <c r="A26" t="s">
        <v>159</v>
      </c>
      <c r="B26" t="s">
        <v>75</v>
      </c>
      <c r="C26" t="s">
        <v>15</v>
      </c>
      <c r="D26">
        <v>2214</v>
      </c>
      <c r="E26">
        <v>2214</v>
      </c>
      <c r="F26" t="str">
        <f t="shared" si="0"/>
        <v>OK</v>
      </c>
      <c r="G26" s="2">
        <v>45961</v>
      </c>
      <c r="H26" s="2">
        <v>45961</v>
      </c>
      <c r="I26">
        <f t="shared" si="1"/>
        <v>0</v>
      </c>
      <c r="J26" t="str">
        <f t="shared" si="2"/>
        <v>OK</v>
      </c>
      <c r="K26" s="2">
        <v>46031</v>
      </c>
      <c r="L26" s="2">
        <v>46031</v>
      </c>
      <c r="M26" t="str">
        <f t="shared" si="3"/>
        <v>OK</v>
      </c>
      <c r="N26" t="s">
        <v>129</v>
      </c>
      <c r="O26" t="s">
        <v>18</v>
      </c>
    </row>
    <row r="27" spans="1:15" hidden="1" x14ac:dyDescent="0.25">
      <c r="A27" t="s">
        <v>159</v>
      </c>
      <c r="B27" t="s">
        <v>76</v>
      </c>
      <c r="C27" t="s">
        <v>16</v>
      </c>
      <c r="D27">
        <v>676</v>
      </c>
      <c r="E27">
        <v>676</v>
      </c>
      <c r="F27" t="str">
        <f t="shared" si="0"/>
        <v>OK</v>
      </c>
      <c r="G27" s="2">
        <v>45997</v>
      </c>
      <c r="H27" s="2">
        <v>45997</v>
      </c>
      <c r="I27">
        <f t="shared" si="1"/>
        <v>0</v>
      </c>
      <c r="J27" t="str">
        <f t="shared" si="2"/>
        <v>OK</v>
      </c>
      <c r="K27" s="2">
        <v>46028</v>
      </c>
      <c r="L27" s="2">
        <v>46028</v>
      </c>
      <c r="M27" t="str">
        <f t="shared" si="3"/>
        <v>OK</v>
      </c>
      <c r="N27" t="s">
        <v>130</v>
      </c>
      <c r="O27" t="s">
        <v>162</v>
      </c>
    </row>
    <row r="28" spans="1:15" hidden="1" x14ac:dyDescent="0.25">
      <c r="A28" t="s">
        <v>159</v>
      </c>
      <c r="B28" t="s">
        <v>77</v>
      </c>
      <c r="C28" t="s">
        <v>16</v>
      </c>
      <c r="D28">
        <v>502</v>
      </c>
      <c r="E28">
        <v>502</v>
      </c>
      <c r="F28" t="str">
        <f t="shared" si="0"/>
        <v>OK</v>
      </c>
      <c r="G28" s="2">
        <v>46003</v>
      </c>
      <c r="H28" s="2">
        <v>46002</v>
      </c>
      <c r="I28">
        <f t="shared" si="1"/>
        <v>-1</v>
      </c>
      <c r="J28" t="str">
        <f t="shared" si="2"/>
        <v>Not</v>
      </c>
      <c r="K28" s="2">
        <v>46028</v>
      </c>
      <c r="L28" s="2">
        <v>46028</v>
      </c>
      <c r="M28" t="str">
        <f t="shared" si="3"/>
        <v>OK</v>
      </c>
      <c r="N28" t="s">
        <v>131</v>
      </c>
      <c r="O28" t="s">
        <v>18</v>
      </c>
    </row>
    <row r="29" spans="1:15" x14ac:dyDescent="0.25">
      <c r="A29" t="s">
        <v>159</v>
      </c>
      <c r="B29" t="s">
        <v>78</v>
      </c>
      <c r="C29" t="s">
        <v>15</v>
      </c>
      <c r="D29">
        <v>4081</v>
      </c>
      <c r="E29">
        <v>4081</v>
      </c>
      <c r="F29" t="str">
        <f t="shared" si="0"/>
        <v>OK</v>
      </c>
      <c r="G29" s="2">
        <v>45877</v>
      </c>
      <c r="H29" s="2">
        <v>45877</v>
      </c>
      <c r="I29">
        <f t="shared" si="1"/>
        <v>0</v>
      </c>
      <c r="J29" t="str">
        <f t="shared" si="2"/>
        <v>OK</v>
      </c>
      <c r="K29" s="2">
        <v>46032</v>
      </c>
      <c r="L29" s="2">
        <v>46032</v>
      </c>
      <c r="M29" t="str">
        <f t="shared" si="3"/>
        <v>OK</v>
      </c>
      <c r="N29" t="s">
        <v>132</v>
      </c>
      <c r="O29" t="s">
        <v>160</v>
      </c>
    </row>
    <row r="30" spans="1:15" hidden="1" x14ac:dyDescent="0.25">
      <c r="A30" t="s">
        <v>159</v>
      </c>
      <c r="B30" t="s">
        <v>79</v>
      </c>
      <c r="C30" t="s">
        <v>17</v>
      </c>
      <c r="D30">
        <v>3121</v>
      </c>
      <c r="E30">
        <v>3121</v>
      </c>
      <c r="F30" t="str">
        <f t="shared" si="0"/>
        <v>OK</v>
      </c>
      <c r="G30" s="2">
        <v>45975</v>
      </c>
      <c r="H30" s="2">
        <v>45974</v>
      </c>
      <c r="I30">
        <f t="shared" si="1"/>
        <v>-1</v>
      </c>
      <c r="J30" t="str">
        <f t="shared" si="2"/>
        <v>Not</v>
      </c>
      <c r="K30" s="2">
        <v>46031</v>
      </c>
      <c r="L30" s="2">
        <v>46031</v>
      </c>
      <c r="M30" t="str">
        <f t="shared" si="3"/>
        <v>OK</v>
      </c>
      <c r="N30" t="s">
        <v>133</v>
      </c>
      <c r="O30" t="s">
        <v>18</v>
      </c>
    </row>
    <row r="31" spans="1:15" hidden="1" x14ac:dyDescent="0.25">
      <c r="A31" t="s">
        <v>159</v>
      </c>
      <c r="B31" t="s">
        <v>80</v>
      </c>
      <c r="C31" t="s">
        <v>17</v>
      </c>
      <c r="D31">
        <v>3001</v>
      </c>
      <c r="E31">
        <v>3001</v>
      </c>
      <c r="F31" t="str">
        <f t="shared" si="0"/>
        <v>OK</v>
      </c>
      <c r="G31" s="2">
        <v>45991</v>
      </c>
      <c r="H31" s="2">
        <v>45991</v>
      </c>
      <c r="I31">
        <f t="shared" si="1"/>
        <v>0</v>
      </c>
      <c r="J31" t="str">
        <f t="shared" si="2"/>
        <v>OK</v>
      </c>
      <c r="K31" s="2">
        <v>46028</v>
      </c>
      <c r="L31" s="2">
        <v>46028</v>
      </c>
      <c r="M31" t="str">
        <f t="shared" si="3"/>
        <v>OK</v>
      </c>
      <c r="N31" t="s">
        <v>134</v>
      </c>
      <c r="O31" t="s">
        <v>162</v>
      </c>
    </row>
    <row r="32" spans="1:15" hidden="1" x14ac:dyDescent="0.25">
      <c r="A32" t="s">
        <v>159</v>
      </c>
      <c r="B32" t="s">
        <v>81</v>
      </c>
      <c r="C32" t="s">
        <v>50</v>
      </c>
      <c r="D32">
        <v>3225</v>
      </c>
      <c r="E32">
        <v>3225</v>
      </c>
      <c r="F32" t="str">
        <f t="shared" si="0"/>
        <v>OK</v>
      </c>
      <c r="G32" s="2">
        <v>45796</v>
      </c>
      <c r="H32" s="2">
        <v>45796</v>
      </c>
      <c r="I32">
        <f t="shared" si="1"/>
        <v>0</v>
      </c>
      <c r="J32" t="str">
        <f t="shared" si="2"/>
        <v>OK</v>
      </c>
      <c r="K32" s="2">
        <v>46032</v>
      </c>
      <c r="L32" s="2">
        <v>46032</v>
      </c>
      <c r="M32" t="str">
        <f t="shared" si="3"/>
        <v>OK</v>
      </c>
      <c r="N32" t="s">
        <v>135</v>
      </c>
      <c r="O32" t="s">
        <v>18</v>
      </c>
    </row>
    <row r="33" spans="1:15" hidden="1" x14ac:dyDescent="0.25">
      <c r="A33" t="s">
        <v>159</v>
      </c>
      <c r="B33" t="s">
        <v>82</v>
      </c>
      <c r="C33" t="s">
        <v>17</v>
      </c>
      <c r="D33">
        <v>1255</v>
      </c>
      <c r="E33">
        <v>1255</v>
      </c>
      <c r="F33" t="str">
        <f t="shared" si="0"/>
        <v>OK</v>
      </c>
      <c r="G33" s="2">
        <v>45968</v>
      </c>
      <c r="H33" s="2">
        <v>45966</v>
      </c>
      <c r="I33">
        <f t="shared" si="1"/>
        <v>-2</v>
      </c>
      <c r="J33" t="str">
        <f t="shared" si="2"/>
        <v>Not</v>
      </c>
      <c r="K33" s="2">
        <v>46028</v>
      </c>
      <c r="L33" s="2">
        <v>46028</v>
      </c>
      <c r="M33" t="str">
        <f t="shared" si="3"/>
        <v>OK</v>
      </c>
      <c r="N33" t="s">
        <v>136</v>
      </c>
      <c r="O33" t="s">
        <v>18</v>
      </c>
    </row>
    <row r="34" spans="1:15" hidden="1" x14ac:dyDescent="0.25">
      <c r="A34" t="s">
        <v>159</v>
      </c>
      <c r="B34" t="s">
        <v>83</v>
      </c>
      <c r="C34" t="s">
        <v>50</v>
      </c>
      <c r="D34">
        <v>1918</v>
      </c>
      <c r="E34">
        <v>1918</v>
      </c>
      <c r="F34" t="str">
        <f t="shared" ref="F34:F55" si="4">IF(D34=E34,"OK","Not")</f>
        <v>OK</v>
      </c>
      <c r="G34" s="2">
        <v>45898</v>
      </c>
      <c r="H34" s="2">
        <v>45898</v>
      </c>
      <c r="I34">
        <f t="shared" ref="I34:I55" si="5">H34-G34</f>
        <v>0</v>
      </c>
      <c r="J34" t="str">
        <f t="shared" ref="J34:J55" si="6">IF(G34=H34,"OK","Not")</f>
        <v>OK</v>
      </c>
      <c r="K34" s="2">
        <v>46031</v>
      </c>
      <c r="L34" s="2">
        <v>46031</v>
      </c>
      <c r="M34" t="str">
        <f t="shared" ref="M34:M55" si="7">IF(K34=L34,"OK","Not")</f>
        <v>OK</v>
      </c>
      <c r="N34" t="s">
        <v>137</v>
      </c>
      <c r="O34" t="s">
        <v>18</v>
      </c>
    </row>
    <row r="35" spans="1:15" hidden="1" x14ac:dyDescent="0.25">
      <c r="A35" t="s">
        <v>159</v>
      </c>
      <c r="B35" t="s">
        <v>84</v>
      </c>
      <c r="C35" t="s">
        <v>16</v>
      </c>
      <c r="D35">
        <v>873</v>
      </c>
      <c r="E35">
        <v>873</v>
      </c>
      <c r="F35" t="str">
        <f t="shared" si="4"/>
        <v>OK</v>
      </c>
      <c r="G35" s="2">
        <v>46009</v>
      </c>
      <c r="H35" s="2">
        <v>46008</v>
      </c>
      <c r="I35">
        <f t="shared" si="5"/>
        <v>-1</v>
      </c>
      <c r="J35" t="str">
        <f t="shared" si="6"/>
        <v>Not</v>
      </c>
      <c r="K35" s="2">
        <v>46030</v>
      </c>
      <c r="L35" s="2">
        <v>46030</v>
      </c>
      <c r="M35" t="str">
        <f t="shared" si="7"/>
        <v>OK</v>
      </c>
      <c r="N35" t="s">
        <v>138</v>
      </c>
      <c r="O35" t="s">
        <v>18</v>
      </c>
    </row>
    <row r="36" spans="1:15" hidden="1" x14ac:dyDescent="0.25">
      <c r="A36" t="s">
        <v>159</v>
      </c>
      <c r="B36" s="5" t="s">
        <v>85</v>
      </c>
      <c r="C36" t="s">
        <v>50</v>
      </c>
      <c r="D36">
        <v>8963</v>
      </c>
      <c r="E36">
        <v>8963</v>
      </c>
      <c r="F36" t="str">
        <f t="shared" si="4"/>
        <v>OK</v>
      </c>
      <c r="G36" s="2">
        <v>45853</v>
      </c>
      <c r="H36" s="2">
        <v>45853</v>
      </c>
      <c r="I36">
        <f t="shared" si="5"/>
        <v>0</v>
      </c>
      <c r="J36" t="str">
        <f t="shared" si="6"/>
        <v>OK</v>
      </c>
      <c r="K36" s="2">
        <v>46028</v>
      </c>
      <c r="L36" s="2">
        <v>46028</v>
      </c>
      <c r="M36" t="str">
        <f t="shared" si="7"/>
        <v>OK</v>
      </c>
      <c r="N36" t="s">
        <v>139</v>
      </c>
      <c r="O36" t="s">
        <v>18</v>
      </c>
    </row>
    <row r="37" spans="1:15" hidden="1" x14ac:dyDescent="0.25">
      <c r="A37" t="s">
        <v>159</v>
      </c>
      <c r="B37" t="s">
        <v>86</v>
      </c>
      <c r="C37" t="s">
        <v>16</v>
      </c>
      <c r="D37">
        <v>432</v>
      </c>
      <c r="E37">
        <v>432</v>
      </c>
      <c r="F37" t="str">
        <f t="shared" si="4"/>
        <v>OK</v>
      </c>
      <c r="G37" s="2">
        <v>46006</v>
      </c>
      <c r="H37" s="2">
        <v>46004</v>
      </c>
      <c r="I37">
        <f t="shared" si="5"/>
        <v>-2</v>
      </c>
      <c r="J37" t="str">
        <f t="shared" si="6"/>
        <v>Not</v>
      </c>
      <c r="K37" s="2">
        <v>46032</v>
      </c>
      <c r="L37" s="2">
        <v>46032</v>
      </c>
      <c r="M37" t="str">
        <f t="shared" si="7"/>
        <v>OK</v>
      </c>
      <c r="N37" t="s">
        <v>140</v>
      </c>
      <c r="O37" t="s">
        <v>18</v>
      </c>
    </row>
    <row r="38" spans="1:15" hidden="1" x14ac:dyDescent="0.25">
      <c r="A38" t="s">
        <v>159</v>
      </c>
      <c r="B38" t="s">
        <v>87</v>
      </c>
      <c r="C38" t="s">
        <v>50</v>
      </c>
      <c r="D38">
        <v>2834</v>
      </c>
      <c r="E38">
        <v>2834</v>
      </c>
      <c r="F38" t="str">
        <f t="shared" si="4"/>
        <v>OK</v>
      </c>
      <c r="G38" s="2">
        <v>45920</v>
      </c>
      <c r="H38" s="2">
        <v>45919</v>
      </c>
      <c r="I38">
        <f t="shared" si="5"/>
        <v>-1</v>
      </c>
      <c r="J38" t="str">
        <f t="shared" si="6"/>
        <v>Not</v>
      </c>
      <c r="K38" s="2">
        <v>46032</v>
      </c>
      <c r="L38" s="2">
        <v>46032</v>
      </c>
      <c r="M38" t="str">
        <f t="shared" si="7"/>
        <v>OK</v>
      </c>
      <c r="N38" t="s">
        <v>141</v>
      </c>
      <c r="O38" t="s">
        <v>18</v>
      </c>
    </row>
    <row r="39" spans="1:15" hidden="1" x14ac:dyDescent="0.25">
      <c r="A39" t="s">
        <v>159</v>
      </c>
      <c r="B39" t="s">
        <v>88</v>
      </c>
      <c r="C39" t="s">
        <v>17</v>
      </c>
      <c r="D39">
        <v>2091</v>
      </c>
      <c r="E39">
        <v>2091</v>
      </c>
      <c r="F39" t="str">
        <f t="shared" si="4"/>
        <v>OK</v>
      </c>
      <c r="G39" s="2">
        <v>45915</v>
      </c>
      <c r="H39" s="2">
        <v>45914</v>
      </c>
      <c r="I39">
        <f t="shared" si="5"/>
        <v>-1</v>
      </c>
      <c r="J39" t="str">
        <f t="shared" si="6"/>
        <v>Not</v>
      </c>
      <c r="K39" s="2">
        <v>46032</v>
      </c>
      <c r="L39" s="2">
        <v>46032</v>
      </c>
      <c r="M39" t="str">
        <f t="shared" si="7"/>
        <v>OK</v>
      </c>
      <c r="N39" t="s">
        <v>142</v>
      </c>
      <c r="O39" t="s">
        <v>18</v>
      </c>
    </row>
    <row r="40" spans="1:15" hidden="1" x14ac:dyDescent="0.25">
      <c r="A40" t="s">
        <v>159</v>
      </c>
      <c r="B40" t="s">
        <v>89</v>
      </c>
      <c r="C40" t="s">
        <v>50</v>
      </c>
      <c r="D40">
        <v>8843</v>
      </c>
      <c r="E40">
        <v>8843</v>
      </c>
      <c r="F40" t="str">
        <f t="shared" si="4"/>
        <v>OK</v>
      </c>
      <c r="G40" s="2">
        <v>45768</v>
      </c>
      <c r="H40" s="2">
        <v>45768</v>
      </c>
      <c r="I40">
        <f t="shared" si="5"/>
        <v>0</v>
      </c>
      <c r="J40" t="str">
        <f t="shared" si="6"/>
        <v>OK</v>
      </c>
      <c r="K40" s="2">
        <v>46031</v>
      </c>
      <c r="L40" s="2">
        <v>46031</v>
      </c>
      <c r="M40" t="str">
        <f t="shared" si="7"/>
        <v>OK</v>
      </c>
      <c r="N40" t="s">
        <v>143</v>
      </c>
      <c r="O40" t="s">
        <v>18</v>
      </c>
    </row>
    <row r="41" spans="1:15" hidden="1" x14ac:dyDescent="0.25">
      <c r="A41" t="s">
        <v>159</v>
      </c>
      <c r="B41" t="s">
        <v>90</v>
      </c>
      <c r="C41" t="s">
        <v>50</v>
      </c>
      <c r="D41">
        <v>4245</v>
      </c>
      <c r="E41">
        <v>4245</v>
      </c>
      <c r="F41" t="str">
        <f t="shared" si="4"/>
        <v>OK</v>
      </c>
      <c r="G41" s="2">
        <v>45794</v>
      </c>
      <c r="H41" s="2">
        <v>45794</v>
      </c>
      <c r="I41">
        <f t="shared" si="5"/>
        <v>0</v>
      </c>
      <c r="J41" t="str">
        <f t="shared" si="6"/>
        <v>OK</v>
      </c>
      <c r="K41" s="2">
        <v>46031</v>
      </c>
      <c r="L41" s="2">
        <v>46031</v>
      </c>
      <c r="M41" t="str">
        <f t="shared" si="7"/>
        <v>OK</v>
      </c>
      <c r="N41" t="s">
        <v>144</v>
      </c>
      <c r="O41" t="s">
        <v>18</v>
      </c>
    </row>
    <row r="42" spans="1:15" hidden="1" x14ac:dyDescent="0.25">
      <c r="A42" t="s">
        <v>159</v>
      </c>
      <c r="B42" t="s">
        <v>91</v>
      </c>
      <c r="C42" t="s">
        <v>17</v>
      </c>
      <c r="D42">
        <v>1321</v>
      </c>
      <c r="E42">
        <v>1321</v>
      </c>
      <c r="F42" t="str">
        <f t="shared" si="4"/>
        <v>OK</v>
      </c>
      <c r="G42" s="2">
        <v>45948</v>
      </c>
      <c r="H42" s="2">
        <v>45948</v>
      </c>
      <c r="I42">
        <f t="shared" si="5"/>
        <v>0</v>
      </c>
      <c r="J42" t="str">
        <f t="shared" si="6"/>
        <v>OK</v>
      </c>
      <c r="K42" s="2">
        <v>46032</v>
      </c>
      <c r="L42" s="2">
        <v>46032</v>
      </c>
      <c r="M42" t="str">
        <f t="shared" si="7"/>
        <v>OK</v>
      </c>
      <c r="N42" t="s">
        <v>145</v>
      </c>
      <c r="O42" t="s">
        <v>18</v>
      </c>
    </row>
    <row r="43" spans="1:15" hidden="1" x14ac:dyDescent="0.25">
      <c r="A43" t="s">
        <v>159</v>
      </c>
      <c r="B43" s="5" t="s">
        <v>92</v>
      </c>
      <c r="C43" t="s">
        <v>15</v>
      </c>
      <c r="D43">
        <v>4492</v>
      </c>
      <c r="E43">
        <v>4492</v>
      </c>
      <c r="F43" t="str">
        <f t="shared" si="4"/>
        <v>OK</v>
      </c>
      <c r="G43" s="2">
        <v>45778</v>
      </c>
      <c r="H43" s="2">
        <v>45778</v>
      </c>
      <c r="I43">
        <f t="shared" si="5"/>
        <v>0</v>
      </c>
      <c r="J43" t="str">
        <f t="shared" si="6"/>
        <v>OK</v>
      </c>
      <c r="K43" s="2">
        <v>46028</v>
      </c>
      <c r="L43" s="2">
        <v>46028</v>
      </c>
      <c r="M43" t="str">
        <f t="shared" si="7"/>
        <v>OK</v>
      </c>
      <c r="N43" t="s">
        <v>146</v>
      </c>
      <c r="O43" t="s">
        <v>18</v>
      </c>
    </row>
    <row r="44" spans="1:15" hidden="1" x14ac:dyDescent="0.25">
      <c r="A44" t="s">
        <v>159</v>
      </c>
      <c r="B44" t="s">
        <v>93</v>
      </c>
      <c r="C44" t="s">
        <v>15</v>
      </c>
      <c r="D44">
        <v>1456</v>
      </c>
      <c r="E44">
        <v>1456</v>
      </c>
      <c r="F44" t="str">
        <f t="shared" si="4"/>
        <v>OK</v>
      </c>
      <c r="G44" s="2">
        <v>45941</v>
      </c>
      <c r="H44" s="2">
        <v>45941</v>
      </c>
      <c r="I44">
        <f t="shared" si="5"/>
        <v>0</v>
      </c>
      <c r="J44" t="str">
        <f t="shared" si="6"/>
        <v>OK</v>
      </c>
      <c r="K44" s="2">
        <v>46032</v>
      </c>
      <c r="L44" s="2">
        <v>46032</v>
      </c>
      <c r="M44" t="str">
        <f t="shared" si="7"/>
        <v>OK</v>
      </c>
      <c r="N44" t="s">
        <v>147</v>
      </c>
      <c r="O44" t="s">
        <v>18</v>
      </c>
    </row>
    <row r="45" spans="1:15" hidden="1" x14ac:dyDescent="0.25">
      <c r="A45" t="s">
        <v>159</v>
      </c>
      <c r="B45" t="s">
        <v>94</v>
      </c>
      <c r="C45" t="s">
        <v>17</v>
      </c>
      <c r="D45">
        <v>2069</v>
      </c>
      <c r="E45">
        <v>2069</v>
      </c>
      <c r="F45" t="str">
        <f t="shared" si="4"/>
        <v>OK</v>
      </c>
      <c r="G45" s="2">
        <v>45966</v>
      </c>
      <c r="H45" s="2">
        <v>45964</v>
      </c>
      <c r="I45">
        <f t="shared" si="5"/>
        <v>-2</v>
      </c>
      <c r="J45" t="str">
        <f t="shared" si="6"/>
        <v>Not</v>
      </c>
      <c r="K45" s="2">
        <v>46028</v>
      </c>
      <c r="L45" s="2">
        <v>46028</v>
      </c>
      <c r="M45" t="str">
        <f t="shared" si="7"/>
        <v>OK</v>
      </c>
      <c r="N45" t="s">
        <v>148</v>
      </c>
      <c r="O45" t="s">
        <v>18</v>
      </c>
    </row>
    <row r="46" spans="1:15" hidden="1" x14ac:dyDescent="0.25">
      <c r="A46" t="s">
        <v>159</v>
      </c>
      <c r="B46" t="s">
        <v>95</v>
      </c>
      <c r="C46" t="s">
        <v>16</v>
      </c>
      <c r="D46">
        <v>1039</v>
      </c>
      <c r="E46">
        <v>1039</v>
      </c>
      <c r="F46" t="str">
        <f t="shared" si="4"/>
        <v>OK</v>
      </c>
      <c r="G46" s="2">
        <v>46002</v>
      </c>
      <c r="H46" s="2">
        <v>46001</v>
      </c>
      <c r="I46">
        <f t="shared" si="5"/>
        <v>-1</v>
      </c>
      <c r="J46" t="str">
        <f t="shared" si="6"/>
        <v>Not</v>
      </c>
      <c r="K46" s="2">
        <v>46030</v>
      </c>
      <c r="L46" s="2">
        <v>46030</v>
      </c>
      <c r="M46" t="str">
        <f t="shared" si="7"/>
        <v>OK</v>
      </c>
      <c r="N46" t="s">
        <v>149</v>
      </c>
      <c r="O46" t="s">
        <v>18</v>
      </c>
    </row>
    <row r="47" spans="1:15" x14ac:dyDescent="0.25">
      <c r="A47" t="s">
        <v>159</v>
      </c>
      <c r="B47" t="s">
        <v>96</v>
      </c>
      <c r="C47" t="s">
        <v>17</v>
      </c>
      <c r="D47">
        <v>1280</v>
      </c>
      <c r="E47">
        <v>1280</v>
      </c>
      <c r="F47" t="str">
        <f t="shared" si="4"/>
        <v>OK</v>
      </c>
      <c r="G47" s="2">
        <v>46010</v>
      </c>
      <c r="H47" s="2">
        <v>46010</v>
      </c>
      <c r="I47">
        <f t="shared" si="5"/>
        <v>0</v>
      </c>
      <c r="J47" t="str">
        <f t="shared" si="6"/>
        <v>OK</v>
      </c>
      <c r="K47" s="2">
        <v>46029</v>
      </c>
      <c r="L47" s="2">
        <v>46029</v>
      </c>
      <c r="M47" t="str">
        <f t="shared" si="7"/>
        <v>OK</v>
      </c>
      <c r="N47" t="s">
        <v>150</v>
      </c>
      <c r="O47" t="s">
        <v>161</v>
      </c>
    </row>
    <row r="48" spans="1:15" hidden="1" x14ac:dyDescent="0.25">
      <c r="A48" t="s">
        <v>159</v>
      </c>
      <c r="B48" t="s">
        <v>97</v>
      </c>
      <c r="C48" t="s">
        <v>50</v>
      </c>
      <c r="D48">
        <v>5221</v>
      </c>
      <c r="E48">
        <v>5221</v>
      </c>
      <c r="F48" t="str">
        <f t="shared" si="4"/>
        <v>OK</v>
      </c>
      <c r="G48" s="2">
        <v>45784</v>
      </c>
      <c r="H48" s="2">
        <v>45784</v>
      </c>
      <c r="I48">
        <f t="shared" si="5"/>
        <v>0</v>
      </c>
      <c r="J48" t="str">
        <f t="shared" si="6"/>
        <v>OK</v>
      </c>
      <c r="K48" s="2">
        <v>46029</v>
      </c>
      <c r="L48" s="2">
        <v>46029</v>
      </c>
      <c r="M48" t="str">
        <f t="shared" si="7"/>
        <v>OK</v>
      </c>
      <c r="N48" t="s">
        <v>151</v>
      </c>
      <c r="O48" t="s">
        <v>18</v>
      </c>
    </row>
    <row r="49" spans="1:15" hidden="1" x14ac:dyDescent="0.25">
      <c r="A49" t="s">
        <v>159</v>
      </c>
      <c r="B49" t="s">
        <v>98</v>
      </c>
      <c r="C49" t="s">
        <v>50</v>
      </c>
      <c r="D49">
        <v>3118</v>
      </c>
      <c r="E49">
        <v>3118</v>
      </c>
      <c r="F49" t="str">
        <f t="shared" si="4"/>
        <v>OK</v>
      </c>
      <c r="G49" s="2">
        <v>45908</v>
      </c>
      <c r="H49" s="2">
        <v>45907</v>
      </c>
      <c r="I49">
        <f t="shared" si="5"/>
        <v>-1</v>
      </c>
      <c r="J49" t="str">
        <f t="shared" si="6"/>
        <v>Not</v>
      </c>
      <c r="K49" s="2">
        <v>46029</v>
      </c>
      <c r="L49" s="2">
        <v>46029</v>
      </c>
      <c r="M49" t="str">
        <f t="shared" si="7"/>
        <v>OK</v>
      </c>
      <c r="N49" t="s">
        <v>152</v>
      </c>
      <c r="O49" t="s">
        <v>18</v>
      </c>
    </row>
    <row r="50" spans="1:15" hidden="1" x14ac:dyDescent="0.25">
      <c r="A50" t="s">
        <v>159</v>
      </c>
      <c r="B50" t="s">
        <v>99</v>
      </c>
      <c r="C50" t="s">
        <v>15</v>
      </c>
      <c r="D50">
        <v>1061</v>
      </c>
      <c r="E50">
        <v>1061</v>
      </c>
      <c r="F50" t="str">
        <f t="shared" si="4"/>
        <v>OK</v>
      </c>
      <c r="G50" s="2">
        <v>45929</v>
      </c>
      <c r="H50" s="2">
        <v>45929</v>
      </c>
      <c r="I50">
        <f t="shared" si="5"/>
        <v>0</v>
      </c>
      <c r="J50" t="str">
        <f t="shared" si="6"/>
        <v>OK</v>
      </c>
      <c r="K50" s="2">
        <v>46028</v>
      </c>
      <c r="L50" s="2">
        <v>46028</v>
      </c>
      <c r="M50" t="str">
        <f t="shared" si="7"/>
        <v>OK</v>
      </c>
      <c r="N50" t="s">
        <v>153</v>
      </c>
      <c r="O50" t="s">
        <v>18</v>
      </c>
    </row>
    <row r="51" spans="1:15" hidden="1" x14ac:dyDescent="0.25">
      <c r="A51" t="s">
        <v>159</v>
      </c>
      <c r="B51" t="s">
        <v>100</v>
      </c>
      <c r="C51" t="s">
        <v>17</v>
      </c>
      <c r="D51">
        <v>802</v>
      </c>
      <c r="E51">
        <v>802</v>
      </c>
      <c r="F51" t="str">
        <f t="shared" si="4"/>
        <v>OK</v>
      </c>
      <c r="G51" s="2">
        <v>45985</v>
      </c>
      <c r="H51" s="2">
        <v>45982</v>
      </c>
      <c r="I51">
        <f t="shared" si="5"/>
        <v>-3</v>
      </c>
      <c r="J51" t="str">
        <f t="shared" si="6"/>
        <v>Not</v>
      </c>
      <c r="K51" s="2">
        <v>46028</v>
      </c>
      <c r="L51" s="2">
        <v>46028</v>
      </c>
      <c r="M51" t="str">
        <f t="shared" si="7"/>
        <v>OK</v>
      </c>
      <c r="N51" t="s">
        <v>154</v>
      </c>
      <c r="O51" t="s">
        <v>18</v>
      </c>
    </row>
    <row r="52" spans="1:15" hidden="1" x14ac:dyDescent="0.25">
      <c r="A52" t="s">
        <v>159</v>
      </c>
      <c r="B52" t="s">
        <v>101</v>
      </c>
      <c r="C52" t="s">
        <v>15</v>
      </c>
      <c r="D52">
        <v>2737</v>
      </c>
      <c r="E52">
        <v>2737</v>
      </c>
      <c r="F52" t="str">
        <f t="shared" si="4"/>
        <v>OK</v>
      </c>
      <c r="G52" s="2">
        <v>45948</v>
      </c>
      <c r="H52" s="2">
        <v>45948</v>
      </c>
      <c r="I52">
        <f t="shared" si="5"/>
        <v>0</v>
      </c>
      <c r="J52" t="str">
        <f t="shared" si="6"/>
        <v>OK</v>
      </c>
      <c r="K52" s="2">
        <v>46032</v>
      </c>
      <c r="L52" s="2">
        <v>46032</v>
      </c>
      <c r="M52" t="str">
        <f t="shared" si="7"/>
        <v>OK</v>
      </c>
      <c r="N52" t="s">
        <v>155</v>
      </c>
      <c r="O52" t="s">
        <v>18</v>
      </c>
    </row>
    <row r="53" spans="1:15" hidden="1" x14ac:dyDescent="0.25">
      <c r="A53" t="s">
        <v>159</v>
      </c>
      <c r="B53" t="s">
        <v>102</v>
      </c>
      <c r="C53" t="s">
        <v>17</v>
      </c>
      <c r="D53">
        <v>2720</v>
      </c>
      <c r="E53">
        <v>2720</v>
      </c>
      <c r="F53" t="str">
        <f t="shared" si="4"/>
        <v>OK</v>
      </c>
      <c r="G53" s="2">
        <v>45896</v>
      </c>
      <c r="H53" s="2">
        <v>45896</v>
      </c>
      <c r="I53">
        <f t="shared" si="5"/>
        <v>0</v>
      </c>
      <c r="J53" t="str">
        <f t="shared" si="6"/>
        <v>OK</v>
      </c>
      <c r="K53" s="2">
        <v>46028</v>
      </c>
      <c r="L53" s="2">
        <v>46028</v>
      </c>
      <c r="M53" t="str">
        <f t="shared" si="7"/>
        <v>OK</v>
      </c>
      <c r="N53" t="s">
        <v>156</v>
      </c>
      <c r="O53" t="s">
        <v>18</v>
      </c>
    </row>
    <row r="54" spans="1:15" hidden="1" x14ac:dyDescent="0.25">
      <c r="A54" t="s">
        <v>159</v>
      </c>
      <c r="B54" t="s">
        <v>103</v>
      </c>
      <c r="C54" t="s">
        <v>17</v>
      </c>
      <c r="D54">
        <v>1699</v>
      </c>
      <c r="E54">
        <v>1699</v>
      </c>
      <c r="F54" t="str">
        <f t="shared" si="4"/>
        <v>OK</v>
      </c>
      <c r="G54" s="2">
        <v>45943</v>
      </c>
      <c r="H54" s="2">
        <v>45941</v>
      </c>
      <c r="I54">
        <f t="shared" si="5"/>
        <v>-2</v>
      </c>
      <c r="J54" t="str">
        <f t="shared" si="6"/>
        <v>Not</v>
      </c>
      <c r="K54" s="2">
        <v>46028</v>
      </c>
      <c r="L54" s="2">
        <v>46028</v>
      </c>
      <c r="M54" t="str">
        <f t="shared" si="7"/>
        <v>OK</v>
      </c>
      <c r="N54" t="s">
        <v>157</v>
      </c>
      <c r="O54" t="s">
        <v>18</v>
      </c>
    </row>
    <row r="55" spans="1:15" hidden="1" x14ac:dyDescent="0.25">
      <c r="A55" t="s">
        <v>159</v>
      </c>
      <c r="B55" t="s">
        <v>104</v>
      </c>
      <c r="C55" t="s">
        <v>17</v>
      </c>
      <c r="D55">
        <v>1234</v>
      </c>
      <c r="E55">
        <v>1234</v>
      </c>
      <c r="F55" t="str">
        <f t="shared" si="4"/>
        <v>OK</v>
      </c>
      <c r="G55" s="2">
        <v>45939</v>
      </c>
      <c r="H55" s="2">
        <v>45939</v>
      </c>
      <c r="I55">
        <f t="shared" si="5"/>
        <v>0</v>
      </c>
      <c r="J55" t="str">
        <f t="shared" si="6"/>
        <v>OK</v>
      </c>
      <c r="K55" s="2">
        <v>46029</v>
      </c>
      <c r="L55" s="2">
        <v>46029</v>
      </c>
      <c r="M55" t="str">
        <f t="shared" si="7"/>
        <v>OK</v>
      </c>
      <c r="N55" t="s">
        <v>158</v>
      </c>
      <c r="O55" t="s">
        <v>18</v>
      </c>
    </row>
  </sheetData>
  <autoFilter ref="A1:O55" xr:uid="{98B15672-481B-4268-974A-51245B9DDCFB}">
    <filterColumn colId="14">
      <filters>
        <filter val="Speedo tidak sesuai tipe"/>
        <filter val="Speedo tidak sesuai tipe (tidak ada fisik)"/>
      </filters>
    </filterColumn>
    <sortState xmlns:xlrd2="http://schemas.microsoft.com/office/spreadsheetml/2017/richdata2" ref="A2:O55">
      <sortCondition ref="B1:B55"/>
    </sortState>
  </autoFilter>
  <phoneticPr fontId="3" type="noConversion"/>
  <conditionalFormatting sqref="B1:B1048576">
    <cfRule type="duplicateValues" dxfId="68" priority="2"/>
    <cfRule type="duplicateValues" dxfId="67" priority="3"/>
    <cfRule type="duplicateValues" dxfId="66" priority="8"/>
    <cfRule type="duplicateValues" dxfId="65" priority="11"/>
    <cfRule type="duplicateValues" dxfId="64" priority="12"/>
  </conditionalFormatting>
  <conditionalFormatting sqref="D1:D1048576">
    <cfRule type="duplicateValues" dxfId="63" priority="1"/>
    <cfRule type="duplicateValues" dxfId="62" priority="9"/>
    <cfRule type="duplicateValues" dxfId="61" priority="10"/>
  </conditionalFormatting>
  <conditionalFormatting sqref="F1:F1048576 M2:M55">
    <cfRule type="containsText" dxfId="60" priority="14" operator="containsText" text="Not">
      <formula>NOT(ISERROR(SEARCH("Not",F1)))</formula>
    </cfRule>
    <cfRule type="containsText" dxfId="59" priority="15" operator="containsText" text="OK">
      <formula>NOT(ISERROR(SEARCH("OK",F1)))</formula>
    </cfRule>
  </conditionalFormatting>
  <conditionalFormatting sqref="J1:J1048576">
    <cfRule type="containsText" dxfId="58" priority="4" operator="containsText" text="Not">
      <formula>NOT(ISERROR(SEARCH("Not",J1)))</formula>
    </cfRule>
  </conditionalFormatting>
  <conditionalFormatting sqref="J2:J55">
    <cfRule type="containsText" dxfId="57" priority="5" operator="containsText" text="OK">
      <formula>NOT(ISERROR(SEARCH("OK",J2)))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B0B-4FD7-43C2-8A53-29424176C3C8}">
  <dimension ref="A1:O25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8</v>
      </c>
      <c r="I1" s="4" t="s">
        <v>14</v>
      </c>
      <c r="J1" s="1" t="s">
        <v>9</v>
      </c>
      <c r="K1" s="1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211</v>
      </c>
      <c r="B2" t="s">
        <v>163</v>
      </c>
      <c r="C2" t="s">
        <v>50</v>
      </c>
      <c r="D2">
        <v>2792</v>
      </c>
      <c r="E2">
        <v>2792</v>
      </c>
      <c r="F2" t="str">
        <f t="shared" ref="F2:F25" si="0">IF(D2=E2,"OK","Not")</f>
        <v>OK</v>
      </c>
      <c r="G2" s="2">
        <v>45861</v>
      </c>
      <c r="H2" s="2">
        <v>45861</v>
      </c>
      <c r="I2">
        <f t="shared" ref="I2:I25" si="1">H2-G2</f>
        <v>0</v>
      </c>
      <c r="J2" t="str">
        <f t="shared" ref="J2:J25" si="2">IF(G2=H2,"OK","Not")</f>
        <v>OK</v>
      </c>
      <c r="K2" s="2">
        <v>46036</v>
      </c>
      <c r="L2" s="2">
        <v>46036</v>
      </c>
      <c r="M2" t="str">
        <f t="shared" ref="M2:M25" si="3">IF(K2=L2,"OK","Not")</f>
        <v>OK</v>
      </c>
      <c r="N2" t="s">
        <v>187</v>
      </c>
      <c r="O2" t="s">
        <v>18</v>
      </c>
    </row>
    <row r="3" spans="1:15" x14ac:dyDescent="0.25">
      <c r="A3" t="s">
        <v>211</v>
      </c>
      <c r="B3" t="s">
        <v>164</v>
      </c>
      <c r="C3" t="s">
        <v>50</v>
      </c>
      <c r="D3">
        <v>2030</v>
      </c>
      <c r="E3">
        <v>2030</v>
      </c>
      <c r="F3" t="str">
        <f t="shared" si="0"/>
        <v>OK</v>
      </c>
      <c r="G3" s="2">
        <v>45911</v>
      </c>
      <c r="H3" s="2">
        <v>45911</v>
      </c>
      <c r="I3">
        <f t="shared" si="1"/>
        <v>0</v>
      </c>
      <c r="J3" t="str">
        <f t="shared" si="2"/>
        <v>OK</v>
      </c>
      <c r="K3" s="2">
        <v>46034</v>
      </c>
      <c r="L3" s="2">
        <v>46034</v>
      </c>
      <c r="M3" t="str">
        <f t="shared" si="3"/>
        <v>OK</v>
      </c>
      <c r="N3" t="s">
        <v>188</v>
      </c>
      <c r="O3" t="s">
        <v>18</v>
      </c>
    </row>
    <row r="4" spans="1:15" x14ac:dyDescent="0.25">
      <c r="A4" t="s">
        <v>211</v>
      </c>
      <c r="B4" t="s">
        <v>165</v>
      </c>
      <c r="C4" t="s">
        <v>15</v>
      </c>
      <c r="D4">
        <v>1870</v>
      </c>
      <c r="E4">
        <v>1870</v>
      </c>
      <c r="F4" t="str">
        <f t="shared" si="0"/>
        <v>OK</v>
      </c>
      <c r="G4" s="2">
        <v>45940</v>
      </c>
      <c r="H4" s="2">
        <v>45940</v>
      </c>
      <c r="I4">
        <f t="shared" si="1"/>
        <v>0</v>
      </c>
      <c r="J4" t="str">
        <f t="shared" si="2"/>
        <v>OK</v>
      </c>
      <c r="K4" s="2">
        <v>46035</v>
      </c>
      <c r="L4" s="2">
        <v>46035</v>
      </c>
      <c r="M4" t="str">
        <f t="shared" si="3"/>
        <v>OK</v>
      </c>
      <c r="N4" t="s">
        <v>189</v>
      </c>
      <c r="O4" t="s">
        <v>18</v>
      </c>
    </row>
    <row r="5" spans="1:15" x14ac:dyDescent="0.25">
      <c r="A5" t="s">
        <v>211</v>
      </c>
      <c r="B5" t="s">
        <v>166</v>
      </c>
      <c r="C5" t="s">
        <v>16</v>
      </c>
      <c r="D5">
        <v>1001</v>
      </c>
      <c r="E5">
        <v>1001</v>
      </c>
      <c r="F5" t="str">
        <f t="shared" si="0"/>
        <v>OK</v>
      </c>
      <c r="G5" s="2">
        <v>45980</v>
      </c>
      <c r="H5" s="2">
        <v>45979</v>
      </c>
      <c r="I5">
        <f t="shared" si="1"/>
        <v>-1</v>
      </c>
      <c r="J5" t="str">
        <f t="shared" si="2"/>
        <v>Not</v>
      </c>
      <c r="K5" s="2">
        <v>46035</v>
      </c>
      <c r="L5" s="2">
        <v>46035</v>
      </c>
      <c r="M5" t="str">
        <f t="shared" si="3"/>
        <v>OK</v>
      </c>
      <c r="N5" t="s">
        <v>190</v>
      </c>
      <c r="O5" t="s">
        <v>18</v>
      </c>
    </row>
    <row r="6" spans="1:15" x14ac:dyDescent="0.25">
      <c r="A6" t="s">
        <v>211</v>
      </c>
      <c r="B6" t="s">
        <v>167</v>
      </c>
      <c r="C6" t="s">
        <v>16</v>
      </c>
      <c r="D6">
        <v>402</v>
      </c>
      <c r="E6">
        <v>402</v>
      </c>
      <c r="F6" t="str">
        <f t="shared" si="0"/>
        <v>OK</v>
      </c>
      <c r="G6" s="2">
        <v>46017</v>
      </c>
      <c r="H6" s="2">
        <v>46017</v>
      </c>
      <c r="I6">
        <f t="shared" si="1"/>
        <v>0</v>
      </c>
      <c r="J6" t="str">
        <f t="shared" si="2"/>
        <v>OK</v>
      </c>
      <c r="K6" s="2">
        <v>46037</v>
      </c>
      <c r="L6" s="2">
        <v>46037</v>
      </c>
      <c r="M6" t="str">
        <f t="shared" si="3"/>
        <v>OK</v>
      </c>
      <c r="N6" t="s">
        <v>191</v>
      </c>
      <c r="O6" t="s">
        <v>162</v>
      </c>
    </row>
    <row r="7" spans="1:15" x14ac:dyDescent="0.25">
      <c r="A7" t="s">
        <v>211</v>
      </c>
      <c r="B7" t="s">
        <v>168</v>
      </c>
      <c r="C7" t="s">
        <v>17</v>
      </c>
      <c r="D7">
        <v>1453</v>
      </c>
      <c r="E7">
        <v>1453</v>
      </c>
      <c r="F7" t="str">
        <f t="shared" si="0"/>
        <v>OK</v>
      </c>
      <c r="G7" s="2">
        <v>45951</v>
      </c>
      <c r="H7" s="2">
        <v>45949</v>
      </c>
      <c r="I7">
        <f t="shared" si="1"/>
        <v>-2</v>
      </c>
      <c r="J7" t="str">
        <f t="shared" si="2"/>
        <v>Not</v>
      </c>
      <c r="K7" s="2">
        <v>46037</v>
      </c>
      <c r="L7" s="2">
        <v>46037</v>
      </c>
      <c r="M7" t="str">
        <f t="shared" si="3"/>
        <v>OK</v>
      </c>
      <c r="N7" t="s">
        <v>192</v>
      </c>
      <c r="O7" t="s">
        <v>18</v>
      </c>
    </row>
    <row r="8" spans="1:15" x14ac:dyDescent="0.25">
      <c r="A8" t="s">
        <v>211</v>
      </c>
      <c r="B8" t="s">
        <v>169</v>
      </c>
      <c r="C8" t="s">
        <v>17</v>
      </c>
      <c r="D8">
        <v>1547</v>
      </c>
      <c r="E8">
        <v>1547</v>
      </c>
      <c r="F8" t="str">
        <f t="shared" si="0"/>
        <v>OK</v>
      </c>
      <c r="G8" s="2">
        <v>45979</v>
      </c>
      <c r="H8" s="2">
        <v>45979</v>
      </c>
      <c r="I8">
        <f t="shared" si="1"/>
        <v>0</v>
      </c>
      <c r="J8" t="str">
        <f t="shared" si="2"/>
        <v>OK</v>
      </c>
      <c r="K8" s="2">
        <v>46035</v>
      </c>
      <c r="L8" s="2">
        <v>46035</v>
      </c>
      <c r="M8" t="str">
        <f t="shared" si="3"/>
        <v>OK</v>
      </c>
      <c r="N8" t="s">
        <v>193</v>
      </c>
      <c r="O8" t="s">
        <v>18</v>
      </c>
    </row>
    <row r="9" spans="1:15" x14ac:dyDescent="0.25">
      <c r="A9" t="s">
        <v>211</v>
      </c>
      <c r="B9" t="s">
        <v>170</v>
      </c>
      <c r="C9" t="s">
        <v>15</v>
      </c>
      <c r="D9">
        <v>2112</v>
      </c>
      <c r="E9">
        <v>2112</v>
      </c>
      <c r="F9" t="str">
        <f t="shared" si="0"/>
        <v>OK</v>
      </c>
      <c r="G9" s="2">
        <v>45957</v>
      </c>
      <c r="H9" s="2">
        <v>45957</v>
      </c>
      <c r="I9">
        <f t="shared" si="1"/>
        <v>0</v>
      </c>
      <c r="J9" t="str">
        <f t="shared" si="2"/>
        <v>OK</v>
      </c>
      <c r="K9" s="2">
        <v>46035</v>
      </c>
      <c r="L9" s="2">
        <v>46035</v>
      </c>
      <c r="M9" t="str">
        <f t="shared" si="3"/>
        <v>OK</v>
      </c>
      <c r="N9" t="s">
        <v>194</v>
      </c>
      <c r="O9" t="s">
        <v>18</v>
      </c>
    </row>
    <row r="10" spans="1:15" x14ac:dyDescent="0.25">
      <c r="A10" t="s">
        <v>211</v>
      </c>
      <c r="B10" t="s">
        <v>171</v>
      </c>
      <c r="C10" t="s">
        <v>50</v>
      </c>
      <c r="D10">
        <v>3176</v>
      </c>
      <c r="E10">
        <v>3176</v>
      </c>
      <c r="F10" t="str">
        <f t="shared" si="0"/>
        <v>OK</v>
      </c>
      <c r="G10" s="2">
        <v>45882</v>
      </c>
      <c r="H10" s="2">
        <v>45882</v>
      </c>
      <c r="I10">
        <f t="shared" si="1"/>
        <v>0</v>
      </c>
      <c r="J10" t="str">
        <f t="shared" si="2"/>
        <v>OK</v>
      </c>
      <c r="K10" s="2">
        <v>46034</v>
      </c>
      <c r="L10" s="2">
        <v>46034</v>
      </c>
      <c r="M10" t="str">
        <f t="shared" si="3"/>
        <v>OK</v>
      </c>
      <c r="N10" t="s">
        <v>195</v>
      </c>
      <c r="O10" t="s">
        <v>18</v>
      </c>
    </row>
    <row r="11" spans="1:15" x14ac:dyDescent="0.25">
      <c r="A11" t="s">
        <v>211</v>
      </c>
      <c r="B11" t="s">
        <v>172</v>
      </c>
      <c r="C11" t="s">
        <v>15</v>
      </c>
      <c r="D11">
        <v>2653</v>
      </c>
      <c r="E11">
        <v>2653</v>
      </c>
      <c r="F11" t="str">
        <f t="shared" si="0"/>
        <v>OK</v>
      </c>
      <c r="G11" s="2">
        <v>45966</v>
      </c>
      <c r="H11" s="2">
        <v>45967</v>
      </c>
      <c r="I11">
        <f t="shared" si="1"/>
        <v>1</v>
      </c>
      <c r="J11" t="str">
        <f t="shared" si="2"/>
        <v>Not</v>
      </c>
      <c r="K11" s="2">
        <v>46034</v>
      </c>
      <c r="L11" s="2">
        <v>46034</v>
      </c>
      <c r="M11" t="str">
        <f t="shared" si="3"/>
        <v>OK</v>
      </c>
      <c r="N11" t="s">
        <v>196</v>
      </c>
      <c r="O11" t="s">
        <v>18</v>
      </c>
    </row>
    <row r="12" spans="1:15" x14ac:dyDescent="0.25">
      <c r="A12" t="s">
        <v>211</v>
      </c>
      <c r="B12" t="s">
        <v>173</v>
      </c>
      <c r="C12" t="s">
        <v>17</v>
      </c>
      <c r="D12">
        <v>3564</v>
      </c>
      <c r="E12">
        <v>3564</v>
      </c>
      <c r="F12" t="str">
        <f t="shared" si="0"/>
        <v>OK</v>
      </c>
      <c r="G12" s="2">
        <v>45976</v>
      </c>
      <c r="H12" s="2">
        <v>45976</v>
      </c>
      <c r="I12">
        <f t="shared" si="1"/>
        <v>0</v>
      </c>
      <c r="J12" t="str">
        <f t="shared" si="2"/>
        <v>OK</v>
      </c>
      <c r="K12" s="2">
        <v>46035</v>
      </c>
      <c r="L12" s="2">
        <v>46035</v>
      </c>
      <c r="M12" t="str">
        <f t="shared" si="3"/>
        <v>OK</v>
      </c>
      <c r="N12" t="s">
        <v>197</v>
      </c>
      <c r="O12" t="s">
        <v>18</v>
      </c>
    </row>
    <row r="13" spans="1:15" x14ac:dyDescent="0.25">
      <c r="A13" t="s">
        <v>211</v>
      </c>
      <c r="B13" t="s">
        <v>174</v>
      </c>
      <c r="C13" t="s">
        <v>16</v>
      </c>
      <c r="D13">
        <v>942</v>
      </c>
      <c r="E13">
        <v>942</v>
      </c>
      <c r="F13" t="str">
        <f t="shared" si="0"/>
        <v>OK</v>
      </c>
      <c r="G13" s="2">
        <v>45988</v>
      </c>
      <c r="H13" s="2">
        <v>45988</v>
      </c>
      <c r="I13">
        <f t="shared" si="1"/>
        <v>0</v>
      </c>
      <c r="J13" t="str">
        <f t="shared" si="2"/>
        <v>OK</v>
      </c>
      <c r="K13" s="2">
        <v>46034</v>
      </c>
      <c r="L13" s="2">
        <v>46034</v>
      </c>
      <c r="M13" t="str">
        <f t="shared" si="3"/>
        <v>OK</v>
      </c>
      <c r="N13" t="s">
        <v>198</v>
      </c>
      <c r="O13" t="s">
        <v>18</v>
      </c>
    </row>
    <row r="14" spans="1:15" x14ac:dyDescent="0.25">
      <c r="A14" t="s">
        <v>211</v>
      </c>
      <c r="B14" t="s">
        <v>175</v>
      </c>
      <c r="C14" t="s">
        <v>15</v>
      </c>
      <c r="D14">
        <v>1026</v>
      </c>
      <c r="E14">
        <v>1026</v>
      </c>
      <c r="F14" t="str">
        <f t="shared" si="0"/>
        <v>OK</v>
      </c>
      <c r="G14" s="2">
        <v>45882</v>
      </c>
      <c r="H14" s="2">
        <v>45882</v>
      </c>
      <c r="I14">
        <f t="shared" si="1"/>
        <v>0</v>
      </c>
      <c r="J14" t="str">
        <f t="shared" si="2"/>
        <v>OK</v>
      </c>
      <c r="K14" s="2">
        <v>46037</v>
      </c>
      <c r="L14" s="2">
        <v>46037</v>
      </c>
      <c r="M14" t="str">
        <f t="shared" si="3"/>
        <v>OK</v>
      </c>
      <c r="N14" t="s">
        <v>199</v>
      </c>
      <c r="O14" t="s">
        <v>18</v>
      </c>
    </row>
    <row r="15" spans="1:15" x14ac:dyDescent="0.25">
      <c r="A15" t="s">
        <v>211</v>
      </c>
      <c r="B15" t="s">
        <v>176</v>
      </c>
      <c r="C15" t="s">
        <v>50</v>
      </c>
      <c r="D15">
        <v>3395</v>
      </c>
      <c r="E15">
        <v>3395</v>
      </c>
      <c r="F15" t="str">
        <f t="shared" si="0"/>
        <v>OK</v>
      </c>
      <c r="G15" s="2">
        <v>45908</v>
      </c>
      <c r="H15" s="2">
        <v>45908</v>
      </c>
      <c r="I15">
        <f t="shared" si="1"/>
        <v>0</v>
      </c>
      <c r="J15" t="str">
        <f t="shared" si="2"/>
        <v>OK</v>
      </c>
      <c r="K15" s="2">
        <v>46034</v>
      </c>
      <c r="L15" s="2">
        <v>46034</v>
      </c>
      <c r="M15" t="str">
        <f t="shared" si="3"/>
        <v>OK</v>
      </c>
      <c r="N15" t="s">
        <v>200</v>
      </c>
      <c r="O15" t="s">
        <v>18</v>
      </c>
    </row>
    <row r="16" spans="1:15" x14ac:dyDescent="0.25">
      <c r="A16" t="s">
        <v>211</v>
      </c>
      <c r="B16" t="s">
        <v>177</v>
      </c>
      <c r="C16" t="s">
        <v>17</v>
      </c>
      <c r="D16">
        <v>1694</v>
      </c>
      <c r="E16">
        <v>1694</v>
      </c>
      <c r="F16" t="str">
        <f t="shared" si="0"/>
        <v>OK</v>
      </c>
      <c r="G16" s="2">
        <v>45983</v>
      </c>
      <c r="H16" s="2">
        <v>45983</v>
      </c>
      <c r="I16">
        <f t="shared" si="1"/>
        <v>0</v>
      </c>
      <c r="J16" t="str">
        <f t="shared" si="2"/>
        <v>OK</v>
      </c>
      <c r="K16" s="2">
        <v>46034</v>
      </c>
      <c r="L16" s="2">
        <v>46034</v>
      </c>
      <c r="M16" t="str">
        <f t="shared" si="3"/>
        <v>OK</v>
      </c>
      <c r="N16" t="s">
        <v>201</v>
      </c>
      <c r="O16" t="s">
        <v>162</v>
      </c>
    </row>
    <row r="17" spans="1:15" x14ac:dyDescent="0.25">
      <c r="A17" t="s">
        <v>211</v>
      </c>
      <c r="B17" t="s">
        <v>178</v>
      </c>
      <c r="C17" t="s">
        <v>16</v>
      </c>
      <c r="D17">
        <v>585</v>
      </c>
      <c r="E17">
        <v>585</v>
      </c>
      <c r="F17" t="str">
        <f t="shared" si="0"/>
        <v>OK</v>
      </c>
      <c r="G17" s="2">
        <v>46003</v>
      </c>
      <c r="H17" s="2">
        <v>46003</v>
      </c>
      <c r="I17">
        <f t="shared" si="1"/>
        <v>0</v>
      </c>
      <c r="J17" t="str">
        <f t="shared" si="2"/>
        <v>OK</v>
      </c>
      <c r="K17" s="2">
        <v>46034</v>
      </c>
      <c r="L17" s="2">
        <v>46034</v>
      </c>
      <c r="M17" t="str">
        <f t="shared" si="3"/>
        <v>OK</v>
      </c>
      <c r="N17" t="s">
        <v>202</v>
      </c>
      <c r="O17" t="s">
        <v>18</v>
      </c>
    </row>
    <row r="18" spans="1:15" x14ac:dyDescent="0.25">
      <c r="A18" t="s">
        <v>211</v>
      </c>
      <c r="B18" t="s">
        <v>179</v>
      </c>
      <c r="C18" t="s">
        <v>16</v>
      </c>
      <c r="D18">
        <v>292</v>
      </c>
      <c r="E18">
        <v>292</v>
      </c>
      <c r="F18" t="str">
        <f t="shared" si="0"/>
        <v>OK</v>
      </c>
      <c r="G18" s="2">
        <v>46008</v>
      </c>
      <c r="H18" s="2">
        <v>46007</v>
      </c>
      <c r="I18">
        <f t="shared" si="1"/>
        <v>-1</v>
      </c>
      <c r="J18" t="str">
        <f t="shared" si="2"/>
        <v>Not</v>
      </c>
      <c r="K18" s="2">
        <v>46037</v>
      </c>
      <c r="L18" s="2">
        <v>46037</v>
      </c>
      <c r="M18" t="str">
        <f t="shared" si="3"/>
        <v>OK</v>
      </c>
      <c r="N18" t="s">
        <v>203</v>
      </c>
      <c r="O18" t="s">
        <v>18</v>
      </c>
    </row>
    <row r="19" spans="1:15" x14ac:dyDescent="0.25">
      <c r="A19" t="s">
        <v>211</v>
      </c>
      <c r="B19" t="s">
        <v>180</v>
      </c>
      <c r="C19" t="s">
        <v>17</v>
      </c>
      <c r="D19">
        <v>630</v>
      </c>
      <c r="E19">
        <v>630</v>
      </c>
      <c r="F19" t="str">
        <f t="shared" si="0"/>
        <v>OK</v>
      </c>
      <c r="G19" s="2">
        <v>45976</v>
      </c>
      <c r="H19" s="2">
        <v>45976</v>
      </c>
      <c r="I19">
        <f t="shared" si="1"/>
        <v>0</v>
      </c>
      <c r="J19" t="str">
        <f t="shared" si="2"/>
        <v>OK</v>
      </c>
      <c r="K19" s="2">
        <v>46036</v>
      </c>
      <c r="L19" s="2">
        <v>46036</v>
      </c>
      <c r="M19" t="str">
        <f t="shared" si="3"/>
        <v>OK</v>
      </c>
      <c r="N19" t="s">
        <v>204</v>
      </c>
      <c r="O19" t="s">
        <v>162</v>
      </c>
    </row>
    <row r="20" spans="1:15" x14ac:dyDescent="0.25">
      <c r="A20" t="s">
        <v>211</v>
      </c>
      <c r="B20" t="s">
        <v>181</v>
      </c>
      <c r="C20" t="s">
        <v>17</v>
      </c>
      <c r="D20">
        <v>731</v>
      </c>
      <c r="E20">
        <v>731</v>
      </c>
      <c r="F20" t="str">
        <f t="shared" si="0"/>
        <v>OK</v>
      </c>
      <c r="G20" s="2">
        <v>45979</v>
      </c>
      <c r="H20" s="2">
        <v>45979</v>
      </c>
      <c r="I20">
        <f t="shared" si="1"/>
        <v>0</v>
      </c>
      <c r="J20" t="str">
        <f t="shared" si="2"/>
        <v>OK</v>
      </c>
      <c r="K20" s="2">
        <v>46034</v>
      </c>
      <c r="L20" s="2">
        <v>46034</v>
      </c>
      <c r="M20" t="str">
        <f t="shared" si="3"/>
        <v>OK</v>
      </c>
      <c r="N20" t="s">
        <v>205</v>
      </c>
      <c r="O20" t="s">
        <v>18</v>
      </c>
    </row>
    <row r="21" spans="1:15" x14ac:dyDescent="0.25">
      <c r="A21" t="s">
        <v>211</v>
      </c>
      <c r="B21" s="5" t="s">
        <v>182</v>
      </c>
      <c r="C21" t="s">
        <v>16</v>
      </c>
      <c r="D21">
        <v>886</v>
      </c>
      <c r="E21">
        <v>886</v>
      </c>
      <c r="F21" t="str">
        <f t="shared" si="0"/>
        <v>OK</v>
      </c>
      <c r="G21" s="2">
        <v>46010</v>
      </c>
      <c r="H21" s="2">
        <v>46010</v>
      </c>
      <c r="I21">
        <f t="shared" si="1"/>
        <v>0</v>
      </c>
      <c r="J21" t="str">
        <f t="shared" si="2"/>
        <v>OK</v>
      </c>
      <c r="K21" s="2">
        <v>46037</v>
      </c>
      <c r="L21" s="2">
        <v>46037</v>
      </c>
      <c r="M21" t="str">
        <f t="shared" si="3"/>
        <v>OK</v>
      </c>
      <c r="N21" t="s">
        <v>206</v>
      </c>
      <c r="O21" t="s">
        <v>18</v>
      </c>
    </row>
    <row r="22" spans="1:15" x14ac:dyDescent="0.25">
      <c r="A22" t="s">
        <v>211</v>
      </c>
      <c r="B22" t="s">
        <v>183</v>
      </c>
      <c r="C22" t="s">
        <v>17</v>
      </c>
      <c r="D22">
        <v>1801</v>
      </c>
      <c r="E22">
        <v>1801</v>
      </c>
      <c r="F22" t="str">
        <f t="shared" si="0"/>
        <v>OK</v>
      </c>
      <c r="G22" s="2">
        <v>45967</v>
      </c>
      <c r="H22" s="2">
        <v>45967</v>
      </c>
      <c r="I22">
        <f t="shared" si="1"/>
        <v>0</v>
      </c>
      <c r="J22" t="str">
        <f t="shared" si="2"/>
        <v>OK</v>
      </c>
      <c r="K22" s="2">
        <v>46037</v>
      </c>
      <c r="L22" s="2">
        <v>46037</v>
      </c>
      <c r="M22" t="str">
        <f t="shared" si="3"/>
        <v>OK</v>
      </c>
      <c r="N22" t="s">
        <v>207</v>
      </c>
      <c r="O22" t="s">
        <v>18</v>
      </c>
    </row>
    <row r="23" spans="1:15" x14ac:dyDescent="0.25">
      <c r="A23" t="s">
        <v>211</v>
      </c>
      <c r="B23" t="s">
        <v>184</v>
      </c>
      <c r="C23" t="s">
        <v>17</v>
      </c>
      <c r="D23">
        <v>1258</v>
      </c>
      <c r="E23">
        <v>1258</v>
      </c>
      <c r="F23" t="str">
        <f t="shared" si="0"/>
        <v>OK</v>
      </c>
      <c r="G23" s="2">
        <v>45978</v>
      </c>
      <c r="H23" s="2">
        <v>45977</v>
      </c>
      <c r="I23">
        <f t="shared" si="1"/>
        <v>-1</v>
      </c>
      <c r="J23" t="str">
        <f t="shared" si="2"/>
        <v>Not</v>
      </c>
      <c r="K23" s="2">
        <v>46034</v>
      </c>
      <c r="L23" s="2">
        <v>46034</v>
      </c>
      <c r="M23" t="str">
        <f t="shared" si="3"/>
        <v>OK</v>
      </c>
      <c r="N23" t="s">
        <v>208</v>
      </c>
      <c r="O23" t="s">
        <v>18</v>
      </c>
    </row>
    <row r="24" spans="1:15" x14ac:dyDescent="0.25">
      <c r="A24" t="s">
        <v>211</v>
      </c>
      <c r="B24" t="s">
        <v>185</v>
      </c>
      <c r="C24" t="s">
        <v>16</v>
      </c>
      <c r="D24">
        <v>376</v>
      </c>
      <c r="E24">
        <v>376</v>
      </c>
      <c r="F24" t="str">
        <f t="shared" si="0"/>
        <v>OK</v>
      </c>
      <c r="G24" s="2">
        <v>46002</v>
      </c>
      <c r="H24" s="2">
        <v>46001</v>
      </c>
      <c r="I24">
        <f t="shared" si="1"/>
        <v>-1</v>
      </c>
      <c r="J24" t="str">
        <f t="shared" si="2"/>
        <v>Not</v>
      </c>
      <c r="K24" s="2">
        <v>46035</v>
      </c>
      <c r="L24" s="2">
        <v>46035</v>
      </c>
      <c r="M24" t="str">
        <f t="shared" si="3"/>
        <v>OK</v>
      </c>
      <c r="N24" t="s">
        <v>209</v>
      </c>
      <c r="O24" t="s">
        <v>18</v>
      </c>
    </row>
    <row r="25" spans="1:15" x14ac:dyDescent="0.25">
      <c r="A25" t="s">
        <v>211</v>
      </c>
      <c r="B25" t="s">
        <v>186</v>
      </c>
      <c r="C25" t="s">
        <v>15</v>
      </c>
      <c r="D25">
        <v>2137</v>
      </c>
      <c r="E25">
        <v>2137</v>
      </c>
      <c r="F25" t="str">
        <f t="shared" si="0"/>
        <v>OK</v>
      </c>
      <c r="G25" s="2">
        <v>45923</v>
      </c>
      <c r="H25" s="2">
        <v>45923</v>
      </c>
      <c r="I25">
        <f t="shared" si="1"/>
        <v>0</v>
      </c>
      <c r="J25" t="str">
        <f t="shared" si="2"/>
        <v>OK</v>
      </c>
      <c r="K25" s="2">
        <v>46034</v>
      </c>
      <c r="L25" s="2">
        <v>46034</v>
      </c>
      <c r="M25" t="str">
        <f t="shared" si="3"/>
        <v>OK</v>
      </c>
      <c r="N25" t="s">
        <v>210</v>
      </c>
      <c r="O25" t="s">
        <v>18</v>
      </c>
    </row>
  </sheetData>
  <autoFilter ref="A1:O25" xr:uid="{6DA3EB0B-4FD7-43C2-8A53-29424176C3C8}">
    <sortState xmlns:xlrd2="http://schemas.microsoft.com/office/spreadsheetml/2017/richdata2" ref="A2:O25">
      <sortCondition ref="B1:B25"/>
    </sortState>
  </autoFilter>
  <phoneticPr fontId="3" type="noConversion"/>
  <conditionalFormatting sqref="B1:B1048576">
    <cfRule type="duplicateValues" dxfId="56" priority="6"/>
    <cfRule type="duplicateValues" dxfId="55" priority="7"/>
    <cfRule type="duplicateValues" dxfId="54" priority="9"/>
    <cfRule type="duplicateValues" dxfId="53" priority="10"/>
    <cfRule type="duplicateValues" dxfId="52" priority="13"/>
    <cfRule type="duplicateValues" dxfId="51" priority="16"/>
    <cfRule type="duplicateValues" dxfId="50" priority="17"/>
  </conditionalFormatting>
  <conditionalFormatting sqref="D1:D1048576">
    <cfRule type="duplicateValues" dxfId="49" priority="5"/>
    <cfRule type="duplicateValues" dxfId="48" priority="8"/>
    <cfRule type="duplicateValues" dxfId="47" priority="14"/>
    <cfRule type="duplicateValues" dxfId="46" priority="15"/>
  </conditionalFormatting>
  <conditionalFormatting sqref="E21">
    <cfRule type="duplicateValues" dxfId="45" priority="1"/>
    <cfRule type="duplicateValues" dxfId="44" priority="2"/>
    <cfRule type="duplicateValues" dxfId="43" priority="3"/>
    <cfRule type="duplicateValues" dxfId="42" priority="4"/>
  </conditionalFormatting>
  <conditionalFormatting sqref="F1:F1048576 M2:M25">
    <cfRule type="containsText" dxfId="41" priority="18" operator="containsText" text="Not">
      <formula>NOT(ISERROR(SEARCH("Not",F1)))</formula>
    </cfRule>
    <cfRule type="containsText" dxfId="40" priority="19" operator="containsText" text="OK">
      <formula>NOT(ISERROR(SEARCH("OK",F1)))</formula>
    </cfRule>
  </conditionalFormatting>
  <conditionalFormatting sqref="J1:J1048576">
    <cfRule type="containsText" dxfId="39" priority="11" operator="containsText" text="Not">
      <formula>NOT(ISERROR(SEARCH("Not",J1)))</formula>
    </cfRule>
  </conditionalFormatting>
  <conditionalFormatting sqref="J2:J25">
    <cfRule type="containsText" dxfId="38" priority="12" operator="containsText" text="OK">
      <formula>NOT(ISERROR(SEARCH("OK",J2)))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F1D0-5523-415C-A08A-AF5068FEC151}">
  <dimension ref="A1:O38"/>
  <sheetViews>
    <sheetView workbookViewId="0">
      <pane ySplit="1" topLeftCell="A28" activePane="bottomLeft" state="frozen"/>
      <selection pane="bottomLeft" activeCell="E48" sqref="E48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286</v>
      </c>
      <c r="B2" t="s">
        <v>212</v>
      </c>
      <c r="C2" t="s">
        <v>15</v>
      </c>
      <c r="D2">
        <v>1741</v>
      </c>
      <c r="E2">
        <v>1741</v>
      </c>
      <c r="F2" t="str">
        <f t="shared" ref="F2:F38" si="0">IF(D2=E2,"OK","Not")</f>
        <v>OK</v>
      </c>
      <c r="G2" s="2">
        <v>45853</v>
      </c>
      <c r="H2" s="2">
        <v>45853</v>
      </c>
      <c r="I2">
        <f t="shared" ref="I2:I38" si="1">H2-G2</f>
        <v>0</v>
      </c>
      <c r="J2" t="str">
        <f t="shared" ref="J2:J38" si="2">IF(G2=H2,"OK","Not")</f>
        <v>OK</v>
      </c>
      <c r="K2" s="2">
        <v>46041</v>
      </c>
      <c r="L2" s="2">
        <v>46041</v>
      </c>
      <c r="M2" t="str">
        <f t="shared" ref="M2:M38" si="3">IF(K2=L2,"OK","Not")</f>
        <v>OK</v>
      </c>
      <c r="N2" t="s">
        <v>249</v>
      </c>
      <c r="O2" t="s">
        <v>18</v>
      </c>
    </row>
    <row r="3" spans="1:15" x14ac:dyDescent="0.25">
      <c r="A3" t="s">
        <v>286</v>
      </c>
      <c r="B3" t="s">
        <v>213</v>
      </c>
      <c r="C3" t="s">
        <v>15</v>
      </c>
      <c r="D3">
        <v>1551</v>
      </c>
      <c r="E3">
        <v>1551</v>
      </c>
      <c r="F3" t="str">
        <f t="shared" si="0"/>
        <v>OK</v>
      </c>
      <c r="G3" s="2">
        <v>45924</v>
      </c>
      <c r="H3" s="2">
        <v>45924</v>
      </c>
      <c r="I3">
        <f t="shared" si="1"/>
        <v>0</v>
      </c>
      <c r="J3" t="str">
        <f t="shared" si="2"/>
        <v>OK</v>
      </c>
      <c r="K3" s="2">
        <v>46041</v>
      </c>
      <c r="L3" s="2">
        <v>46041</v>
      </c>
      <c r="M3" t="str">
        <f t="shared" si="3"/>
        <v>OK</v>
      </c>
      <c r="N3" t="s">
        <v>250</v>
      </c>
      <c r="O3" t="s">
        <v>18</v>
      </c>
    </row>
    <row r="4" spans="1:15" x14ac:dyDescent="0.25">
      <c r="A4" t="s">
        <v>286</v>
      </c>
      <c r="B4" t="s">
        <v>214</v>
      </c>
      <c r="C4" t="s">
        <v>16</v>
      </c>
      <c r="D4">
        <v>329</v>
      </c>
      <c r="E4">
        <v>329</v>
      </c>
      <c r="F4" t="str">
        <f t="shared" si="0"/>
        <v>OK</v>
      </c>
      <c r="G4" s="2">
        <v>46001</v>
      </c>
      <c r="H4" s="2">
        <v>46000</v>
      </c>
      <c r="I4">
        <f t="shared" si="1"/>
        <v>-1</v>
      </c>
      <c r="J4" t="str">
        <f t="shared" si="2"/>
        <v>Not</v>
      </c>
      <c r="K4" s="2">
        <v>46039</v>
      </c>
      <c r="L4" s="2">
        <v>46039</v>
      </c>
      <c r="M4" t="str">
        <f t="shared" si="3"/>
        <v>OK</v>
      </c>
      <c r="N4" t="s">
        <v>251</v>
      </c>
      <c r="O4" t="s">
        <v>18</v>
      </c>
    </row>
    <row r="5" spans="1:15" x14ac:dyDescent="0.25">
      <c r="A5" t="s">
        <v>286</v>
      </c>
      <c r="B5" t="s">
        <v>215</v>
      </c>
      <c r="C5" t="s">
        <v>17</v>
      </c>
      <c r="D5">
        <v>969</v>
      </c>
      <c r="E5">
        <v>969</v>
      </c>
      <c r="F5" t="str">
        <f t="shared" si="0"/>
        <v>OK</v>
      </c>
      <c r="G5" s="2">
        <v>45990</v>
      </c>
      <c r="H5" s="2">
        <v>45990</v>
      </c>
      <c r="I5">
        <f t="shared" si="1"/>
        <v>0</v>
      </c>
      <c r="J5" t="str">
        <f t="shared" si="2"/>
        <v>OK</v>
      </c>
      <c r="K5" s="2">
        <v>46041</v>
      </c>
      <c r="L5" s="2">
        <v>46041</v>
      </c>
      <c r="M5" t="str">
        <f t="shared" si="3"/>
        <v>OK</v>
      </c>
      <c r="N5" t="s">
        <v>252</v>
      </c>
      <c r="O5" t="s">
        <v>18</v>
      </c>
    </row>
    <row r="6" spans="1:15" x14ac:dyDescent="0.25">
      <c r="A6" t="s">
        <v>286</v>
      </c>
      <c r="B6" t="s">
        <v>216</v>
      </c>
      <c r="C6" t="s">
        <v>16</v>
      </c>
      <c r="D6">
        <v>543</v>
      </c>
      <c r="E6">
        <v>543</v>
      </c>
      <c r="F6" t="str">
        <f t="shared" si="0"/>
        <v>OK</v>
      </c>
      <c r="G6" s="2">
        <v>46011</v>
      </c>
      <c r="H6" s="2">
        <v>46010</v>
      </c>
      <c r="I6">
        <f t="shared" si="1"/>
        <v>-1</v>
      </c>
      <c r="J6" t="str">
        <f t="shared" si="2"/>
        <v>Not</v>
      </c>
      <c r="K6" s="2">
        <v>46039</v>
      </c>
      <c r="L6" s="2">
        <v>46039</v>
      </c>
      <c r="M6" t="str">
        <f t="shared" si="3"/>
        <v>OK</v>
      </c>
      <c r="N6" t="s">
        <v>253</v>
      </c>
      <c r="O6" t="s">
        <v>18</v>
      </c>
    </row>
    <row r="7" spans="1:15" x14ac:dyDescent="0.25">
      <c r="A7" t="s">
        <v>286</v>
      </c>
      <c r="B7" t="s">
        <v>217</v>
      </c>
      <c r="C7" t="s">
        <v>16</v>
      </c>
      <c r="D7">
        <v>627</v>
      </c>
      <c r="E7">
        <v>627</v>
      </c>
      <c r="F7" t="str">
        <f t="shared" si="0"/>
        <v>OK</v>
      </c>
      <c r="G7" s="2">
        <v>46009</v>
      </c>
      <c r="H7" s="2">
        <v>46009</v>
      </c>
      <c r="I7">
        <f t="shared" si="1"/>
        <v>0</v>
      </c>
      <c r="J7" t="str">
        <f t="shared" si="2"/>
        <v>OK</v>
      </c>
      <c r="K7" s="2">
        <v>46039</v>
      </c>
      <c r="L7" s="2">
        <v>46039</v>
      </c>
      <c r="M7" t="str">
        <f t="shared" si="3"/>
        <v>OK</v>
      </c>
      <c r="N7" t="s">
        <v>254</v>
      </c>
      <c r="O7" t="s">
        <v>162</v>
      </c>
    </row>
    <row r="8" spans="1:15" x14ac:dyDescent="0.25">
      <c r="A8" t="s">
        <v>286</v>
      </c>
      <c r="B8" t="s">
        <v>218</v>
      </c>
      <c r="C8" t="s">
        <v>16</v>
      </c>
      <c r="D8">
        <v>523</v>
      </c>
      <c r="E8">
        <v>523</v>
      </c>
      <c r="F8" t="str">
        <f t="shared" si="0"/>
        <v>OK</v>
      </c>
      <c r="G8" s="2">
        <v>46010</v>
      </c>
      <c r="H8" s="2">
        <v>46010</v>
      </c>
      <c r="I8">
        <f t="shared" si="1"/>
        <v>0</v>
      </c>
      <c r="J8" t="str">
        <f t="shared" si="2"/>
        <v>OK</v>
      </c>
      <c r="K8" s="2">
        <v>46041</v>
      </c>
      <c r="L8" s="2">
        <v>46041</v>
      </c>
      <c r="M8" t="str">
        <f t="shared" si="3"/>
        <v>OK</v>
      </c>
      <c r="N8" t="s">
        <v>255</v>
      </c>
      <c r="O8" t="s">
        <v>162</v>
      </c>
    </row>
    <row r="9" spans="1:15" x14ac:dyDescent="0.25">
      <c r="A9" t="s">
        <v>286</v>
      </c>
      <c r="B9" t="s">
        <v>219</v>
      </c>
      <c r="C9" t="s">
        <v>16</v>
      </c>
      <c r="D9">
        <v>914</v>
      </c>
      <c r="E9">
        <v>914</v>
      </c>
      <c r="F9" t="str">
        <f t="shared" si="0"/>
        <v>OK</v>
      </c>
      <c r="G9" s="2">
        <v>46007</v>
      </c>
      <c r="H9" s="2">
        <v>46007</v>
      </c>
      <c r="I9">
        <f t="shared" si="1"/>
        <v>0</v>
      </c>
      <c r="J9" t="str">
        <f t="shared" si="2"/>
        <v>OK</v>
      </c>
      <c r="K9" s="2">
        <v>46042</v>
      </c>
      <c r="L9" s="2">
        <v>46042</v>
      </c>
      <c r="M9" t="str">
        <f t="shared" si="3"/>
        <v>OK</v>
      </c>
      <c r="N9" t="s">
        <v>256</v>
      </c>
      <c r="O9" t="s">
        <v>18</v>
      </c>
    </row>
    <row r="10" spans="1:15" x14ac:dyDescent="0.25">
      <c r="A10" t="s">
        <v>286</v>
      </c>
      <c r="B10" t="s">
        <v>220</v>
      </c>
      <c r="C10" t="s">
        <v>17</v>
      </c>
      <c r="D10">
        <v>2824</v>
      </c>
      <c r="E10">
        <v>2824</v>
      </c>
      <c r="F10" t="str">
        <f t="shared" si="0"/>
        <v>OK</v>
      </c>
      <c r="G10" s="2">
        <v>45953</v>
      </c>
      <c r="H10" s="2">
        <v>45953</v>
      </c>
      <c r="I10">
        <f t="shared" si="1"/>
        <v>0</v>
      </c>
      <c r="J10" t="str">
        <f t="shared" si="2"/>
        <v>OK</v>
      </c>
      <c r="K10" s="2">
        <v>46039</v>
      </c>
      <c r="L10" s="2">
        <v>46039</v>
      </c>
      <c r="M10" t="str">
        <f t="shared" si="3"/>
        <v>OK</v>
      </c>
      <c r="N10" t="s">
        <v>257</v>
      </c>
      <c r="O10" t="s">
        <v>18</v>
      </c>
    </row>
    <row r="11" spans="1:15" x14ac:dyDescent="0.25">
      <c r="A11" t="s">
        <v>286</v>
      </c>
      <c r="B11" s="5" t="s">
        <v>221</v>
      </c>
      <c r="C11" t="s">
        <v>16</v>
      </c>
      <c r="D11">
        <v>816</v>
      </c>
      <c r="E11">
        <v>816</v>
      </c>
      <c r="F11" t="str">
        <f t="shared" si="0"/>
        <v>OK</v>
      </c>
      <c r="G11" s="2">
        <v>46007</v>
      </c>
      <c r="H11" s="2">
        <v>46007</v>
      </c>
      <c r="I11">
        <f t="shared" si="1"/>
        <v>0</v>
      </c>
      <c r="J11" t="str">
        <f t="shared" si="2"/>
        <v>OK</v>
      </c>
      <c r="K11" s="2">
        <v>46039</v>
      </c>
      <c r="L11" s="2">
        <v>46039</v>
      </c>
      <c r="M11" t="str">
        <f t="shared" si="3"/>
        <v>OK</v>
      </c>
      <c r="N11" t="s">
        <v>258</v>
      </c>
      <c r="O11" t="s">
        <v>18</v>
      </c>
    </row>
    <row r="12" spans="1:15" x14ac:dyDescent="0.25">
      <c r="A12" t="s">
        <v>286</v>
      </c>
      <c r="B12" t="s">
        <v>222</v>
      </c>
      <c r="C12" t="s">
        <v>17</v>
      </c>
      <c r="D12">
        <v>2440</v>
      </c>
      <c r="E12">
        <v>2440</v>
      </c>
      <c r="F12" t="str">
        <f t="shared" si="0"/>
        <v>OK</v>
      </c>
      <c r="G12" s="2">
        <v>45967</v>
      </c>
      <c r="H12" s="2">
        <v>45967</v>
      </c>
      <c r="I12">
        <f t="shared" si="1"/>
        <v>0</v>
      </c>
      <c r="J12" t="str">
        <f t="shared" si="2"/>
        <v>OK</v>
      </c>
      <c r="K12" s="2">
        <v>46039</v>
      </c>
      <c r="L12" s="2">
        <v>46039</v>
      </c>
      <c r="M12" t="str">
        <f t="shared" si="3"/>
        <v>OK</v>
      </c>
      <c r="N12" t="s">
        <v>259</v>
      </c>
      <c r="O12" t="s">
        <v>18</v>
      </c>
    </row>
    <row r="13" spans="1:15" x14ac:dyDescent="0.25">
      <c r="A13" t="s">
        <v>286</v>
      </c>
      <c r="B13" t="s">
        <v>223</v>
      </c>
      <c r="C13" t="s">
        <v>16</v>
      </c>
      <c r="D13">
        <v>674</v>
      </c>
      <c r="E13">
        <v>674</v>
      </c>
      <c r="F13" t="str">
        <f t="shared" si="0"/>
        <v>OK</v>
      </c>
      <c r="G13" s="2">
        <v>46007</v>
      </c>
      <c r="H13" s="2">
        <v>46007</v>
      </c>
      <c r="I13">
        <f t="shared" si="1"/>
        <v>0</v>
      </c>
      <c r="J13" t="str">
        <f t="shared" si="2"/>
        <v>OK</v>
      </c>
      <c r="K13" s="2">
        <v>46041</v>
      </c>
      <c r="L13" s="2">
        <v>46041</v>
      </c>
      <c r="M13" t="str">
        <f t="shared" si="3"/>
        <v>OK</v>
      </c>
      <c r="N13" t="s">
        <v>260</v>
      </c>
      <c r="O13" t="s">
        <v>18</v>
      </c>
    </row>
    <row r="14" spans="1:15" x14ac:dyDescent="0.25">
      <c r="A14" t="s">
        <v>286</v>
      </c>
      <c r="B14" t="s">
        <v>224</v>
      </c>
      <c r="C14" t="s">
        <v>17</v>
      </c>
      <c r="D14">
        <v>4072</v>
      </c>
      <c r="E14">
        <v>4072</v>
      </c>
      <c r="F14" t="str">
        <f t="shared" si="0"/>
        <v>OK</v>
      </c>
      <c r="G14" s="2">
        <v>45958</v>
      </c>
      <c r="H14" s="2">
        <v>45958</v>
      </c>
      <c r="I14">
        <f t="shared" si="1"/>
        <v>0</v>
      </c>
      <c r="J14" t="str">
        <f t="shared" si="2"/>
        <v>OK</v>
      </c>
      <c r="K14" s="2">
        <v>46041</v>
      </c>
      <c r="L14" s="2">
        <v>46041</v>
      </c>
      <c r="M14" t="str">
        <f t="shared" si="3"/>
        <v>OK</v>
      </c>
      <c r="N14" t="s">
        <v>261</v>
      </c>
      <c r="O14" t="s">
        <v>162</v>
      </c>
    </row>
    <row r="15" spans="1:15" x14ac:dyDescent="0.25">
      <c r="A15" t="s">
        <v>286</v>
      </c>
      <c r="B15" t="s">
        <v>225</v>
      </c>
      <c r="C15" t="s">
        <v>15</v>
      </c>
      <c r="D15">
        <v>1149</v>
      </c>
      <c r="E15">
        <v>1149</v>
      </c>
      <c r="F15" t="str">
        <f t="shared" si="0"/>
        <v>OK</v>
      </c>
      <c r="G15" s="2">
        <v>45864</v>
      </c>
      <c r="H15" s="2">
        <v>45864</v>
      </c>
      <c r="I15">
        <f t="shared" si="1"/>
        <v>0</v>
      </c>
      <c r="J15" t="str">
        <f t="shared" si="2"/>
        <v>OK</v>
      </c>
      <c r="K15" s="2">
        <v>46039</v>
      </c>
      <c r="L15" s="2">
        <v>46039</v>
      </c>
      <c r="M15" t="str">
        <f t="shared" si="3"/>
        <v>OK</v>
      </c>
      <c r="N15" t="s">
        <v>262</v>
      </c>
      <c r="O15" t="s">
        <v>18</v>
      </c>
    </row>
    <row r="16" spans="1:15" x14ac:dyDescent="0.25">
      <c r="A16" t="s">
        <v>286</v>
      </c>
      <c r="B16" t="s">
        <v>226</v>
      </c>
      <c r="C16" t="s">
        <v>17</v>
      </c>
      <c r="D16">
        <v>1681</v>
      </c>
      <c r="E16">
        <v>1681</v>
      </c>
      <c r="F16" t="str">
        <f t="shared" si="0"/>
        <v>OK</v>
      </c>
      <c r="G16" s="2">
        <v>45933</v>
      </c>
      <c r="H16" s="2">
        <v>45933</v>
      </c>
      <c r="I16">
        <f t="shared" si="1"/>
        <v>0</v>
      </c>
      <c r="J16" t="str">
        <f t="shared" si="2"/>
        <v>OK</v>
      </c>
      <c r="K16" s="2">
        <v>46039</v>
      </c>
      <c r="L16" s="2">
        <v>46039</v>
      </c>
      <c r="M16" t="str">
        <f t="shared" si="3"/>
        <v>OK</v>
      </c>
      <c r="N16" t="s">
        <v>263</v>
      </c>
      <c r="O16" t="s">
        <v>18</v>
      </c>
    </row>
    <row r="17" spans="1:15" x14ac:dyDescent="0.25">
      <c r="A17" t="s">
        <v>286</v>
      </c>
      <c r="B17" t="s">
        <v>227</v>
      </c>
      <c r="C17" t="s">
        <v>17</v>
      </c>
      <c r="D17">
        <v>1652</v>
      </c>
      <c r="E17">
        <v>1652</v>
      </c>
      <c r="F17" t="str">
        <f t="shared" si="0"/>
        <v>OK</v>
      </c>
      <c r="G17" s="2">
        <v>45958</v>
      </c>
      <c r="H17" s="2">
        <v>45958</v>
      </c>
      <c r="I17">
        <f t="shared" si="1"/>
        <v>0</v>
      </c>
      <c r="J17" t="str">
        <f t="shared" si="2"/>
        <v>OK</v>
      </c>
      <c r="K17" s="2">
        <v>46041</v>
      </c>
      <c r="L17" s="2">
        <v>46041</v>
      </c>
      <c r="M17" t="str">
        <f t="shared" si="3"/>
        <v>OK</v>
      </c>
      <c r="N17" t="s">
        <v>264</v>
      </c>
      <c r="O17" t="s">
        <v>162</v>
      </c>
    </row>
    <row r="18" spans="1:15" x14ac:dyDescent="0.25">
      <c r="A18" t="s">
        <v>286</v>
      </c>
      <c r="B18" s="5" t="s">
        <v>228</v>
      </c>
      <c r="C18" t="s">
        <v>16</v>
      </c>
      <c r="D18">
        <v>920</v>
      </c>
      <c r="E18">
        <v>920</v>
      </c>
      <c r="F18" t="str">
        <f t="shared" si="0"/>
        <v>OK</v>
      </c>
      <c r="G18" s="2">
        <v>46017</v>
      </c>
      <c r="H18" s="2">
        <v>46017</v>
      </c>
      <c r="I18">
        <f t="shared" si="1"/>
        <v>0</v>
      </c>
      <c r="J18" t="str">
        <f t="shared" si="2"/>
        <v>OK</v>
      </c>
      <c r="K18" s="2">
        <v>46041</v>
      </c>
      <c r="L18" s="2">
        <v>46041</v>
      </c>
      <c r="M18" t="str">
        <f t="shared" si="3"/>
        <v>OK</v>
      </c>
      <c r="N18" t="s">
        <v>265</v>
      </c>
      <c r="O18" t="s">
        <v>18</v>
      </c>
    </row>
    <row r="19" spans="1:15" x14ac:dyDescent="0.25">
      <c r="A19" t="s">
        <v>286</v>
      </c>
      <c r="B19" t="s">
        <v>229</v>
      </c>
      <c r="C19" t="s">
        <v>16</v>
      </c>
      <c r="D19">
        <v>624</v>
      </c>
      <c r="E19">
        <v>624</v>
      </c>
      <c r="F19" t="str">
        <f t="shared" si="0"/>
        <v>OK</v>
      </c>
      <c r="G19" s="2">
        <v>45992</v>
      </c>
      <c r="H19" s="2">
        <v>45991</v>
      </c>
      <c r="I19">
        <f t="shared" si="1"/>
        <v>-1</v>
      </c>
      <c r="J19" t="str">
        <f t="shared" si="2"/>
        <v>Not</v>
      </c>
      <c r="K19" s="2">
        <v>46039</v>
      </c>
      <c r="L19" s="2">
        <v>46039</v>
      </c>
      <c r="M19" t="str">
        <f t="shared" si="3"/>
        <v>OK</v>
      </c>
      <c r="N19" t="s">
        <v>266</v>
      </c>
      <c r="O19" t="s">
        <v>18</v>
      </c>
    </row>
    <row r="20" spans="1:15" x14ac:dyDescent="0.25">
      <c r="A20" t="s">
        <v>286</v>
      </c>
      <c r="B20" t="s">
        <v>230</v>
      </c>
      <c r="C20" t="s">
        <v>15</v>
      </c>
      <c r="D20">
        <v>1745</v>
      </c>
      <c r="E20">
        <v>1745</v>
      </c>
      <c r="F20" t="str">
        <f t="shared" si="0"/>
        <v>OK</v>
      </c>
      <c r="G20" s="2">
        <v>45926</v>
      </c>
      <c r="H20" s="2">
        <v>45925</v>
      </c>
      <c r="I20">
        <f t="shared" si="1"/>
        <v>-1</v>
      </c>
      <c r="J20" t="str">
        <f t="shared" si="2"/>
        <v>Not</v>
      </c>
      <c r="K20" s="2">
        <v>46039</v>
      </c>
      <c r="L20" s="2">
        <v>46039</v>
      </c>
      <c r="M20" t="str">
        <f t="shared" si="3"/>
        <v>OK</v>
      </c>
      <c r="N20" t="s">
        <v>267</v>
      </c>
      <c r="O20" t="s">
        <v>18</v>
      </c>
    </row>
    <row r="21" spans="1:15" x14ac:dyDescent="0.25">
      <c r="A21" t="s">
        <v>286</v>
      </c>
      <c r="B21" t="s">
        <v>231</v>
      </c>
      <c r="C21" t="s">
        <v>50</v>
      </c>
      <c r="D21">
        <v>1106</v>
      </c>
      <c r="E21">
        <v>1106</v>
      </c>
      <c r="F21" t="str">
        <f t="shared" si="0"/>
        <v>OK</v>
      </c>
      <c r="G21" s="2">
        <v>45922</v>
      </c>
      <c r="H21" s="2">
        <v>45921</v>
      </c>
      <c r="I21">
        <f t="shared" si="1"/>
        <v>-1</v>
      </c>
      <c r="J21" t="str">
        <f t="shared" si="2"/>
        <v>Not</v>
      </c>
      <c r="K21" s="2">
        <v>46041</v>
      </c>
      <c r="L21" s="2">
        <v>46041</v>
      </c>
      <c r="M21" t="str">
        <f t="shared" si="3"/>
        <v>OK</v>
      </c>
      <c r="N21" t="s">
        <v>268</v>
      </c>
      <c r="O21" t="s">
        <v>18</v>
      </c>
    </row>
    <row r="22" spans="1:15" x14ac:dyDescent="0.25">
      <c r="A22" t="s">
        <v>286</v>
      </c>
      <c r="B22" t="s">
        <v>232</v>
      </c>
      <c r="C22" t="s">
        <v>17</v>
      </c>
      <c r="D22">
        <v>1934</v>
      </c>
      <c r="E22">
        <v>1934</v>
      </c>
      <c r="F22" t="str">
        <f t="shared" si="0"/>
        <v>OK</v>
      </c>
      <c r="G22" s="2">
        <v>45974</v>
      </c>
      <c r="H22" s="2">
        <v>45973</v>
      </c>
      <c r="I22">
        <f t="shared" si="1"/>
        <v>-1</v>
      </c>
      <c r="J22" t="str">
        <f t="shared" si="2"/>
        <v>Not</v>
      </c>
      <c r="K22" s="2">
        <v>46039</v>
      </c>
      <c r="L22" s="2">
        <v>46039</v>
      </c>
      <c r="M22" t="str">
        <f t="shared" si="3"/>
        <v>OK</v>
      </c>
      <c r="N22" t="s">
        <v>269</v>
      </c>
      <c r="O22" t="s">
        <v>18</v>
      </c>
    </row>
    <row r="23" spans="1:15" x14ac:dyDescent="0.25">
      <c r="A23" t="s">
        <v>286</v>
      </c>
      <c r="B23" t="s">
        <v>233</v>
      </c>
      <c r="C23" t="s">
        <v>17</v>
      </c>
      <c r="D23">
        <v>1526</v>
      </c>
      <c r="E23">
        <v>1526</v>
      </c>
      <c r="F23" t="str">
        <f t="shared" si="0"/>
        <v>OK</v>
      </c>
      <c r="G23" s="2">
        <v>46000</v>
      </c>
      <c r="H23" s="2">
        <v>46000</v>
      </c>
      <c r="I23">
        <f t="shared" si="1"/>
        <v>0</v>
      </c>
      <c r="J23" t="str">
        <f t="shared" si="2"/>
        <v>OK</v>
      </c>
      <c r="K23" s="2">
        <v>46041</v>
      </c>
      <c r="L23" s="2">
        <v>46041</v>
      </c>
      <c r="M23" t="str">
        <f t="shared" si="3"/>
        <v>OK</v>
      </c>
      <c r="N23" t="s">
        <v>270</v>
      </c>
      <c r="O23" t="s">
        <v>18</v>
      </c>
    </row>
    <row r="24" spans="1:15" x14ac:dyDescent="0.25">
      <c r="A24" t="s">
        <v>286</v>
      </c>
      <c r="B24" t="s">
        <v>234</v>
      </c>
      <c r="C24" t="s">
        <v>16</v>
      </c>
      <c r="D24">
        <v>453</v>
      </c>
      <c r="E24">
        <v>453</v>
      </c>
      <c r="F24" t="str">
        <f t="shared" si="0"/>
        <v>OK</v>
      </c>
      <c r="G24" s="2">
        <v>46010</v>
      </c>
      <c r="H24" s="2">
        <v>46010</v>
      </c>
      <c r="I24">
        <f t="shared" si="1"/>
        <v>0</v>
      </c>
      <c r="J24" t="str">
        <f t="shared" si="2"/>
        <v>OK</v>
      </c>
      <c r="K24" s="2">
        <v>46041</v>
      </c>
      <c r="L24" s="2">
        <v>46041</v>
      </c>
      <c r="M24" t="str">
        <f t="shared" si="3"/>
        <v>OK</v>
      </c>
      <c r="N24" t="s">
        <v>271</v>
      </c>
      <c r="O24" t="s">
        <v>18</v>
      </c>
    </row>
    <row r="25" spans="1:15" x14ac:dyDescent="0.25">
      <c r="A25" t="s">
        <v>286</v>
      </c>
      <c r="B25" t="s">
        <v>235</v>
      </c>
      <c r="C25" t="s">
        <v>17</v>
      </c>
      <c r="D25">
        <v>1136</v>
      </c>
      <c r="E25">
        <v>1136</v>
      </c>
      <c r="F25" t="str">
        <f t="shared" si="0"/>
        <v>OK</v>
      </c>
      <c r="G25" s="2">
        <v>45968</v>
      </c>
      <c r="H25" s="2">
        <v>45967</v>
      </c>
      <c r="I25">
        <f t="shared" si="1"/>
        <v>-1</v>
      </c>
      <c r="J25" t="str">
        <f t="shared" si="2"/>
        <v>Not</v>
      </c>
      <c r="K25" s="2">
        <v>46039</v>
      </c>
      <c r="L25" s="2">
        <v>46039</v>
      </c>
      <c r="M25" t="str">
        <f t="shared" si="3"/>
        <v>OK</v>
      </c>
      <c r="N25" t="s">
        <v>272</v>
      </c>
      <c r="O25" t="s">
        <v>18</v>
      </c>
    </row>
    <row r="26" spans="1:15" x14ac:dyDescent="0.25">
      <c r="A26" t="s">
        <v>286</v>
      </c>
      <c r="B26" t="s">
        <v>236</v>
      </c>
      <c r="C26" t="s">
        <v>17</v>
      </c>
      <c r="D26">
        <v>1379</v>
      </c>
      <c r="E26">
        <v>1379</v>
      </c>
      <c r="F26" t="str">
        <f t="shared" si="0"/>
        <v>OK</v>
      </c>
      <c r="G26" s="2">
        <v>45975</v>
      </c>
      <c r="H26" s="2">
        <v>45974</v>
      </c>
      <c r="I26">
        <f t="shared" si="1"/>
        <v>-1</v>
      </c>
      <c r="J26" t="str">
        <f t="shared" si="2"/>
        <v>Not</v>
      </c>
      <c r="K26" s="2">
        <v>46041</v>
      </c>
      <c r="L26" s="2">
        <v>46041</v>
      </c>
      <c r="M26" t="str">
        <f t="shared" si="3"/>
        <v>OK</v>
      </c>
      <c r="N26" t="s">
        <v>273</v>
      </c>
      <c r="O26" t="s">
        <v>18</v>
      </c>
    </row>
    <row r="27" spans="1:15" x14ac:dyDescent="0.25">
      <c r="A27" t="s">
        <v>286</v>
      </c>
      <c r="B27" t="s">
        <v>237</v>
      </c>
      <c r="C27" t="s">
        <v>16</v>
      </c>
      <c r="D27">
        <v>489</v>
      </c>
      <c r="E27">
        <v>489</v>
      </c>
      <c r="F27" t="str">
        <f t="shared" si="0"/>
        <v>OK</v>
      </c>
      <c r="G27" s="2">
        <v>46029</v>
      </c>
      <c r="H27" s="2">
        <v>46029</v>
      </c>
      <c r="I27">
        <f t="shared" si="1"/>
        <v>0</v>
      </c>
      <c r="J27" t="str">
        <f t="shared" si="2"/>
        <v>OK</v>
      </c>
      <c r="K27" s="2">
        <v>46039</v>
      </c>
      <c r="L27" s="2">
        <v>46039</v>
      </c>
      <c r="M27" t="str">
        <f t="shared" si="3"/>
        <v>OK</v>
      </c>
      <c r="N27" t="s">
        <v>274</v>
      </c>
      <c r="O27" t="s">
        <v>18</v>
      </c>
    </row>
    <row r="28" spans="1:15" x14ac:dyDescent="0.25">
      <c r="A28" t="s">
        <v>286</v>
      </c>
      <c r="B28" t="s">
        <v>238</v>
      </c>
      <c r="C28" t="s">
        <v>16</v>
      </c>
      <c r="D28">
        <v>584</v>
      </c>
      <c r="E28">
        <v>584</v>
      </c>
      <c r="F28" t="str">
        <f t="shared" si="0"/>
        <v>OK</v>
      </c>
      <c r="G28" s="2">
        <v>46023</v>
      </c>
      <c r="H28" s="2">
        <v>46023</v>
      </c>
      <c r="I28">
        <f t="shared" si="1"/>
        <v>0</v>
      </c>
      <c r="J28" t="str">
        <f t="shared" si="2"/>
        <v>OK</v>
      </c>
      <c r="K28" s="2">
        <v>46041</v>
      </c>
      <c r="L28" s="2">
        <v>46041</v>
      </c>
      <c r="M28" t="str">
        <f t="shared" si="3"/>
        <v>OK</v>
      </c>
      <c r="N28" t="s">
        <v>275</v>
      </c>
      <c r="O28" t="s">
        <v>18</v>
      </c>
    </row>
    <row r="29" spans="1:15" x14ac:dyDescent="0.25">
      <c r="A29" t="s">
        <v>286</v>
      </c>
      <c r="B29" t="s">
        <v>239</v>
      </c>
      <c r="C29" t="s">
        <v>16</v>
      </c>
      <c r="D29">
        <v>418</v>
      </c>
      <c r="E29">
        <v>418</v>
      </c>
      <c r="F29" t="str">
        <f t="shared" si="0"/>
        <v>OK</v>
      </c>
      <c r="G29" s="2">
        <v>46015</v>
      </c>
      <c r="H29" s="2">
        <v>46015</v>
      </c>
      <c r="I29">
        <f t="shared" si="1"/>
        <v>0</v>
      </c>
      <c r="J29" t="str">
        <f t="shared" si="2"/>
        <v>OK</v>
      </c>
      <c r="K29" s="2">
        <v>46039</v>
      </c>
      <c r="L29" s="2">
        <v>46039</v>
      </c>
      <c r="M29" t="str">
        <f t="shared" si="3"/>
        <v>OK</v>
      </c>
      <c r="N29" t="s">
        <v>276</v>
      </c>
      <c r="O29" t="s">
        <v>162</v>
      </c>
    </row>
    <row r="30" spans="1:15" x14ac:dyDescent="0.25">
      <c r="A30" t="s">
        <v>286</v>
      </c>
      <c r="B30" t="s">
        <v>240</v>
      </c>
      <c r="C30" t="s">
        <v>15</v>
      </c>
      <c r="D30">
        <v>4924</v>
      </c>
      <c r="E30">
        <v>4924</v>
      </c>
      <c r="F30" t="str">
        <f t="shared" si="0"/>
        <v>OK</v>
      </c>
      <c r="G30" s="2">
        <v>45827</v>
      </c>
      <c r="H30" s="2">
        <v>45828</v>
      </c>
      <c r="I30">
        <f t="shared" si="1"/>
        <v>1</v>
      </c>
      <c r="J30" t="str">
        <f t="shared" si="2"/>
        <v>Not</v>
      </c>
      <c r="K30" s="2">
        <v>46039</v>
      </c>
      <c r="L30" s="2">
        <v>46039</v>
      </c>
      <c r="M30" t="str">
        <f t="shared" si="3"/>
        <v>OK</v>
      </c>
      <c r="N30" t="s">
        <v>277</v>
      </c>
      <c r="O30" t="s">
        <v>18</v>
      </c>
    </row>
    <row r="31" spans="1:15" x14ac:dyDescent="0.25">
      <c r="A31" t="s">
        <v>286</v>
      </c>
      <c r="B31" t="s">
        <v>241</v>
      </c>
      <c r="C31" t="s">
        <v>15</v>
      </c>
      <c r="D31">
        <v>2579</v>
      </c>
      <c r="E31">
        <v>2579</v>
      </c>
      <c r="F31" t="str">
        <f t="shared" si="0"/>
        <v>OK</v>
      </c>
      <c r="G31" s="2">
        <v>45948</v>
      </c>
      <c r="H31" s="2">
        <v>45948</v>
      </c>
      <c r="I31">
        <f t="shared" si="1"/>
        <v>0</v>
      </c>
      <c r="J31" t="str">
        <f t="shared" si="2"/>
        <v>OK</v>
      </c>
      <c r="K31" s="2">
        <v>46041</v>
      </c>
      <c r="L31" s="2">
        <v>46041</v>
      </c>
      <c r="M31" t="str">
        <f t="shared" si="3"/>
        <v>OK</v>
      </c>
      <c r="N31" t="s">
        <v>278</v>
      </c>
      <c r="O31" t="s">
        <v>18</v>
      </c>
    </row>
    <row r="32" spans="1:15" x14ac:dyDescent="0.25">
      <c r="A32" t="s">
        <v>286</v>
      </c>
      <c r="B32" t="s">
        <v>242</v>
      </c>
      <c r="C32" t="s">
        <v>17</v>
      </c>
      <c r="D32">
        <v>3171</v>
      </c>
      <c r="E32">
        <v>3171</v>
      </c>
      <c r="F32" t="str">
        <f t="shared" si="0"/>
        <v>OK</v>
      </c>
      <c r="G32" s="2">
        <v>45972</v>
      </c>
      <c r="H32" s="2">
        <v>45972</v>
      </c>
      <c r="I32">
        <f t="shared" si="1"/>
        <v>0</v>
      </c>
      <c r="J32" t="str">
        <f t="shared" si="2"/>
        <v>OK</v>
      </c>
      <c r="K32" s="2">
        <v>46041</v>
      </c>
      <c r="L32" s="2">
        <v>46041</v>
      </c>
      <c r="M32" t="str">
        <f t="shared" si="3"/>
        <v>OK</v>
      </c>
      <c r="N32" t="s">
        <v>279</v>
      </c>
      <c r="O32" t="s">
        <v>18</v>
      </c>
    </row>
    <row r="33" spans="1:15" x14ac:dyDescent="0.25">
      <c r="A33" t="s">
        <v>286</v>
      </c>
      <c r="B33" t="s">
        <v>243</v>
      </c>
      <c r="C33" t="s">
        <v>15</v>
      </c>
      <c r="D33">
        <v>4482</v>
      </c>
      <c r="E33">
        <v>4482</v>
      </c>
      <c r="F33" t="str">
        <f t="shared" si="0"/>
        <v>OK</v>
      </c>
      <c r="G33" s="2">
        <v>45975</v>
      </c>
      <c r="H33" s="2">
        <v>45975</v>
      </c>
      <c r="I33">
        <f t="shared" si="1"/>
        <v>0</v>
      </c>
      <c r="J33" t="str">
        <f t="shared" si="2"/>
        <v>OK</v>
      </c>
      <c r="K33" s="2">
        <v>46042</v>
      </c>
      <c r="L33" s="2">
        <v>46042</v>
      </c>
      <c r="M33" t="str">
        <f t="shared" si="3"/>
        <v>OK</v>
      </c>
      <c r="N33" t="s">
        <v>280</v>
      </c>
      <c r="O33" t="s">
        <v>162</v>
      </c>
    </row>
    <row r="34" spans="1:15" x14ac:dyDescent="0.25">
      <c r="A34" t="s">
        <v>286</v>
      </c>
      <c r="B34" t="s">
        <v>244</v>
      </c>
      <c r="C34" t="s">
        <v>16</v>
      </c>
      <c r="D34">
        <v>1017</v>
      </c>
      <c r="E34">
        <v>1017</v>
      </c>
      <c r="F34" t="str">
        <f t="shared" si="0"/>
        <v>OK</v>
      </c>
      <c r="G34" s="2">
        <v>46032</v>
      </c>
      <c r="H34" s="2">
        <v>46032</v>
      </c>
      <c r="I34">
        <f t="shared" si="1"/>
        <v>0</v>
      </c>
      <c r="J34" t="str">
        <f t="shared" si="2"/>
        <v>OK</v>
      </c>
      <c r="K34" s="2">
        <v>46041</v>
      </c>
      <c r="L34" s="2">
        <v>46041</v>
      </c>
      <c r="M34" t="str">
        <f t="shared" si="3"/>
        <v>OK</v>
      </c>
      <c r="N34" t="s">
        <v>281</v>
      </c>
      <c r="O34" t="s">
        <v>18</v>
      </c>
    </row>
    <row r="35" spans="1:15" x14ac:dyDescent="0.25">
      <c r="A35" t="s">
        <v>286</v>
      </c>
      <c r="B35" t="s">
        <v>245</v>
      </c>
      <c r="C35" t="s">
        <v>16</v>
      </c>
      <c r="D35">
        <v>463</v>
      </c>
      <c r="E35">
        <v>463</v>
      </c>
      <c r="F35" t="str">
        <f t="shared" si="0"/>
        <v>OK</v>
      </c>
      <c r="G35" s="2">
        <v>46018</v>
      </c>
      <c r="H35" s="2">
        <v>46018</v>
      </c>
      <c r="I35">
        <f t="shared" si="1"/>
        <v>0</v>
      </c>
      <c r="J35" t="str">
        <f t="shared" si="2"/>
        <v>OK</v>
      </c>
      <c r="K35" s="2">
        <v>46042</v>
      </c>
      <c r="L35" s="2">
        <v>46042</v>
      </c>
      <c r="M35" t="str">
        <f t="shared" si="3"/>
        <v>OK</v>
      </c>
      <c r="N35" t="s">
        <v>282</v>
      </c>
      <c r="O35" t="s">
        <v>18</v>
      </c>
    </row>
    <row r="36" spans="1:15" x14ac:dyDescent="0.25">
      <c r="A36" t="s">
        <v>286</v>
      </c>
      <c r="B36" t="s">
        <v>246</v>
      </c>
      <c r="C36" t="s">
        <v>16</v>
      </c>
      <c r="D36">
        <v>279</v>
      </c>
      <c r="E36">
        <v>279</v>
      </c>
      <c r="F36" t="str">
        <f t="shared" si="0"/>
        <v>OK</v>
      </c>
      <c r="G36" s="2">
        <v>46023</v>
      </c>
      <c r="H36" s="2">
        <v>46022</v>
      </c>
      <c r="I36">
        <f t="shared" si="1"/>
        <v>-1</v>
      </c>
      <c r="J36" t="str">
        <f t="shared" si="2"/>
        <v>Not</v>
      </c>
      <c r="K36" s="2">
        <v>46039</v>
      </c>
      <c r="L36" s="2">
        <v>46039</v>
      </c>
      <c r="M36" t="str">
        <f t="shared" si="3"/>
        <v>OK</v>
      </c>
      <c r="N36" t="s">
        <v>283</v>
      </c>
      <c r="O36" t="s">
        <v>18</v>
      </c>
    </row>
    <row r="37" spans="1:15" x14ac:dyDescent="0.25">
      <c r="A37" t="s">
        <v>286</v>
      </c>
      <c r="B37" t="s">
        <v>247</v>
      </c>
      <c r="C37" t="s">
        <v>17</v>
      </c>
      <c r="D37">
        <v>1334</v>
      </c>
      <c r="E37">
        <v>1334</v>
      </c>
      <c r="F37" t="str">
        <f t="shared" si="0"/>
        <v>OK</v>
      </c>
      <c r="G37" s="2">
        <v>45968</v>
      </c>
      <c r="H37" s="2">
        <v>45967</v>
      </c>
      <c r="I37">
        <f t="shared" si="1"/>
        <v>-1</v>
      </c>
      <c r="J37" t="str">
        <f t="shared" si="2"/>
        <v>Not</v>
      </c>
      <c r="K37" s="2">
        <v>46039</v>
      </c>
      <c r="L37" s="2">
        <v>46039</v>
      </c>
      <c r="M37" t="str">
        <f t="shared" si="3"/>
        <v>OK</v>
      </c>
      <c r="N37" t="s">
        <v>284</v>
      </c>
      <c r="O37" t="s">
        <v>18</v>
      </c>
    </row>
    <row r="38" spans="1:15" x14ac:dyDescent="0.25">
      <c r="A38" t="s">
        <v>286</v>
      </c>
      <c r="B38" t="s">
        <v>248</v>
      </c>
      <c r="C38" t="s">
        <v>17</v>
      </c>
      <c r="D38">
        <v>1017</v>
      </c>
      <c r="E38">
        <v>1017</v>
      </c>
      <c r="F38" t="str">
        <f t="shared" si="0"/>
        <v>OK</v>
      </c>
      <c r="G38" s="2">
        <v>45939</v>
      </c>
      <c r="H38" s="2">
        <v>45939</v>
      </c>
      <c r="I38">
        <f t="shared" si="1"/>
        <v>0</v>
      </c>
      <c r="J38" t="str">
        <f t="shared" si="2"/>
        <v>OK</v>
      </c>
      <c r="K38" s="2">
        <v>46041</v>
      </c>
      <c r="L38" s="2">
        <v>46041</v>
      </c>
      <c r="M38" t="str">
        <f t="shared" si="3"/>
        <v>OK</v>
      </c>
      <c r="N38" t="s">
        <v>285</v>
      </c>
      <c r="O38" t="s">
        <v>18</v>
      </c>
    </row>
  </sheetData>
  <autoFilter ref="A1:O38" xr:uid="{FE33F1D0-5523-415C-A08A-AF5068FEC151}">
    <sortState xmlns:xlrd2="http://schemas.microsoft.com/office/spreadsheetml/2017/richdata2" ref="A2:O38">
      <sortCondition ref="B1:B38"/>
    </sortState>
  </autoFilter>
  <phoneticPr fontId="3" type="noConversion"/>
  <conditionalFormatting sqref="B1:B1048576">
    <cfRule type="duplicateValues" dxfId="37" priority="1"/>
    <cfRule type="duplicateValues" dxfId="36" priority="3"/>
    <cfRule type="duplicateValues" dxfId="35" priority="9"/>
    <cfRule type="duplicateValues" dxfId="34" priority="10"/>
    <cfRule type="duplicateValues" dxfId="33" priority="12"/>
    <cfRule type="duplicateValues" dxfId="32" priority="13"/>
    <cfRule type="duplicateValues" dxfId="31" priority="16"/>
    <cfRule type="duplicateValues" dxfId="30" priority="19"/>
    <cfRule type="duplicateValues" dxfId="29" priority="20"/>
  </conditionalFormatting>
  <conditionalFormatting sqref="D1:D1048576">
    <cfRule type="duplicateValues" dxfId="28" priority="2"/>
    <cfRule type="duplicateValues" dxfId="27" priority="8"/>
    <cfRule type="duplicateValues" dxfId="26" priority="11"/>
    <cfRule type="duplicateValues" dxfId="25" priority="17"/>
    <cfRule type="duplicateValues" dxfId="24" priority="18"/>
  </conditionalFormatting>
  <conditionalFormatting sqref="F1:F1048576 M2:M38">
    <cfRule type="containsText" dxfId="23" priority="21" operator="containsText" text="Not">
      <formula>NOT(ISERROR(SEARCH("Not",F1)))</formula>
    </cfRule>
    <cfRule type="containsText" dxfId="22" priority="22" operator="containsText" text="OK">
      <formula>NOT(ISERROR(SEARCH("OK",F1)))</formula>
    </cfRule>
  </conditionalFormatting>
  <conditionalFormatting sqref="J1:J1048576">
    <cfRule type="containsText" dxfId="21" priority="14" operator="containsText" text="Not">
      <formula>NOT(ISERROR(SEARCH("Not",J1)))</formula>
    </cfRule>
  </conditionalFormatting>
  <conditionalFormatting sqref="J2:J38">
    <cfRule type="containsText" dxfId="20" priority="15" operator="containsText" text="OK">
      <formula>NOT(ISERROR(SEARCH("OK",J2)))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A00-3260-4BB1-9A7B-4D9011996242}">
  <dimension ref="A1:O36"/>
  <sheetViews>
    <sheetView tabSelected="1" topLeftCell="D1" workbookViewId="0">
      <pane ySplit="1" topLeftCell="A26" activePane="bottomLeft" state="frozen"/>
      <selection pane="bottomLeft" activeCell="N1" sqref="N1:N1048576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7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6" t="s">
        <v>3</v>
      </c>
      <c r="H1" s="1" t="s">
        <v>8</v>
      </c>
      <c r="I1" s="4" t="s">
        <v>14</v>
      </c>
      <c r="J1" s="1" t="s">
        <v>9</v>
      </c>
      <c r="K1" s="6" t="s">
        <v>4</v>
      </c>
      <c r="L1" s="1" t="s">
        <v>10</v>
      </c>
      <c r="M1" s="1" t="s">
        <v>11</v>
      </c>
      <c r="N1" s="1" t="s">
        <v>5</v>
      </c>
      <c r="O1" s="1" t="s">
        <v>6</v>
      </c>
    </row>
    <row r="2" spans="1:15" x14ac:dyDescent="0.25">
      <c r="A2" t="s">
        <v>357</v>
      </c>
      <c r="B2" t="s">
        <v>287</v>
      </c>
      <c r="C2" t="s">
        <v>16</v>
      </c>
      <c r="D2">
        <v>985</v>
      </c>
      <c r="E2">
        <v>985</v>
      </c>
      <c r="F2" t="str">
        <f t="shared" ref="F2:F36" si="0">IF(D2=E2,"OK","Not")</f>
        <v>OK</v>
      </c>
      <c r="G2" s="2">
        <v>46011</v>
      </c>
      <c r="H2" s="2">
        <v>46011</v>
      </c>
      <c r="I2">
        <f t="shared" ref="I2:I36" si="1">H2-G2</f>
        <v>0</v>
      </c>
      <c r="J2" t="str">
        <f t="shared" ref="J2:J36" si="2">IF(G2=H2,"OK","Not")</f>
        <v>OK</v>
      </c>
      <c r="K2" s="2">
        <v>46046</v>
      </c>
      <c r="L2" s="2">
        <v>46046</v>
      </c>
      <c r="M2" t="str">
        <f t="shared" ref="M2:M36" si="3">IF(K2=L2,"OK","Not")</f>
        <v>OK</v>
      </c>
      <c r="N2" t="s">
        <v>322</v>
      </c>
      <c r="O2" t="s">
        <v>18</v>
      </c>
    </row>
    <row r="3" spans="1:15" x14ac:dyDescent="0.25">
      <c r="A3" t="s">
        <v>357</v>
      </c>
      <c r="B3" t="s">
        <v>288</v>
      </c>
      <c r="C3" t="s">
        <v>17</v>
      </c>
      <c r="D3">
        <v>504</v>
      </c>
      <c r="E3">
        <v>504</v>
      </c>
      <c r="F3" t="str">
        <f t="shared" si="0"/>
        <v>OK</v>
      </c>
      <c r="G3" s="2">
        <v>45989</v>
      </c>
      <c r="H3" s="2">
        <v>45988</v>
      </c>
      <c r="I3">
        <f t="shared" si="1"/>
        <v>-1</v>
      </c>
      <c r="J3" t="str">
        <f t="shared" si="2"/>
        <v>Not</v>
      </c>
      <c r="K3" s="2">
        <v>46046</v>
      </c>
      <c r="L3" s="2">
        <v>46046</v>
      </c>
      <c r="M3" t="str">
        <f t="shared" si="3"/>
        <v>OK</v>
      </c>
      <c r="N3" t="s">
        <v>323</v>
      </c>
      <c r="O3" t="s">
        <v>18</v>
      </c>
    </row>
    <row r="4" spans="1:15" x14ac:dyDescent="0.25">
      <c r="A4" t="s">
        <v>357</v>
      </c>
      <c r="B4" t="s">
        <v>289</v>
      </c>
      <c r="C4" t="s">
        <v>16</v>
      </c>
      <c r="D4">
        <v>845</v>
      </c>
      <c r="E4">
        <v>845</v>
      </c>
      <c r="F4" t="str">
        <f t="shared" si="0"/>
        <v>OK</v>
      </c>
      <c r="G4" s="2">
        <v>46015</v>
      </c>
      <c r="H4" s="2">
        <v>46014</v>
      </c>
      <c r="I4">
        <f t="shared" si="1"/>
        <v>-1</v>
      </c>
      <c r="J4" t="str">
        <f t="shared" si="2"/>
        <v>Not</v>
      </c>
      <c r="K4" s="2">
        <v>46044</v>
      </c>
      <c r="L4" s="2">
        <v>46044</v>
      </c>
      <c r="M4" t="str">
        <f t="shared" si="3"/>
        <v>OK</v>
      </c>
      <c r="N4" t="s">
        <v>324</v>
      </c>
      <c r="O4" t="s">
        <v>18</v>
      </c>
    </row>
    <row r="5" spans="1:15" x14ac:dyDescent="0.25">
      <c r="A5" t="s">
        <v>357</v>
      </c>
      <c r="B5" t="s">
        <v>290</v>
      </c>
      <c r="C5" t="s">
        <v>50</v>
      </c>
      <c r="D5">
        <v>1574</v>
      </c>
      <c r="E5">
        <v>1574</v>
      </c>
      <c r="F5" t="str">
        <f t="shared" si="0"/>
        <v>OK</v>
      </c>
      <c r="G5" s="2">
        <v>45859</v>
      </c>
      <c r="H5" s="2">
        <v>45859</v>
      </c>
      <c r="I5">
        <f t="shared" si="1"/>
        <v>0</v>
      </c>
      <c r="J5" t="str">
        <f t="shared" si="2"/>
        <v>OK</v>
      </c>
      <c r="K5" s="2">
        <v>46043</v>
      </c>
      <c r="L5" s="2">
        <v>46043</v>
      </c>
      <c r="M5" t="str">
        <f t="shared" si="3"/>
        <v>OK</v>
      </c>
      <c r="N5" t="s">
        <v>325</v>
      </c>
      <c r="O5" t="s">
        <v>18</v>
      </c>
    </row>
    <row r="6" spans="1:15" x14ac:dyDescent="0.25">
      <c r="A6" t="s">
        <v>357</v>
      </c>
      <c r="B6" t="s">
        <v>291</v>
      </c>
      <c r="C6" t="s">
        <v>17</v>
      </c>
      <c r="D6">
        <v>945</v>
      </c>
      <c r="E6">
        <v>945</v>
      </c>
      <c r="F6" t="str">
        <f t="shared" si="0"/>
        <v>OK</v>
      </c>
      <c r="G6" s="2">
        <v>45980</v>
      </c>
      <c r="H6" s="2">
        <v>45980</v>
      </c>
      <c r="I6">
        <f t="shared" si="1"/>
        <v>0</v>
      </c>
      <c r="J6" t="str">
        <f t="shared" si="2"/>
        <v>OK</v>
      </c>
      <c r="K6" s="2">
        <v>46044</v>
      </c>
      <c r="L6" s="2">
        <v>46044</v>
      </c>
      <c r="M6" t="str">
        <f t="shared" si="3"/>
        <v>OK</v>
      </c>
      <c r="N6" t="s">
        <v>326</v>
      </c>
      <c r="O6" t="s">
        <v>18</v>
      </c>
    </row>
    <row r="7" spans="1:15" x14ac:dyDescent="0.25">
      <c r="A7" t="s">
        <v>357</v>
      </c>
      <c r="B7" t="s">
        <v>292</v>
      </c>
      <c r="C7" t="s">
        <v>17</v>
      </c>
      <c r="D7">
        <v>1666</v>
      </c>
      <c r="E7">
        <v>1666</v>
      </c>
      <c r="F7" t="str">
        <f t="shared" si="0"/>
        <v>OK</v>
      </c>
      <c r="G7" s="2">
        <v>45987</v>
      </c>
      <c r="H7" s="2">
        <v>45987</v>
      </c>
      <c r="I7">
        <f t="shared" si="1"/>
        <v>0</v>
      </c>
      <c r="J7" t="str">
        <f t="shared" si="2"/>
        <v>OK</v>
      </c>
      <c r="K7" s="2">
        <v>46044</v>
      </c>
      <c r="L7" s="2">
        <v>46044</v>
      </c>
      <c r="M7" t="str">
        <f t="shared" si="3"/>
        <v>OK</v>
      </c>
      <c r="N7" t="s">
        <v>327</v>
      </c>
      <c r="O7" t="s">
        <v>18</v>
      </c>
    </row>
    <row r="8" spans="1:15" x14ac:dyDescent="0.25">
      <c r="A8" t="s">
        <v>357</v>
      </c>
      <c r="B8" t="s">
        <v>293</v>
      </c>
      <c r="C8" t="s">
        <v>16</v>
      </c>
      <c r="D8">
        <v>531</v>
      </c>
      <c r="E8">
        <v>531</v>
      </c>
      <c r="F8" t="str">
        <f t="shared" si="0"/>
        <v>OK</v>
      </c>
      <c r="G8" s="2">
        <v>46015</v>
      </c>
      <c r="H8" s="2">
        <v>46015</v>
      </c>
      <c r="I8">
        <f t="shared" si="1"/>
        <v>0</v>
      </c>
      <c r="J8" t="str">
        <f t="shared" si="2"/>
        <v>OK</v>
      </c>
      <c r="K8" s="2">
        <v>46043</v>
      </c>
      <c r="L8" s="2">
        <v>46043</v>
      </c>
      <c r="M8" t="str">
        <f t="shared" si="3"/>
        <v>OK</v>
      </c>
      <c r="N8" t="s">
        <v>328</v>
      </c>
      <c r="O8" t="s">
        <v>18</v>
      </c>
    </row>
    <row r="9" spans="1:15" x14ac:dyDescent="0.25">
      <c r="A9" t="s">
        <v>357</v>
      </c>
      <c r="B9" t="s">
        <v>294</v>
      </c>
      <c r="C9" t="s">
        <v>15</v>
      </c>
      <c r="D9">
        <v>5232</v>
      </c>
      <c r="E9">
        <v>5232</v>
      </c>
      <c r="F9" t="str">
        <f t="shared" si="0"/>
        <v>OK</v>
      </c>
      <c r="G9" s="2">
        <v>45902</v>
      </c>
      <c r="H9" s="2">
        <v>45902</v>
      </c>
      <c r="I9">
        <f t="shared" si="1"/>
        <v>0</v>
      </c>
      <c r="J9" t="str">
        <f t="shared" si="2"/>
        <v>OK</v>
      </c>
      <c r="K9" s="2">
        <v>46047</v>
      </c>
      <c r="L9" s="2">
        <v>46047</v>
      </c>
      <c r="M9" t="str">
        <f t="shared" si="3"/>
        <v>OK</v>
      </c>
      <c r="N9" t="s">
        <v>329</v>
      </c>
      <c r="O9" t="s">
        <v>18</v>
      </c>
    </row>
    <row r="10" spans="1:15" x14ac:dyDescent="0.25">
      <c r="A10" t="s">
        <v>357</v>
      </c>
      <c r="B10" t="s">
        <v>295</v>
      </c>
      <c r="C10" t="s">
        <v>15</v>
      </c>
      <c r="D10">
        <v>3247</v>
      </c>
      <c r="E10">
        <v>3247</v>
      </c>
      <c r="F10" t="str">
        <f t="shared" si="0"/>
        <v>OK</v>
      </c>
      <c r="G10" s="2">
        <v>45912</v>
      </c>
      <c r="H10" s="2">
        <v>45912</v>
      </c>
      <c r="I10">
        <f t="shared" si="1"/>
        <v>0</v>
      </c>
      <c r="J10" t="str">
        <f t="shared" si="2"/>
        <v>OK</v>
      </c>
      <c r="K10" s="2">
        <v>46045</v>
      </c>
      <c r="L10" s="2">
        <v>46045</v>
      </c>
      <c r="M10" t="str">
        <f t="shared" si="3"/>
        <v>OK</v>
      </c>
      <c r="N10" t="s">
        <v>330</v>
      </c>
      <c r="O10" t="s">
        <v>18</v>
      </c>
    </row>
    <row r="11" spans="1:15" x14ac:dyDescent="0.25">
      <c r="A11" t="s">
        <v>357</v>
      </c>
      <c r="B11" t="s">
        <v>296</v>
      </c>
      <c r="C11" t="s">
        <v>17</v>
      </c>
      <c r="D11">
        <v>1505</v>
      </c>
      <c r="E11">
        <v>1505</v>
      </c>
      <c r="F11" t="str">
        <f t="shared" si="0"/>
        <v>OK</v>
      </c>
      <c r="G11" s="2">
        <v>45985</v>
      </c>
      <c r="H11" s="2">
        <v>45983</v>
      </c>
      <c r="I11">
        <f t="shared" si="1"/>
        <v>-2</v>
      </c>
      <c r="J11" t="str">
        <f t="shared" si="2"/>
        <v>Not</v>
      </c>
      <c r="K11" s="2">
        <v>46043</v>
      </c>
      <c r="L11" s="2">
        <v>46043</v>
      </c>
      <c r="M11" t="str">
        <f t="shared" si="3"/>
        <v>OK</v>
      </c>
      <c r="N11" t="s">
        <v>331</v>
      </c>
      <c r="O11" t="s">
        <v>18</v>
      </c>
    </row>
    <row r="12" spans="1:15" x14ac:dyDescent="0.25">
      <c r="A12" t="s">
        <v>357</v>
      </c>
      <c r="B12" t="s">
        <v>297</v>
      </c>
      <c r="C12" t="s">
        <v>17</v>
      </c>
      <c r="D12">
        <v>1690</v>
      </c>
      <c r="E12">
        <v>1690</v>
      </c>
      <c r="F12" t="str">
        <f t="shared" si="0"/>
        <v>OK</v>
      </c>
      <c r="G12" s="2">
        <v>45943</v>
      </c>
      <c r="H12" s="2">
        <v>45943</v>
      </c>
      <c r="I12">
        <f t="shared" si="1"/>
        <v>0</v>
      </c>
      <c r="J12" t="str">
        <f t="shared" si="2"/>
        <v>OK</v>
      </c>
      <c r="K12" s="2">
        <v>46045</v>
      </c>
      <c r="L12" s="2">
        <v>46045</v>
      </c>
      <c r="M12" t="str">
        <f t="shared" si="3"/>
        <v>OK</v>
      </c>
      <c r="N12" t="s">
        <v>332</v>
      </c>
      <c r="O12" t="s">
        <v>18</v>
      </c>
    </row>
    <row r="13" spans="1:15" x14ac:dyDescent="0.25">
      <c r="A13" t="s">
        <v>357</v>
      </c>
      <c r="B13" t="s">
        <v>298</v>
      </c>
      <c r="C13" t="s">
        <v>15</v>
      </c>
      <c r="D13">
        <v>2810</v>
      </c>
      <c r="E13">
        <v>2810</v>
      </c>
      <c r="F13" t="str">
        <f t="shared" si="0"/>
        <v>OK</v>
      </c>
      <c r="G13" s="2">
        <v>45951</v>
      </c>
      <c r="H13" s="2">
        <v>45951</v>
      </c>
      <c r="I13">
        <f t="shared" si="1"/>
        <v>0</v>
      </c>
      <c r="J13" t="str">
        <f t="shared" si="2"/>
        <v>OK</v>
      </c>
      <c r="K13" s="2">
        <v>46045</v>
      </c>
      <c r="L13" s="2">
        <v>46045</v>
      </c>
      <c r="M13" t="str">
        <f t="shared" si="3"/>
        <v>OK</v>
      </c>
      <c r="N13" t="s">
        <v>333</v>
      </c>
      <c r="O13" t="s">
        <v>18</v>
      </c>
    </row>
    <row r="14" spans="1:15" x14ac:dyDescent="0.25">
      <c r="A14" t="s">
        <v>357</v>
      </c>
      <c r="B14" t="s">
        <v>299</v>
      </c>
      <c r="C14" t="s">
        <v>17</v>
      </c>
      <c r="D14">
        <v>3235</v>
      </c>
      <c r="E14">
        <v>3235</v>
      </c>
      <c r="F14" t="str">
        <f t="shared" si="0"/>
        <v>OK</v>
      </c>
      <c r="G14" s="2">
        <v>45983</v>
      </c>
      <c r="H14" s="2">
        <v>45982</v>
      </c>
      <c r="I14">
        <f t="shared" si="1"/>
        <v>-1</v>
      </c>
      <c r="J14" t="str">
        <f t="shared" si="2"/>
        <v>Not</v>
      </c>
      <c r="K14" s="2">
        <v>46044</v>
      </c>
      <c r="L14" s="2">
        <v>46044</v>
      </c>
      <c r="M14" t="str">
        <f t="shared" si="3"/>
        <v>OK</v>
      </c>
      <c r="N14" t="s">
        <v>334</v>
      </c>
      <c r="O14" t="s">
        <v>18</v>
      </c>
    </row>
    <row r="15" spans="1:15" x14ac:dyDescent="0.25">
      <c r="A15" t="s">
        <v>357</v>
      </c>
      <c r="B15" t="s">
        <v>300</v>
      </c>
      <c r="C15" t="s">
        <v>16</v>
      </c>
      <c r="D15">
        <v>809</v>
      </c>
      <c r="E15">
        <v>809</v>
      </c>
      <c r="F15" t="str">
        <f t="shared" si="0"/>
        <v>OK</v>
      </c>
      <c r="G15" s="2">
        <v>46004</v>
      </c>
      <c r="H15" s="2">
        <v>46004</v>
      </c>
      <c r="I15">
        <f t="shared" si="1"/>
        <v>0</v>
      </c>
      <c r="J15" t="str">
        <f t="shared" si="2"/>
        <v>OK</v>
      </c>
      <c r="K15" s="2">
        <v>46047</v>
      </c>
      <c r="L15" s="2">
        <v>46047</v>
      </c>
      <c r="M15" t="str">
        <f t="shared" si="3"/>
        <v>OK</v>
      </c>
      <c r="N15" t="s">
        <v>335</v>
      </c>
      <c r="O15" t="s">
        <v>18</v>
      </c>
    </row>
    <row r="16" spans="1:15" x14ac:dyDescent="0.25">
      <c r="A16" t="s">
        <v>357</v>
      </c>
      <c r="B16" t="s">
        <v>301</v>
      </c>
      <c r="C16" t="s">
        <v>16</v>
      </c>
      <c r="D16">
        <v>509</v>
      </c>
      <c r="E16">
        <v>509</v>
      </c>
      <c r="F16" t="str">
        <f t="shared" si="0"/>
        <v>OK</v>
      </c>
      <c r="G16" s="2">
        <v>46018</v>
      </c>
      <c r="H16" s="2">
        <v>46018</v>
      </c>
      <c r="I16">
        <f t="shared" si="1"/>
        <v>0</v>
      </c>
      <c r="J16" t="str">
        <f t="shared" si="2"/>
        <v>OK</v>
      </c>
      <c r="K16" s="2">
        <v>46045</v>
      </c>
      <c r="L16" s="2">
        <v>46045</v>
      </c>
      <c r="M16" t="str">
        <f t="shared" si="3"/>
        <v>OK</v>
      </c>
      <c r="N16" t="s">
        <v>336</v>
      </c>
      <c r="O16" t="s">
        <v>18</v>
      </c>
    </row>
    <row r="17" spans="1:15" x14ac:dyDescent="0.25">
      <c r="A17" t="s">
        <v>357</v>
      </c>
      <c r="B17" t="s">
        <v>302</v>
      </c>
      <c r="C17" t="s">
        <v>17</v>
      </c>
      <c r="D17">
        <v>2650</v>
      </c>
      <c r="E17">
        <v>2650</v>
      </c>
      <c r="F17" t="str">
        <f t="shared" si="0"/>
        <v>OK</v>
      </c>
      <c r="G17" s="2">
        <v>45958</v>
      </c>
      <c r="H17" s="2">
        <v>45957</v>
      </c>
      <c r="I17">
        <f t="shared" si="1"/>
        <v>-1</v>
      </c>
      <c r="J17" t="str">
        <f t="shared" si="2"/>
        <v>Not</v>
      </c>
      <c r="K17" s="2">
        <v>46043</v>
      </c>
      <c r="L17" s="2">
        <v>46043</v>
      </c>
      <c r="M17" t="str">
        <f t="shared" si="3"/>
        <v>OK</v>
      </c>
      <c r="N17" t="s">
        <v>337</v>
      </c>
      <c r="O17" t="s">
        <v>18</v>
      </c>
    </row>
    <row r="18" spans="1:15" x14ac:dyDescent="0.25">
      <c r="A18" t="s">
        <v>357</v>
      </c>
      <c r="B18" t="s">
        <v>303</v>
      </c>
      <c r="C18" t="s">
        <v>50</v>
      </c>
      <c r="D18">
        <v>2083</v>
      </c>
      <c r="E18">
        <v>2083</v>
      </c>
      <c r="F18" t="str">
        <f t="shared" si="0"/>
        <v>OK</v>
      </c>
      <c r="G18" s="2">
        <v>45694</v>
      </c>
      <c r="H18" s="2">
        <v>45694</v>
      </c>
      <c r="I18">
        <f t="shared" si="1"/>
        <v>0</v>
      </c>
      <c r="J18" t="str">
        <f t="shared" si="2"/>
        <v>OK</v>
      </c>
      <c r="K18" s="2">
        <v>46045</v>
      </c>
      <c r="L18" s="2">
        <v>46045</v>
      </c>
      <c r="M18" t="str">
        <f t="shared" si="3"/>
        <v>OK</v>
      </c>
      <c r="N18" t="s">
        <v>338</v>
      </c>
      <c r="O18" t="s">
        <v>18</v>
      </c>
    </row>
    <row r="19" spans="1:15" x14ac:dyDescent="0.25">
      <c r="A19" t="s">
        <v>357</v>
      </c>
      <c r="B19" t="s">
        <v>304</v>
      </c>
      <c r="C19" t="s">
        <v>50</v>
      </c>
      <c r="D19">
        <v>2659</v>
      </c>
      <c r="E19">
        <v>2659</v>
      </c>
      <c r="F19" t="str">
        <f t="shared" si="0"/>
        <v>OK</v>
      </c>
      <c r="G19" s="2">
        <v>45913</v>
      </c>
      <c r="H19" s="2">
        <v>45913</v>
      </c>
      <c r="I19">
        <f t="shared" si="1"/>
        <v>0</v>
      </c>
      <c r="J19" t="str">
        <f t="shared" si="2"/>
        <v>OK</v>
      </c>
      <c r="K19" s="2">
        <v>46044</v>
      </c>
      <c r="L19" s="2">
        <v>46044</v>
      </c>
      <c r="M19" t="str">
        <f t="shared" si="3"/>
        <v>OK</v>
      </c>
      <c r="N19" t="s">
        <v>339</v>
      </c>
      <c r="O19" t="s">
        <v>18</v>
      </c>
    </row>
    <row r="20" spans="1:15" x14ac:dyDescent="0.25">
      <c r="A20" t="s">
        <v>357</v>
      </c>
      <c r="B20" t="s">
        <v>305</v>
      </c>
      <c r="C20" t="s">
        <v>15</v>
      </c>
      <c r="D20">
        <v>3162</v>
      </c>
      <c r="E20">
        <v>3162</v>
      </c>
      <c r="F20" t="str">
        <f t="shared" si="0"/>
        <v>OK</v>
      </c>
      <c r="G20" s="2">
        <v>45950</v>
      </c>
      <c r="H20" s="2">
        <v>45949</v>
      </c>
      <c r="I20">
        <f t="shared" si="1"/>
        <v>-1</v>
      </c>
      <c r="J20" t="str">
        <f t="shared" si="2"/>
        <v>Not</v>
      </c>
      <c r="K20" s="2">
        <v>46043</v>
      </c>
      <c r="L20" s="2">
        <v>46043</v>
      </c>
      <c r="M20" t="str">
        <f t="shared" si="3"/>
        <v>OK</v>
      </c>
      <c r="N20" t="s">
        <v>340</v>
      </c>
      <c r="O20" t="s">
        <v>18</v>
      </c>
    </row>
    <row r="21" spans="1:15" x14ac:dyDescent="0.25">
      <c r="A21" t="s">
        <v>357</v>
      </c>
      <c r="B21" t="s">
        <v>306</v>
      </c>
      <c r="C21" t="s">
        <v>16</v>
      </c>
      <c r="D21">
        <v>1076</v>
      </c>
      <c r="E21">
        <v>1076</v>
      </c>
      <c r="F21" t="str">
        <f t="shared" si="0"/>
        <v>OK</v>
      </c>
      <c r="G21" s="2">
        <v>46010</v>
      </c>
      <c r="H21" s="2">
        <v>46010</v>
      </c>
      <c r="I21">
        <f t="shared" si="1"/>
        <v>0</v>
      </c>
      <c r="J21" t="str">
        <f t="shared" si="2"/>
        <v>OK</v>
      </c>
      <c r="K21" s="2">
        <v>46044</v>
      </c>
      <c r="L21" s="2">
        <v>46044</v>
      </c>
      <c r="M21" t="str">
        <f t="shared" si="3"/>
        <v>OK</v>
      </c>
      <c r="N21" t="s">
        <v>341</v>
      </c>
      <c r="O21" t="s">
        <v>18</v>
      </c>
    </row>
    <row r="22" spans="1:15" x14ac:dyDescent="0.25">
      <c r="A22" t="s">
        <v>357</v>
      </c>
      <c r="B22" t="s">
        <v>307</v>
      </c>
      <c r="C22" t="s">
        <v>16</v>
      </c>
      <c r="D22">
        <v>1019</v>
      </c>
      <c r="E22">
        <v>1019</v>
      </c>
      <c r="F22" t="str">
        <f t="shared" si="0"/>
        <v>OK</v>
      </c>
      <c r="G22" s="2">
        <v>46003</v>
      </c>
      <c r="H22" s="2">
        <v>46003</v>
      </c>
      <c r="I22">
        <f t="shared" si="1"/>
        <v>0</v>
      </c>
      <c r="J22" t="str">
        <f t="shared" si="2"/>
        <v>OK</v>
      </c>
      <c r="K22" s="2">
        <v>46043</v>
      </c>
      <c r="L22" s="2">
        <v>46043</v>
      </c>
      <c r="M22" t="str">
        <f t="shared" si="3"/>
        <v>OK</v>
      </c>
      <c r="N22" t="s">
        <v>342</v>
      </c>
      <c r="O22" t="s">
        <v>18</v>
      </c>
    </row>
    <row r="23" spans="1:15" x14ac:dyDescent="0.25">
      <c r="A23" t="s">
        <v>357</v>
      </c>
      <c r="B23" t="s">
        <v>308</v>
      </c>
      <c r="C23" t="s">
        <v>50</v>
      </c>
      <c r="D23">
        <v>2822</v>
      </c>
      <c r="E23">
        <v>2822</v>
      </c>
      <c r="F23" t="str">
        <f t="shared" si="0"/>
        <v>OK</v>
      </c>
      <c r="G23" s="2">
        <v>45876</v>
      </c>
      <c r="H23" s="2">
        <v>45876</v>
      </c>
      <c r="I23">
        <f t="shared" si="1"/>
        <v>0</v>
      </c>
      <c r="J23" t="str">
        <f t="shared" si="2"/>
        <v>OK</v>
      </c>
      <c r="K23" s="2">
        <v>46043</v>
      </c>
      <c r="L23" s="2">
        <v>46043</v>
      </c>
      <c r="M23" t="str">
        <f t="shared" si="3"/>
        <v>OK</v>
      </c>
      <c r="N23" t="s">
        <v>343</v>
      </c>
      <c r="O23" t="s">
        <v>18</v>
      </c>
    </row>
    <row r="24" spans="1:15" x14ac:dyDescent="0.25">
      <c r="A24" t="s">
        <v>357</v>
      </c>
      <c r="B24" t="s">
        <v>309</v>
      </c>
      <c r="C24" t="s">
        <v>16</v>
      </c>
      <c r="D24">
        <v>191</v>
      </c>
      <c r="E24">
        <v>191</v>
      </c>
      <c r="F24" t="str">
        <f t="shared" si="0"/>
        <v>OK</v>
      </c>
      <c r="G24" s="2">
        <v>46009</v>
      </c>
      <c r="H24" s="2">
        <v>46009</v>
      </c>
      <c r="I24">
        <f t="shared" si="1"/>
        <v>0</v>
      </c>
      <c r="J24" t="str">
        <f t="shared" si="2"/>
        <v>OK</v>
      </c>
      <c r="K24" s="2">
        <v>46043</v>
      </c>
      <c r="L24" s="2">
        <v>46043</v>
      </c>
      <c r="M24" t="str">
        <f t="shared" si="3"/>
        <v>OK</v>
      </c>
      <c r="N24" t="s">
        <v>344</v>
      </c>
      <c r="O24" t="s">
        <v>18</v>
      </c>
    </row>
    <row r="25" spans="1:15" x14ac:dyDescent="0.25">
      <c r="A25" t="s">
        <v>357</v>
      </c>
      <c r="B25" t="s">
        <v>310</v>
      </c>
      <c r="C25" t="s">
        <v>50</v>
      </c>
      <c r="D25">
        <v>4190</v>
      </c>
      <c r="E25">
        <v>4190</v>
      </c>
      <c r="F25" t="str">
        <f t="shared" si="0"/>
        <v>OK</v>
      </c>
      <c r="G25" s="2">
        <v>45822</v>
      </c>
      <c r="H25" s="2">
        <v>45822</v>
      </c>
      <c r="I25">
        <f t="shared" si="1"/>
        <v>0</v>
      </c>
      <c r="J25" t="str">
        <f t="shared" si="2"/>
        <v>OK</v>
      </c>
      <c r="K25" s="2">
        <v>46043</v>
      </c>
      <c r="L25" s="2">
        <v>46043</v>
      </c>
      <c r="M25" t="str">
        <f t="shared" si="3"/>
        <v>OK</v>
      </c>
      <c r="N25" t="s">
        <v>345</v>
      </c>
      <c r="O25" t="s">
        <v>18</v>
      </c>
    </row>
    <row r="26" spans="1:15" x14ac:dyDescent="0.25">
      <c r="A26" t="s">
        <v>357</v>
      </c>
      <c r="B26" t="s">
        <v>311</v>
      </c>
      <c r="C26" t="s">
        <v>17</v>
      </c>
      <c r="D26">
        <v>3926</v>
      </c>
      <c r="E26">
        <v>3926</v>
      </c>
      <c r="F26" t="str">
        <f t="shared" si="0"/>
        <v>OK</v>
      </c>
      <c r="G26" s="2">
        <v>45968</v>
      </c>
      <c r="H26" s="2">
        <v>45966</v>
      </c>
      <c r="I26">
        <f t="shared" si="1"/>
        <v>-2</v>
      </c>
      <c r="J26" t="str">
        <f t="shared" si="2"/>
        <v>Not</v>
      </c>
      <c r="K26" s="2">
        <v>46044</v>
      </c>
      <c r="L26" s="2">
        <v>46044</v>
      </c>
      <c r="M26" t="str">
        <f t="shared" si="3"/>
        <v>OK</v>
      </c>
      <c r="N26" t="s">
        <v>346</v>
      </c>
      <c r="O26" t="s">
        <v>18</v>
      </c>
    </row>
    <row r="27" spans="1:15" x14ac:dyDescent="0.25">
      <c r="A27" t="s">
        <v>357</v>
      </c>
      <c r="B27" t="s">
        <v>312</v>
      </c>
      <c r="C27" t="s">
        <v>17</v>
      </c>
      <c r="D27">
        <v>1203</v>
      </c>
      <c r="E27">
        <v>1203</v>
      </c>
      <c r="F27" t="str">
        <f t="shared" si="0"/>
        <v>OK</v>
      </c>
      <c r="G27" s="2">
        <v>45979</v>
      </c>
      <c r="H27" s="2">
        <v>45979</v>
      </c>
      <c r="I27">
        <f t="shared" si="1"/>
        <v>0</v>
      </c>
      <c r="J27" t="str">
        <f t="shared" si="2"/>
        <v>OK</v>
      </c>
      <c r="K27" s="2">
        <v>46046</v>
      </c>
      <c r="L27" s="2">
        <v>46046</v>
      </c>
      <c r="M27" t="str">
        <f t="shared" si="3"/>
        <v>OK</v>
      </c>
      <c r="N27" t="s">
        <v>347</v>
      </c>
      <c r="O27" t="s">
        <v>18</v>
      </c>
    </row>
    <row r="28" spans="1:15" x14ac:dyDescent="0.25">
      <c r="A28" t="s">
        <v>357</v>
      </c>
      <c r="B28" t="s">
        <v>313</v>
      </c>
      <c r="C28" t="s">
        <v>16</v>
      </c>
      <c r="D28">
        <v>160</v>
      </c>
      <c r="E28">
        <v>160</v>
      </c>
      <c r="F28" t="str">
        <f t="shared" si="0"/>
        <v>OK</v>
      </c>
      <c r="G28" s="2">
        <v>46017</v>
      </c>
      <c r="H28" s="2">
        <v>46017</v>
      </c>
      <c r="I28">
        <f t="shared" si="1"/>
        <v>0</v>
      </c>
      <c r="J28" t="str">
        <f t="shared" si="2"/>
        <v>OK</v>
      </c>
      <c r="K28" s="2">
        <v>46043</v>
      </c>
      <c r="L28" s="2">
        <v>46043</v>
      </c>
      <c r="M28" t="str">
        <f t="shared" si="3"/>
        <v>OK</v>
      </c>
      <c r="N28" t="s">
        <v>348</v>
      </c>
      <c r="O28" t="s">
        <v>18</v>
      </c>
    </row>
    <row r="29" spans="1:15" x14ac:dyDescent="0.25">
      <c r="A29" t="s">
        <v>357</v>
      </c>
      <c r="B29" t="s">
        <v>314</v>
      </c>
      <c r="C29" t="s">
        <v>16</v>
      </c>
      <c r="D29">
        <v>268</v>
      </c>
      <c r="E29">
        <v>268</v>
      </c>
      <c r="F29" t="str">
        <f t="shared" si="0"/>
        <v>OK</v>
      </c>
      <c r="G29" s="2">
        <v>46029</v>
      </c>
      <c r="H29" s="2">
        <v>46028</v>
      </c>
      <c r="I29">
        <f t="shared" si="1"/>
        <v>-1</v>
      </c>
      <c r="J29" t="str">
        <f t="shared" si="2"/>
        <v>Not</v>
      </c>
      <c r="K29" s="2">
        <v>46043</v>
      </c>
      <c r="L29" s="2">
        <v>46043</v>
      </c>
      <c r="M29" t="str">
        <f t="shared" si="3"/>
        <v>OK</v>
      </c>
      <c r="N29" t="s">
        <v>349</v>
      </c>
      <c r="O29" t="s">
        <v>18</v>
      </c>
    </row>
    <row r="30" spans="1:15" x14ac:dyDescent="0.25">
      <c r="A30" t="s">
        <v>357</v>
      </c>
      <c r="B30" t="s">
        <v>315</v>
      </c>
      <c r="C30" t="s">
        <v>15</v>
      </c>
      <c r="D30">
        <v>5964</v>
      </c>
      <c r="E30">
        <v>5964</v>
      </c>
      <c r="F30" t="str">
        <f t="shared" si="0"/>
        <v>OK</v>
      </c>
      <c r="G30" s="2">
        <v>45854</v>
      </c>
      <c r="H30" s="2">
        <v>45854</v>
      </c>
      <c r="I30">
        <f t="shared" si="1"/>
        <v>0</v>
      </c>
      <c r="J30" t="str">
        <f t="shared" si="2"/>
        <v>OK</v>
      </c>
      <c r="K30" s="2">
        <v>46046</v>
      </c>
      <c r="L30" s="2">
        <v>46046</v>
      </c>
      <c r="M30" t="str">
        <f t="shared" si="3"/>
        <v>OK</v>
      </c>
      <c r="N30" t="s">
        <v>350</v>
      </c>
      <c r="O30" t="s">
        <v>18</v>
      </c>
    </row>
    <row r="31" spans="1:15" x14ac:dyDescent="0.25">
      <c r="A31" t="s">
        <v>357</v>
      </c>
      <c r="B31" t="s">
        <v>316</v>
      </c>
      <c r="C31" t="s">
        <v>16</v>
      </c>
      <c r="D31">
        <v>358</v>
      </c>
      <c r="E31">
        <v>358</v>
      </c>
      <c r="F31" t="str">
        <f t="shared" si="0"/>
        <v>OK</v>
      </c>
      <c r="G31" s="2">
        <v>46023</v>
      </c>
      <c r="H31" s="2">
        <v>46021</v>
      </c>
      <c r="I31">
        <f t="shared" si="1"/>
        <v>-2</v>
      </c>
      <c r="J31" t="str">
        <f t="shared" si="2"/>
        <v>Not</v>
      </c>
      <c r="K31" s="2">
        <v>46043</v>
      </c>
      <c r="L31" s="2">
        <v>46043</v>
      </c>
      <c r="M31" t="str">
        <f t="shared" si="3"/>
        <v>OK</v>
      </c>
      <c r="N31" t="s">
        <v>351</v>
      </c>
      <c r="O31" t="s">
        <v>18</v>
      </c>
    </row>
    <row r="32" spans="1:15" x14ac:dyDescent="0.25">
      <c r="A32" t="s">
        <v>357</v>
      </c>
      <c r="B32" t="s">
        <v>317</v>
      </c>
      <c r="C32" t="s">
        <v>15</v>
      </c>
      <c r="D32">
        <v>3756</v>
      </c>
      <c r="E32">
        <v>3756</v>
      </c>
      <c r="F32" t="str">
        <f t="shared" si="0"/>
        <v>OK</v>
      </c>
      <c r="G32" s="2">
        <v>45910</v>
      </c>
      <c r="H32" s="2">
        <v>45910</v>
      </c>
      <c r="I32">
        <f t="shared" si="1"/>
        <v>0</v>
      </c>
      <c r="J32" t="str">
        <f t="shared" si="2"/>
        <v>OK</v>
      </c>
      <c r="K32" s="2">
        <v>46044</v>
      </c>
      <c r="L32" s="2">
        <v>46044</v>
      </c>
      <c r="M32" t="str">
        <f t="shared" si="3"/>
        <v>OK</v>
      </c>
      <c r="N32" t="s">
        <v>352</v>
      </c>
      <c r="O32" t="s">
        <v>18</v>
      </c>
    </row>
    <row r="33" spans="1:15" x14ac:dyDescent="0.25">
      <c r="A33" t="s">
        <v>357</v>
      </c>
      <c r="B33" t="s">
        <v>318</v>
      </c>
      <c r="C33" t="s">
        <v>16</v>
      </c>
      <c r="D33">
        <v>828</v>
      </c>
      <c r="E33">
        <v>828</v>
      </c>
      <c r="F33" t="str">
        <f t="shared" si="0"/>
        <v>OK</v>
      </c>
      <c r="G33" s="2">
        <v>46013</v>
      </c>
      <c r="H33" s="2">
        <v>46013</v>
      </c>
      <c r="I33">
        <f t="shared" si="1"/>
        <v>0</v>
      </c>
      <c r="J33" t="str">
        <f t="shared" si="2"/>
        <v>OK</v>
      </c>
      <c r="K33" s="2">
        <v>46044</v>
      </c>
      <c r="L33" s="2">
        <v>46044</v>
      </c>
      <c r="M33" t="str">
        <f t="shared" si="3"/>
        <v>OK</v>
      </c>
      <c r="N33" t="s">
        <v>353</v>
      </c>
      <c r="O33" t="s">
        <v>18</v>
      </c>
    </row>
    <row r="34" spans="1:15" x14ac:dyDescent="0.25">
      <c r="A34" t="s">
        <v>357</v>
      </c>
      <c r="B34" t="s">
        <v>319</v>
      </c>
      <c r="C34" t="s">
        <v>16</v>
      </c>
      <c r="D34">
        <v>981</v>
      </c>
      <c r="E34">
        <v>981</v>
      </c>
      <c r="F34" t="str">
        <f t="shared" si="0"/>
        <v>OK</v>
      </c>
      <c r="G34" s="2">
        <v>46028</v>
      </c>
      <c r="H34" s="2">
        <v>46025</v>
      </c>
      <c r="I34">
        <f t="shared" si="1"/>
        <v>-3</v>
      </c>
      <c r="J34" t="str">
        <f t="shared" si="2"/>
        <v>Not</v>
      </c>
      <c r="K34" s="2">
        <v>46046</v>
      </c>
      <c r="L34" s="2">
        <v>46046</v>
      </c>
      <c r="M34" t="str">
        <f t="shared" si="3"/>
        <v>OK</v>
      </c>
      <c r="N34" t="s">
        <v>354</v>
      </c>
      <c r="O34" t="s">
        <v>18</v>
      </c>
    </row>
    <row r="35" spans="1:15" x14ac:dyDescent="0.25">
      <c r="A35" t="s">
        <v>357</v>
      </c>
      <c r="B35" t="s">
        <v>320</v>
      </c>
      <c r="C35" t="s">
        <v>16</v>
      </c>
      <c r="D35">
        <v>516</v>
      </c>
      <c r="E35">
        <v>516</v>
      </c>
      <c r="F35" t="str">
        <f t="shared" si="0"/>
        <v>OK</v>
      </c>
      <c r="G35" s="2">
        <v>46008</v>
      </c>
      <c r="H35" s="2">
        <v>46007</v>
      </c>
      <c r="I35">
        <f t="shared" si="1"/>
        <v>-1</v>
      </c>
      <c r="J35" t="str">
        <f t="shared" si="2"/>
        <v>Not</v>
      </c>
      <c r="K35" s="2">
        <v>46044</v>
      </c>
      <c r="L35" s="2">
        <v>46044</v>
      </c>
      <c r="M35" t="str">
        <f t="shared" si="3"/>
        <v>OK</v>
      </c>
      <c r="N35" t="s">
        <v>355</v>
      </c>
      <c r="O35" t="s">
        <v>18</v>
      </c>
    </row>
    <row r="36" spans="1:15" x14ac:dyDescent="0.25">
      <c r="A36" t="s">
        <v>357</v>
      </c>
      <c r="B36" t="s">
        <v>321</v>
      </c>
      <c r="C36" t="s">
        <v>15</v>
      </c>
      <c r="D36">
        <v>2627</v>
      </c>
      <c r="E36">
        <v>2627</v>
      </c>
      <c r="F36" t="str">
        <f t="shared" si="0"/>
        <v>OK</v>
      </c>
      <c r="G36" s="2">
        <v>45939</v>
      </c>
      <c r="H36" s="2">
        <v>45939</v>
      </c>
      <c r="I36">
        <f t="shared" si="1"/>
        <v>0</v>
      </c>
      <c r="J36" t="str">
        <f t="shared" si="2"/>
        <v>OK</v>
      </c>
      <c r="K36" s="2">
        <v>46043</v>
      </c>
      <c r="L36" s="2">
        <v>46043</v>
      </c>
      <c r="M36" t="str">
        <f t="shared" si="3"/>
        <v>OK</v>
      </c>
      <c r="N36" t="s">
        <v>356</v>
      </c>
      <c r="O36" t="s">
        <v>18</v>
      </c>
    </row>
  </sheetData>
  <autoFilter ref="A1:O36" xr:uid="{FE33F1D0-5523-415C-A08A-AF5068FEC151}">
    <sortState xmlns:xlrd2="http://schemas.microsoft.com/office/spreadsheetml/2017/richdata2" ref="A2:O36">
      <sortCondition ref="B1:B36"/>
    </sortState>
  </autoFilter>
  <phoneticPr fontId="3" type="noConversion"/>
  <conditionalFormatting sqref="B1:B1048576">
    <cfRule type="duplicateValues" dxfId="19" priority="2"/>
    <cfRule type="duplicateValues" dxfId="18" priority="3"/>
    <cfRule type="duplicateValues" dxfId="17" priority="5"/>
    <cfRule type="duplicateValues" dxfId="16" priority="7"/>
    <cfRule type="duplicateValues" dxfId="15" priority="8"/>
    <cfRule type="duplicateValues" dxfId="14" priority="10"/>
    <cfRule type="duplicateValues" dxfId="13" priority="11"/>
    <cfRule type="duplicateValues" dxfId="12" priority="14"/>
    <cfRule type="duplicateValues" dxfId="11" priority="17"/>
    <cfRule type="duplicateValues" dxfId="10" priority="18"/>
  </conditionalFormatting>
  <conditionalFormatting sqref="D1:D1048576">
    <cfRule type="duplicateValues" dxfId="9" priority="1"/>
    <cfRule type="duplicateValues" dxfId="8" priority="4"/>
    <cfRule type="duplicateValues" dxfId="7" priority="6"/>
    <cfRule type="duplicateValues" dxfId="6" priority="9"/>
    <cfRule type="duplicateValues" dxfId="5" priority="15"/>
    <cfRule type="duplicateValues" dxfId="4" priority="16"/>
  </conditionalFormatting>
  <conditionalFormatting sqref="F1:F1048576 M2:M36">
    <cfRule type="containsText" dxfId="3" priority="19" operator="containsText" text="Not">
      <formula>NOT(ISERROR(SEARCH("Not",F1)))</formula>
    </cfRule>
    <cfRule type="containsText" dxfId="2" priority="20" operator="containsText" text="OK">
      <formula>NOT(ISERROR(SEARCH("OK",F1)))</formula>
    </cfRule>
  </conditionalFormatting>
  <conditionalFormatting sqref="J1:J1048576">
    <cfRule type="containsText" dxfId="1" priority="12" operator="containsText" text="Not">
      <formula>NOT(ISERROR(SEARCH("Not",J1)))</formula>
    </cfRule>
  </conditionalFormatting>
  <conditionalFormatting sqref="J2:J36">
    <cfRule type="containsText" dxfId="0" priority="13" operator="containsText" text="OK">
      <formula>NOT(ISERROR(SEARCH("OK",J2)))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1-5 Jan</vt:lpstr>
      <vt:lpstr>6-10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2026-01-29T06:46:45Z</dcterms:modified>
</cp:coreProperties>
</file>