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6\Jan 2026\"/>
    </mc:Choice>
  </mc:AlternateContent>
  <xr:revisionPtr revIDLastSave="0" documentId="13_ncr:1_{76FD9126-D072-4A64-941D-B48AB933FF07}" xr6:coauthVersionLast="47" xr6:coauthVersionMax="47" xr10:uidLastSave="{00000000-0000-0000-0000-000000000000}"/>
  <bookViews>
    <workbookView xWindow="-120" yWindow="-120" windowWidth="20730" windowHeight="11040" activeTab="4" xr2:uid="{765DFD1F-27D7-4A86-B599-13E7808C0013}"/>
  </bookViews>
  <sheets>
    <sheet name="1-5 Jan" sheetId="1" r:id="rId1"/>
    <sheet name="6-10 Jan" sheetId="2" r:id="rId2"/>
    <sheet name="11-15 Jan" sheetId="3" r:id="rId3"/>
    <sheet name="16-20 Jan" sheetId="4" r:id="rId4"/>
    <sheet name="21-25 Jan" sheetId="5" r:id="rId5"/>
  </sheets>
  <definedNames>
    <definedName name="_xlnm._FilterDatabase" localSheetId="2" hidden="1">'11-15 Jan'!$A$1:$O$16</definedName>
    <definedName name="_xlnm._FilterDatabase" localSheetId="0" hidden="1">'1-5 Jan'!$A$1:$O$7</definedName>
    <definedName name="_xlnm._FilterDatabase" localSheetId="3" hidden="1">'16-20 Jan'!$A$1:$O$10</definedName>
    <definedName name="_xlnm._FilterDatabase" localSheetId="4" hidden="1">'21-25 Jan'!$A$1:$O$8</definedName>
    <definedName name="_xlnm._FilterDatabase" localSheetId="1" hidden="1">'6-10 Jan'!$A$1:$O$13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I3" i="5"/>
  <c r="J3" i="5"/>
  <c r="I4" i="5"/>
  <c r="J4" i="5"/>
  <c r="I5" i="5"/>
  <c r="J5" i="5"/>
  <c r="I6" i="5"/>
  <c r="J6" i="5"/>
  <c r="I7" i="5"/>
  <c r="J7" i="5"/>
  <c r="I8" i="5"/>
  <c r="J8" i="5"/>
  <c r="F3" i="5"/>
  <c r="F4" i="5"/>
  <c r="F5" i="5"/>
  <c r="F6" i="5"/>
  <c r="F7" i="5"/>
  <c r="F8" i="5"/>
  <c r="J2" i="5"/>
  <c r="M2" i="5"/>
  <c r="I2" i="5"/>
  <c r="F2" i="5"/>
  <c r="I4" i="4"/>
  <c r="I3" i="4"/>
  <c r="I5" i="4"/>
  <c r="I6" i="4"/>
  <c r="I7" i="4"/>
  <c r="I8" i="4"/>
  <c r="I9" i="4"/>
  <c r="I10" i="4"/>
  <c r="I2" i="4"/>
  <c r="F3" i="4"/>
  <c r="F4" i="4"/>
  <c r="F5" i="4"/>
  <c r="F6" i="4"/>
  <c r="F7" i="4"/>
  <c r="F8" i="4"/>
  <c r="F9" i="4"/>
  <c r="F10" i="4"/>
  <c r="M3" i="4"/>
  <c r="M4" i="4"/>
  <c r="M5" i="4"/>
  <c r="M6" i="4"/>
  <c r="M7" i="4"/>
  <c r="M8" i="4"/>
  <c r="M9" i="4"/>
  <c r="M10" i="4"/>
  <c r="J3" i="4"/>
  <c r="J4" i="4"/>
  <c r="J5" i="4"/>
  <c r="J6" i="4"/>
  <c r="J7" i="4"/>
  <c r="J8" i="4"/>
  <c r="J9" i="4"/>
  <c r="J10" i="4"/>
  <c r="J2" i="4"/>
  <c r="M2" i="4"/>
  <c r="F2" i="4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M2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M3" i="2"/>
  <c r="M4" i="2"/>
  <c r="M5" i="2"/>
  <c r="M6" i="2"/>
  <c r="M7" i="2"/>
  <c r="M8" i="2"/>
  <c r="M9" i="2"/>
  <c r="M10" i="2"/>
  <c r="M11" i="2"/>
  <c r="M12" i="2"/>
  <c r="M13" i="2"/>
  <c r="I3" i="2"/>
  <c r="J3" i="2"/>
  <c r="I4" i="2"/>
  <c r="J4" i="2"/>
  <c r="I5" i="2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F3" i="2"/>
  <c r="F4" i="2"/>
  <c r="F5" i="2"/>
  <c r="F6" i="2"/>
  <c r="F7" i="2"/>
  <c r="F8" i="2"/>
  <c r="F9" i="2"/>
  <c r="F10" i="2"/>
  <c r="F11" i="2"/>
  <c r="F12" i="2"/>
  <c r="F13" i="2"/>
  <c r="M2" i="2"/>
  <c r="J2" i="2"/>
  <c r="I2" i="2"/>
  <c r="F2" i="2"/>
  <c r="J3" i="1"/>
  <c r="J4" i="1"/>
  <c r="J5" i="1"/>
  <c r="J6" i="1"/>
  <c r="J7" i="1"/>
  <c r="J2" i="1"/>
  <c r="I3" i="1"/>
  <c r="I4" i="1"/>
  <c r="I5" i="1"/>
  <c r="I6" i="1"/>
  <c r="I7" i="1"/>
  <c r="I2" i="1"/>
  <c r="M7" i="1"/>
  <c r="M6" i="1"/>
  <c r="M5" i="1"/>
  <c r="M4" i="1"/>
  <c r="M3" i="1"/>
  <c r="M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<sst xmlns="http://schemas.openxmlformats.org/spreadsheetml/2006/main" count="320" uniqueCount="126">
  <si>
    <t>no_mesin</t>
  </si>
  <si>
    <t>kpb_type</t>
  </si>
  <si>
    <t>km</t>
  </si>
  <si>
    <t>tanggal_beli</t>
  </si>
  <si>
    <t>tanggal_claim</t>
  </si>
  <si>
    <t>photo_url</t>
  </si>
  <si>
    <t>noted</t>
  </si>
  <si>
    <t>KPB2</t>
  </si>
  <si>
    <t>No. Surat Klaim</t>
  </si>
  <si>
    <t>Tglb STAR</t>
  </si>
  <si>
    <t>Cek Tglb</t>
  </si>
  <si>
    <t>Tgls STAR</t>
  </si>
  <si>
    <t>Cek Tgls</t>
  </si>
  <si>
    <t>KM STAR</t>
  </si>
  <si>
    <t>Cek KM</t>
  </si>
  <si>
    <t>Selisih</t>
  </si>
  <si>
    <t>KPB1</t>
  </si>
  <si>
    <t>JMH1E1293016</t>
  </si>
  <si>
    <t>JMH2E1582217</t>
  </si>
  <si>
    <t>JMH2E1630745</t>
  </si>
  <si>
    <t>KC04E1028317</t>
  </si>
  <si>
    <t>KFC1E1225116</t>
  </si>
  <si>
    <t>KFF3E1001362</t>
  </si>
  <si>
    <t>https://squarix.modakita.com//m2tf6l//avatar/21474086820260103103111YPMV8Y.jpg</t>
  </si>
  <si>
    <t>https://squarix.modakita.com//m2tf6l//avatar/21073372420260102104246106GSN.jpg</t>
  </si>
  <si>
    <t>https://squarix.modakita.com//m2tf6l//avatar/21474118020260103105329CHC2O7.jpg</t>
  </si>
  <si>
    <t>https://squarix.modakita.com//m2tf6l//avatar/21046114520260102150948GA59TD.jpg</t>
  </si>
  <si>
    <t>https://squarix.modakita.com//m2tf6l//avatar/21464955120260105102454LQTE9Y.jpg</t>
  </si>
  <si>
    <t>https://squarix.modakita.com//m2tf6l//avatar/210733724202601021056557LMCWN.jpg</t>
  </si>
  <si>
    <t>12804-260105_1529</t>
  </si>
  <si>
    <t>Salah KM di WEBC</t>
  </si>
  <si>
    <t>Ok</t>
  </si>
  <si>
    <t>JBK1E2127340</t>
  </si>
  <si>
    <t>KPB3</t>
  </si>
  <si>
    <t>JMA1E1199786</t>
  </si>
  <si>
    <t>JMD1E2061878</t>
  </si>
  <si>
    <t>JMD1E2069959</t>
  </si>
  <si>
    <t>JMH1E1325842</t>
  </si>
  <si>
    <t>JMH2E1468487</t>
  </si>
  <si>
    <t>JMH2E1560815</t>
  </si>
  <si>
    <t>KB22E1059681</t>
  </si>
  <si>
    <t>KC04E1034924</t>
  </si>
  <si>
    <t>KC04E1036110</t>
  </si>
  <si>
    <t>KD11E1647812</t>
  </si>
  <si>
    <t>KFC1E1174730</t>
  </si>
  <si>
    <t>https://squarix.modakita.com//m2tf6l//avatar/21046114520260108164418AK40IR.jpg</t>
  </si>
  <si>
    <t>https://squarix.modakita.com//m2tf6l//avatar/210733724202601061105334IO1LB.jpg</t>
  </si>
  <si>
    <t>https://squarix.modakita.com//m2tf6l//avatar/21046114520260107102841QXGGFZ.jpg</t>
  </si>
  <si>
    <t>https://squarix.modakita.com//m2tf6l//avatar/213130567202601061115560PIPNX.jpg</t>
  </si>
  <si>
    <t>https://squarix.modakita.com//m2tf6l//avatar/21045222020260106155047JZQFL3.jpg</t>
  </si>
  <si>
    <t>https://squarix.modakita.com//m2tf6l//avatar/21073372420260108160332ULVSUS.jpg</t>
  </si>
  <si>
    <t>https://squarix.modakita.com//m2tf6l//avatar/21046114520260108163540BX89NC.jpg</t>
  </si>
  <si>
    <t>https://squarix.modakita.com//m2tf6l//avatar/2914187020260110144905NJGTWR.jpg</t>
  </si>
  <si>
    <t>https://squarix.modakita.com//m2tf6l//avatar/21476165720260108123721G2CZRO.jpg</t>
  </si>
  <si>
    <t>https://squarix.modakita.com//m2tf6l//avatar/2973749220260109113325NAKUTU.jpg</t>
  </si>
  <si>
    <t>https://squarix.modakita.com//m2tf6l//avatar/2451571820260110115916UYXFZG.jpg</t>
  </si>
  <si>
    <t>https://squarix.modakita.com//m2tf6l//avatar/21046114520260108163903C6TXCA.jpg</t>
  </si>
  <si>
    <t>12804-260110_1511</t>
  </si>
  <si>
    <t>Speedo tidak sesuai tipe</t>
  </si>
  <si>
    <t>KM tidak jelas</t>
  </si>
  <si>
    <t>JMC1E1732320</t>
  </si>
  <si>
    <t>JMC1E1732577</t>
  </si>
  <si>
    <t>JMC1E1742499</t>
  </si>
  <si>
    <t>JMC1E1759269</t>
  </si>
  <si>
    <t>JME1E1824259</t>
  </si>
  <si>
    <t>JME1E1884984</t>
  </si>
  <si>
    <t>JMF2E1636295</t>
  </si>
  <si>
    <t>JMH2E1569417</t>
  </si>
  <si>
    <t>JMH2E1608417</t>
  </si>
  <si>
    <t>KFA1E1328298</t>
  </si>
  <si>
    <t>KFC1E1151275</t>
  </si>
  <si>
    <t>KFD1E1141625</t>
  </si>
  <si>
    <t>KFD1E1163469</t>
  </si>
  <si>
    <t>KFE1E1144435</t>
  </si>
  <si>
    <t>KFE3E1082005</t>
  </si>
  <si>
    <t>https://squarix.modakita.com//m2tf6l//avatar/21464955120260112115446XNLWK9.jpg</t>
  </si>
  <si>
    <t>https://squarix.modakita.com//m2tf6l//avatar/21046114520260113163042O82PFU.jpg</t>
  </si>
  <si>
    <t>https://squarix.modakita.com//m2tf6l//avatar/214785550202601131100034REZ8P.jpg</t>
  </si>
  <si>
    <t>https://squarix.modakita.com//m2tf6l//avatar/26081613202601151249086XP9AZ.jpg</t>
  </si>
  <si>
    <t>https://squarix.modakita.com//m2tf6l//avatar/21046114520260112115704OVLOS5.jpg</t>
  </si>
  <si>
    <t>https://squarix.modakita.com//m2tf6l//avatar/21140350420260115113803MSTWR0.jpg</t>
  </si>
  <si>
    <t>https://squarix.modakita.com//m2tf6l//avatar/21073372420260114100439ZFAG8U.jpg</t>
  </si>
  <si>
    <t>https://squarix.modakita.com//m2tf6l//avatar/21464955120260112115321V94OZS.jpg</t>
  </si>
  <si>
    <t>https://squarix.modakita.com//m2tf6l//avatar/214645562202601140946371TGN8H.jpg</t>
  </si>
  <si>
    <t>https://squarix.modakita.com//m2tf6l//avatar/21479829420260115130642PDPRD1.jpg</t>
  </si>
  <si>
    <t>https://squarix.modakita.com//m2tf6l//avatar/2914187020260115161638VCN2LC.jpg</t>
  </si>
  <si>
    <t>https://squarix.modakita.com//m2tf6l//avatar/21073372420260113164842FXTOXU.jpg</t>
  </si>
  <si>
    <t>https://squarix.modakita.com//m2tf6l//avatar/21046114520260112120203ZDDH9X.jpg</t>
  </si>
  <si>
    <t>https://squarix.modakita.com//m2tf6l//avatar/21464955120260114091124XYK1Q0.jpg</t>
  </si>
  <si>
    <t>https://squarix.modakita.com//m2tf6l//avatar/21479169620260114113052BADOK9.jpg</t>
  </si>
  <si>
    <t>12804-260115_1710</t>
  </si>
  <si>
    <t>Salah input nosin dan tgl beli (tgl beli yg seharusnya sudah melebihi batas maks-tidak bisa klaim)</t>
  </si>
  <si>
    <t>JMC1E1710055</t>
  </si>
  <si>
    <t>JMC1E1770302</t>
  </si>
  <si>
    <t>JMC1E1772394</t>
  </si>
  <si>
    <t>JMF1E1337390</t>
  </si>
  <si>
    <t>JMH2E1549336</t>
  </si>
  <si>
    <t>KF01E2002720</t>
  </si>
  <si>
    <t>KFC1E1228234</t>
  </si>
  <si>
    <t>KFC1E1236337</t>
  </si>
  <si>
    <t>KFE2E1068464</t>
  </si>
  <si>
    <t>https://squarix.modakita.com//m2tf6l//avatar/21480696920260117124112YCBRMK.heic</t>
  </si>
  <si>
    <t>https://squarix.modakita.com//m2tf6l//avatar/291418702026011912144914QDWI.jpg</t>
  </si>
  <si>
    <t>https://squarix.modakita.com//m2tf6l//avatar/2430124120260117085759SRSTUU.jpg</t>
  </si>
  <si>
    <t>https://squarix.modakita.com//m2tf6l//avatar/21073372420260119124902SRXOLA.jpg</t>
  </si>
  <si>
    <t>https://squarix.modakita.com//m2tf6l//avatar/21465166420260117094846MIEMIK.jpg</t>
  </si>
  <si>
    <t>https://squarix.modakita.com//m2tf6l//avatar/21046114520260117113301V4GG6N.jpg</t>
  </si>
  <si>
    <t>https://squarix.modakita.com//m2tf6l//avatar/2727134220260117151643PECYOU.jpg</t>
  </si>
  <si>
    <t>https://squarix.modakita.com//m2tf6l//avatar/21481313820260119112120DAAPSN.jpg</t>
  </si>
  <si>
    <t>https://squarix.modakita.com//m2tf6l//avatar/21046114520260119120916VBX6GI.jpg</t>
  </si>
  <si>
    <t>12804-260120_0852</t>
  </si>
  <si>
    <t>KPB4</t>
  </si>
  <si>
    <t>JMC1E1778097</t>
  </si>
  <si>
    <t>JMH1E1237367</t>
  </si>
  <si>
    <t>JMK1E1003201</t>
  </si>
  <si>
    <t>KC04E1029953</t>
  </si>
  <si>
    <t>KFB1E1115823</t>
  </si>
  <si>
    <t>KFD1E1187025</t>
  </si>
  <si>
    <t>https://squarix.modakita.com//m2tf6l//avatar/21482516720260121113643UEUES0.jpg</t>
  </si>
  <si>
    <t>https://squarix.modakita.com//m2tf6l//avatar/2914187020260121134533JPK2TY.jpg</t>
  </si>
  <si>
    <t>https://squarix.modakita.com//m2tf6l//avatar/21483750720260123134407WKCTTD.jpg</t>
  </si>
  <si>
    <t>https://squarix.modakita.com//m2tf6l//avatar/21482629920260121140045XLVHKA.jpg</t>
  </si>
  <si>
    <t>https://squarix.modakita.com//m2tf6l//avatar/21476165720260121102944G1ITXT.jpg</t>
  </si>
  <si>
    <t>https://squarix.modakita.com//m2tf6l//avatar/21046114520260123113231DJGGJW.jpg</t>
  </si>
  <si>
    <t>https://squarix.modakita.com//m2tf6l//avatar/21482450520260121100801WDQUM3.jpg</t>
  </si>
  <si>
    <t>12804-260124_1011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</si>
</sst>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4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center"/>
    </xf>
    <xf numFmtId="0" fontId="5" fillId="0" borderId="0" xfId="0" applyFont="1"/>
    <xf numFmtId="0" fontId="5" fillId="2" borderId="0" xfId="0" applyFont="1" applyFill="1"/>
    <xf numFmtId="14" fontId="0" fillId="0" borderId="0" xfId="0" quotePrefix="1" applyNumberFormat="1"/>
  </cellXfs>
  <cellStyles count="1">
    <cellStyle name="Normal" xfId="0" builtinId="0"/>
  </cellStyles>
  <dxfs count="7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EFFB-22AA-42AF-9F9D-4A39AE7EACD4}">
  <sheetPr filterMode="1"/>
  <dimension ref="A1:O7"/>
  <sheetViews>
    <sheetView workbookViewId="0">
      <pane ySplit="1" topLeftCell="A4" activePane="bottomLeft" state="frozen"/>
      <selection pane="bottomLeft" activeCell="K11" sqref="K11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8</v>
      </c>
      <c r="B1" s="1" t="s">
        <v>0</v>
      </c>
      <c r="C1" s="1" t="s">
        <v>1</v>
      </c>
      <c r="D1" s="1" t="s">
        <v>2</v>
      </c>
      <c r="E1" s="1" t="s">
        <v>13</v>
      </c>
      <c r="F1" s="1" t="s">
        <v>14</v>
      </c>
      <c r="G1" s="1" t="s">
        <v>3</v>
      </c>
      <c r="H1" s="1" t="s">
        <v>9</v>
      </c>
      <c r="I1" s="4" t="s">
        <v>15</v>
      </c>
      <c r="J1" s="1" t="s">
        <v>10</v>
      </c>
      <c r="K1" s="1" t="s">
        <v>4</v>
      </c>
      <c r="L1" s="1" t="s">
        <v>11</v>
      </c>
      <c r="M1" s="1" t="s">
        <v>12</v>
      </c>
      <c r="N1" s="1" t="s">
        <v>5</v>
      </c>
      <c r="O1" s="1" t="s">
        <v>6</v>
      </c>
    </row>
    <row r="2" spans="1:15" hidden="1" x14ac:dyDescent="0.25">
      <c r="A2" t="s">
        <v>29</v>
      </c>
      <c r="B2" t="s">
        <v>17</v>
      </c>
      <c r="C2" t="s">
        <v>16</v>
      </c>
      <c r="D2">
        <v>176</v>
      </c>
      <c r="E2">
        <v>176</v>
      </c>
      <c r="F2" t="str">
        <f t="shared" ref="F2:F7" si="0">IF(D2=E2,"OK","Not")</f>
        <v>OK</v>
      </c>
      <c r="G2" s="2">
        <v>45976</v>
      </c>
      <c r="H2" s="2">
        <v>45976</v>
      </c>
      <c r="I2">
        <f t="shared" ref="I2:I7" si="1">H2-G2</f>
        <v>0</v>
      </c>
      <c r="J2" t="str">
        <f t="shared" ref="J2:J7" si="2">IF(H2=G2,"OK","Not")</f>
        <v>OK</v>
      </c>
      <c r="K2" s="2">
        <v>46025</v>
      </c>
      <c r="L2" s="2">
        <v>46025</v>
      </c>
      <c r="M2" t="str">
        <f t="shared" ref="M2:M7" si="3">IF(K2=L2,"OK","Not")</f>
        <v>OK</v>
      </c>
      <c r="N2" t="s">
        <v>23</v>
      </c>
      <c r="O2" t="s">
        <v>31</v>
      </c>
    </row>
    <row r="3" spans="1:15" hidden="1" x14ac:dyDescent="0.25">
      <c r="A3" t="s">
        <v>29</v>
      </c>
      <c r="B3" t="s">
        <v>18</v>
      </c>
      <c r="C3" t="s">
        <v>7</v>
      </c>
      <c r="D3">
        <v>2325</v>
      </c>
      <c r="E3">
        <v>2325</v>
      </c>
      <c r="F3" t="str">
        <f t="shared" si="0"/>
        <v>OK</v>
      </c>
      <c r="G3" s="2">
        <v>45959</v>
      </c>
      <c r="H3" s="2">
        <v>45959</v>
      </c>
      <c r="I3">
        <f t="shared" si="1"/>
        <v>0</v>
      </c>
      <c r="J3" t="str">
        <f t="shared" si="2"/>
        <v>OK</v>
      </c>
      <c r="K3" s="2">
        <v>46024</v>
      </c>
      <c r="L3" s="2">
        <v>46024</v>
      </c>
      <c r="M3" t="str">
        <f t="shared" si="3"/>
        <v>OK</v>
      </c>
      <c r="N3" t="s">
        <v>24</v>
      </c>
      <c r="O3" t="s">
        <v>31</v>
      </c>
    </row>
    <row r="4" spans="1:15" x14ac:dyDescent="0.25">
      <c r="A4" t="s">
        <v>29</v>
      </c>
      <c r="B4" t="s">
        <v>19</v>
      </c>
      <c r="C4" t="s">
        <v>16</v>
      </c>
      <c r="D4">
        <v>680</v>
      </c>
      <c r="E4">
        <v>688</v>
      </c>
      <c r="F4" t="str">
        <f t="shared" si="0"/>
        <v>Not</v>
      </c>
      <c r="G4" s="2">
        <v>45999</v>
      </c>
      <c r="H4" s="2">
        <v>45999</v>
      </c>
      <c r="I4">
        <f t="shared" si="1"/>
        <v>0</v>
      </c>
      <c r="J4" t="str">
        <f t="shared" si="2"/>
        <v>OK</v>
      </c>
      <c r="K4" s="2">
        <v>46025</v>
      </c>
      <c r="L4" s="2">
        <v>46025</v>
      </c>
      <c r="M4" t="str">
        <f t="shared" si="3"/>
        <v>OK</v>
      </c>
      <c r="N4" t="s">
        <v>25</v>
      </c>
      <c r="O4" t="s">
        <v>30</v>
      </c>
    </row>
    <row r="5" spans="1:15" x14ac:dyDescent="0.25">
      <c r="A5" t="s">
        <v>29</v>
      </c>
      <c r="B5" t="s">
        <v>20</v>
      </c>
      <c r="C5" t="s">
        <v>7</v>
      </c>
      <c r="D5">
        <v>1419</v>
      </c>
      <c r="E5">
        <v>1418</v>
      </c>
      <c r="F5" t="str">
        <f t="shared" si="0"/>
        <v>Not</v>
      </c>
      <c r="G5" s="2">
        <v>45974</v>
      </c>
      <c r="H5" s="2">
        <v>45974</v>
      </c>
      <c r="I5">
        <f t="shared" si="1"/>
        <v>0</v>
      </c>
      <c r="J5" t="str">
        <f t="shared" si="2"/>
        <v>OK</v>
      </c>
      <c r="K5" s="2">
        <v>46024</v>
      </c>
      <c r="L5" s="2">
        <v>46024</v>
      </c>
      <c r="M5" t="str">
        <f t="shared" si="3"/>
        <v>OK</v>
      </c>
      <c r="N5" t="s">
        <v>26</v>
      </c>
      <c r="O5" t="s">
        <v>30</v>
      </c>
    </row>
    <row r="6" spans="1:15" hidden="1" x14ac:dyDescent="0.25">
      <c r="A6" t="s">
        <v>29</v>
      </c>
      <c r="B6" t="s">
        <v>21</v>
      </c>
      <c r="C6" t="s">
        <v>7</v>
      </c>
      <c r="D6">
        <v>1577</v>
      </c>
      <c r="E6">
        <v>1577</v>
      </c>
      <c r="F6" t="str">
        <f t="shared" si="0"/>
        <v>OK</v>
      </c>
      <c r="G6" s="2">
        <v>45988</v>
      </c>
      <c r="H6" s="2">
        <v>45988</v>
      </c>
      <c r="I6">
        <f t="shared" si="1"/>
        <v>0</v>
      </c>
      <c r="J6" t="str">
        <f t="shared" si="2"/>
        <v>OK</v>
      </c>
      <c r="K6" s="2">
        <v>46027</v>
      </c>
      <c r="L6" s="2">
        <v>46027</v>
      </c>
      <c r="M6" t="str">
        <f t="shared" si="3"/>
        <v>OK</v>
      </c>
      <c r="N6" t="s">
        <v>27</v>
      </c>
      <c r="O6" t="s">
        <v>31</v>
      </c>
    </row>
    <row r="7" spans="1:15" hidden="1" x14ac:dyDescent="0.25">
      <c r="A7" t="s">
        <v>29</v>
      </c>
      <c r="B7" t="s">
        <v>22</v>
      </c>
      <c r="C7" t="s">
        <v>7</v>
      </c>
      <c r="D7">
        <v>2196</v>
      </c>
      <c r="E7">
        <v>2196</v>
      </c>
      <c r="F7" t="str">
        <f t="shared" si="0"/>
        <v>OK</v>
      </c>
      <c r="G7" s="2">
        <v>45936</v>
      </c>
      <c r="H7" s="2">
        <v>45934</v>
      </c>
      <c r="I7">
        <f t="shared" si="1"/>
        <v>-2</v>
      </c>
      <c r="J7" t="str">
        <f t="shared" si="2"/>
        <v>Not</v>
      </c>
      <c r="K7" s="2">
        <v>46024</v>
      </c>
      <c r="L7" s="2">
        <v>46024</v>
      </c>
      <c r="M7" t="str">
        <f t="shared" si="3"/>
        <v>OK</v>
      </c>
      <c r="N7" t="s">
        <v>28</v>
      </c>
      <c r="O7" t="s">
        <v>31</v>
      </c>
    </row>
  </sheetData>
  <autoFilter ref="A1:O7" xr:uid="{C5CEEFFB-22AA-42AF-9F9D-4A39AE7EACD4}">
    <filterColumn colId="14">
      <filters>
        <filter val="Salah KM di WEBC"/>
      </filters>
    </filterColumn>
    <sortState xmlns:xlrd2="http://schemas.microsoft.com/office/spreadsheetml/2017/richdata2" ref="A2:O7">
      <sortCondition ref="B1:B7"/>
    </sortState>
  </autoFilter>
  <phoneticPr fontId="3" type="noConversion"/>
  <conditionalFormatting sqref="B1:B1048576">
    <cfRule type="duplicateValues" dxfId="73" priority="2"/>
    <cfRule type="duplicateValues" dxfId="72" priority="9"/>
    <cfRule type="duplicateValues" dxfId="71" priority="13"/>
  </conditionalFormatting>
  <conditionalFormatting sqref="D1:D1048576">
    <cfRule type="duplicateValues" dxfId="70" priority="1"/>
    <cfRule type="duplicateValues" dxfId="69" priority="8"/>
  </conditionalFormatting>
  <conditionalFormatting sqref="F1:F1048576">
    <cfRule type="containsText" dxfId="68" priority="7" operator="containsText" text="Not">
      <formula>NOT(ISERROR(SEARCH("Not",F1)))</formula>
    </cfRule>
    <cfRule type="containsText" dxfId="67" priority="12" operator="containsText" text="OK">
      <formula>NOT(ISERROR(SEARCH("OK",F1)))</formula>
    </cfRule>
  </conditionalFormatting>
  <conditionalFormatting sqref="J2:J7">
    <cfRule type="containsText" dxfId="66" priority="5" operator="containsText" text="Not">
      <formula>NOT(ISERROR(SEARCH("Not",J2)))</formula>
    </cfRule>
    <cfRule type="containsText" dxfId="65" priority="6" operator="containsText" text="OK">
      <formula>NOT(ISERROR(SEARCH("OK",J2)))</formula>
    </cfRule>
  </conditionalFormatting>
  <conditionalFormatting sqref="M2:M7">
    <cfRule type="containsText" dxfId="64" priority="3" operator="containsText" text="Not">
      <formula>NOT(ISERROR(SEARCH("Not",M2)))</formula>
    </cfRule>
    <cfRule type="containsText" dxfId="63" priority="4" operator="containsText" text="OK">
      <formula>NOT(ISERROR(SEARCH("OK",M2)))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717E-0D5B-4C45-ABC0-78FFC374CC85}">
  <sheetPr filterMode="1"/>
  <dimension ref="A1:O13"/>
  <sheetViews>
    <sheetView topLeftCell="F1" workbookViewId="0">
      <selection activeCell="M5" sqref="M5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8</v>
      </c>
      <c r="B1" s="1" t="s">
        <v>0</v>
      </c>
      <c r="C1" s="1" t="s">
        <v>1</v>
      </c>
      <c r="D1" s="1" t="s">
        <v>2</v>
      </c>
      <c r="E1" s="1" t="s">
        <v>13</v>
      </c>
      <c r="F1" s="1" t="s">
        <v>14</v>
      </c>
      <c r="G1" s="1" t="s">
        <v>3</v>
      </c>
      <c r="H1" s="1" t="s">
        <v>9</v>
      </c>
      <c r="I1" s="4" t="s">
        <v>15</v>
      </c>
      <c r="J1" s="1" t="s">
        <v>10</v>
      </c>
      <c r="K1" s="1" t="s">
        <v>4</v>
      </c>
      <c r="L1" s="1" t="s">
        <v>11</v>
      </c>
      <c r="M1" s="1" t="s">
        <v>12</v>
      </c>
      <c r="N1" s="1" t="s">
        <v>5</v>
      </c>
      <c r="O1" s="1" t="s">
        <v>6</v>
      </c>
    </row>
    <row r="2" spans="1:15" hidden="1" x14ac:dyDescent="0.25">
      <c r="A2" t="s">
        <v>57</v>
      </c>
      <c r="B2" t="s">
        <v>32</v>
      </c>
      <c r="C2" t="s">
        <v>33</v>
      </c>
      <c r="D2">
        <v>5838</v>
      </c>
      <c r="E2">
        <v>5838</v>
      </c>
      <c r="F2" t="str">
        <f t="shared" ref="F2:F13" si="0">IF(D2=E2,"OK","Not")</f>
        <v>OK</v>
      </c>
      <c r="G2" s="2">
        <v>45909</v>
      </c>
      <c r="H2" s="2">
        <v>45909</v>
      </c>
      <c r="I2">
        <f t="shared" ref="I2:I13" si="1">H2-G2</f>
        <v>0</v>
      </c>
      <c r="J2" t="str">
        <f t="shared" ref="J2:J13" si="2">IF(H2=G2,"OK","Not")</f>
        <v>OK</v>
      </c>
      <c r="K2" s="2">
        <v>46030</v>
      </c>
      <c r="L2" s="2">
        <v>46030</v>
      </c>
      <c r="M2" t="str">
        <f t="shared" ref="M2:M13" si="3">IF(K2=L2,"OK","Not")</f>
        <v>OK</v>
      </c>
      <c r="N2" t="s">
        <v>45</v>
      </c>
      <c r="O2" t="s">
        <v>31</v>
      </c>
    </row>
    <row r="3" spans="1:15" hidden="1" x14ac:dyDescent="0.25">
      <c r="A3" t="s">
        <v>57</v>
      </c>
      <c r="B3" t="s">
        <v>34</v>
      </c>
      <c r="C3" t="s">
        <v>33</v>
      </c>
      <c r="D3">
        <v>3585</v>
      </c>
      <c r="E3">
        <v>3585</v>
      </c>
      <c r="F3" t="str">
        <f t="shared" si="0"/>
        <v>OK</v>
      </c>
      <c r="G3" s="2">
        <v>45899</v>
      </c>
      <c r="H3" s="2">
        <v>45899</v>
      </c>
      <c r="I3">
        <f t="shared" si="1"/>
        <v>0</v>
      </c>
      <c r="J3" t="str">
        <f t="shared" si="2"/>
        <v>OK</v>
      </c>
      <c r="K3" s="2">
        <v>46028</v>
      </c>
      <c r="L3" s="2">
        <v>46028</v>
      </c>
      <c r="M3" t="str">
        <f t="shared" si="3"/>
        <v>OK</v>
      </c>
      <c r="N3" t="s">
        <v>46</v>
      </c>
      <c r="O3" t="s">
        <v>31</v>
      </c>
    </row>
    <row r="4" spans="1:15" hidden="1" x14ac:dyDescent="0.25">
      <c r="A4" t="s">
        <v>57</v>
      </c>
      <c r="B4" t="s">
        <v>35</v>
      </c>
      <c r="C4" t="s">
        <v>33</v>
      </c>
      <c r="D4">
        <v>3089</v>
      </c>
      <c r="E4">
        <v>3089</v>
      </c>
      <c r="F4" t="str">
        <f t="shared" si="0"/>
        <v>OK</v>
      </c>
      <c r="G4" s="2">
        <v>45937</v>
      </c>
      <c r="H4" s="2">
        <v>45937</v>
      </c>
      <c r="I4">
        <f t="shared" si="1"/>
        <v>0</v>
      </c>
      <c r="J4" t="str">
        <f t="shared" si="2"/>
        <v>OK</v>
      </c>
      <c r="K4" s="2">
        <v>46029</v>
      </c>
      <c r="L4" s="2">
        <v>46029</v>
      </c>
      <c r="M4" t="str">
        <f t="shared" si="3"/>
        <v>OK</v>
      </c>
      <c r="N4" t="s">
        <v>47</v>
      </c>
      <c r="O4" t="s">
        <v>31</v>
      </c>
    </row>
    <row r="5" spans="1:15" x14ac:dyDescent="0.25">
      <c r="A5" t="s">
        <v>57</v>
      </c>
      <c r="B5" t="s">
        <v>36</v>
      </c>
      <c r="C5" t="s">
        <v>7</v>
      </c>
      <c r="D5">
        <v>2486</v>
      </c>
      <c r="E5">
        <v>2468</v>
      </c>
      <c r="F5" t="str">
        <f t="shared" si="0"/>
        <v>Not</v>
      </c>
      <c r="G5" s="2">
        <v>45947</v>
      </c>
      <c r="H5" s="2">
        <v>45947</v>
      </c>
      <c r="I5">
        <f t="shared" si="1"/>
        <v>0</v>
      </c>
      <c r="J5" t="str">
        <f t="shared" si="2"/>
        <v>OK</v>
      </c>
      <c r="K5" s="2">
        <v>46028</v>
      </c>
      <c r="L5" s="2">
        <v>46028</v>
      </c>
      <c r="M5" t="str">
        <f t="shared" si="3"/>
        <v>OK</v>
      </c>
      <c r="N5" t="s">
        <v>48</v>
      </c>
      <c r="O5" t="s">
        <v>58</v>
      </c>
    </row>
    <row r="6" spans="1:15" hidden="1" x14ac:dyDescent="0.25">
      <c r="A6" t="s">
        <v>57</v>
      </c>
      <c r="B6" t="s">
        <v>37</v>
      </c>
      <c r="C6" t="s">
        <v>16</v>
      </c>
      <c r="D6">
        <v>940</v>
      </c>
      <c r="E6">
        <v>940</v>
      </c>
      <c r="F6" t="str">
        <f t="shared" si="0"/>
        <v>OK</v>
      </c>
      <c r="G6" s="2">
        <v>46009</v>
      </c>
      <c r="H6" s="2">
        <v>46007</v>
      </c>
      <c r="I6">
        <f t="shared" si="1"/>
        <v>-2</v>
      </c>
      <c r="J6" t="str">
        <f t="shared" si="2"/>
        <v>Not</v>
      </c>
      <c r="K6" s="2">
        <v>46028</v>
      </c>
      <c r="L6" s="2">
        <v>46028</v>
      </c>
      <c r="M6" t="str">
        <f t="shared" si="3"/>
        <v>OK</v>
      </c>
      <c r="N6" t="s">
        <v>49</v>
      </c>
      <c r="O6" t="s">
        <v>31</v>
      </c>
    </row>
    <row r="7" spans="1:15" hidden="1" x14ac:dyDescent="0.25">
      <c r="A7" t="s">
        <v>57</v>
      </c>
      <c r="B7" t="s">
        <v>38</v>
      </c>
      <c r="C7" t="s">
        <v>33</v>
      </c>
      <c r="D7">
        <v>3559</v>
      </c>
      <c r="E7">
        <v>3559</v>
      </c>
      <c r="F7" t="str">
        <f t="shared" si="0"/>
        <v>OK</v>
      </c>
      <c r="G7" s="2">
        <v>45880</v>
      </c>
      <c r="H7" s="2">
        <v>45880</v>
      </c>
      <c r="I7">
        <f t="shared" si="1"/>
        <v>0</v>
      </c>
      <c r="J7" t="str">
        <f t="shared" si="2"/>
        <v>OK</v>
      </c>
      <c r="K7" s="2">
        <v>46030</v>
      </c>
      <c r="L7" s="2">
        <v>46030</v>
      </c>
      <c r="M7" t="str">
        <f t="shared" si="3"/>
        <v>OK</v>
      </c>
      <c r="N7" t="s">
        <v>50</v>
      </c>
      <c r="O7" t="s">
        <v>31</v>
      </c>
    </row>
    <row r="8" spans="1:15" hidden="1" x14ac:dyDescent="0.25">
      <c r="A8" t="s">
        <v>57</v>
      </c>
      <c r="B8" t="s">
        <v>39</v>
      </c>
      <c r="C8" t="s">
        <v>16</v>
      </c>
      <c r="D8">
        <v>691</v>
      </c>
      <c r="E8">
        <v>691</v>
      </c>
      <c r="F8" t="str">
        <f t="shared" si="0"/>
        <v>OK</v>
      </c>
      <c r="G8" s="2">
        <v>45996</v>
      </c>
      <c r="H8" s="2">
        <v>45996</v>
      </c>
      <c r="I8">
        <f t="shared" si="1"/>
        <v>0</v>
      </c>
      <c r="J8" t="str">
        <f t="shared" si="2"/>
        <v>OK</v>
      </c>
      <c r="K8" s="2">
        <v>46030</v>
      </c>
      <c r="L8" s="2">
        <v>46030</v>
      </c>
      <c r="M8" t="str">
        <f t="shared" si="3"/>
        <v>OK</v>
      </c>
      <c r="N8" t="s">
        <v>51</v>
      </c>
      <c r="O8" t="s">
        <v>31</v>
      </c>
    </row>
    <row r="9" spans="1:15" x14ac:dyDescent="0.25">
      <c r="A9" t="s">
        <v>57</v>
      </c>
      <c r="B9" t="s">
        <v>40</v>
      </c>
      <c r="C9" t="s">
        <v>7</v>
      </c>
      <c r="D9">
        <v>1642</v>
      </c>
      <c r="E9">
        <v>1642</v>
      </c>
      <c r="F9" t="str">
        <f t="shared" si="0"/>
        <v>OK</v>
      </c>
      <c r="G9" s="2">
        <v>45983</v>
      </c>
      <c r="H9" s="2">
        <v>45983</v>
      </c>
      <c r="I9">
        <f t="shared" si="1"/>
        <v>0</v>
      </c>
      <c r="J9" t="str">
        <f t="shared" si="2"/>
        <v>OK</v>
      </c>
      <c r="K9" s="2">
        <v>46032</v>
      </c>
      <c r="L9" s="2">
        <v>46032</v>
      </c>
      <c r="M9" t="str">
        <f t="shared" si="3"/>
        <v>OK</v>
      </c>
      <c r="N9" t="s">
        <v>52</v>
      </c>
      <c r="O9" t="s">
        <v>59</v>
      </c>
    </row>
    <row r="10" spans="1:15" hidden="1" x14ac:dyDescent="0.25">
      <c r="A10" t="s">
        <v>57</v>
      </c>
      <c r="B10" t="s">
        <v>41</v>
      </c>
      <c r="C10" t="s">
        <v>16</v>
      </c>
      <c r="D10">
        <v>657</v>
      </c>
      <c r="E10">
        <v>657</v>
      </c>
      <c r="F10" t="str">
        <f t="shared" si="0"/>
        <v>OK</v>
      </c>
      <c r="G10" s="2">
        <v>46008</v>
      </c>
      <c r="H10" s="2">
        <v>46008</v>
      </c>
      <c r="I10">
        <f t="shared" si="1"/>
        <v>0</v>
      </c>
      <c r="J10" t="str">
        <f t="shared" si="2"/>
        <v>OK</v>
      </c>
      <c r="K10" s="2">
        <v>46030</v>
      </c>
      <c r="L10" s="2">
        <v>46030</v>
      </c>
      <c r="M10" t="str">
        <f t="shared" si="3"/>
        <v>OK</v>
      </c>
      <c r="N10" t="s">
        <v>53</v>
      </c>
      <c r="O10" t="s">
        <v>31</v>
      </c>
    </row>
    <row r="11" spans="1:15" hidden="1" x14ac:dyDescent="0.25">
      <c r="A11" t="s">
        <v>57</v>
      </c>
      <c r="B11" t="s">
        <v>42</v>
      </c>
      <c r="C11" t="s">
        <v>16</v>
      </c>
      <c r="D11">
        <v>956</v>
      </c>
      <c r="E11">
        <v>956</v>
      </c>
      <c r="F11" t="str">
        <f t="shared" si="0"/>
        <v>OK</v>
      </c>
      <c r="G11" s="2">
        <v>46023</v>
      </c>
      <c r="H11" s="2">
        <v>46020</v>
      </c>
      <c r="I11">
        <f t="shared" si="1"/>
        <v>-3</v>
      </c>
      <c r="J11" t="str">
        <f t="shared" si="2"/>
        <v>Not</v>
      </c>
      <c r="K11" s="2">
        <v>46031</v>
      </c>
      <c r="L11" s="2">
        <v>46031</v>
      </c>
      <c r="M11" t="str">
        <f t="shared" si="3"/>
        <v>OK</v>
      </c>
      <c r="N11" t="s">
        <v>54</v>
      </c>
      <c r="O11" t="s">
        <v>31</v>
      </c>
    </row>
    <row r="12" spans="1:15" hidden="1" x14ac:dyDescent="0.25">
      <c r="A12" t="s">
        <v>57</v>
      </c>
      <c r="B12" t="s">
        <v>43</v>
      </c>
      <c r="C12" t="s">
        <v>16</v>
      </c>
      <c r="D12">
        <v>984</v>
      </c>
      <c r="E12">
        <v>984</v>
      </c>
      <c r="F12" t="str">
        <f t="shared" si="0"/>
        <v>OK</v>
      </c>
      <c r="G12" s="2">
        <v>45990</v>
      </c>
      <c r="H12" s="2">
        <v>45990</v>
      </c>
      <c r="I12">
        <f t="shared" si="1"/>
        <v>0</v>
      </c>
      <c r="J12" t="str">
        <f t="shared" si="2"/>
        <v>OK</v>
      </c>
      <c r="K12" s="2">
        <v>46032</v>
      </c>
      <c r="L12" s="2">
        <v>46032</v>
      </c>
      <c r="M12" t="str">
        <f t="shared" si="3"/>
        <v>OK</v>
      </c>
      <c r="N12" t="s">
        <v>55</v>
      </c>
      <c r="O12" t="s">
        <v>31</v>
      </c>
    </row>
    <row r="13" spans="1:15" hidden="1" x14ac:dyDescent="0.25">
      <c r="A13" t="s">
        <v>57</v>
      </c>
      <c r="B13" t="s">
        <v>44</v>
      </c>
      <c r="C13" t="s">
        <v>33</v>
      </c>
      <c r="D13">
        <v>5660</v>
      </c>
      <c r="E13">
        <v>5660</v>
      </c>
      <c r="F13" t="str">
        <f t="shared" si="0"/>
        <v>OK</v>
      </c>
      <c r="G13" s="2">
        <v>45888</v>
      </c>
      <c r="H13" s="2">
        <v>45888</v>
      </c>
      <c r="I13">
        <f t="shared" si="1"/>
        <v>0</v>
      </c>
      <c r="J13" t="str">
        <f t="shared" si="2"/>
        <v>OK</v>
      </c>
      <c r="K13" s="2">
        <v>46030</v>
      </c>
      <c r="L13" s="2">
        <v>46030</v>
      </c>
      <c r="M13" t="str">
        <f t="shared" si="3"/>
        <v>OK</v>
      </c>
      <c r="N13" t="s">
        <v>56</v>
      </c>
      <c r="O13" t="s">
        <v>31</v>
      </c>
    </row>
  </sheetData>
  <autoFilter ref="A1:O13" xr:uid="{9C1C717E-0D5B-4C45-ABC0-78FFC374CC85}">
    <filterColumn colId="14">
      <filters>
        <filter val="KM tidak jelas"/>
        <filter val="Speedo tidak sesuai tipe"/>
      </filters>
    </filterColumn>
    <sortState xmlns:xlrd2="http://schemas.microsoft.com/office/spreadsheetml/2017/richdata2" ref="A2:O13">
      <sortCondition ref="B1:B13"/>
    </sortState>
  </autoFilter>
  <phoneticPr fontId="3" type="noConversion"/>
  <conditionalFormatting sqref="B1:B1048576">
    <cfRule type="duplicateValues" dxfId="62" priority="2"/>
    <cfRule type="duplicateValues" dxfId="61" priority="3"/>
    <cfRule type="duplicateValues" dxfId="60" priority="5"/>
    <cfRule type="duplicateValues" dxfId="59" priority="12"/>
    <cfRule type="duplicateValues" dxfId="58" priority="14"/>
  </conditionalFormatting>
  <conditionalFormatting sqref="D1:D1048576">
    <cfRule type="duplicateValues" dxfId="57" priority="1"/>
    <cfRule type="duplicateValues" dxfId="56" priority="4"/>
    <cfRule type="duplicateValues" dxfId="55" priority="11"/>
  </conditionalFormatting>
  <conditionalFormatting sqref="F1:F1048576 J2:J13 M2:M13">
    <cfRule type="containsText" dxfId="54" priority="10" operator="containsText" text="Not">
      <formula>NOT(ISERROR(SEARCH("Not",F1)))</formula>
    </cfRule>
    <cfRule type="containsText" dxfId="53" priority="13" operator="containsText" text="OK">
      <formula>NOT(ISERROR(SEARCH("OK",F1)))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1C52-ECC0-4ECB-AAD8-251E1E2990EF}">
  <sheetPr filterMode="1"/>
  <dimension ref="A1:O16"/>
  <sheetViews>
    <sheetView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19.42578125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7" width="11.85546875" style="2" customWidth="1"/>
    <col min="8" max="10" width="11.85546875" customWidth="1"/>
    <col min="11" max="11" width="13.28515625" style="2" customWidth="1"/>
    <col min="12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8</v>
      </c>
      <c r="B1" s="1" t="s">
        <v>0</v>
      </c>
      <c r="C1" s="1" t="s">
        <v>1</v>
      </c>
      <c r="D1" s="1" t="s">
        <v>2</v>
      </c>
      <c r="E1" s="1" t="s">
        <v>13</v>
      </c>
      <c r="F1" s="1" t="s">
        <v>14</v>
      </c>
      <c r="G1" s="5" t="s">
        <v>3</v>
      </c>
      <c r="H1" s="1" t="s">
        <v>9</v>
      </c>
      <c r="I1" s="4" t="s">
        <v>15</v>
      </c>
      <c r="J1" s="1" t="s">
        <v>10</v>
      </c>
      <c r="K1" s="5" t="s">
        <v>4</v>
      </c>
      <c r="L1" s="1" t="s">
        <v>11</v>
      </c>
      <c r="M1" s="1" t="s">
        <v>12</v>
      </c>
      <c r="N1" s="1" t="s">
        <v>5</v>
      </c>
      <c r="O1" s="1" t="s">
        <v>6</v>
      </c>
    </row>
    <row r="2" spans="1:15" hidden="1" x14ac:dyDescent="0.25">
      <c r="A2" t="s">
        <v>90</v>
      </c>
      <c r="B2" t="s">
        <v>60</v>
      </c>
      <c r="C2" t="s">
        <v>33</v>
      </c>
      <c r="D2">
        <v>4254</v>
      </c>
      <c r="E2">
        <v>4254</v>
      </c>
      <c r="F2" t="str">
        <f t="shared" ref="F2:F16" si="0">IF(D2=E2,"OK","Not")</f>
        <v>OK</v>
      </c>
      <c r="G2" s="2">
        <v>45943</v>
      </c>
      <c r="H2" s="2">
        <v>45943</v>
      </c>
      <c r="I2">
        <f t="shared" ref="I2:I16" si="1">H2-G2</f>
        <v>0</v>
      </c>
      <c r="J2" t="str">
        <f t="shared" ref="J2:J16" si="2">IF(H2=G2,"OK","Not")</f>
        <v>OK</v>
      </c>
      <c r="K2" s="2">
        <v>46034</v>
      </c>
      <c r="L2" s="2">
        <v>46034</v>
      </c>
      <c r="M2" t="str">
        <f t="shared" ref="M2:M16" si="3">IF(K2=L2,"OK","Not")</f>
        <v>OK</v>
      </c>
      <c r="N2" t="s">
        <v>75</v>
      </c>
      <c r="O2" t="s">
        <v>31</v>
      </c>
    </row>
    <row r="3" spans="1:15" hidden="1" x14ac:dyDescent="0.25">
      <c r="A3" t="s">
        <v>90</v>
      </c>
      <c r="B3" t="s">
        <v>61</v>
      </c>
      <c r="C3" t="s">
        <v>33</v>
      </c>
      <c r="D3">
        <v>3072</v>
      </c>
      <c r="E3">
        <v>3072</v>
      </c>
      <c r="F3" t="str">
        <f t="shared" si="0"/>
        <v>OK</v>
      </c>
      <c r="G3" s="2">
        <v>45936</v>
      </c>
      <c r="H3" s="2">
        <v>45936</v>
      </c>
      <c r="I3">
        <f t="shared" si="1"/>
        <v>0</v>
      </c>
      <c r="J3" t="str">
        <f t="shared" si="2"/>
        <v>OK</v>
      </c>
      <c r="K3" s="2">
        <v>46035</v>
      </c>
      <c r="L3" s="2">
        <v>46035</v>
      </c>
      <c r="M3" t="str">
        <f t="shared" si="3"/>
        <v>OK</v>
      </c>
      <c r="N3" t="s">
        <v>76</v>
      </c>
      <c r="O3" t="s">
        <v>31</v>
      </c>
    </row>
    <row r="4" spans="1:15" hidden="1" x14ac:dyDescent="0.25">
      <c r="A4" t="s">
        <v>90</v>
      </c>
      <c r="B4" t="s">
        <v>62</v>
      </c>
      <c r="C4" t="s">
        <v>16</v>
      </c>
      <c r="D4">
        <v>852</v>
      </c>
      <c r="E4">
        <v>852</v>
      </c>
      <c r="F4" t="str">
        <f t="shared" si="0"/>
        <v>OK</v>
      </c>
      <c r="G4" s="2">
        <v>45982</v>
      </c>
      <c r="H4" s="2">
        <v>45982</v>
      </c>
      <c r="I4">
        <f t="shared" si="1"/>
        <v>0</v>
      </c>
      <c r="J4" t="str">
        <f t="shared" si="2"/>
        <v>OK</v>
      </c>
      <c r="K4" s="2">
        <v>46035</v>
      </c>
      <c r="L4" s="2">
        <v>46035</v>
      </c>
      <c r="M4" t="str">
        <f t="shared" si="3"/>
        <v>OK</v>
      </c>
      <c r="N4" t="s">
        <v>77</v>
      </c>
      <c r="O4" t="s">
        <v>31</v>
      </c>
    </row>
    <row r="5" spans="1:15" hidden="1" x14ac:dyDescent="0.25">
      <c r="A5" t="s">
        <v>90</v>
      </c>
      <c r="B5" t="s">
        <v>63</v>
      </c>
      <c r="C5" t="s">
        <v>7</v>
      </c>
      <c r="D5">
        <v>2279</v>
      </c>
      <c r="E5">
        <v>2279</v>
      </c>
      <c r="F5" t="str">
        <f t="shared" si="0"/>
        <v>OK</v>
      </c>
      <c r="G5" s="2">
        <v>45976</v>
      </c>
      <c r="H5" s="2">
        <v>45976</v>
      </c>
      <c r="I5">
        <f t="shared" si="1"/>
        <v>0</v>
      </c>
      <c r="J5" t="str">
        <f t="shared" si="2"/>
        <v>OK</v>
      </c>
      <c r="K5" s="2">
        <v>46037</v>
      </c>
      <c r="L5" s="2">
        <v>46037</v>
      </c>
      <c r="M5" t="str">
        <f t="shared" si="3"/>
        <v>OK</v>
      </c>
      <c r="N5" t="s">
        <v>78</v>
      </c>
      <c r="O5" t="s">
        <v>31</v>
      </c>
    </row>
    <row r="6" spans="1:15" hidden="1" x14ac:dyDescent="0.25">
      <c r="A6" t="s">
        <v>90</v>
      </c>
      <c r="B6" t="s">
        <v>64</v>
      </c>
      <c r="C6" t="s">
        <v>7</v>
      </c>
      <c r="D6">
        <v>2256</v>
      </c>
      <c r="E6">
        <v>2256</v>
      </c>
      <c r="F6" t="str">
        <f t="shared" si="0"/>
        <v>OK</v>
      </c>
      <c r="G6" s="2">
        <v>45974</v>
      </c>
      <c r="H6" s="2">
        <v>45974</v>
      </c>
      <c r="I6">
        <f t="shared" si="1"/>
        <v>0</v>
      </c>
      <c r="J6" t="str">
        <f t="shared" si="2"/>
        <v>OK</v>
      </c>
      <c r="K6" s="2">
        <v>46034</v>
      </c>
      <c r="L6" s="2">
        <v>46034</v>
      </c>
      <c r="M6" t="str">
        <f t="shared" si="3"/>
        <v>OK</v>
      </c>
      <c r="N6" t="s">
        <v>79</v>
      </c>
      <c r="O6" t="s">
        <v>31</v>
      </c>
    </row>
    <row r="7" spans="1:15" hidden="1" x14ac:dyDescent="0.25">
      <c r="A7" t="s">
        <v>90</v>
      </c>
      <c r="B7" t="s">
        <v>65</v>
      </c>
      <c r="C7" t="s">
        <v>16</v>
      </c>
      <c r="D7">
        <v>572</v>
      </c>
      <c r="E7">
        <v>572</v>
      </c>
      <c r="F7" t="str">
        <f t="shared" si="0"/>
        <v>OK</v>
      </c>
      <c r="G7" s="2">
        <v>46014</v>
      </c>
      <c r="H7" s="2">
        <v>46013</v>
      </c>
      <c r="I7">
        <f t="shared" si="1"/>
        <v>-1</v>
      </c>
      <c r="J7" t="str">
        <f t="shared" si="2"/>
        <v>Not</v>
      </c>
      <c r="K7" s="2">
        <v>46037</v>
      </c>
      <c r="L7" s="2">
        <v>46037</v>
      </c>
      <c r="M7" t="str">
        <f t="shared" si="3"/>
        <v>OK</v>
      </c>
      <c r="N7" t="s">
        <v>80</v>
      </c>
      <c r="O7" t="s">
        <v>31</v>
      </c>
    </row>
    <row r="8" spans="1:15" hidden="1" x14ac:dyDescent="0.25">
      <c r="A8" t="s">
        <v>90</v>
      </c>
      <c r="B8" t="s">
        <v>66</v>
      </c>
      <c r="C8" t="s">
        <v>16</v>
      </c>
      <c r="D8">
        <v>216</v>
      </c>
      <c r="E8">
        <v>216</v>
      </c>
      <c r="F8" t="str">
        <f t="shared" si="0"/>
        <v>OK</v>
      </c>
      <c r="G8" s="2">
        <v>46007</v>
      </c>
      <c r="H8" s="2">
        <v>46007</v>
      </c>
      <c r="I8">
        <f t="shared" si="1"/>
        <v>0</v>
      </c>
      <c r="J8" t="str">
        <f t="shared" si="2"/>
        <v>OK</v>
      </c>
      <c r="K8" s="2">
        <v>46036</v>
      </c>
      <c r="L8" s="2">
        <v>46036</v>
      </c>
      <c r="M8" t="str">
        <f t="shared" si="3"/>
        <v>OK</v>
      </c>
      <c r="N8" t="s">
        <v>81</v>
      </c>
      <c r="O8" t="s">
        <v>31</v>
      </c>
    </row>
    <row r="9" spans="1:15" hidden="1" x14ac:dyDescent="0.25">
      <c r="A9" t="s">
        <v>90</v>
      </c>
      <c r="B9" t="s">
        <v>67</v>
      </c>
      <c r="C9" t="s">
        <v>7</v>
      </c>
      <c r="D9">
        <v>1155</v>
      </c>
      <c r="E9">
        <v>1155</v>
      </c>
      <c r="F9" t="str">
        <f t="shared" si="0"/>
        <v>OK</v>
      </c>
      <c r="G9" s="2">
        <v>45948</v>
      </c>
      <c r="H9" s="2">
        <v>45948</v>
      </c>
      <c r="I9">
        <f t="shared" si="1"/>
        <v>0</v>
      </c>
      <c r="J9" t="str">
        <f t="shared" si="2"/>
        <v>OK</v>
      </c>
      <c r="K9" s="2">
        <v>46034</v>
      </c>
      <c r="L9" s="2">
        <v>46034</v>
      </c>
      <c r="M9" t="str">
        <f t="shared" si="3"/>
        <v>OK</v>
      </c>
      <c r="N9" t="s">
        <v>82</v>
      </c>
      <c r="O9" t="s">
        <v>31</v>
      </c>
    </row>
    <row r="10" spans="1:15" x14ac:dyDescent="0.25">
      <c r="A10" t="s">
        <v>90</v>
      </c>
      <c r="B10" s="6" t="s">
        <v>68</v>
      </c>
      <c r="C10" t="s">
        <v>7</v>
      </c>
      <c r="D10">
        <v>3128</v>
      </c>
      <c r="E10">
        <v>3128</v>
      </c>
      <c r="F10" t="str">
        <f t="shared" si="0"/>
        <v>OK</v>
      </c>
      <c r="G10" s="2">
        <v>45975</v>
      </c>
      <c r="H10" s="2">
        <v>45945</v>
      </c>
      <c r="I10">
        <f t="shared" si="1"/>
        <v>-30</v>
      </c>
      <c r="J10" t="str">
        <f t="shared" si="2"/>
        <v>Not</v>
      </c>
      <c r="K10" s="2">
        <v>46036</v>
      </c>
      <c r="L10" s="2">
        <v>46036</v>
      </c>
      <c r="M10" t="str">
        <f t="shared" si="3"/>
        <v>OK</v>
      </c>
      <c r="N10" t="s">
        <v>83</v>
      </c>
      <c r="O10" t="s">
        <v>91</v>
      </c>
    </row>
    <row r="11" spans="1:15" hidden="1" x14ac:dyDescent="0.25">
      <c r="A11" t="s">
        <v>90</v>
      </c>
      <c r="B11" t="s">
        <v>69</v>
      </c>
      <c r="C11" t="s">
        <v>16</v>
      </c>
      <c r="D11">
        <v>959</v>
      </c>
      <c r="E11">
        <v>959</v>
      </c>
      <c r="F11" t="str">
        <f t="shared" si="0"/>
        <v>OK</v>
      </c>
      <c r="G11" s="2">
        <v>46022</v>
      </c>
      <c r="H11" s="2">
        <v>46022</v>
      </c>
      <c r="I11">
        <f t="shared" si="1"/>
        <v>0</v>
      </c>
      <c r="J11" t="str">
        <f t="shared" si="2"/>
        <v>OK</v>
      </c>
      <c r="K11" s="2">
        <v>46037</v>
      </c>
      <c r="L11" s="2">
        <v>46037</v>
      </c>
      <c r="M11" t="str">
        <f t="shared" si="3"/>
        <v>OK</v>
      </c>
      <c r="N11" t="s">
        <v>84</v>
      </c>
      <c r="O11" t="s">
        <v>31</v>
      </c>
    </row>
    <row r="12" spans="1:15" hidden="1" x14ac:dyDescent="0.25">
      <c r="A12" t="s">
        <v>90</v>
      </c>
      <c r="B12" t="s">
        <v>70</v>
      </c>
      <c r="C12" t="s">
        <v>33</v>
      </c>
      <c r="D12">
        <v>2312</v>
      </c>
      <c r="E12">
        <v>2312</v>
      </c>
      <c r="F12" t="str">
        <f t="shared" si="0"/>
        <v>OK</v>
      </c>
      <c r="G12" s="7">
        <v>45849</v>
      </c>
      <c r="H12" s="7">
        <v>45849</v>
      </c>
      <c r="I12">
        <f t="shared" si="1"/>
        <v>0</v>
      </c>
      <c r="J12" t="str">
        <f t="shared" si="2"/>
        <v>OK</v>
      </c>
      <c r="K12" s="2">
        <v>46037</v>
      </c>
      <c r="L12" s="2">
        <v>46037</v>
      </c>
      <c r="M12" t="str">
        <f t="shared" si="3"/>
        <v>OK</v>
      </c>
      <c r="N12" t="s">
        <v>85</v>
      </c>
      <c r="O12" t="s">
        <v>31</v>
      </c>
    </row>
    <row r="13" spans="1:15" hidden="1" x14ac:dyDescent="0.25">
      <c r="A13" t="s">
        <v>90</v>
      </c>
      <c r="B13" t="s">
        <v>71</v>
      </c>
      <c r="C13" t="s">
        <v>33</v>
      </c>
      <c r="D13">
        <v>3812</v>
      </c>
      <c r="E13">
        <v>3812</v>
      </c>
      <c r="F13" t="str">
        <f t="shared" si="0"/>
        <v>OK</v>
      </c>
      <c r="G13" s="2">
        <v>45862</v>
      </c>
      <c r="H13" s="2">
        <v>45862</v>
      </c>
      <c r="I13">
        <f t="shared" si="1"/>
        <v>0</v>
      </c>
      <c r="J13" t="str">
        <f t="shared" si="2"/>
        <v>OK</v>
      </c>
      <c r="K13" s="2">
        <v>46035</v>
      </c>
      <c r="L13" s="2">
        <v>46035</v>
      </c>
      <c r="M13" t="str">
        <f t="shared" si="3"/>
        <v>OK</v>
      </c>
      <c r="N13" t="s">
        <v>86</v>
      </c>
      <c r="O13" t="s">
        <v>31</v>
      </c>
    </row>
    <row r="14" spans="1:15" hidden="1" x14ac:dyDescent="0.25">
      <c r="A14" t="s">
        <v>90</v>
      </c>
      <c r="B14" t="s">
        <v>72</v>
      </c>
      <c r="C14" t="s">
        <v>33</v>
      </c>
      <c r="D14">
        <v>3028</v>
      </c>
      <c r="E14">
        <v>3028</v>
      </c>
      <c r="F14" t="str">
        <f t="shared" si="0"/>
        <v>OK</v>
      </c>
      <c r="G14" s="2">
        <v>45910</v>
      </c>
      <c r="H14" s="2">
        <v>45910</v>
      </c>
      <c r="I14">
        <f t="shared" si="1"/>
        <v>0</v>
      </c>
      <c r="J14" t="str">
        <f t="shared" si="2"/>
        <v>OK</v>
      </c>
      <c r="K14" s="2">
        <v>46034</v>
      </c>
      <c r="L14" s="2">
        <v>46034</v>
      </c>
      <c r="M14" t="str">
        <f t="shared" si="3"/>
        <v>OK</v>
      </c>
      <c r="N14" t="s">
        <v>87</v>
      </c>
      <c r="O14" t="s">
        <v>31</v>
      </c>
    </row>
    <row r="15" spans="1:15" hidden="1" x14ac:dyDescent="0.25">
      <c r="A15" t="s">
        <v>90</v>
      </c>
      <c r="B15" t="s">
        <v>73</v>
      </c>
      <c r="C15" t="s">
        <v>16</v>
      </c>
      <c r="D15">
        <v>954</v>
      </c>
      <c r="E15">
        <v>954</v>
      </c>
      <c r="F15" t="str">
        <f t="shared" si="0"/>
        <v>OK</v>
      </c>
      <c r="G15" s="2">
        <v>46018</v>
      </c>
      <c r="H15" s="2">
        <v>46017</v>
      </c>
      <c r="I15">
        <f t="shared" si="1"/>
        <v>-1</v>
      </c>
      <c r="J15" t="str">
        <f t="shared" si="2"/>
        <v>Not</v>
      </c>
      <c r="K15" s="2">
        <v>46036</v>
      </c>
      <c r="L15" s="2">
        <v>46036</v>
      </c>
      <c r="M15" t="str">
        <f t="shared" si="3"/>
        <v>OK</v>
      </c>
      <c r="N15" t="s">
        <v>88</v>
      </c>
      <c r="O15" t="s">
        <v>31</v>
      </c>
    </row>
    <row r="16" spans="1:15" hidden="1" x14ac:dyDescent="0.25">
      <c r="A16" t="s">
        <v>90</v>
      </c>
      <c r="B16" t="s">
        <v>74</v>
      </c>
      <c r="C16" t="s">
        <v>16</v>
      </c>
      <c r="D16">
        <v>659</v>
      </c>
      <c r="E16">
        <v>659</v>
      </c>
      <c r="F16" t="str">
        <f t="shared" si="0"/>
        <v>OK</v>
      </c>
      <c r="G16" s="2">
        <v>45994</v>
      </c>
      <c r="H16" s="2">
        <v>45994</v>
      </c>
      <c r="I16">
        <f t="shared" si="1"/>
        <v>0</v>
      </c>
      <c r="J16" t="str">
        <f t="shared" si="2"/>
        <v>OK</v>
      </c>
      <c r="K16" s="2">
        <v>46036</v>
      </c>
      <c r="L16" s="2">
        <v>46036</v>
      </c>
      <c r="M16" t="str">
        <f t="shared" si="3"/>
        <v>OK</v>
      </c>
      <c r="N16" t="s">
        <v>89</v>
      </c>
      <c r="O16" t="s">
        <v>31</v>
      </c>
    </row>
  </sheetData>
  <autoFilter ref="A1:O16" xr:uid="{BF531C52-ECC0-4ECB-AAD8-251E1E2990EF}">
    <filterColumn colId="14">
      <filters>
        <filter val="Salah input nosin dan tgl beli (tgl beli yg seharusnya sudah melebihi batas maks-tidak bisa klaim)"/>
      </filters>
    </filterColumn>
    <sortState xmlns:xlrd2="http://schemas.microsoft.com/office/spreadsheetml/2017/richdata2" ref="A2:O16">
      <sortCondition ref="B1:B16"/>
    </sortState>
  </autoFilter>
  <phoneticPr fontId="3" type="noConversion"/>
  <conditionalFormatting sqref="B1:B1048576">
    <cfRule type="duplicateValues" dxfId="52" priority="3"/>
    <cfRule type="duplicateValues" dxfId="51" priority="11"/>
    <cfRule type="duplicateValues" dxfId="50" priority="12"/>
    <cfRule type="duplicateValues" dxfId="49" priority="14"/>
    <cfRule type="duplicateValues" dxfId="48" priority="17"/>
    <cfRule type="duplicateValues" dxfId="47" priority="19"/>
  </conditionalFormatting>
  <conditionalFormatting sqref="D1:D1048576">
    <cfRule type="duplicateValues" dxfId="46" priority="1"/>
    <cfRule type="duplicateValues" dxfId="45" priority="2"/>
    <cfRule type="duplicateValues" dxfId="44" priority="10"/>
    <cfRule type="duplicateValues" dxfId="43" priority="13"/>
    <cfRule type="duplicateValues" dxfId="42" priority="16"/>
  </conditionalFormatting>
  <conditionalFormatting sqref="F1:F1048576">
    <cfRule type="containsText" dxfId="41" priority="8" operator="containsText" text="Not">
      <formula>NOT(ISERROR(SEARCH("Not",F1)))</formula>
    </cfRule>
    <cfRule type="containsText" dxfId="40" priority="9" operator="containsText" text="OK">
      <formula>NOT(ISERROR(SEARCH("OK",F1)))</formula>
    </cfRule>
  </conditionalFormatting>
  <conditionalFormatting sqref="J2:J16">
    <cfRule type="containsText" dxfId="39" priority="4" operator="containsText" text="Not">
      <formula>NOT(ISERROR(SEARCH("Not",J2)))</formula>
    </cfRule>
    <cfRule type="containsText" dxfId="38" priority="5" operator="containsText" text="OK">
      <formula>NOT(ISERROR(SEARCH("OK",J2)))</formula>
    </cfRule>
  </conditionalFormatting>
  <conditionalFormatting sqref="M2:M16">
    <cfRule type="containsText" dxfId="37" priority="6" operator="containsText" text="Not">
      <formula>NOT(ISERROR(SEARCH("Not",M2)))</formula>
    </cfRule>
    <cfRule type="containsText" dxfId="36" priority="7" operator="containsText" text="OK">
      <formula>NOT(ISERROR(SEARCH("OK",M2)))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62E6-0C7C-4C51-96ED-A5152F63E7E0}">
  <sheetPr filterMode="1"/>
  <dimension ref="A1:O10"/>
  <sheetViews>
    <sheetView workbookViewId="0">
      <pane ySplit="1" topLeftCell="A9" activePane="bottomLeft" state="frozen"/>
      <selection pane="bottomLeft" activeCell="G16" sqref="G16"/>
    </sheetView>
  </sheetViews>
  <sheetFormatPr defaultRowHeight="15" x14ac:dyDescent="0.25"/>
  <cols>
    <col min="1" max="1" width="19.42578125" bestFit="1" customWidth="1"/>
    <col min="2" max="2" width="13.85546875" style="9" bestFit="1" customWidth="1"/>
    <col min="3" max="3" width="9.28515625" bestFit="1" customWidth="1"/>
    <col min="4" max="4" width="6" bestFit="1" customWidth="1"/>
    <col min="5" max="6" width="6" customWidth="1"/>
    <col min="7" max="7" width="11.85546875" style="2" customWidth="1"/>
    <col min="8" max="10" width="11.85546875" customWidth="1"/>
    <col min="11" max="11" width="13.28515625" style="2" customWidth="1"/>
    <col min="12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8</v>
      </c>
      <c r="B1" s="8" t="s">
        <v>0</v>
      </c>
      <c r="C1" s="1" t="s">
        <v>1</v>
      </c>
      <c r="D1" s="1" t="s">
        <v>2</v>
      </c>
      <c r="E1" s="1" t="s">
        <v>13</v>
      </c>
      <c r="F1" s="1" t="s">
        <v>14</v>
      </c>
      <c r="G1" s="5" t="s">
        <v>3</v>
      </c>
      <c r="H1" s="1" t="s">
        <v>9</v>
      </c>
      <c r="I1" s="4" t="s">
        <v>15</v>
      </c>
      <c r="J1" s="1" t="s">
        <v>10</v>
      </c>
      <c r="K1" s="5" t="s">
        <v>4</v>
      </c>
      <c r="L1" s="1" t="s">
        <v>11</v>
      </c>
      <c r="M1" s="1" t="s">
        <v>12</v>
      </c>
      <c r="N1" s="1" t="s">
        <v>5</v>
      </c>
      <c r="O1" s="1" t="s">
        <v>6</v>
      </c>
    </row>
    <row r="2" spans="1:15" hidden="1" x14ac:dyDescent="0.25">
      <c r="A2" t="s">
        <v>110</v>
      </c>
      <c r="B2" s="9" t="s">
        <v>92</v>
      </c>
      <c r="C2" t="s">
        <v>33</v>
      </c>
      <c r="D2">
        <v>5360</v>
      </c>
      <c r="E2">
        <v>5360</v>
      </c>
      <c r="F2" t="str">
        <f t="shared" ref="F2:F10" si="0">IF(D2=E2,"OK","Not")</f>
        <v>OK</v>
      </c>
      <c r="G2" s="2">
        <v>45909</v>
      </c>
      <c r="H2" s="2">
        <v>45909</v>
      </c>
      <c r="I2">
        <f t="shared" ref="I2:I10" si="1">H2-G2</f>
        <v>0</v>
      </c>
      <c r="J2" t="str">
        <f t="shared" ref="J2:J10" si="2">IF(H2=G2,"OK","Not")</f>
        <v>OK</v>
      </c>
      <c r="K2" s="2">
        <v>46039</v>
      </c>
      <c r="L2" s="2">
        <v>46039</v>
      </c>
      <c r="M2" t="str">
        <f t="shared" ref="M2:M10" si="3">IF(K2=L2,"OK","Not")</f>
        <v>OK</v>
      </c>
      <c r="N2" t="s">
        <v>101</v>
      </c>
      <c r="O2" t="s">
        <v>31</v>
      </c>
    </row>
    <row r="3" spans="1:15" hidden="1" x14ac:dyDescent="0.25">
      <c r="A3" t="s">
        <v>110</v>
      </c>
      <c r="B3" s="9" t="s">
        <v>93</v>
      </c>
      <c r="C3" t="s">
        <v>7</v>
      </c>
      <c r="D3">
        <v>1631</v>
      </c>
      <c r="E3">
        <v>1631</v>
      </c>
      <c r="F3" t="str">
        <f t="shared" si="0"/>
        <v>OK</v>
      </c>
      <c r="G3" s="2">
        <v>45979</v>
      </c>
      <c r="H3" s="2">
        <v>45979</v>
      </c>
      <c r="I3">
        <f t="shared" si="1"/>
        <v>0</v>
      </c>
      <c r="J3" t="str">
        <f t="shared" si="2"/>
        <v>OK</v>
      </c>
      <c r="K3" s="2">
        <v>46041</v>
      </c>
      <c r="L3" s="2">
        <v>46041</v>
      </c>
      <c r="M3" t="str">
        <f t="shared" si="3"/>
        <v>OK</v>
      </c>
      <c r="N3" t="s">
        <v>102</v>
      </c>
      <c r="O3" t="s">
        <v>31</v>
      </c>
    </row>
    <row r="4" spans="1:15" hidden="1" x14ac:dyDescent="0.25">
      <c r="A4" t="s">
        <v>110</v>
      </c>
      <c r="B4" s="10" t="s">
        <v>94</v>
      </c>
      <c r="C4" t="s">
        <v>16</v>
      </c>
      <c r="D4">
        <v>323</v>
      </c>
      <c r="E4">
        <v>323</v>
      </c>
      <c r="F4" t="str">
        <f t="shared" si="0"/>
        <v>OK</v>
      </c>
      <c r="G4" s="11">
        <v>45985</v>
      </c>
      <c r="H4" s="11">
        <v>45985</v>
      </c>
      <c r="I4">
        <f t="shared" si="1"/>
        <v>0</v>
      </c>
      <c r="J4" t="str">
        <f t="shared" si="2"/>
        <v>OK</v>
      </c>
      <c r="K4" s="2">
        <v>46039</v>
      </c>
      <c r="L4" s="2">
        <v>46039</v>
      </c>
      <c r="M4" t="str">
        <f t="shared" si="3"/>
        <v>OK</v>
      </c>
      <c r="N4" t="s">
        <v>103</v>
      </c>
      <c r="O4" t="s">
        <v>31</v>
      </c>
    </row>
    <row r="5" spans="1:15" hidden="1" x14ac:dyDescent="0.25">
      <c r="A5" t="s">
        <v>110</v>
      </c>
      <c r="B5" s="9" t="s">
        <v>95</v>
      </c>
      <c r="C5" t="s">
        <v>7</v>
      </c>
      <c r="D5">
        <v>1837</v>
      </c>
      <c r="E5">
        <v>1837</v>
      </c>
      <c r="F5" t="str">
        <f t="shared" si="0"/>
        <v>OK</v>
      </c>
      <c r="G5" s="2">
        <v>45980</v>
      </c>
      <c r="H5" s="2">
        <v>45980</v>
      </c>
      <c r="I5">
        <f t="shared" si="1"/>
        <v>0</v>
      </c>
      <c r="J5" t="str">
        <f t="shared" si="2"/>
        <v>OK</v>
      </c>
      <c r="K5" s="2">
        <v>46041</v>
      </c>
      <c r="L5" s="2">
        <v>46041</v>
      </c>
      <c r="M5" t="str">
        <f t="shared" si="3"/>
        <v>OK</v>
      </c>
      <c r="N5" t="s">
        <v>104</v>
      </c>
      <c r="O5" t="s">
        <v>31</v>
      </c>
    </row>
    <row r="6" spans="1:15" hidden="1" x14ac:dyDescent="0.25">
      <c r="A6" t="s">
        <v>110</v>
      </c>
      <c r="B6" s="9" t="s">
        <v>96</v>
      </c>
      <c r="C6" t="s">
        <v>7</v>
      </c>
      <c r="D6">
        <v>1227</v>
      </c>
      <c r="E6">
        <v>1227</v>
      </c>
      <c r="F6" t="str">
        <f t="shared" si="0"/>
        <v>OK</v>
      </c>
      <c r="G6" s="2">
        <v>45947</v>
      </c>
      <c r="H6" s="2">
        <v>45947</v>
      </c>
      <c r="I6">
        <f t="shared" si="1"/>
        <v>0</v>
      </c>
      <c r="J6" t="str">
        <f t="shared" si="2"/>
        <v>OK</v>
      </c>
      <c r="K6" s="2">
        <v>46039</v>
      </c>
      <c r="L6" s="2">
        <v>46039</v>
      </c>
      <c r="M6" t="str">
        <f t="shared" si="3"/>
        <v>OK</v>
      </c>
      <c r="N6" t="s">
        <v>105</v>
      </c>
      <c r="O6" t="s">
        <v>31</v>
      </c>
    </row>
    <row r="7" spans="1:15" hidden="1" x14ac:dyDescent="0.25">
      <c r="A7" t="s">
        <v>110</v>
      </c>
      <c r="B7" s="9" t="s">
        <v>97</v>
      </c>
      <c r="C7" t="s">
        <v>16</v>
      </c>
      <c r="D7">
        <v>490</v>
      </c>
      <c r="E7">
        <v>490</v>
      </c>
      <c r="F7" t="str">
        <f t="shared" si="0"/>
        <v>OK</v>
      </c>
      <c r="G7" s="2">
        <v>46023</v>
      </c>
      <c r="H7" s="2">
        <v>46023</v>
      </c>
      <c r="I7">
        <f t="shared" si="1"/>
        <v>0</v>
      </c>
      <c r="J7" t="str">
        <f t="shared" si="2"/>
        <v>OK</v>
      </c>
      <c r="K7" s="2">
        <v>46039</v>
      </c>
      <c r="L7" s="2">
        <v>46039</v>
      </c>
      <c r="M7" t="str">
        <f t="shared" si="3"/>
        <v>OK</v>
      </c>
      <c r="N7" t="s">
        <v>106</v>
      </c>
      <c r="O7" t="s">
        <v>31</v>
      </c>
    </row>
    <row r="8" spans="1:15" hidden="1" x14ac:dyDescent="0.25">
      <c r="A8" t="s">
        <v>110</v>
      </c>
      <c r="B8" s="9" t="s">
        <v>98</v>
      </c>
      <c r="C8" t="s">
        <v>16</v>
      </c>
      <c r="D8">
        <v>859</v>
      </c>
      <c r="E8">
        <v>859</v>
      </c>
      <c r="F8" t="str">
        <f t="shared" si="0"/>
        <v>OK</v>
      </c>
      <c r="G8" s="2">
        <v>45990</v>
      </c>
      <c r="H8" s="2">
        <v>45990</v>
      </c>
      <c r="I8">
        <f t="shared" si="1"/>
        <v>0</v>
      </c>
      <c r="J8" t="str">
        <f t="shared" si="2"/>
        <v>OK</v>
      </c>
      <c r="K8" s="2">
        <v>46039</v>
      </c>
      <c r="L8" s="2">
        <v>46039</v>
      </c>
      <c r="M8" t="str">
        <f t="shared" si="3"/>
        <v>OK</v>
      </c>
      <c r="N8" t="s">
        <v>107</v>
      </c>
      <c r="O8" t="s">
        <v>31</v>
      </c>
    </row>
    <row r="9" spans="1:15" x14ac:dyDescent="0.25">
      <c r="A9" t="s">
        <v>110</v>
      </c>
      <c r="B9" s="9" t="s">
        <v>99</v>
      </c>
      <c r="C9" t="s">
        <v>16</v>
      </c>
      <c r="D9">
        <v>679</v>
      </c>
      <c r="E9">
        <v>697</v>
      </c>
      <c r="F9" t="str">
        <f t="shared" si="0"/>
        <v>Not</v>
      </c>
      <c r="G9" s="2">
        <v>46009</v>
      </c>
      <c r="H9" s="2">
        <v>46009</v>
      </c>
      <c r="I9">
        <f t="shared" si="1"/>
        <v>0</v>
      </c>
      <c r="J9" t="str">
        <f t="shared" si="2"/>
        <v>OK</v>
      </c>
      <c r="K9" s="2">
        <v>46041</v>
      </c>
      <c r="L9" s="2">
        <v>46041</v>
      </c>
      <c r="M9" t="str">
        <f t="shared" si="3"/>
        <v>OK</v>
      </c>
      <c r="N9" t="s">
        <v>108</v>
      </c>
      <c r="O9" t="s">
        <v>30</v>
      </c>
    </row>
    <row r="10" spans="1:15" hidden="1" x14ac:dyDescent="0.25">
      <c r="A10" t="s">
        <v>110</v>
      </c>
      <c r="B10" s="9" t="s">
        <v>100</v>
      </c>
      <c r="C10" t="s">
        <v>16</v>
      </c>
      <c r="D10">
        <v>831</v>
      </c>
      <c r="E10">
        <v>831</v>
      </c>
      <c r="F10" t="str">
        <f t="shared" si="0"/>
        <v>OK</v>
      </c>
      <c r="G10" s="2">
        <v>46011</v>
      </c>
      <c r="H10" s="2">
        <v>46010</v>
      </c>
      <c r="I10">
        <f t="shared" si="1"/>
        <v>-1</v>
      </c>
      <c r="J10" t="str">
        <f t="shared" si="2"/>
        <v>Not</v>
      </c>
      <c r="K10" s="2">
        <v>46041</v>
      </c>
      <c r="L10" s="2">
        <v>46041</v>
      </c>
      <c r="M10" t="str">
        <f t="shared" si="3"/>
        <v>OK</v>
      </c>
      <c r="N10" t="s">
        <v>109</v>
      </c>
      <c r="O10" t="s">
        <v>31</v>
      </c>
    </row>
  </sheetData>
  <autoFilter ref="A1:O10" xr:uid="{BF531C52-ECC0-4ECB-AAD8-251E1E2990EF}">
    <filterColumn colId="14">
      <filters>
        <filter val="Salah KM di WEBC"/>
      </filters>
    </filterColumn>
    <sortState xmlns:xlrd2="http://schemas.microsoft.com/office/spreadsheetml/2017/richdata2" ref="A2:O10">
      <sortCondition ref="B1:B10"/>
    </sortState>
  </autoFilter>
  <conditionalFormatting sqref="B1:B1048576">
    <cfRule type="duplicateValues" dxfId="35" priority="2"/>
    <cfRule type="duplicateValues" dxfId="34" priority="11"/>
    <cfRule type="duplicateValues" dxfId="33" priority="19"/>
    <cfRule type="duplicateValues" dxfId="32" priority="20"/>
    <cfRule type="duplicateValues" dxfId="31" priority="22"/>
    <cfRule type="duplicateValues" dxfId="30" priority="24"/>
    <cfRule type="duplicateValues" dxfId="29" priority="25"/>
  </conditionalFormatting>
  <conditionalFormatting sqref="D1:D1048576">
    <cfRule type="duplicateValues" dxfId="28" priority="1"/>
    <cfRule type="duplicateValues" dxfId="27" priority="9"/>
    <cfRule type="duplicateValues" dxfId="26" priority="10"/>
    <cfRule type="duplicateValues" dxfId="25" priority="18"/>
    <cfRule type="duplicateValues" dxfId="24" priority="21"/>
    <cfRule type="duplicateValues" dxfId="23" priority="23"/>
  </conditionalFormatting>
  <conditionalFormatting sqref="F1:F1048576">
    <cfRule type="containsText" dxfId="22" priority="7" operator="containsText" text="Not">
      <formula>NOT(ISERROR(SEARCH("Not",F1)))</formula>
    </cfRule>
    <cfRule type="containsText" dxfId="21" priority="8" operator="containsText" text="OK">
      <formula>NOT(ISERROR(SEARCH("OK",F1)))</formula>
    </cfRule>
  </conditionalFormatting>
  <conditionalFormatting sqref="J2:J10">
    <cfRule type="containsText" dxfId="20" priority="3" operator="containsText" text="Not">
      <formula>NOT(ISERROR(SEARCH("Not",J2)))</formula>
    </cfRule>
    <cfRule type="containsText" dxfId="19" priority="4" operator="containsText" text="OK">
      <formula>NOT(ISERROR(SEARCH("OK",J2)))</formula>
    </cfRule>
  </conditionalFormatting>
  <conditionalFormatting sqref="M2:M10">
    <cfRule type="containsText" dxfId="18" priority="5" operator="containsText" text="Not">
      <formula>NOT(ISERROR(SEARCH("Not",M2)))</formula>
    </cfRule>
    <cfRule type="containsText" dxfId="17" priority="6" operator="containsText" text="OK">
      <formula>NOT(ISERROR(SEARCH("OK",M2)))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2DCA-4F63-4CE7-9E91-7611368CBE78}">
  <dimension ref="A1:O8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5" x14ac:dyDescent="0.25"/>
  <cols>
    <col min="1" max="1" width="19.42578125" bestFit="1" customWidth="1"/>
    <col min="2" max="2" width="13.85546875" style="9" bestFit="1" customWidth="1"/>
    <col min="3" max="3" width="9.28515625" bestFit="1" customWidth="1"/>
    <col min="4" max="4" width="6" bestFit="1" customWidth="1"/>
    <col min="5" max="6" width="6" customWidth="1"/>
    <col min="7" max="7" width="11.85546875" style="2" customWidth="1"/>
    <col min="8" max="10" width="11.85546875" customWidth="1"/>
    <col min="11" max="11" width="13.28515625" style="2" customWidth="1"/>
    <col min="12" max="13" width="13.28515625" customWidth="1"/>
    <col min="14" max="14" width="79.140625" hidden="1" customWidth="1"/>
    <col min="15" max="15" width="6.28515625" bestFit="1" customWidth="1"/>
  </cols>
  <sheetData>
    <row r="1" spans="1:15" x14ac:dyDescent="0.25">
      <c r="A1" s="3" t="s">
        <v>8</v>
      </c>
      <c r="B1" s="8" t="s">
        <v>0</v>
      </c>
      <c r="C1" s="1" t="s">
        <v>1</v>
      </c>
      <c r="D1" s="1" t="s">
        <v>2</v>
      </c>
      <c r="E1" s="1" t="s">
        <v>13</v>
      </c>
      <c r="F1" s="1" t="s">
        <v>14</v>
      </c>
      <c r="G1" s="5" t="s">
        <v>3</v>
      </c>
      <c r="H1" s="1" t="s">
        <v>9</v>
      </c>
      <c r="I1" s="4" t="s">
        <v>15</v>
      </c>
      <c r="J1" s="1" t="s">
        <v>10</v>
      </c>
      <c r="K1" s="5" t="s">
        <v>4</v>
      </c>
      <c r="L1" s="1" t="s">
        <v>11</v>
      </c>
      <c r="M1" s="1" t="s">
        <v>12</v>
      </c>
      <c r="N1" s="1" t="s">
        <v>5</v>
      </c>
      <c r="O1" s="1" t="s">
        <v>6</v>
      </c>
    </row>
    <row r="2" spans="1:15" x14ac:dyDescent="0.25">
      <c r="A2" t="s">
        <v>125</v>
      </c>
      <c r="B2" s="9" t="s">
        <v>112</v>
      </c>
      <c r="C2" t="s">
        <v>7</v>
      </c>
      <c r="D2">
        <v>2881</v>
      </c>
      <c r="E2">
        <v>2881</v>
      </c>
      <c r="F2" t="str">
        <f t="shared" ref="F2:F8" si="0">IF(D2=E2,"OK","Not")</f>
        <v>OK</v>
      </c>
      <c r="G2" s="2">
        <v>45990</v>
      </c>
      <c r="H2" s="2">
        <v>45990</v>
      </c>
      <c r="I2">
        <f t="shared" ref="I2:I8" si="1">H2-G2</f>
        <v>0</v>
      </c>
      <c r="J2" t="str">
        <f t="shared" ref="J2:J8" si="2">IF(H2=G2,"OK","Not")</f>
        <v>OK</v>
      </c>
      <c r="K2" s="2">
        <v>46043</v>
      </c>
      <c r="L2" s="2">
        <v>46043</v>
      </c>
      <c r="M2" t="str">
        <f t="shared" ref="M2:M8" si="3">IF(K2=L2,"OK","Not")</f>
        <v>OK</v>
      </c>
      <c r="N2" t="s">
        <v>118</v>
      </c>
      <c r="O2" t="s">
        <v>31</v>
      </c>
    </row>
    <row r="3" spans="1:15" x14ac:dyDescent="0.25">
      <c r="A3" t="s">
        <v>125</v>
      </c>
      <c r="B3" s="9" t="s">
        <v>113</v>
      </c>
      <c r="C3" t="s">
        <v>111</v>
      </c>
      <c r="D3">
        <v>3122</v>
      </c>
      <c r="E3">
        <v>3122</v>
      </c>
      <c r="F3" t="str">
        <f t="shared" si="0"/>
        <v>OK</v>
      </c>
      <c r="G3" s="2">
        <v>45892</v>
      </c>
      <c r="H3" s="2">
        <v>45892</v>
      </c>
      <c r="I3">
        <f t="shared" si="1"/>
        <v>0</v>
      </c>
      <c r="J3" t="str">
        <f t="shared" si="2"/>
        <v>OK</v>
      </c>
      <c r="K3" s="2">
        <v>46043</v>
      </c>
      <c r="L3" s="2">
        <v>46043</v>
      </c>
      <c r="M3" t="str">
        <f t="shared" si="3"/>
        <v>OK</v>
      </c>
      <c r="N3" t="s">
        <v>119</v>
      </c>
      <c r="O3" t="s">
        <v>31</v>
      </c>
    </row>
    <row r="4" spans="1:15" x14ac:dyDescent="0.25">
      <c r="A4" t="s">
        <v>125</v>
      </c>
      <c r="B4" s="9" t="s">
        <v>114</v>
      </c>
      <c r="C4" t="s">
        <v>16</v>
      </c>
      <c r="D4">
        <v>998</v>
      </c>
      <c r="E4">
        <v>998</v>
      </c>
      <c r="F4" t="str">
        <f t="shared" si="0"/>
        <v>OK</v>
      </c>
      <c r="G4" s="2">
        <v>46013</v>
      </c>
      <c r="H4" s="2">
        <v>46011</v>
      </c>
      <c r="I4">
        <f t="shared" si="1"/>
        <v>-2</v>
      </c>
      <c r="J4" t="str">
        <f t="shared" si="2"/>
        <v>Not</v>
      </c>
      <c r="K4" s="2">
        <v>46045</v>
      </c>
      <c r="L4" s="2">
        <v>46045</v>
      </c>
      <c r="M4" t="str">
        <f t="shared" si="3"/>
        <v>OK</v>
      </c>
      <c r="N4" t="s">
        <v>120</v>
      </c>
      <c r="O4" t="s">
        <v>31</v>
      </c>
    </row>
    <row r="5" spans="1:15" x14ac:dyDescent="0.25">
      <c r="A5" t="s">
        <v>125</v>
      </c>
      <c r="B5" s="9" t="s">
        <v>115</v>
      </c>
      <c r="C5" t="s">
        <v>7</v>
      </c>
      <c r="D5">
        <v>1347</v>
      </c>
      <c r="E5">
        <v>1347</v>
      </c>
      <c r="F5" t="str">
        <f t="shared" si="0"/>
        <v>OK</v>
      </c>
      <c r="G5" s="2">
        <v>45980</v>
      </c>
      <c r="H5" s="2">
        <v>45980</v>
      </c>
      <c r="I5">
        <f t="shared" si="1"/>
        <v>0</v>
      </c>
      <c r="J5" t="str">
        <f t="shared" si="2"/>
        <v>OK</v>
      </c>
      <c r="K5" s="2">
        <v>46043</v>
      </c>
      <c r="L5" s="2">
        <v>46043</v>
      </c>
      <c r="M5" t="str">
        <f t="shared" si="3"/>
        <v>OK</v>
      </c>
      <c r="N5" t="s">
        <v>121</v>
      </c>
      <c r="O5" t="s">
        <v>31</v>
      </c>
    </row>
    <row r="6" spans="1:15" x14ac:dyDescent="0.25">
      <c r="A6" t="s">
        <v>125</v>
      </c>
      <c r="B6" s="9" t="s">
        <v>41</v>
      </c>
      <c r="C6" t="s">
        <v>7</v>
      </c>
      <c r="D6">
        <v>988</v>
      </c>
      <c r="E6">
        <v>988</v>
      </c>
      <c r="F6" t="str">
        <f t="shared" si="0"/>
        <v>OK</v>
      </c>
      <c r="G6" s="2">
        <v>46008</v>
      </c>
      <c r="H6" s="2">
        <v>46008</v>
      </c>
      <c r="I6">
        <f t="shared" si="1"/>
        <v>0</v>
      </c>
      <c r="J6" t="str">
        <f t="shared" si="2"/>
        <v>OK</v>
      </c>
      <c r="K6" s="2">
        <v>46043</v>
      </c>
      <c r="L6" s="2">
        <v>46043</v>
      </c>
      <c r="M6" t="str">
        <f t="shared" si="3"/>
        <v>OK</v>
      </c>
      <c r="N6" t="s">
        <v>122</v>
      </c>
      <c r="O6" t="s">
        <v>31</v>
      </c>
    </row>
    <row r="7" spans="1:15" x14ac:dyDescent="0.25">
      <c r="A7" t="s">
        <v>125</v>
      </c>
      <c r="B7" s="9" t="s">
        <v>116</v>
      </c>
      <c r="C7" t="s">
        <v>33</v>
      </c>
      <c r="D7">
        <v>3514</v>
      </c>
      <c r="E7">
        <v>3514</v>
      </c>
      <c r="F7" t="str">
        <f t="shared" si="0"/>
        <v>OK</v>
      </c>
      <c r="G7" s="2">
        <v>45908</v>
      </c>
      <c r="H7" s="2">
        <v>45906</v>
      </c>
      <c r="I7">
        <f t="shared" si="1"/>
        <v>-2</v>
      </c>
      <c r="J7" t="str">
        <f t="shared" si="2"/>
        <v>Not</v>
      </c>
      <c r="K7" s="2">
        <v>46045</v>
      </c>
      <c r="L7" s="2">
        <v>46045</v>
      </c>
      <c r="M7" t="str">
        <f t="shared" si="3"/>
        <v>OK</v>
      </c>
      <c r="N7" t="s">
        <v>123</v>
      </c>
      <c r="O7" t="s">
        <v>31</v>
      </c>
    </row>
    <row r="8" spans="1:15" x14ac:dyDescent="0.25">
      <c r="A8" t="s">
        <v>125</v>
      </c>
      <c r="B8" s="9" t="s">
        <v>117</v>
      </c>
      <c r="C8" t="s">
        <v>7</v>
      </c>
      <c r="D8">
        <v>973</v>
      </c>
      <c r="E8">
        <v>973</v>
      </c>
      <c r="F8" t="str">
        <f t="shared" si="0"/>
        <v>OK</v>
      </c>
      <c r="G8" s="2">
        <v>45955</v>
      </c>
      <c r="H8" s="2">
        <v>45955</v>
      </c>
      <c r="I8">
        <f t="shared" si="1"/>
        <v>0</v>
      </c>
      <c r="J8" t="str">
        <f t="shared" si="2"/>
        <v>OK</v>
      </c>
      <c r="K8" s="2">
        <v>46043</v>
      </c>
      <c r="L8" s="2">
        <v>46043</v>
      </c>
      <c r="M8" t="str">
        <f t="shared" si="3"/>
        <v>OK</v>
      </c>
      <c r="N8" t="s">
        <v>124</v>
      </c>
      <c r="O8" t="s">
        <v>31</v>
      </c>
    </row>
  </sheetData>
  <autoFilter ref="A1:O8" xr:uid="{BF531C52-ECC0-4ECB-AAD8-251E1E2990EF}">
    <sortState xmlns:xlrd2="http://schemas.microsoft.com/office/spreadsheetml/2017/richdata2" ref="A2:O8">
      <sortCondition ref="B1:B8"/>
    </sortState>
  </autoFilter>
  <phoneticPr fontId="3" type="noConversion"/>
  <conditionalFormatting sqref="B1:B1048576">
    <cfRule type="duplicateValues" dxfId="16" priority="2"/>
    <cfRule type="duplicateValues" dxfId="15" priority="4"/>
    <cfRule type="duplicateValues" dxfId="14" priority="13"/>
    <cfRule type="duplicateValues" dxfId="13" priority="15"/>
    <cfRule type="duplicateValues" dxfId="12" priority="16"/>
    <cfRule type="duplicateValues" dxfId="11" priority="18"/>
    <cfRule type="duplicateValues" dxfId="10" priority="20"/>
    <cfRule type="duplicateValues" dxfId="9" priority="21"/>
  </conditionalFormatting>
  <conditionalFormatting sqref="D1:D1048576">
    <cfRule type="duplicateValues" dxfId="8" priority="1"/>
    <cfRule type="duplicateValues" dxfId="7" priority="3"/>
    <cfRule type="duplicateValues" dxfId="6" priority="11"/>
    <cfRule type="duplicateValues" dxfId="5" priority="12"/>
    <cfRule type="duplicateValues" dxfId="4" priority="14"/>
    <cfRule type="duplicateValues" dxfId="3" priority="17"/>
    <cfRule type="duplicateValues" dxfId="2" priority="19"/>
  </conditionalFormatting>
  <conditionalFormatting sqref="F1:F1048576 J2:J8 M2:M8">
    <cfRule type="containsText" dxfId="1" priority="9" operator="containsText" text="Not">
      <formula>NOT(ISERROR(SEARCH("Not",F1)))</formula>
    </cfRule>
    <cfRule type="containsText" dxfId="0" priority="10" operator="containsText" text="OK">
      <formula>NOT(ISERROR(SEARCH("OK",F1)))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1-5 Jan</vt:lpstr>
      <vt:lpstr>6-10 Jan</vt:lpstr>
      <vt:lpstr>11-15 Jan</vt:lpstr>
      <vt:lpstr>16-20 Jan</vt:lpstr>
      <vt:lpstr>21-25 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2026-01-13T04:10:35Z</dcterms:created>
  <dcterms:modified xsi:type="dcterms:W3CDTF">2026-01-29T06:50:58Z</dcterms:modified>
</cp:coreProperties>
</file>