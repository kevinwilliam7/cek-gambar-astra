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D8C60091-C0CA-4E9B-B2BB-3CD02A72C542}" xr6:coauthVersionLast="47" xr6:coauthVersionMax="47" xr10:uidLastSave="{00000000-0000-0000-0000-000000000000}"/>
  <bookViews>
    <workbookView xWindow="-120" yWindow="-120" windowWidth="20730" windowHeight="11040" activeTab="3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</sheets>
  <definedNames>
    <definedName name="_xlnm._FilterDatabase" localSheetId="2" hidden="1">'11-15 Jan'!$A$1:$O$30</definedName>
    <definedName name="_xlnm._FilterDatabase" localSheetId="0" hidden="1">'1-5 Jan'!$A$1:$O$11</definedName>
    <definedName name="_xlnm._FilterDatabase" localSheetId="3" hidden="1">'16-20 Jan'!$A$1:$O$22</definedName>
    <definedName name="_xlnm._FilterDatabase" localSheetId="1" hidden="1">'6-10 Jan'!$A$1:$O$21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M3" i="4"/>
  <c r="J3" i="4"/>
  <c r="I3" i="4"/>
  <c r="F3" i="4"/>
  <c r="M2" i="4"/>
  <c r="J2" i="4"/>
  <c r="I2" i="4"/>
  <c r="F2" i="4"/>
  <c r="I3" i="3"/>
  <c r="I4" i="3"/>
  <c r="I5" i="3"/>
  <c r="I6" i="3"/>
  <c r="I7" i="3"/>
  <c r="I8" i="3"/>
  <c r="I9" i="3"/>
  <c r="I10" i="3"/>
  <c r="I11" i="3"/>
  <c r="I12" i="3"/>
  <c r="I18" i="3"/>
  <c r="I13" i="3"/>
  <c r="I14" i="3"/>
  <c r="I15" i="3"/>
  <c r="I16" i="3"/>
  <c r="I17" i="3"/>
  <c r="I19" i="3"/>
  <c r="I20" i="3"/>
  <c r="I21" i="3"/>
  <c r="I24" i="3"/>
  <c r="I22" i="3"/>
  <c r="I23" i="3"/>
  <c r="I25" i="3"/>
  <c r="I26" i="3"/>
  <c r="I27" i="3"/>
  <c r="I28" i="3"/>
  <c r="I29" i="3"/>
  <c r="I30" i="3"/>
  <c r="I2" i="3"/>
  <c r="M3" i="3"/>
  <c r="M4" i="3"/>
  <c r="M5" i="3"/>
  <c r="M6" i="3"/>
  <c r="M7" i="3"/>
  <c r="M8" i="3"/>
  <c r="M9" i="3"/>
  <c r="M10" i="3"/>
  <c r="M11" i="3"/>
  <c r="M12" i="3"/>
  <c r="M18" i="3"/>
  <c r="M13" i="3"/>
  <c r="M14" i="3"/>
  <c r="M15" i="3"/>
  <c r="M16" i="3"/>
  <c r="M17" i="3"/>
  <c r="M19" i="3"/>
  <c r="M20" i="3"/>
  <c r="M21" i="3"/>
  <c r="M24" i="3"/>
  <c r="M22" i="3"/>
  <c r="M23" i="3"/>
  <c r="M25" i="3"/>
  <c r="M26" i="3"/>
  <c r="M27" i="3"/>
  <c r="M28" i="3"/>
  <c r="M29" i="3"/>
  <c r="M30" i="3"/>
  <c r="J3" i="3"/>
  <c r="J4" i="3"/>
  <c r="J5" i="3"/>
  <c r="J6" i="3"/>
  <c r="J7" i="3"/>
  <c r="J8" i="3"/>
  <c r="J9" i="3"/>
  <c r="J10" i="3"/>
  <c r="J11" i="3"/>
  <c r="J12" i="3"/>
  <c r="J18" i="3"/>
  <c r="J13" i="3"/>
  <c r="J14" i="3"/>
  <c r="J15" i="3"/>
  <c r="J16" i="3"/>
  <c r="J17" i="3"/>
  <c r="J19" i="3"/>
  <c r="J20" i="3"/>
  <c r="J21" i="3"/>
  <c r="J24" i="3"/>
  <c r="J22" i="3"/>
  <c r="J23" i="3"/>
  <c r="J25" i="3"/>
  <c r="J26" i="3"/>
  <c r="J27" i="3"/>
  <c r="J28" i="3"/>
  <c r="J29" i="3"/>
  <c r="J30" i="3"/>
  <c r="J2" i="3"/>
  <c r="M2" i="3"/>
  <c r="F3" i="3"/>
  <c r="F4" i="3"/>
  <c r="F5" i="3"/>
  <c r="F6" i="3"/>
  <c r="F7" i="3"/>
  <c r="F8" i="3"/>
  <c r="F9" i="3"/>
  <c r="F10" i="3"/>
  <c r="F11" i="3"/>
  <c r="F12" i="3"/>
  <c r="F18" i="3"/>
  <c r="F13" i="3"/>
  <c r="F14" i="3"/>
  <c r="F15" i="3"/>
  <c r="F16" i="3"/>
  <c r="F17" i="3"/>
  <c r="F19" i="3"/>
  <c r="F20" i="3"/>
  <c r="F21" i="3"/>
  <c r="F24" i="3"/>
  <c r="F22" i="3"/>
  <c r="F23" i="3"/>
  <c r="F25" i="3"/>
  <c r="F26" i="3"/>
  <c r="F27" i="3"/>
  <c r="F28" i="3"/>
  <c r="F29" i="3"/>
  <c r="F30" i="3"/>
  <c r="F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F4" i="1"/>
  <c r="F5" i="1"/>
  <c r="F6" i="1"/>
  <c r="F7" i="1"/>
  <c r="F8" i="1"/>
  <c r="F9" i="1"/>
  <c r="F10" i="1"/>
  <c r="F11" i="1"/>
  <c r="I4" i="1"/>
  <c r="I5" i="1"/>
  <c r="I6" i="1"/>
  <c r="I7" i="1"/>
  <c r="I8" i="1"/>
  <c r="I9" i="1"/>
  <c r="I10" i="1"/>
  <c r="I11" i="1"/>
  <c r="J4" i="1"/>
  <c r="J5" i="1"/>
  <c r="J6" i="1"/>
  <c r="J7" i="1"/>
  <c r="J8" i="1"/>
  <c r="J9" i="1"/>
  <c r="J10" i="1"/>
  <c r="J11" i="1"/>
  <c r="M4" i="1"/>
  <c r="M5" i="1"/>
  <c r="M6" i="1"/>
  <c r="M7" i="1"/>
  <c r="M8" i="1"/>
  <c r="M9" i="1"/>
  <c r="M10" i="1"/>
  <c r="M11" i="1"/>
  <c r="F3" i="1"/>
  <c r="I3" i="1"/>
  <c r="F2" i="1"/>
  <c r="M3" i="1"/>
  <c r="J3" i="1"/>
  <c r="J2" i="1" l="1"/>
  <c r="I2" i="1"/>
  <c r="M2" i="1" s="1"/>
</calcChain>
</file>

<file path=xl/sharedStrings.xml><?xml version="1.0" encoding="utf-8"?>
<sst xmlns="http://schemas.openxmlformats.org/spreadsheetml/2006/main" count="460" uniqueCount="189">
  <si>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</si>
  <si>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</si>
  <si>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</si>
  <si>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</si>
  <si>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</si>
  <si>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</si>
  <si>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</si>
  <si>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</si>
  <si>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</si>
  <si>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</si>
  <si>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</si>
  <si>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</si>
  <si>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</si>
  <si>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</si>
  <si>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</si>
  <si>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KPB3</t>
  </si>
  <si>
    <t>KPB1</t>
  </si>
  <si>
    <t>KPB2</t>
  </si>
  <si>
    <t>Ok</t>
  </si>
  <si>
    <t>JMA1E1212169</t>
  </si>
  <si>
    <t>JME1E1545307</t>
  </si>
  <si>
    <t>JMF1E1319607</t>
  </si>
  <si>
    <t>JMF1E1360939</t>
  </si>
  <si>
    <t>JMG1E1673608</t>
  </si>
  <si>
    <t>JMH1E1261395</t>
  </si>
  <si>
    <t>KFC1E1221943</t>
  </si>
  <si>
    <t>KFD1E1200269</t>
  </si>
  <si>
    <t>KFD1E1216400</t>
  </si>
  <si>
    <t>KFE1E1275285</t>
  </si>
  <si>
    <t>https://squarix.modakita.com//m2tf6l//avatar/21157372420260102135332VGD7IP.jpg</t>
  </si>
  <si>
    <t>https://squarix.modakita.com//m2tf6l//avatar/2465021220260102141048YPKDMU.jpg</t>
  </si>
  <si>
    <t>https://squarix.modakita.com//m2tf6l//avatar/2465021220260103105217DS0VWB.jpg</t>
  </si>
  <si>
    <t>https://squarix.modakita.com//m2tf6l//avatar/2465021220260102095955519J9O.jpg</t>
  </si>
  <si>
    <t>https://squarix.modakita.com//m2tf6l//avatar/21157372420260102103807XBIDN2.jpg</t>
  </si>
  <si>
    <t>https://squarix.modakita.com//m2tf6l//avatar/21157372420260102105554AHEKD8.jpg</t>
  </si>
  <si>
    <t>https://squarix.modakita.com//m2tf6l//avatar/21157372920260103060350I5T5TF.jpg</t>
  </si>
  <si>
    <t>https://squarix.modakita.com//m2tf6l//avatar/2465021220260103142451KDGEMN.jpg</t>
  </si>
  <si>
    <t>https://squarix.modakita.com//m2tf6l//avatar/21474048620260103094019LOJGYM.jpg</t>
  </si>
  <si>
    <t>https://squarix.modakita.com//m2tf6l//avatar/2465021220260105055031YFGMVL.jpg</t>
  </si>
  <si>
    <t>04017-260105_2214</t>
  </si>
  <si>
    <t>Salah KM di WEBC dan speedo tidak sesuai tipe</t>
  </si>
  <si>
    <t>Ok (tidak ada fisik)</t>
  </si>
  <si>
    <t>KPB4</t>
  </si>
  <si>
    <t>JMC1E1766973</t>
  </si>
  <si>
    <t>JMC1E1767190</t>
  </si>
  <si>
    <t>JMC1E1779181</t>
  </si>
  <si>
    <t>JMD1E1911998</t>
  </si>
  <si>
    <t>JMD1E2073321</t>
  </si>
  <si>
    <t>JMD1E2127071</t>
  </si>
  <si>
    <t>JMD1E2151657</t>
  </si>
  <si>
    <t>JMF2E1656755</t>
  </si>
  <si>
    <t>JMH1E1062983</t>
  </si>
  <si>
    <t>JMH1E1241462</t>
  </si>
  <si>
    <t>JMH2E1362467</t>
  </si>
  <si>
    <t>JMH2E1548372</t>
  </si>
  <si>
    <t>JMH2E1668165</t>
  </si>
  <si>
    <t>KC04E1033612</t>
  </si>
  <si>
    <t>KC04E1036180</t>
  </si>
  <si>
    <t>KD11E1661524</t>
  </si>
  <si>
    <t>KFB2E1084776</t>
  </si>
  <si>
    <t>KFC1E1226279</t>
  </si>
  <si>
    <t>KFC1E1241097</t>
  </si>
  <si>
    <t>KFE1E1299642</t>
  </si>
  <si>
    <t>https://squarix.modakita.com//m2tf6l//avatar/211573731202601081109129NNQ2K.jpg</t>
  </si>
  <si>
    <t>https://squarix.modakita.com//m2tf6l//avatar/21157371720260107113220UL2F2O.jpg</t>
  </si>
  <si>
    <t>https://squarix.modakita.com//m2tf6l//avatar/2465021220260108055535ECTDV2.jpg</t>
  </si>
  <si>
    <t>https://squarix.modakita.com//m2tf6l//avatar/2465021220260106140144F8RJRP.jpg</t>
  </si>
  <si>
    <t>https://squarix.modakita.com//m2tf6l//avatar/2465021220260110135448NL4WCV.jpg</t>
  </si>
  <si>
    <t>https://squarix.modakita.com//m2tf6l//avatar/21157373120260108062722D5YQMF.jpg</t>
  </si>
  <si>
    <t>https://squarix.modakita.com//m2tf6l//avatar/2465021220260106145356Q8H2FT.jpg</t>
  </si>
  <si>
    <t>https://squarix.modakita.com//m2tf6l//avatar/21157371720260107142805EQAP1H.jpg</t>
  </si>
  <si>
    <t>https://squarix.modakita.com//m2tf6l//avatar/2465021220260107063348KC0SDX.jpg</t>
  </si>
  <si>
    <t>https://squarix.modakita.com//m2tf6l//avatar/21157373120260108063926OEDTON.jpg</t>
  </si>
  <si>
    <t>https://squarix.modakita.com//m2tf6l//avatar/2465021220260106094032IX9PPA.jpg</t>
  </si>
  <si>
    <t>https://squarix.modakita.com//m2tf6l//avatar/21157373120260108133416PTBH7T.jpg</t>
  </si>
  <si>
    <t>https://squarix.modakita.com//m2tf6l//avatar/2465021220260106144834ZNUYHA.jpg</t>
  </si>
  <si>
    <t>https://squarix.modakita.com//m2tf6l//avatar/24650212202601061459429HSNWC.jpg</t>
  </si>
  <si>
    <t>https://squarix.modakita.com//m2tf6l//avatar/2465021220260106093351Z00IKD.jpg</t>
  </si>
  <si>
    <t>https://squarix.modakita.com//m2tf6l//avatar/2465021220260106115506JQ1DKB.jpg</t>
  </si>
  <si>
    <t>https://squarix.modakita.com//m2tf6l//avatar/24650212202601061050136TDHEM.jpg</t>
  </si>
  <si>
    <t>https://squarix.modakita.com//m2tf6l//avatar/21157373120260108115644RSM72X.jpg</t>
  </si>
  <si>
    <t>https://squarix.modakita.com//m2tf6l//avatar/2465021220260110141910UYPHRJ.jpg</t>
  </si>
  <si>
    <t>https://squarix.modakita.com//m2tf6l//avatar/211565813202601100555063CZYBX.jpg</t>
  </si>
  <si>
    <t>04017-260112_0125</t>
  </si>
  <si>
    <t>JMC1E1711960</t>
  </si>
  <si>
    <t>JMC1E1744968</t>
  </si>
  <si>
    <t>JMC1E1764634</t>
  </si>
  <si>
    <t>JMC1E1767193</t>
  </si>
  <si>
    <t>JMD1E2090281</t>
  </si>
  <si>
    <t>JME1E1835400</t>
  </si>
  <si>
    <t>JMF1E1281497</t>
  </si>
  <si>
    <t>JMF1E1319469</t>
  </si>
  <si>
    <t>JMF1E1361969</t>
  </si>
  <si>
    <t>JMF2E1394648</t>
  </si>
  <si>
    <t>JMF2E1609627</t>
  </si>
  <si>
    <t>JMH1E1208687</t>
  </si>
  <si>
    <t>JMH1E1281336</t>
  </si>
  <si>
    <t>JMH2E1516841</t>
  </si>
  <si>
    <t>JMH2E1574243</t>
  </si>
  <si>
    <t>KD11E1557995</t>
  </si>
  <si>
    <t>KF01E1995989</t>
  </si>
  <si>
    <t>KF01E2001501</t>
  </si>
  <si>
    <t>KFA1E1310482</t>
  </si>
  <si>
    <t>KFA1E1312995</t>
  </si>
  <si>
    <t>KFC1E1141656</t>
  </si>
  <si>
    <t>KFC1E1219061</t>
  </si>
  <si>
    <t>KFC1E1226953</t>
  </si>
  <si>
    <t>KFC1E1229500</t>
  </si>
  <si>
    <t>KFD1E1159175</t>
  </si>
  <si>
    <t>KFD1E1169557</t>
  </si>
  <si>
    <t>KFE1E1262809</t>
  </si>
  <si>
    <t>KFE1E1369202</t>
  </si>
  <si>
    <t>KFF1E1010989</t>
  </si>
  <si>
    <t>https://squarix.modakita.com//m2tf6l//avatar/2465021220260113095342AUIJTQ.jpg</t>
  </si>
  <si>
    <t>https://squarix.modakita.com//m2tf6l//avatar/2465021220260113143050RXS4T7.jpg</t>
  </si>
  <si>
    <t>https://squarix.modakita.com//m2tf6l//avatar/2465021220260112091649GM8L9G.jpg</t>
  </si>
  <si>
    <t>https://squarix.modakita.com//m2tf6l//avatar/21157373520260115133237QSIZCS.jpg</t>
  </si>
  <si>
    <t>https://squarix.modakita.com//m2tf6l//avatar/21157373520260115134157UIYXEO.jpg</t>
  </si>
  <si>
    <t>https://squarix.modakita.com//m2tf6l//avatar/24650212202601141605090CDE96.jpg</t>
  </si>
  <si>
    <t>https://squarix.modakita.com//m2tf6l//avatar/2465021220260115092924JEG2UJ.jpg</t>
  </si>
  <si>
    <t>https://squarix.modakita.com//m2tf6l//avatar/24650212202601140638137V7Y0I.jpg</t>
  </si>
  <si>
    <t>https://squarix.modakita.com//m2tf6l//avatar/21157373820260112151447YTIH7G.jpg</t>
  </si>
  <si>
    <t>https://squarix.modakita.com//m2tf6l//avatar/2465021220260115112554OC9VR6.jpg</t>
  </si>
  <si>
    <t>https://squarix.modakita.com//m2tf6l//avatar/2465021220260115161800FKQ2KT.jpg</t>
  </si>
  <si>
    <t>https://squarix.modakita.com//m2tf6l//avatar/2465021220260113112052I7QFTX.jpg</t>
  </si>
  <si>
    <t>https://squarix.modakita.com//m2tf6l//avatar/2465021220260114141903WCFSH0.jpg</t>
  </si>
  <si>
    <t>https://squarix.modakita.com//m2tf6l//avatar/2465021220260112120147QHV2SY.jpg</t>
  </si>
  <si>
    <t>https://squarix.modakita.com//m2tf6l//avatar/2465021220260113100527LLXCRP.jpg</t>
  </si>
  <si>
    <t>https://squarix.modakita.com//m2tf6l//avatar/2465021220260114103221EPRJVE.jpg</t>
  </si>
  <si>
    <t>https://squarix.modakita.com//m2tf6l//avatar/21157373520260115144945KLO2II.jpg</t>
  </si>
  <si>
    <t>https://squarix.modakita.com//m2tf6l//avatar/2465021220260114063212XSWITG.jpg</t>
  </si>
  <si>
    <t>https://squarix.modakita.com//m2tf6l//avatar/2465021220260113111032GF2NEV.jpg</t>
  </si>
  <si>
    <t>https://squarix.modakita.com//m2tf6l//avatar/2465021220260114142424GFO0IW.jpg</t>
  </si>
  <si>
    <t>https://squarix.modakita.com//m2tf6l//avatar/2465021220260112093010R1R5BI.jpg</t>
  </si>
  <si>
    <t>https://squarix.modakita.com//m2tf6l//avatar/2465021220260112115522IAT9DV.jpg</t>
  </si>
  <si>
    <t>https://squarix.modakita.com//m2tf6l//avatar/21157373520260115135042EHFC70.jpg</t>
  </si>
  <si>
    <t>https://squarix.modakita.com//m2tf6l//avatar/21157373820260112141932RMBDIO.jpg</t>
  </si>
  <si>
    <t>https://squarix.modakita.com//m2tf6l//avatar/2465021220260114143024YHC267.jpg</t>
  </si>
  <si>
    <t>https://squarix.modakita.com//m2tf6l//avatar/21157373520260115100557PIFSFU.jpg</t>
  </si>
  <si>
    <t>https://squarix.modakita.com//m2tf6l//avatar/21157373820260113061306PIVTDQ.jpg</t>
  </si>
  <si>
    <t>https://squarix.modakita.com//m2tf6l//avatar/21157373520260115150041CFXFCE.jpg</t>
  </si>
  <si>
    <t>https://squarix.modakita.com//m2tf6l//avatar/2465021220260112104725RWA5OX.jpg</t>
  </si>
  <si>
    <t>04017-260119_2351</t>
  </si>
  <si>
    <t>KM nabrak dgn servis ID 2 (3260)</t>
  </si>
  <si>
    <t>KM nabrak dgn servis ID 2 (4530)</t>
  </si>
  <si>
    <t>JBK3E1602791</t>
  </si>
  <si>
    <t>JMB1E1226699</t>
  </si>
  <si>
    <t>JMC1E1703152</t>
  </si>
  <si>
    <t>JMC1E1739365</t>
  </si>
  <si>
    <t>JMC1E1778639</t>
  </si>
  <si>
    <t>JMD1E2129421</t>
  </si>
  <si>
    <t>JMD1E2132605</t>
  </si>
  <si>
    <t>JME1E1838866</t>
  </si>
  <si>
    <t>JMF1E1331942</t>
  </si>
  <si>
    <t>JMG1E1668073</t>
  </si>
  <si>
    <t>JMH2E1329578</t>
  </si>
  <si>
    <t>JMH2E1513970</t>
  </si>
  <si>
    <t>JMH2E1533706</t>
  </si>
  <si>
    <t>JMH2E1649365</t>
  </si>
  <si>
    <t>JMK1E1004762</t>
  </si>
  <si>
    <t>KF01E1906098</t>
  </si>
  <si>
    <t>KFA1E1290322</t>
  </si>
  <si>
    <t>KFC1E1238063</t>
  </si>
  <si>
    <t>KFD1E1078601</t>
  </si>
  <si>
    <t>KFD1E1223708</t>
  </si>
  <si>
    <t>KFE3E1039890</t>
  </si>
  <si>
    <t>https://squarix.modakita.com//m2tf6l//avatar/2465021220260120095018B84ZMJ.jpg</t>
  </si>
  <si>
    <t>https://squarix.modakita.com//m2tf6l//avatar/211579679202601211050447TAIUJ.jpg</t>
  </si>
  <si>
    <t>https://squarix.modakita.com//m2tf6l//avatar/21157967920260119162913O5R9J1.jpg</t>
  </si>
  <si>
    <t>https://squarix.modakita.com//m2tf6l//avatar/21449367220260119133954XULD27.jpg</t>
  </si>
  <si>
    <t>https://squarix.modakita.com//m2tf6l//avatar/2465021220260119102229FJLJ1W.jpg</t>
  </si>
  <si>
    <t>https://squarix.modakita.com//m2tf6l//avatar/2465021220260119150756OBOVUU.jpg</t>
  </si>
  <si>
    <t>https://squarix.modakita.com//m2tf6l//avatar/2465021220260121103329QMRM3Q.jpg</t>
  </si>
  <si>
    <t>https://squarix.modakita.com//m2tf6l//avatar/21157967920260121104241XCQDNJ.jpg</t>
  </si>
  <si>
    <t>https://squarix.modakita.com//m2tf6l//avatar/21157371720260121063200TDTLOH.jpg</t>
  </si>
  <si>
    <t>https://squarix.modakita.com//m2tf6l//avatar/2465021220260119104810U7G85W.jpg</t>
  </si>
  <si>
    <t>https://squarix.modakita.com//m2tf6l//avatar/21157967920260119110935ZLFITX.jpg</t>
  </si>
  <si>
    <t>https://squarix.modakita.com//m2tf6l//avatar/2465021220260121160746MAIEIN.jpg</t>
  </si>
  <si>
    <t>https://squarix.modakita.com//m2tf6l//avatar/2465021220260119143208BPLKVM.jpg</t>
  </si>
  <si>
    <t>https://squarix.modakita.com//m2tf6l//avatar/2465021220260120142422CLTOGH.jpg</t>
  </si>
  <si>
    <t>https://squarix.modakita.com//m2tf6l//avatar/21157967920260121092213RUMGGB.jpg</t>
  </si>
  <si>
    <t>https://squarix.modakita.com//m2tf6l//avatar/2465021220260121151851CFVBED.jpg</t>
  </si>
  <si>
    <t>https://squarix.modakita.com//m2tf6l//avatar/2465021220260119155455KLQ3HS.jpg</t>
  </si>
  <si>
    <t>https://squarix.modakita.com//m2tf6l//avatar/2465021220260120132740UBXUDN.jpg</t>
  </si>
  <si>
    <t>https://squarix.modakita.com//m2tf6l//avatar/2465021220260119100844ETKH04.jpg</t>
  </si>
  <si>
    <t>https://squarix.modakita.com//m2tf6l//avatar/21157371720260121062417PG5HIM.jpg</t>
  </si>
  <si>
    <t>https://squarix.modakita.com//m2tf6l//avatar/2465021220260119115602EK9ZRF.jpg</t>
  </si>
  <si>
    <t>04017-260123_0945</t>
  </si>
  <si>
    <t>04017-260122_2337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</si>
</sst>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11"/>
  <sheetViews>
    <sheetView workbookViewId="0">
      <pane ySplit="1" topLeftCell="A7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39</v>
      </c>
      <c r="B2" t="s">
        <v>19</v>
      </c>
      <c r="C2" t="s">
        <v>17</v>
      </c>
      <c r="D2">
        <v>3042</v>
      </c>
      <c r="E2">
        <v>3042</v>
      </c>
      <c r="F2" t="str">
        <f t="shared" ref="F2:F11" si="0">IF(D2=E2,"OK","Not")</f>
        <v>OK</v>
      </c>
      <c r="G2" s="2">
        <v>45976</v>
      </c>
      <c r="H2" s="2">
        <v>45976</v>
      </c>
      <c r="I2">
        <f t="shared" ref="I2:I11" si="1">H2-G2</f>
        <v>0</v>
      </c>
      <c r="J2" t="str">
        <f t="shared" ref="J2:J11" si="2">IF(G2=H2,"OK","Not")</f>
        <v>OK</v>
      </c>
      <c r="K2" s="2">
        <v>46024</v>
      </c>
      <c r="L2" s="2">
        <v>46024</v>
      </c>
      <c r="M2" t="str">
        <f t="shared" ref="M2:M11" si="3">IF(K2=L2,"OK","Not")</f>
        <v>OK</v>
      </c>
      <c r="N2" t="s">
        <v>29</v>
      </c>
      <c r="O2" t="s">
        <v>18</v>
      </c>
    </row>
    <row r="3" spans="1:15" hidden="1" x14ac:dyDescent="0.25">
      <c r="A3" t="s">
        <v>39</v>
      </c>
      <c r="B3" t="s">
        <v>20</v>
      </c>
      <c r="C3" t="s">
        <v>15</v>
      </c>
      <c r="D3">
        <v>1233</v>
      </c>
      <c r="E3">
        <v>1233</v>
      </c>
      <c r="F3" t="str">
        <f t="shared" si="0"/>
        <v>OK</v>
      </c>
      <c r="G3" s="2">
        <v>45824</v>
      </c>
      <c r="H3" s="2">
        <v>45824</v>
      </c>
      <c r="I3">
        <f t="shared" si="1"/>
        <v>0</v>
      </c>
      <c r="J3" t="str">
        <f t="shared" si="2"/>
        <v>OK</v>
      </c>
      <c r="K3" s="2">
        <v>46024</v>
      </c>
      <c r="L3" s="2">
        <v>46024</v>
      </c>
      <c r="M3" t="str">
        <f t="shared" si="3"/>
        <v>OK</v>
      </c>
      <c r="N3" t="s">
        <v>30</v>
      </c>
      <c r="O3" t="s">
        <v>18</v>
      </c>
    </row>
    <row r="4" spans="1:15" hidden="1" x14ac:dyDescent="0.25">
      <c r="A4" t="s">
        <v>39</v>
      </c>
      <c r="B4" t="s">
        <v>21</v>
      </c>
      <c r="C4" t="s">
        <v>17</v>
      </c>
      <c r="D4">
        <v>2788</v>
      </c>
      <c r="E4">
        <v>2788</v>
      </c>
      <c r="F4" t="str">
        <f t="shared" si="0"/>
        <v>OK</v>
      </c>
      <c r="G4" s="2">
        <v>45991</v>
      </c>
      <c r="H4" s="2">
        <v>45991</v>
      </c>
      <c r="I4">
        <f t="shared" si="1"/>
        <v>0</v>
      </c>
      <c r="J4" t="str">
        <f t="shared" si="2"/>
        <v>OK</v>
      </c>
      <c r="K4" s="2">
        <v>46025</v>
      </c>
      <c r="L4" s="2">
        <v>46025</v>
      </c>
      <c r="M4" t="str">
        <f t="shared" si="3"/>
        <v>OK</v>
      </c>
      <c r="N4" t="s">
        <v>31</v>
      </c>
      <c r="O4" t="s">
        <v>18</v>
      </c>
    </row>
    <row r="5" spans="1:15" hidden="1" x14ac:dyDescent="0.25">
      <c r="A5" t="s">
        <v>39</v>
      </c>
      <c r="B5" t="s">
        <v>22</v>
      </c>
      <c r="C5" t="s">
        <v>16</v>
      </c>
      <c r="D5">
        <v>1065</v>
      </c>
      <c r="E5">
        <v>1065</v>
      </c>
      <c r="F5" t="str">
        <f t="shared" si="0"/>
        <v>OK</v>
      </c>
      <c r="G5" s="2">
        <v>45995</v>
      </c>
      <c r="H5" s="2">
        <v>45995</v>
      </c>
      <c r="I5">
        <f t="shared" si="1"/>
        <v>0</v>
      </c>
      <c r="J5" t="str">
        <f t="shared" si="2"/>
        <v>OK</v>
      </c>
      <c r="K5" s="2">
        <v>46024</v>
      </c>
      <c r="L5" s="2">
        <v>46024</v>
      </c>
      <c r="M5" t="str">
        <f t="shared" si="3"/>
        <v>OK</v>
      </c>
      <c r="N5" t="s">
        <v>32</v>
      </c>
      <c r="O5" t="s">
        <v>18</v>
      </c>
    </row>
    <row r="6" spans="1:15" hidden="1" x14ac:dyDescent="0.25">
      <c r="A6" t="s">
        <v>39</v>
      </c>
      <c r="B6" t="s">
        <v>23</v>
      </c>
      <c r="C6" t="s">
        <v>17</v>
      </c>
      <c r="D6">
        <v>2033</v>
      </c>
      <c r="E6">
        <v>2033</v>
      </c>
      <c r="F6" t="str">
        <f t="shared" si="0"/>
        <v>OK</v>
      </c>
      <c r="G6" s="2">
        <v>46002</v>
      </c>
      <c r="H6" s="2">
        <v>46001</v>
      </c>
      <c r="I6">
        <f t="shared" si="1"/>
        <v>-1</v>
      </c>
      <c r="J6" t="str">
        <f t="shared" si="2"/>
        <v>Not</v>
      </c>
      <c r="K6" s="2">
        <v>46024</v>
      </c>
      <c r="L6" s="2">
        <v>46024</v>
      </c>
      <c r="M6" t="str">
        <f t="shared" si="3"/>
        <v>OK</v>
      </c>
      <c r="N6" t="s">
        <v>33</v>
      </c>
      <c r="O6" t="s">
        <v>18</v>
      </c>
    </row>
    <row r="7" spans="1:15" x14ac:dyDescent="0.25">
      <c r="A7" t="s">
        <v>39</v>
      </c>
      <c r="B7" t="s">
        <v>24</v>
      </c>
      <c r="C7" t="s">
        <v>16</v>
      </c>
      <c r="D7">
        <v>1058</v>
      </c>
      <c r="E7">
        <v>545</v>
      </c>
      <c r="F7" t="str">
        <f t="shared" si="0"/>
        <v>Not</v>
      </c>
      <c r="G7" s="2">
        <v>45983</v>
      </c>
      <c r="H7" s="2">
        <v>45983</v>
      </c>
      <c r="I7">
        <f t="shared" si="1"/>
        <v>0</v>
      </c>
      <c r="J7" t="str">
        <f t="shared" si="2"/>
        <v>OK</v>
      </c>
      <c r="K7" s="2">
        <v>46024</v>
      </c>
      <c r="L7" s="2">
        <v>46024</v>
      </c>
      <c r="M7" t="str">
        <f t="shared" si="3"/>
        <v>OK</v>
      </c>
      <c r="N7" t="s">
        <v>34</v>
      </c>
      <c r="O7" t="s">
        <v>40</v>
      </c>
    </row>
    <row r="8" spans="1:15" hidden="1" x14ac:dyDescent="0.25">
      <c r="A8" t="s">
        <v>39</v>
      </c>
      <c r="B8" t="s">
        <v>25</v>
      </c>
      <c r="C8" t="s">
        <v>16</v>
      </c>
      <c r="D8">
        <v>873</v>
      </c>
      <c r="E8">
        <v>873</v>
      </c>
      <c r="F8" t="str">
        <f t="shared" si="0"/>
        <v>OK</v>
      </c>
      <c r="G8" s="2">
        <v>45979</v>
      </c>
      <c r="H8" s="2">
        <v>45979</v>
      </c>
      <c r="I8">
        <f t="shared" si="1"/>
        <v>0</v>
      </c>
      <c r="J8" t="str">
        <f t="shared" si="2"/>
        <v>OK</v>
      </c>
      <c r="K8" s="2">
        <v>46025</v>
      </c>
      <c r="L8" s="2">
        <v>46025</v>
      </c>
      <c r="M8" t="str">
        <f t="shared" si="3"/>
        <v>OK</v>
      </c>
      <c r="N8" t="s">
        <v>35</v>
      </c>
      <c r="O8" t="s">
        <v>18</v>
      </c>
    </row>
    <row r="9" spans="1:15" hidden="1" x14ac:dyDescent="0.25">
      <c r="A9" t="s">
        <v>39</v>
      </c>
      <c r="B9" t="s">
        <v>26</v>
      </c>
      <c r="C9" t="s">
        <v>17</v>
      </c>
      <c r="D9">
        <v>1205</v>
      </c>
      <c r="E9">
        <v>1205</v>
      </c>
      <c r="F9" t="str">
        <f t="shared" si="0"/>
        <v>OK</v>
      </c>
      <c r="G9" s="2">
        <v>45975</v>
      </c>
      <c r="H9" s="2">
        <v>45975</v>
      </c>
      <c r="I9">
        <f t="shared" si="1"/>
        <v>0</v>
      </c>
      <c r="J9" t="str">
        <f t="shared" si="2"/>
        <v>OK</v>
      </c>
      <c r="K9" s="2">
        <v>46025</v>
      </c>
      <c r="L9" s="2">
        <v>46025</v>
      </c>
      <c r="M9" t="str">
        <f t="shared" si="3"/>
        <v>OK</v>
      </c>
      <c r="N9" t="s">
        <v>36</v>
      </c>
      <c r="O9" t="s">
        <v>18</v>
      </c>
    </row>
    <row r="10" spans="1:15" hidden="1" x14ac:dyDescent="0.25">
      <c r="A10" t="s">
        <v>39</v>
      </c>
      <c r="B10" t="s">
        <v>27</v>
      </c>
      <c r="C10" t="s">
        <v>16</v>
      </c>
      <c r="D10">
        <v>1127</v>
      </c>
      <c r="E10">
        <v>1127</v>
      </c>
      <c r="F10" t="str">
        <f t="shared" si="0"/>
        <v>OK</v>
      </c>
      <c r="G10" s="2">
        <v>46002</v>
      </c>
      <c r="H10" s="2">
        <v>46002</v>
      </c>
      <c r="I10">
        <f t="shared" si="1"/>
        <v>0</v>
      </c>
      <c r="J10" t="str">
        <f t="shared" si="2"/>
        <v>OK</v>
      </c>
      <c r="K10" s="2">
        <v>46025</v>
      </c>
      <c r="L10" s="2">
        <v>46025</v>
      </c>
      <c r="M10" t="str">
        <f t="shared" si="3"/>
        <v>OK</v>
      </c>
      <c r="N10" t="s">
        <v>37</v>
      </c>
      <c r="O10" t="s">
        <v>41</v>
      </c>
    </row>
    <row r="11" spans="1:15" hidden="1" x14ac:dyDescent="0.25">
      <c r="A11" t="s">
        <v>39</v>
      </c>
      <c r="B11" t="s">
        <v>28</v>
      </c>
      <c r="C11" t="s">
        <v>15</v>
      </c>
      <c r="D11">
        <v>2191</v>
      </c>
      <c r="E11">
        <v>2191</v>
      </c>
      <c r="F11" t="str">
        <f t="shared" si="0"/>
        <v>OK</v>
      </c>
      <c r="G11" s="2">
        <v>45932</v>
      </c>
      <c r="H11" s="2">
        <v>45931</v>
      </c>
      <c r="I11">
        <f t="shared" si="1"/>
        <v>-1</v>
      </c>
      <c r="J11" t="str">
        <f t="shared" si="2"/>
        <v>Not</v>
      </c>
      <c r="K11" s="2">
        <v>46027</v>
      </c>
      <c r="L11" s="2">
        <v>46027</v>
      </c>
      <c r="M11" t="str">
        <f t="shared" si="3"/>
        <v>OK</v>
      </c>
      <c r="N11" t="s">
        <v>38</v>
      </c>
      <c r="O11" t="s">
        <v>18</v>
      </c>
    </row>
  </sheetData>
  <autoFilter ref="A1:O11" xr:uid="{C5CEEFFB-22AA-42AF-9F9D-4A39AE7EACD4}">
    <filterColumn colId="14">
      <filters>
        <filter val="Salah KM di WEBC dan speedo tidak sesuai tipe"/>
      </filters>
    </filterColumn>
    <sortState xmlns:xlrd2="http://schemas.microsoft.com/office/spreadsheetml/2017/richdata2" ref="A2:O11">
      <sortCondition ref="B1:B11"/>
    </sortState>
  </autoFilter>
  <phoneticPr fontId="3" type="noConversion"/>
  <conditionalFormatting sqref="B1:B1048576">
    <cfRule type="duplicateValues" dxfId="42" priority="2"/>
    <cfRule type="duplicateValues" dxfId="41" priority="3"/>
  </conditionalFormatting>
  <conditionalFormatting sqref="D1:D1048576">
    <cfRule type="duplicateValues" dxfId="40" priority="1"/>
  </conditionalFormatting>
  <conditionalFormatting sqref="F1:F1048576 M2:M11">
    <cfRule type="containsText" dxfId="39" priority="10" operator="containsText" text="Not">
      <formula>NOT(ISERROR(SEARCH("Not",F1)))</formula>
    </cfRule>
    <cfRule type="containsText" dxfId="38" priority="11" operator="containsText" text="OK">
      <formula>NOT(ISERROR(SEARCH("OK",F1)))</formula>
    </cfRule>
  </conditionalFormatting>
  <conditionalFormatting sqref="J1:J1048576">
    <cfRule type="containsText" dxfId="37" priority="6" operator="containsText" text="Not">
      <formula>NOT(ISERROR(SEARCH("Not",J1)))</formula>
    </cfRule>
  </conditionalFormatting>
  <conditionalFormatting sqref="J2:J11">
    <cfRule type="containsText" dxfId="36" priority="15" operator="containsText" text="OK">
      <formula>NOT(ISERROR(SEARCH("OK",J2)))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A7E2-767A-4DE7-908B-7B55E4B06B33}">
  <dimension ref="A1:O21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83</v>
      </c>
      <c r="B2" t="s">
        <v>43</v>
      </c>
      <c r="C2" t="s">
        <v>17</v>
      </c>
      <c r="D2">
        <v>3067</v>
      </c>
      <c r="E2">
        <v>3067</v>
      </c>
      <c r="F2" t="str">
        <f t="shared" ref="F2:F21" si="0">IF(D2=E2,"OK","Not")</f>
        <v>OK</v>
      </c>
      <c r="G2" s="2">
        <v>45975</v>
      </c>
      <c r="H2" s="2">
        <v>45975</v>
      </c>
      <c r="I2">
        <f t="shared" ref="I2:I21" si="1">H2-G2</f>
        <v>0</v>
      </c>
      <c r="J2" t="str">
        <f t="shared" ref="J2:J21" si="2">IF(G2=H2,"OK","Not")</f>
        <v>OK</v>
      </c>
      <c r="K2" s="2">
        <v>46030</v>
      </c>
      <c r="L2" s="2">
        <v>46030</v>
      </c>
      <c r="M2" t="str">
        <f t="shared" ref="M2:M21" si="3">IF(K2=L2,"OK","Not")</f>
        <v>OK</v>
      </c>
      <c r="N2" t="s">
        <v>63</v>
      </c>
      <c r="O2" t="s">
        <v>18</v>
      </c>
    </row>
    <row r="3" spans="1:15" x14ac:dyDescent="0.25">
      <c r="A3" t="s">
        <v>83</v>
      </c>
      <c r="B3" t="s">
        <v>44</v>
      </c>
      <c r="C3" t="s">
        <v>16</v>
      </c>
      <c r="D3">
        <v>730</v>
      </c>
      <c r="E3">
        <v>730</v>
      </c>
      <c r="F3" t="str">
        <f t="shared" si="0"/>
        <v>OK</v>
      </c>
      <c r="G3" s="2">
        <v>45990</v>
      </c>
      <c r="H3" s="2">
        <v>45990</v>
      </c>
      <c r="I3">
        <f t="shared" si="1"/>
        <v>0</v>
      </c>
      <c r="J3" t="str">
        <f t="shared" si="2"/>
        <v>OK</v>
      </c>
      <c r="K3" s="2">
        <v>46029</v>
      </c>
      <c r="L3" s="2">
        <v>46029</v>
      </c>
      <c r="M3" t="str">
        <f t="shared" si="3"/>
        <v>OK</v>
      </c>
      <c r="N3" t="s">
        <v>64</v>
      </c>
      <c r="O3" t="s">
        <v>18</v>
      </c>
    </row>
    <row r="4" spans="1:15" x14ac:dyDescent="0.25">
      <c r="A4" t="s">
        <v>83</v>
      </c>
      <c r="B4" t="s">
        <v>45</v>
      </c>
      <c r="C4" t="s">
        <v>17</v>
      </c>
      <c r="D4">
        <v>2481</v>
      </c>
      <c r="E4">
        <v>2481</v>
      </c>
      <c r="F4" t="str">
        <f t="shared" si="0"/>
        <v>OK</v>
      </c>
      <c r="G4" s="2">
        <v>45986</v>
      </c>
      <c r="H4" s="2">
        <v>45986</v>
      </c>
      <c r="I4">
        <f t="shared" si="1"/>
        <v>0</v>
      </c>
      <c r="J4" t="str">
        <f t="shared" si="2"/>
        <v>OK</v>
      </c>
      <c r="K4" s="2">
        <v>46030</v>
      </c>
      <c r="L4" s="2">
        <v>46030</v>
      </c>
      <c r="M4" t="str">
        <f t="shared" si="3"/>
        <v>OK</v>
      </c>
      <c r="N4" t="s">
        <v>65</v>
      </c>
      <c r="O4" t="s">
        <v>18</v>
      </c>
    </row>
    <row r="5" spans="1:15" x14ac:dyDescent="0.25">
      <c r="A5" t="s">
        <v>83</v>
      </c>
      <c r="B5" t="s">
        <v>46</v>
      </c>
      <c r="C5" t="s">
        <v>15</v>
      </c>
      <c r="D5">
        <v>5201</v>
      </c>
      <c r="E5">
        <v>5201</v>
      </c>
      <c r="F5" t="str">
        <f t="shared" si="0"/>
        <v>OK</v>
      </c>
      <c r="G5" s="2">
        <v>45783</v>
      </c>
      <c r="H5" s="2">
        <v>45783</v>
      </c>
      <c r="I5">
        <f t="shared" si="1"/>
        <v>0</v>
      </c>
      <c r="J5" t="str">
        <f t="shared" si="2"/>
        <v>OK</v>
      </c>
      <c r="K5" s="2">
        <v>46028</v>
      </c>
      <c r="L5" s="2">
        <v>46028</v>
      </c>
      <c r="M5" t="str">
        <f t="shared" si="3"/>
        <v>OK</v>
      </c>
      <c r="N5" t="s">
        <v>66</v>
      </c>
      <c r="O5" t="s">
        <v>18</v>
      </c>
    </row>
    <row r="6" spans="1:15" x14ac:dyDescent="0.25">
      <c r="A6" t="s">
        <v>83</v>
      </c>
      <c r="B6" t="s">
        <v>47</v>
      </c>
      <c r="C6" t="s">
        <v>15</v>
      </c>
      <c r="D6">
        <v>4049</v>
      </c>
      <c r="E6">
        <v>4049</v>
      </c>
      <c r="F6" t="str">
        <f t="shared" si="0"/>
        <v>OK</v>
      </c>
      <c r="G6" s="2">
        <v>45936</v>
      </c>
      <c r="H6" s="2">
        <v>45934</v>
      </c>
      <c r="I6">
        <f t="shared" si="1"/>
        <v>-2</v>
      </c>
      <c r="J6" t="str">
        <f t="shared" si="2"/>
        <v>Not</v>
      </c>
      <c r="K6" s="2">
        <v>46032</v>
      </c>
      <c r="L6" s="2">
        <v>46032</v>
      </c>
      <c r="M6" t="str">
        <f t="shared" si="3"/>
        <v>OK</v>
      </c>
      <c r="N6" t="s">
        <v>67</v>
      </c>
      <c r="O6" t="s">
        <v>18</v>
      </c>
    </row>
    <row r="7" spans="1:15" x14ac:dyDescent="0.25">
      <c r="A7" t="s">
        <v>83</v>
      </c>
      <c r="B7" t="s">
        <v>48</v>
      </c>
      <c r="C7" t="s">
        <v>16</v>
      </c>
      <c r="D7">
        <v>900</v>
      </c>
      <c r="E7">
        <v>900</v>
      </c>
      <c r="F7" t="str">
        <f t="shared" si="0"/>
        <v>OK</v>
      </c>
      <c r="G7" s="2">
        <v>45975</v>
      </c>
      <c r="H7" s="2">
        <v>45975</v>
      </c>
      <c r="I7">
        <f t="shared" si="1"/>
        <v>0</v>
      </c>
      <c r="J7" t="str">
        <f t="shared" si="2"/>
        <v>OK</v>
      </c>
      <c r="K7" s="2">
        <v>46030</v>
      </c>
      <c r="L7" s="2">
        <v>46030</v>
      </c>
      <c r="M7" t="str">
        <f t="shared" si="3"/>
        <v>OK</v>
      </c>
      <c r="N7" t="s">
        <v>68</v>
      </c>
      <c r="O7" t="s">
        <v>18</v>
      </c>
    </row>
    <row r="8" spans="1:15" x14ac:dyDescent="0.25">
      <c r="A8" t="s">
        <v>83</v>
      </c>
      <c r="B8" t="s">
        <v>49</v>
      </c>
      <c r="C8" t="s">
        <v>16</v>
      </c>
      <c r="D8">
        <v>952</v>
      </c>
      <c r="E8">
        <v>952</v>
      </c>
      <c r="F8" t="str">
        <f t="shared" si="0"/>
        <v>OK</v>
      </c>
      <c r="G8" s="2">
        <v>45999</v>
      </c>
      <c r="H8" s="2">
        <v>45997</v>
      </c>
      <c r="I8">
        <f t="shared" si="1"/>
        <v>-2</v>
      </c>
      <c r="J8" t="str">
        <f t="shared" si="2"/>
        <v>Not</v>
      </c>
      <c r="K8" s="2">
        <v>46028</v>
      </c>
      <c r="L8" s="2">
        <v>46028</v>
      </c>
      <c r="M8" t="str">
        <f t="shared" si="3"/>
        <v>OK</v>
      </c>
      <c r="N8" t="s">
        <v>69</v>
      </c>
      <c r="O8" t="s">
        <v>18</v>
      </c>
    </row>
    <row r="9" spans="1:15" x14ac:dyDescent="0.25">
      <c r="A9" t="s">
        <v>83</v>
      </c>
      <c r="B9" t="s">
        <v>50</v>
      </c>
      <c r="C9" t="s">
        <v>16</v>
      </c>
      <c r="D9">
        <v>342</v>
      </c>
      <c r="E9">
        <v>342</v>
      </c>
      <c r="F9" t="str">
        <f t="shared" si="0"/>
        <v>OK</v>
      </c>
      <c r="G9" s="2">
        <v>46021</v>
      </c>
      <c r="H9" s="2">
        <v>46020</v>
      </c>
      <c r="I9">
        <f t="shared" si="1"/>
        <v>-1</v>
      </c>
      <c r="J9" t="str">
        <f t="shared" si="2"/>
        <v>Not</v>
      </c>
      <c r="K9" s="2">
        <v>46029</v>
      </c>
      <c r="L9" s="2">
        <v>46029</v>
      </c>
      <c r="M9" t="str">
        <f t="shared" si="3"/>
        <v>OK</v>
      </c>
      <c r="N9" t="s">
        <v>70</v>
      </c>
      <c r="O9" t="s">
        <v>18</v>
      </c>
    </row>
    <row r="10" spans="1:15" x14ac:dyDescent="0.25">
      <c r="A10" t="s">
        <v>83</v>
      </c>
      <c r="B10" t="s">
        <v>51</v>
      </c>
      <c r="C10" t="s">
        <v>42</v>
      </c>
      <c r="D10">
        <v>10083</v>
      </c>
      <c r="E10">
        <v>10083</v>
      </c>
      <c r="F10" t="str">
        <f t="shared" si="0"/>
        <v>OK</v>
      </c>
      <c r="G10" s="2">
        <v>45693</v>
      </c>
      <c r="H10" s="2">
        <v>45693</v>
      </c>
      <c r="I10">
        <f t="shared" si="1"/>
        <v>0</v>
      </c>
      <c r="J10" t="str">
        <f t="shared" si="2"/>
        <v>OK</v>
      </c>
      <c r="K10" s="2">
        <v>46029</v>
      </c>
      <c r="L10" s="2">
        <v>46029</v>
      </c>
      <c r="M10" t="str">
        <f t="shared" si="3"/>
        <v>OK</v>
      </c>
      <c r="N10" t="s">
        <v>71</v>
      </c>
      <c r="O10" t="s">
        <v>18</v>
      </c>
    </row>
    <row r="11" spans="1:15" x14ac:dyDescent="0.25">
      <c r="A11" t="s">
        <v>83</v>
      </c>
      <c r="B11" t="s">
        <v>52</v>
      </c>
      <c r="C11" t="s">
        <v>17</v>
      </c>
      <c r="D11">
        <v>1586</v>
      </c>
      <c r="E11">
        <v>1586</v>
      </c>
      <c r="F11" t="str">
        <f t="shared" si="0"/>
        <v>OK</v>
      </c>
      <c r="G11" s="2">
        <v>45916</v>
      </c>
      <c r="H11" s="2">
        <v>45916</v>
      </c>
      <c r="I11">
        <f t="shared" si="1"/>
        <v>0</v>
      </c>
      <c r="J11" t="str">
        <f t="shared" si="2"/>
        <v>OK</v>
      </c>
      <c r="K11" s="2">
        <v>46030</v>
      </c>
      <c r="L11" s="2">
        <v>46030</v>
      </c>
      <c r="M11" t="str">
        <f t="shared" si="3"/>
        <v>OK</v>
      </c>
      <c r="N11" t="s">
        <v>72</v>
      </c>
      <c r="O11" t="s">
        <v>18</v>
      </c>
    </row>
    <row r="12" spans="1:15" x14ac:dyDescent="0.25">
      <c r="A12" t="s">
        <v>83</v>
      </c>
      <c r="B12" t="s">
        <v>53</v>
      </c>
      <c r="C12" t="s">
        <v>16</v>
      </c>
      <c r="D12">
        <v>605</v>
      </c>
      <c r="E12">
        <v>605</v>
      </c>
      <c r="F12" t="str">
        <f t="shared" si="0"/>
        <v>OK</v>
      </c>
      <c r="G12" s="2">
        <v>45996</v>
      </c>
      <c r="H12" s="2">
        <v>45996</v>
      </c>
      <c r="I12">
        <f t="shared" si="1"/>
        <v>0</v>
      </c>
      <c r="J12" t="str">
        <f t="shared" si="2"/>
        <v>OK</v>
      </c>
      <c r="K12" s="2">
        <v>46028</v>
      </c>
      <c r="L12" s="2">
        <v>46028</v>
      </c>
      <c r="M12" t="str">
        <f t="shared" si="3"/>
        <v>OK</v>
      </c>
      <c r="N12" t="s">
        <v>73</v>
      </c>
      <c r="O12" t="s">
        <v>18</v>
      </c>
    </row>
    <row r="13" spans="1:15" x14ac:dyDescent="0.25">
      <c r="A13" t="s">
        <v>83</v>
      </c>
      <c r="B13" t="s">
        <v>54</v>
      </c>
      <c r="C13" t="s">
        <v>16</v>
      </c>
      <c r="D13">
        <v>943</v>
      </c>
      <c r="E13">
        <v>943</v>
      </c>
      <c r="F13" t="str">
        <f t="shared" si="0"/>
        <v>OK</v>
      </c>
      <c r="G13" s="2">
        <v>45994</v>
      </c>
      <c r="H13" s="2">
        <v>45993</v>
      </c>
      <c r="I13">
        <f t="shared" si="1"/>
        <v>-1</v>
      </c>
      <c r="J13" t="str">
        <f t="shared" si="2"/>
        <v>Not</v>
      </c>
      <c r="K13" s="2">
        <v>46030</v>
      </c>
      <c r="L13" s="2">
        <v>46030</v>
      </c>
      <c r="M13" t="str">
        <f t="shared" si="3"/>
        <v>OK</v>
      </c>
      <c r="N13" t="s">
        <v>74</v>
      </c>
      <c r="O13" t="s">
        <v>18</v>
      </c>
    </row>
    <row r="14" spans="1:15" x14ac:dyDescent="0.25">
      <c r="A14" t="s">
        <v>83</v>
      </c>
      <c r="B14" t="s">
        <v>55</v>
      </c>
      <c r="C14" t="s">
        <v>16</v>
      </c>
      <c r="D14">
        <v>359</v>
      </c>
      <c r="E14">
        <v>359</v>
      </c>
      <c r="F14" t="str">
        <f t="shared" si="0"/>
        <v>OK</v>
      </c>
      <c r="G14" s="2">
        <v>46020</v>
      </c>
      <c r="H14" s="2">
        <v>46018</v>
      </c>
      <c r="I14">
        <f t="shared" si="1"/>
        <v>-2</v>
      </c>
      <c r="J14" t="str">
        <f t="shared" si="2"/>
        <v>Not</v>
      </c>
      <c r="K14" s="2">
        <v>46028</v>
      </c>
      <c r="L14" s="2">
        <v>46028</v>
      </c>
      <c r="M14" t="str">
        <f t="shared" si="3"/>
        <v>OK</v>
      </c>
      <c r="N14" t="s">
        <v>75</v>
      </c>
      <c r="O14" t="s">
        <v>18</v>
      </c>
    </row>
    <row r="15" spans="1:15" x14ac:dyDescent="0.25">
      <c r="A15" t="s">
        <v>83</v>
      </c>
      <c r="B15" t="s">
        <v>56</v>
      </c>
      <c r="C15" t="s">
        <v>16</v>
      </c>
      <c r="D15">
        <v>1021</v>
      </c>
      <c r="E15">
        <v>1021</v>
      </c>
      <c r="F15" t="str">
        <f t="shared" si="0"/>
        <v>OK</v>
      </c>
      <c r="G15" s="2">
        <v>46013</v>
      </c>
      <c r="H15" s="2">
        <v>46015</v>
      </c>
      <c r="I15">
        <f t="shared" si="1"/>
        <v>2</v>
      </c>
      <c r="J15" t="str">
        <f t="shared" si="2"/>
        <v>Not</v>
      </c>
      <c r="K15" s="2">
        <v>46028</v>
      </c>
      <c r="L15" s="2">
        <v>46028</v>
      </c>
      <c r="M15" t="str">
        <f t="shared" si="3"/>
        <v>OK</v>
      </c>
      <c r="N15" t="s">
        <v>76</v>
      </c>
      <c r="O15" t="s">
        <v>18</v>
      </c>
    </row>
    <row r="16" spans="1:15" x14ac:dyDescent="0.25">
      <c r="A16" t="s">
        <v>83</v>
      </c>
      <c r="B16" t="s">
        <v>57</v>
      </c>
      <c r="C16" t="s">
        <v>16</v>
      </c>
      <c r="D16">
        <v>350</v>
      </c>
      <c r="E16">
        <v>350</v>
      </c>
      <c r="F16" t="str">
        <f t="shared" si="0"/>
        <v>OK</v>
      </c>
      <c r="G16" s="2">
        <v>46018</v>
      </c>
      <c r="H16" s="2">
        <v>46018</v>
      </c>
      <c r="I16">
        <f t="shared" si="1"/>
        <v>0</v>
      </c>
      <c r="J16" t="str">
        <f t="shared" si="2"/>
        <v>OK</v>
      </c>
      <c r="K16" s="2">
        <v>46028</v>
      </c>
      <c r="L16" s="2">
        <v>46028</v>
      </c>
      <c r="M16" t="str">
        <f t="shared" si="3"/>
        <v>OK</v>
      </c>
      <c r="N16" t="s">
        <v>77</v>
      </c>
      <c r="O16" t="s">
        <v>18</v>
      </c>
    </row>
    <row r="17" spans="1:15" x14ac:dyDescent="0.25">
      <c r="A17" t="s">
        <v>83</v>
      </c>
      <c r="B17" t="s">
        <v>58</v>
      </c>
      <c r="C17" t="s">
        <v>16</v>
      </c>
      <c r="D17">
        <v>1000</v>
      </c>
      <c r="E17">
        <v>1000</v>
      </c>
      <c r="F17" t="str">
        <f t="shared" si="0"/>
        <v>OK</v>
      </c>
      <c r="G17" s="2">
        <v>46013</v>
      </c>
      <c r="H17" s="2">
        <v>46013</v>
      </c>
      <c r="I17">
        <f t="shared" si="1"/>
        <v>0</v>
      </c>
      <c r="J17" t="str">
        <f t="shared" si="2"/>
        <v>OK</v>
      </c>
      <c r="K17" s="2">
        <v>46028</v>
      </c>
      <c r="L17" s="2">
        <v>46028</v>
      </c>
      <c r="M17" t="str">
        <f t="shared" si="3"/>
        <v>OK</v>
      </c>
      <c r="N17" t="s">
        <v>78</v>
      </c>
      <c r="O17" t="s">
        <v>18</v>
      </c>
    </row>
    <row r="18" spans="1:15" x14ac:dyDescent="0.25">
      <c r="A18" t="s">
        <v>83</v>
      </c>
      <c r="B18" t="s">
        <v>59</v>
      </c>
      <c r="C18" t="s">
        <v>15</v>
      </c>
      <c r="D18">
        <v>3699</v>
      </c>
      <c r="E18">
        <v>3699</v>
      </c>
      <c r="F18" t="str">
        <f t="shared" si="0"/>
        <v>OK</v>
      </c>
      <c r="G18" s="2">
        <v>45976</v>
      </c>
      <c r="H18" s="2">
        <v>45976</v>
      </c>
      <c r="I18">
        <f t="shared" si="1"/>
        <v>0</v>
      </c>
      <c r="J18" t="str">
        <f t="shared" si="2"/>
        <v>OK</v>
      </c>
      <c r="K18" s="2">
        <v>46028</v>
      </c>
      <c r="L18" s="2">
        <v>46028</v>
      </c>
      <c r="M18" t="str">
        <f t="shared" si="3"/>
        <v>OK</v>
      </c>
      <c r="N18" t="s">
        <v>79</v>
      </c>
      <c r="O18" t="s">
        <v>18</v>
      </c>
    </row>
    <row r="19" spans="1:15" x14ac:dyDescent="0.25">
      <c r="A19" t="s">
        <v>83</v>
      </c>
      <c r="B19" t="s">
        <v>60</v>
      </c>
      <c r="C19" t="s">
        <v>16</v>
      </c>
      <c r="D19">
        <v>494</v>
      </c>
      <c r="E19">
        <v>494</v>
      </c>
      <c r="F19" t="str">
        <f t="shared" si="0"/>
        <v>OK</v>
      </c>
      <c r="G19" s="2">
        <v>45986</v>
      </c>
      <c r="H19" s="2">
        <v>45986</v>
      </c>
      <c r="I19">
        <f t="shared" si="1"/>
        <v>0</v>
      </c>
      <c r="J19" t="str">
        <f t="shared" si="2"/>
        <v>OK</v>
      </c>
      <c r="K19" s="2">
        <v>46030</v>
      </c>
      <c r="L19" s="2">
        <v>46030</v>
      </c>
      <c r="M19" t="str">
        <f t="shared" si="3"/>
        <v>OK</v>
      </c>
      <c r="N19" t="s">
        <v>80</v>
      </c>
      <c r="O19" t="s">
        <v>18</v>
      </c>
    </row>
    <row r="20" spans="1:15" x14ac:dyDescent="0.25">
      <c r="A20" t="s">
        <v>83</v>
      </c>
      <c r="B20" t="s">
        <v>61</v>
      </c>
      <c r="C20" t="s">
        <v>16</v>
      </c>
      <c r="D20">
        <v>39</v>
      </c>
      <c r="E20">
        <v>39</v>
      </c>
      <c r="F20" t="str">
        <f t="shared" si="0"/>
        <v>OK</v>
      </c>
      <c r="G20" s="2">
        <v>46024</v>
      </c>
      <c r="H20" s="2">
        <v>46024</v>
      </c>
      <c r="I20">
        <f t="shared" si="1"/>
        <v>0</v>
      </c>
      <c r="J20" t="str">
        <f t="shared" si="2"/>
        <v>OK</v>
      </c>
      <c r="K20" s="2">
        <v>46032</v>
      </c>
      <c r="L20" s="2">
        <v>46032</v>
      </c>
      <c r="M20" t="str">
        <f t="shared" si="3"/>
        <v>OK</v>
      </c>
      <c r="N20" t="s">
        <v>81</v>
      </c>
      <c r="O20" t="s">
        <v>18</v>
      </c>
    </row>
    <row r="21" spans="1:15" x14ac:dyDescent="0.25">
      <c r="A21" t="s">
        <v>83</v>
      </c>
      <c r="B21" s="5" t="s">
        <v>62</v>
      </c>
      <c r="C21" t="s">
        <v>17</v>
      </c>
      <c r="D21">
        <v>1254</v>
      </c>
      <c r="E21">
        <v>1254</v>
      </c>
      <c r="F21" t="str">
        <f t="shared" si="0"/>
        <v>OK</v>
      </c>
      <c r="G21" s="2">
        <v>45951</v>
      </c>
      <c r="H21" s="2">
        <v>45951</v>
      </c>
      <c r="I21">
        <f t="shared" si="1"/>
        <v>0</v>
      </c>
      <c r="J21" t="str">
        <f t="shared" si="2"/>
        <v>OK</v>
      </c>
      <c r="K21" s="2">
        <v>46032</v>
      </c>
      <c r="L21" s="2">
        <v>46032</v>
      </c>
      <c r="M21" t="str">
        <f t="shared" si="3"/>
        <v>OK</v>
      </c>
      <c r="N21" t="s">
        <v>82</v>
      </c>
      <c r="O21" t="s">
        <v>18</v>
      </c>
    </row>
  </sheetData>
  <autoFilter ref="A1:O21" xr:uid="{630AA7E2-767A-4DE7-908B-7B55E4B06B33}">
    <sortState xmlns:xlrd2="http://schemas.microsoft.com/office/spreadsheetml/2017/richdata2" ref="A2:O21">
      <sortCondition ref="B1:B21"/>
    </sortState>
  </autoFilter>
  <phoneticPr fontId="3" type="noConversion"/>
  <conditionalFormatting sqref="B1:B1048576">
    <cfRule type="duplicateValues" dxfId="35" priority="2"/>
    <cfRule type="duplicateValues" dxfId="34" priority="3"/>
    <cfRule type="duplicateValues" dxfId="33" priority="11"/>
    <cfRule type="duplicateValues" dxfId="32" priority="12"/>
  </conditionalFormatting>
  <conditionalFormatting sqref="D1:D1048576">
    <cfRule type="duplicateValues" dxfId="31" priority="1"/>
    <cfRule type="duplicateValues" dxfId="30" priority="10"/>
  </conditionalFormatting>
  <conditionalFormatting sqref="F1:F1048576">
    <cfRule type="containsText" dxfId="29" priority="14" operator="containsText" text="Not">
      <formula>NOT(ISERROR(SEARCH("Not",F1)))</formula>
    </cfRule>
    <cfRule type="containsText" dxfId="28" priority="15" operator="containsText" text="OK">
      <formula>NOT(ISERROR(SEARCH("OK",F1)))</formula>
    </cfRule>
  </conditionalFormatting>
  <conditionalFormatting sqref="J1:J1048576">
    <cfRule type="containsText" dxfId="27" priority="8" operator="containsText" text="Not">
      <formula>NOT(ISERROR(SEARCH("Not",J1)))</formula>
    </cfRule>
  </conditionalFormatting>
  <conditionalFormatting sqref="J2:J21">
    <cfRule type="containsText" dxfId="26" priority="9" operator="containsText" text="OK">
      <formula>NOT(ISERROR(SEARCH("OK",J2)))</formula>
    </cfRule>
  </conditionalFormatting>
  <conditionalFormatting sqref="M2:M21">
    <cfRule type="containsText" dxfId="25" priority="4" operator="containsText" text="Not">
      <formula>NOT(ISERROR(SEARCH("Not",M2)))</formula>
    </cfRule>
    <cfRule type="containsText" dxfId="24" priority="5" operator="containsText" text="OK">
      <formula>NOT(ISERROR(SEARCH("OK",M2)))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E6FD-BDFA-4451-A686-27432816927D}">
  <sheetPr filterMode="1"/>
  <dimension ref="A1:O30"/>
  <sheetViews>
    <sheetView workbookViewId="0">
      <pane ySplit="1" topLeftCell="A18" activePane="bottomLeft" state="frozen"/>
      <selection pane="bottomLeft" activeCell="P1" sqref="P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142</v>
      </c>
      <c r="B2" t="s">
        <v>84</v>
      </c>
      <c r="C2" t="s">
        <v>17</v>
      </c>
      <c r="D2">
        <v>2561</v>
      </c>
      <c r="E2">
        <v>2561</v>
      </c>
      <c r="F2" t="str">
        <f t="shared" ref="F2:F30" si="0">IF(D2=E2,"OK","Not")</f>
        <v>OK</v>
      </c>
      <c r="G2" s="2">
        <v>45925</v>
      </c>
      <c r="H2" s="2">
        <v>45925</v>
      </c>
      <c r="I2">
        <f t="shared" ref="I2:I30" si="1">H2-G2</f>
        <v>0</v>
      </c>
      <c r="J2" t="str">
        <f t="shared" ref="J2:J30" si="2">IF(H2=G2,"OK","Not")</f>
        <v>OK</v>
      </c>
      <c r="K2" s="2">
        <v>46035</v>
      </c>
      <c r="L2" s="2">
        <v>46035</v>
      </c>
      <c r="M2" t="str">
        <f t="shared" ref="M2:M30" si="3">IF(K2=L2,"OK","Not")</f>
        <v>OK</v>
      </c>
      <c r="N2" t="s">
        <v>113</v>
      </c>
      <c r="O2" t="s">
        <v>18</v>
      </c>
    </row>
    <row r="3" spans="1:15" hidden="1" x14ac:dyDescent="0.25">
      <c r="A3" t="s">
        <v>142</v>
      </c>
      <c r="B3" t="s">
        <v>85</v>
      </c>
      <c r="C3" t="s">
        <v>17</v>
      </c>
      <c r="D3">
        <v>1130</v>
      </c>
      <c r="E3">
        <v>1130</v>
      </c>
      <c r="F3" t="str">
        <f t="shared" si="0"/>
        <v>OK</v>
      </c>
      <c r="G3" s="2">
        <v>45950</v>
      </c>
      <c r="H3" s="2">
        <v>45950</v>
      </c>
      <c r="I3">
        <f t="shared" si="1"/>
        <v>0</v>
      </c>
      <c r="J3" t="str">
        <f t="shared" si="2"/>
        <v>OK</v>
      </c>
      <c r="K3" s="2">
        <v>46035</v>
      </c>
      <c r="L3" s="2">
        <v>46035</v>
      </c>
      <c r="M3" t="str">
        <f t="shared" si="3"/>
        <v>OK</v>
      </c>
      <c r="N3" t="s">
        <v>114</v>
      </c>
      <c r="O3" t="s">
        <v>18</v>
      </c>
    </row>
    <row r="4" spans="1:15" hidden="1" x14ac:dyDescent="0.25">
      <c r="A4" t="s">
        <v>142</v>
      </c>
      <c r="B4" t="s">
        <v>86</v>
      </c>
      <c r="C4" t="s">
        <v>17</v>
      </c>
      <c r="D4">
        <v>2937</v>
      </c>
      <c r="E4">
        <v>2937</v>
      </c>
      <c r="F4" t="str">
        <f t="shared" si="0"/>
        <v>OK</v>
      </c>
      <c r="G4" s="2">
        <v>45972</v>
      </c>
      <c r="H4" s="2">
        <v>45972</v>
      </c>
      <c r="I4">
        <f t="shared" si="1"/>
        <v>0</v>
      </c>
      <c r="J4" t="str">
        <f t="shared" si="2"/>
        <v>OK</v>
      </c>
      <c r="K4" s="2">
        <v>46034</v>
      </c>
      <c r="L4" s="2">
        <v>46034</v>
      </c>
      <c r="M4" t="str">
        <f t="shared" si="3"/>
        <v>OK</v>
      </c>
      <c r="N4" t="s">
        <v>115</v>
      </c>
      <c r="O4" t="s">
        <v>18</v>
      </c>
    </row>
    <row r="5" spans="1:15" hidden="1" x14ac:dyDescent="0.25">
      <c r="A5" t="s">
        <v>142</v>
      </c>
      <c r="B5" t="s">
        <v>87</v>
      </c>
      <c r="C5" t="s">
        <v>16</v>
      </c>
      <c r="D5">
        <v>506</v>
      </c>
      <c r="E5">
        <v>506</v>
      </c>
      <c r="F5" t="str">
        <f t="shared" si="0"/>
        <v>OK</v>
      </c>
      <c r="G5" s="2">
        <v>45996</v>
      </c>
      <c r="H5" s="2">
        <v>45996</v>
      </c>
      <c r="I5">
        <f t="shared" si="1"/>
        <v>0</v>
      </c>
      <c r="J5" t="str">
        <f t="shared" si="2"/>
        <v>OK</v>
      </c>
      <c r="K5" s="2">
        <v>46037</v>
      </c>
      <c r="L5" s="2">
        <v>46037</v>
      </c>
      <c r="M5" t="str">
        <f t="shared" si="3"/>
        <v>OK</v>
      </c>
      <c r="N5" t="s">
        <v>116</v>
      </c>
      <c r="O5" t="s">
        <v>18</v>
      </c>
    </row>
    <row r="6" spans="1:15" hidden="1" x14ac:dyDescent="0.25">
      <c r="A6" t="s">
        <v>142</v>
      </c>
      <c r="B6" t="s">
        <v>88</v>
      </c>
      <c r="C6" t="s">
        <v>16</v>
      </c>
      <c r="D6">
        <v>673</v>
      </c>
      <c r="E6">
        <v>673</v>
      </c>
      <c r="F6" t="str">
        <f t="shared" si="0"/>
        <v>OK</v>
      </c>
      <c r="G6" s="2">
        <v>45980</v>
      </c>
      <c r="H6" s="2">
        <v>45980</v>
      </c>
      <c r="I6">
        <f t="shared" si="1"/>
        <v>0</v>
      </c>
      <c r="J6" t="str">
        <f t="shared" si="2"/>
        <v>OK</v>
      </c>
      <c r="K6" s="2">
        <v>46037</v>
      </c>
      <c r="L6" s="2">
        <v>46037</v>
      </c>
      <c r="M6" t="str">
        <f t="shared" si="3"/>
        <v>OK</v>
      </c>
      <c r="N6" t="s">
        <v>117</v>
      </c>
      <c r="O6" t="s">
        <v>18</v>
      </c>
    </row>
    <row r="7" spans="1:15" hidden="1" x14ac:dyDescent="0.25">
      <c r="A7" t="s">
        <v>142</v>
      </c>
      <c r="B7" t="s">
        <v>89</v>
      </c>
      <c r="C7" t="s">
        <v>17</v>
      </c>
      <c r="D7">
        <v>2449</v>
      </c>
      <c r="E7">
        <v>2449</v>
      </c>
      <c r="F7" t="str">
        <f t="shared" si="0"/>
        <v>OK</v>
      </c>
      <c r="G7" s="2">
        <v>45974</v>
      </c>
      <c r="H7" s="2">
        <v>45974</v>
      </c>
      <c r="I7">
        <f t="shared" si="1"/>
        <v>0</v>
      </c>
      <c r="J7" t="str">
        <f t="shared" si="2"/>
        <v>OK</v>
      </c>
      <c r="K7" s="2">
        <v>46036</v>
      </c>
      <c r="L7" s="2">
        <v>46036</v>
      </c>
      <c r="M7" t="str">
        <f t="shared" si="3"/>
        <v>OK</v>
      </c>
      <c r="N7" t="s">
        <v>118</v>
      </c>
      <c r="O7" t="s">
        <v>18</v>
      </c>
    </row>
    <row r="8" spans="1:15" hidden="1" x14ac:dyDescent="0.25">
      <c r="A8" t="s">
        <v>142</v>
      </c>
      <c r="B8" t="s">
        <v>90</v>
      </c>
      <c r="C8" t="s">
        <v>15</v>
      </c>
      <c r="D8">
        <v>4834</v>
      </c>
      <c r="E8">
        <v>4834</v>
      </c>
      <c r="F8" t="str">
        <f t="shared" si="0"/>
        <v>OK</v>
      </c>
      <c r="G8" s="2">
        <v>45852</v>
      </c>
      <c r="H8" s="2">
        <v>45852</v>
      </c>
      <c r="I8">
        <f t="shared" si="1"/>
        <v>0</v>
      </c>
      <c r="J8" t="str">
        <f t="shared" si="2"/>
        <v>OK</v>
      </c>
      <c r="K8" s="2">
        <v>46037</v>
      </c>
      <c r="L8" s="2">
        <v>46037</v>
      </c>
      <c r="M8" t="str">
        <f t="shared" si="3"/>
        <v>OK</v>
      </c>
      <c r="N8" t="s">
        <v>119</v>
      </c>
      <c r="O8" t="s">
        <v>18</v>
      </c>
    </row>
    <row r="9" spans="1:15" hidden="1" x14ac:dyDescent="0.25">
      <c r="A9" t="s">
        <v>142</v>
      </c>
      <c r="B9" t="s">
        <v>91</v>
      </c>
      <c r="C9" t="s">
        <v>15</v>
      </c>
      <c r="D9">
        <v>3990</v>
      </c>
      <c r="E9">
        <v>3990</v>
      </c>
      <c r="F9" t="str">
        <f t="shared" si="0"/>
        <v>OK</v>
      </c>
      <c r="G9" s="2">
        <v>45938</v>
      </c>
      <c r="H9" s="2">
        <v>45938</v>
      </c>
      <c r="I9">
        <f t="shared" si="1"/>
        <v>0</v>
      </c>
      <c r="J9" t="str">
        <f t="shared" si="2"/>
        <v>OK</v>
      </c>
      <c r="K9" s="2">
        <v>46036</v>
      </c>
      <c r="L9" s="2">
        <v>46036</v>
      </c>
      <c r="M9" t="str">
        <f t="shared" si="3"/>
        <v>OK</v>
      </c>
      <c r="N9" t="s">
        <v>120</v>
      </c>
      <c r="O9" t="s">
        <v>18</v>
      </c>
    </row>
    <row r="10" spans="1:15" hidden="1" x14ac:dyDescent="0.25">
      <c r="A10" t="s">
        <v>142</v>
      </c>
      <c r="B10" s="5" t="s">
        <v>92</v>
      </c>
      <c r="C10" t="s">
        <v>16</v>
      </c>
      <c r="D10">
        <v>990</v>
      </c>
      <c r="E10">
        <v>990</v>
      </c>
      <c r="F10" t="str">
        <f t="shared" si="0"/>
        <v>OK</v>
      </c>
      <c r="G10" s="2">
        <v>45971</v>
      </c>
      <c r="H10" s="2">
        <v>45971</v>
      </c>
      <c r="I10">
        <f t="shared" si="1"/>
        <v>0</v>
      </c>
      <c r="J10" t="str">
        <f t="shared" si="2"/>
        <v>OK</v>
      </c>
      <c r="K10" s="2">
        <v>46034</v>
      </c>
      <c r="L10" s="2">
        <v>46034</v>
      </c>
      <c r="M10" t="str">
        <f t="shared" si="3"/>
        <v>OK</v>
      </c>
      <c r="N10" t="s">
        <v>121</v>
      </c>
      <c r="O10" t="s">
        <v>18</v>
      </c>
    </row>
    <row r="11" spans="1:15" hidden="1" x14ac:dyDescent="0.25">
      <c r="A11" t="s">
        <v>142</v>
      </c>
      <c r="B11" t="s">
        <v>93</v>
      </c>
      <c r="C11" t="s">
        <v>42</v>
      </c>
      <c r="D11">
        <v>5725</v>
      </c>
      <c r="E11">
        <v>5725</v>
      </c>
      <c r="F11" t="str">
        <f t="shared" si="0"/>
        <v>OK</v>
      </c>
      <c r="G11" s="2">
        <v>45875</v>
      </c>
      <c r="H11" s="2">
        <v>45873</v>
      </c>
      <c r="I11">
        <f t="shared" si="1"/>
        <v>-2</v>
      </c>
      <c r="J11" t="str">
        <f t="shared" si="2"/>
        <v>Not</v>
      </c>
      <c r="K11" s="2">
        <v>46037</v>
      </c>
      <c r="L11" s="2">
        <v>46037</v>
      </c>
      <c r="M11" t="str">
        <f t="shared" si="3"/>
        <v>OK</v>
      </c>
      <c r="N11" t="s">
        <v>122</v>
      </c>
      <c r="O11" t="s">
        <v>18</v>
      </c>
    </row>
    <row r="12" spans="1:15" hidden="1" x14ac:dyDescent="0.25">
      <c r="A12" t="s">
        <v>142</v>
      </c>
      <c r="B12" t="s">
        <v>94</v>
      </c>
      <c r="C12" t="s">
        <v>16</v>
      </c>
      <c r="D12">
        <v>632</v>
      </c>
      <c r="E12">
        <v>632</v>
      </c>
      <c r="F12" t="str">
        <f t="shared" si="0"/>
        <v>OK</v>
      </c>
      <c r="G12" s="2">
        <v>45999</v>
      </c>
      <c r="H12" s="2">
        <v>45999</v>
      </c>
      <c r="I12">
        <f t="shared" si="1"/>
        <v>0</v>
      </c>
      <c r="J12" t="str">
        <f t="shared" si="2"/>
        <v>OK</v>
      </c>
      <c r="K12" s="2">
        <v>46037</v>
      </c>
      <c r="L12" s="2">
        <v>46037</v>
      </c>
      <c r="M12" t="str">
        <f t="shared" si="3"/>
        <v>OK</v>
      </c>
      <c r="N12" t="s">
        <v>123</v>
      </c>
      <c r="O12" t="s">
        <v>18</v>
      </c>
    </row>
    <row r="13" spans="1:15" hidden="1" x14ac:dyDescent="0.25">
      <c r="A13" t="s">
        <v>142</v>
      </c>
      <c r="B13" t="s">
        <v>96</v>
      </c>
      <c r="C13" t="s">
        <v>17</v>
      </c>
      <c r="D13">
        <v>2864</v>
      </c>
      <c r="E13">
        <v>2864</v>
      </c>
      <c r="F13" t="str">
        <f t="shared" si="0"/>
        <v>OK</v>
      </c>
      <c r="G13" s="2">
        <v>45974</v>
      </c>
      <c r="H13" s="2">
        <v>45974</v>
      </c>
      <c r="I13">
        <f t="shared" si="1"/>
        <v>0</v>
      </c>
      <c r="J13" t="str">
        <f t="shared" si="2"/>
        <v>OK</v>
      </c>
      <c r="K13" s="2">
        <v>46036</v>
      </c>
      <c r="L13" s="2">
        <v>46036</v>
      </c>
      <c r="M13" t="str">
        <f t="shared" si="3"/>
        <v>OK</v>
      </c>
      <c r="N13" t="s">
        <v>125</v>
      </c>
      <c r="O13" t="s">
        <v>18</v>
      </c>
    </row>
    <row r="14" spans="1:15" hidden="1" x14ac:dyDescent="0.25">
      <c r="A14" t="s">
        <v>142</v>
      </c>
      <c r="B14" t="s">
        <v>97</v>
      </c>
      <c r="C14" t="s">
        <v>16</v>
      </c>
      <c r="D14">
        <v>141</v>
      </c>
      <c r="E14">
        <v>141</v>
      </c>
      <c r="F14" t="str">
        <f t="shared" si="0"/>
        <v>OK</v>
      </c>
      <c r="G14" s="2">
        <v>45978</v>
      </c>
      <c r="H14" s="2">
        <v>45978</v>
      </c>
      <c r="I14">
        <f t="shared" si="1"/>
        <v>0</v>
      </c>
      <c r="J14" t="str">
        <f t="shared" si="2"/>
        <v>OK</v>
      </c>
      <c r="K14" s="2">
        <v>46034</v>
      </c>
      <c r="L14" s="2">
        <v>46034</v>
      </c>
      <c r="M14" t="str">
        <f t="shared" si="3"/>
        <v>OK</v>
      </c>
      <c r="N14" t="s">
        <v>126</v>
      </c>
      <c r="O14" t="s">
        <v>18</v>
      </c>
    </row>
    <row r="15" spans="1:15" hidden="1" x14ac:dyDescent="0.25">
      <c r="A15" t="s">
        <v>142</v>
      </c>
      <c r="B15" t="s">
        <v>98</v>
      </c>
      <c r="C15" t="s">
        <v>16</v>
      </c>
      <c r="D15">
        <v>901</v>
      </c>
      <c r="E15">
        <v>901</v>
      </c>
      <c r="F15" t="str">
        <f t="shared" si="0"/>
        <v>OK</v>
      </c>
      <c r="G15" s="2">
        <v>45999</v>
      </c>
      <c r="H15" s="2">
        <v>45999</v>
      </c>
      <c r="I15">
        <f t="shared" si="1"/>
        <v>0</v>
      </c>
      <c r="J15" t="str">
        <f t="shared" si="2"/>
        <v>OK</v>
      </c>
      <c r="K15" s="2">
        <v>46035</v>
      </c>
      <c r="L15" s="2">
        <v>46035</v>
      </c>
      <c r="M15" t="str">
        <f t="shared" si="3"/>
        <v>OK</v>
      </c>
      <c r="N15" t="s">
        <v>127</v>
      </c>
      <c r="O15" t="s">
        <v>18</v>
      </c>
    </row>
    <row r="16" spans="1:15" hidden="1" x14ac:dyDescent="0.25">
      <c r="A16" t="s">
        <v>142</v>
      </c>
      <c r="B16" t="s">
        <v>99</v>
      </c>
      <c r="C16" t="s">
        <v>42</v>
      </c>
      <c r="D16">
        <v>11204</v>
      </c>
      <c r="E16">
        <v>11204</v>
      </c>
      <c r="F16" t="str">
        <f t="shared" si="0"/>
        <v>OK</v>
      </c>
      <c r="G16" s="2">
        <v>45691</v>
      </c>
      <c r="H16" s="2">
        <v>45691</v>
      </c>
      <c r="I16">
        <f t="shared" si="1"/>
        <v>0</v>
      </c>
      <c r="J16" t="str">
        <f t="shared" si="2"/>
        <v>OK</v>
      </c>
      <c r="K16" s="2">
        <v>46036</v>
      </c>
      <c r="L16" s="2">
        <v>46036</v>
      </c>
      <c r="M16" t="str">
        <f t="shared" si="3"/>
        <v>OK</v>
      </c>
      <c r="N16" t="s">
        <v>128</v>
      </c>
      <c r="O16" t="s">
        <v>18</v>
      </c>
    </row>
    <row r="17" spans="1:15" hidden="1" x14ac:dyDescent="0.25">
      <c r="A17" t="s">
        <v>142</v>
      </c>
      <c r="B17" t="s">
        <v>100</v>
      </c>
      <c r="C17" t="s">
        <v>16</v>
      </c>
      <c r="D17">
        <v>931</v>
      </c>
      <c r="E17">
        <v>931</v>
      </c>
      <c r="F17" t="str">
        <f t="shared" si="0"/>
        <v>OK</v>
      </c>
      <c r="G17" s="2">
        <v>46011</v>
      </c>
      <c r="H17" s="2">
        <v>46011</v>
      </c>
      <c r="I17">
        <f t="shared" si="1"/>
        <v>0</v>
      </c>
      <c r="J17" t="str">
        <f t="shared" si="2"/>
        <v>OK</v>
      </c>
      <c r="K17" s="2">
        <v>46037</v>
      </c>
      <c r="L17" s="2">
        <v>46037</v>
      </c>
      <c r="M17" t="str">
        <f t="shared" si="3"/>
        <v>OK</v>
      </c>
      <c r="N17" t="s">
        <v>129</v>
      </c>
      <c r="O17" t="s">
        <v>18</v>
      </c>
    </row>
    <row r="18" spans="1:15" x14ac:dyDescent="0.25">
      <c r="A18" t="s">
        <v>142</v>
      </c>
      <c r="B18" t="s">
        <v>95</v>
      </c>
      <c r="C18" t="s">
        <v>15</v>
      </c>
      <c r="D18">
        <v>2443</v>
      </c>
      <c r="E18">
        <v>2443</v>
      </c>
      <c r="F18" t="str">
        <f t="shared" si="0"/>
        <v>OK</v>
      </c>
      <c r="G18" s="2">
        <v>45894</v>
      </c>
      <c r="H18" s="2">
        <v>45894</v>
      </c>
      <c r="I18">
        <f t="shared" si="1"/>
        <v>0</v>
      </c>
      <c r="J18" t="str">
        <f t="shared" si="2"/>
        <v>OK</v>
      </c>
      <c r="K18" s="2">
        <v>46035</v>
      </c>
      <c r="L18" s="2">
        <v>46035</v>
      </c>
      <c r="M18" t="str">
        <f t="shared" si="3"/>
        <v>OK</v>
      </c>
      <c r="N18" t="s">
        <v>124</v>
      </c>
      <c r="O18" t="s">
        <v>143</v>
      </c>
    </row>
    <row r="19" spans="1:15" hidden="1" x14ac:dyDescent="0.25">
      <c r="A19" t="s">
        <v>142</v>
      </c>
      <c r="B19" t="s">
        <v>101</v>
      </c>
      <c r="C19" t="s">
        <v>17</v>
      </c>
      <c r="D19">
        <v>769</v>
      </c>
      <c r="E19">
        <v>769</v>
      </c>
      <c r="F19" t="str">
        <f t="shared" si="0"/>
        <v>OK</v>
      </c>
      <c r="G19" s="2">
        <v>46007</v>
      </c>
      <c r="H19" s="2">
        <v>46007</v>
      </c>
      <c r="I19">
        <f t="shared" si="1"/>
        <v>0</v>
      </c>
      <c r="J19" t="str">
        <f t="shared" si="2"/>
        <v>OK</v>
      </c>
      <c r="K19" s="2">
        <v>46036</v>
      </c>
      <c r="L19" s="2">
        <v>46036</v>
      </c>
      <c r="M19" t="str">
        <f t="shared" si="3"/>
        <v>OK</v>
      </c>
      <c r="N19" t="s">
        <v>130</v>
      </c>
      <c r="O19" t="s">
        <v>18</v>
      </c>
    </row>
    <row r="20" spans="1:15" hidden="1" x14ac:dyDescent="0.25">
      <c r="A20" t="s">
        <v>142</v>
      </c>
      <c r="B20" t="s">
        <v>102</v>
      </c>
      <c r="C20" t="s">
        <v>15</v>
      </c>
      <c r="D20">
        <v>3785</v>
      </c>
      <c r="E20">
        <v>3785</v>
      </c>
      <c r="F20" t="str">
        <f t="shared" si="0"/>
        <v>OK</v>
      </c>
      <c r="G20" s="2">
        <v>45891</v>
      </c>
      <c r="H20" s="2">
        <v>45891</v>
      </c>
      <c r="I20">
        <f t="shared" si="1"/>
        <v>0</v>
      </c>
      <c r="J20" t="str">
        <f t="shared" si="2"/>
        <v>OK</v>
      </c>
      <c r="K20" s="2">
        <v>46035</v>
      </c>
      <c r="L20" s="2">
        <v>46035</v>
      </c>
      <c r="M20" t="str">
        <f t="shared" si="3"/>
        <v>OK</v>
      </c>
      <c r="N20" t="s">
        <v>131</v>
      </c>
      <c r="O20" t="s">
        <v>18</v>
      </c>
    </row>
    <row r="21" spans="1:15" hidden="1" x14ac:dyDescent="0.25">
      <c r="A21" t="s">
        <v>142</v>
      </c>
      <c r="B21" t="s">
        <v>103</v>
      </c>
      <c r="C21" t="s">
        <v>17</v>
      </c>
      <c r="D21">
        <v>3031</v>
      </c>
      <c r="E21">
        <v>3031</v>
      </c>
      <c r="F21" t="str">
        <f t="shared" si="0"/>
        <v>OK</v>
      </c>
      <c r="G21" s="2">
        <v>45915</v>
      </c>
      <c r="H21" s="2">
        <v>45913</v>
      </c>
      <c r="I21">
        <f t="shared" si="1"/>
        <v>-2</v>
      </c>
      <c r="J21" t="str">
        <f t="shared" si="2"/>
        <v>Not</v>
      </c>
      <c r="K21" s="2">
        <v>46036</v>
      </c>
      <c r="L21" s="2">
        <v>46036</v>
      </c>
      <c r="M21" t="str">
        <f t="shared" si="3"/>
        <v>OK</v>
      </c>
      <c r="N21" t="s">
        <v>132</v>
      </c>
      <c r="O21" t="s">
        <v>18</v>
      </c>
    </row>
    <row r="22" spans="1:15" hidden="1" x14ac:dyDescent="0.25">
      <c r="A22" t="s">
        <v>142</v>
      </c>
      <c r="B22" t="s">
        <v>105</v>
      </c>
      <c r="C22" t="s">
        <v>16</v>
      </c>
      <c r="D22">
        <v>560</v>
      </c>
      <c r="E22">
        <v>560</v>
      </c>
      <c r="F22" t="str">
        <f t="shared" si="0"/>
        <v>OK</v>
      </c>
      <c r="G22" s="2">
        <v>45975</v>
      </c>
      <c r="H22" s="2">
        <v>45975</v>
      </c>
      <c r="I22">
        <f t="shared" si="1"/>
        <v>0</v>
      </c>
      <c r="J22" t="str">
        <f t="shared" si="2"/>
        <v>OK</v>
      </c>
      <c r="K22" s="2">
        <v>46034</v>
      </c>
      <c r="L22" s="2">
        <v>46034</v>
      </c>
      <c r="M22" t="str">
        <f t="shared" si="3"/>
        <v>OK</v>
      </c>
      <c r="N22" t="s">
        <v>134</v>
      </c>
      <c r="O22" t="s">
        <v>18</v>
      </c>
    </row>
    <row r="23" spans="1:15" hidden="1" x14ac:dyDescent="0.25">
      <c r="A23" t="s">
        <v>142</v>
      </c>
      <c r="B23" t="s">
        <v>106</v>
      </c>
      <c r="C23" t="s">
        <v>16</v>
      </c>
      <c r="D23">
        <v>508</v>
      </c>
      <c r="E23">
        <v>508</v>
      </c>
      <c r="F23" t="str">
        <f t="shared" si="0"/>
        <v>OK</v>
      </c>
      <c r="G23" s="2">
        <v>45987</v>
      </c>
      <c r="H23" s="2">
        <v>45987</v>
      </c>
      <c r="I23">
        <f t="shared" si="1"/>
        <v>0</v>
      </c>
      <c r="J23" t="str">
        <f t="shared" si="2"/>
        <v>OK</v>
      </c>
      <c r="K23" s="2">
        <v>46037</v>
      </c>
      <c r="L23" s="2">
        <v>46037</v>
      </c>
      <c r="M23" t="str">
        <f t="shared" si="3"/>
        <v>OK</v>
      </c>
      <c r="N23" t="s">
        <v>135</v>
      </c>
      <c r="O23" t="s">
        <v>18</v>
      </c>
    </row>
    <row r="24" spans="1:15" x14ac:dyDescent="0.25">
      <c r="A24" t="s">
        <v>142</v>
      </c>
      <c r="B24" t="s">
        <v>104</v>
      </c>
      <c r="C24" t="s">
        <v>15</v>
      </c>
      <c r="D24">
        <v>3095</v>
      </c>
      <c r="E24">
        <v>3095</v>
      </c>
      <c r="F24" t="str">
        <f t="shared" si="0"/>
        <v>OK</v>
      </c>
      <c r="G24" s="2">
        <v>45805</v>
      </c>
      <c r="H24" s="2">
        <v>45805</v>
      </c>
      <c r="I24">
        <f t="shared" si="1"/>
        <v>0</v>
      </c>
      <c r="J24" t="str">
        <f t="shared" si="2"/>
        <v>OK</v>
      </c>
      <c r="K24" s="2">
        <v>46034</v>
      </c>
      <c r="L24" s="2">
        <v>46034</v>
      </c>
      <c r="M24" t="str">
        <f t="shared" si="3"/>
        <v>OK</v>
      </c>
      <c r="N24" t="s">
        <v>133</v>
      </c>
      <c r="O24" t="s">
        <v>144</v>
      </c>
    </row>
    <row r="25" spans="1:15" hidden="1" x14ac:dyDescent="0.25">
      <c r="A25" t="s">
        <v>142</v>
      </c>
      <c r="B25" t="s">
        <v>107</v>
      </c>
      <c r="C25" t="s">
        <v>16</v>
      </c>
      <c r="D25">
        <v>779</v>
      </c>
      <c r="E25">
        <v>779</v>
      </c>
      <c r="F25" t="str">
        <f t="shared" si="0"/>
        <v>OK</v>
      </c>
      <c r="G25" s="2">
        <v>46002</v>
      </c>
      <c r="H25" s="2">
        <v>46002</v>
      </c>
      <c r="I25">
        <f t="shared" si="1"/>
        <v>0</v>
      </c>
      <c r="J25" t="str">
        <f t="shared" si="2"/>
        <v>OK</v>
      </c>
      <c r="K25" s="2">
        <v>46034</v>
      </c>
      <c r="L25" s="2">
        <v>46034</v>
      </c>
      <c r="M25" t="str">
        <f t="shared" si="3"/>
        <v>OK</v>
      </c>
      <c r="N25" t="s">
        <v>136</v>
      </c>
      <c r="O25" t="s">
        <v>18</v>
      </c>
    </row>
    <row r="26" spans="1:15" hidden="1" x14ac:dyDescent="0.25">
      <c r="A26" t="s">
        <v>142</v>
      </c>
      <c r="B26" t="s">
        <v>108</v>
      </c>
      <c r="C26" t="s">
        <v>15</v>
      </c>
      <c r="D26">
        <v>7307</v>
      </c>
      <c r="E26">
        <v>7307</v>
      </c>
      <c r="F26" t="str">
        <f t="shared" si="0"/>
        <v>OK</v>
      </c>
      <c r="G26" s="2">
        <v>45891</v>
      </c>
      <c r="H26" s="2">
        <v>45891</v>
      </c>
      <c r="I26">
        <f t="shared" si="1"/>
        <v>0</v>
      </c>
      <c r="J26" t="str">
        <f t="shared" si="2"/>
        <v>OK</v>
      </c>
      <c r="K26" s="2">
        <v>46036</v>
      </c>
      <c r="L26" s="2">
        <v>46036</v>
      </c>
      <c r="M26" t="str">
        <f t="shared" si="3"/>
        <v>OK</v>
      </c>
      <c r="N26" t="s">
        <v>137</v>
      </c>
      <c r="O26" t="s">
        <v>18</v>
      </c>
    </row>
    <row r="27" spans="1:15" hidden="1" x14ac:dyDescent="0.25">
      <c r="A27" t="s">
        <v>142</v>
      </c>
      <c r="B27" t="s">
        <v>109</v>
      </c>
      <c r="C27" t="s">
        <v>17</v>
      </c>
      <c r="D27">
        <v>2254</v>
      </c>
      <c r="E27">
        <v>2254</v>
      </c>
      <c r="F27" t="str">
        <f t="shared" si="0"/>
        <v>OK</v>
      </c>
      <c r="G27" s="2">
        <v>45916</v>
      </c>
      <c r="H27" s="2">
        <v>45916</v>
      </c>
      <c r="I27">
        <f t="shared" si="1"/>
        <v>0</v>
      </c>
      <c r="J27" t="str">
        <f t="shared" si="2"/>
        <v>OK</v>
      </c>
      <c r="K27" s="2">
        <v>46037</v>
      </c>
      <c r="L27" s="2">
        <v>46037</v>
      </c>
      <c r="M27" t="str">
        <f t="shared" si="3"/>
        <v>OK</v>
      </c>
      <c r="N27" t="s">
        <v>138</v>
      </c>
      <c r="O27" t="s">
        <v>18</v>
      </c>
    </row>
    <row r="28" spans="1:15" hidden="1" x14ac:dyDescent="0.25">
      <c r="A28" t="s">
        <v>142</v>
      </c>
      <c r="B28" s="5" t="s">
        <v>110</v>
      </c>
      <c r="C28" t="s">
        <v>17</v>
      </c>
      <c r="D28">
        <v>1574</v>
      </c>
      <c r="E28">
        <v>1574</v>
      </c>
      <c r="F28" t="str">
        <f t="shared" si="0"/>
        <v>OK</v>
      </c>
      <c r="G28" s="2">
        <v>45951</v>
      </c>
      <c r="H28" s="2">
        <v>45951</v>
      </c>
      <c r="I28">
        <f t="shared" si="1"/>
        <v>0</v>
      </c>
      <c r="J28" t="str">
        <f t="shared" si="2"/>
        <v>OK</v>
      </c>
      <c r="K28" s="2">
        <v>46035</v>
      </c>
      <c r="L28" s="2">
        <v>46035</v>
      </c>
      <c r="M28" t="str">
        <f t="shared" si="3"/>
        <v>OK</v>
      </c>
      <c r="N28" t="s">
        <v>139</v>
      </c>
      <c r="O28" t="s">
        <v>18</v>
      </c>
    </row>
    <row r="29" spans="1:15" hidden="1" x14ac:dyDescent="0.25">
      <c r="A29" t="s">
        <v>142</v>
      </c>
      <c r="B29" t="s">
        <v>111</v>
      </c>
      <c r="C29" t="s">
        <v>16</v>
      </c>
      <c r="D29">
        <v>938</v>
      </c>
      <c r="E29">
        <v>938</v>
      </c>
      <c r="F29" t="str">
        <f t="shared" si="0"/>
        <v>OK</v>
      </c>
      <c r="G29" s="2">
        <v>46013</v>
      </c>
      <c r="H29" s="2">
        <v>46013</v>
      </c>
      <c r="I29">
        <f t="shared" si="1"/>
        <v>0</v>
      </c>
      <c r="J29" t="str">
        <f t="shared" si="2"/>
        <v>OK</v>
      </c>
      <c r="K29" s="2">
        <v>46037</v>
      </c>
      <c r="L29" s="2">
        <v>46037</v>
      </c>
      <c r="M29" t="str">
        <f t="shared" si="3"/>
        <v>OK</v>
      </c>
      <c r="N29" t="s">
        <v>140</v>
      </c>
      <c r="O29" t="s">
        <v>18</v>
      </c>
    </row>
    <row r="30" spans="1:15" hidden="1" x14ac:dyDescent="0.25">
      <c r="A30" t="s">
        <v>142</v>
      </c>
      <c r="B30" t="s">
        <v>112</v>
      </c>
      <c r="C30" t="s">
        <v>16</v>
      </c>
      <c r="D30">
        <v>807</v>
      </c>
      <c r="E30">
        <v>807</v>
      </c>
      <c r="F30" t="str">
        <f t="shared" si="0"/>
        <v>OK</v>
      </c>
      <c r="G30" s="2">
        <v>46004</v>
      </c>
      <c r="H30" s="2">
        <v>46004</v>
      </c>
      <c r="I30">
        <f t="shared" si="1"/>
        <v>0</v>
      </c>
      <c r="J30" t="str">
        <f t="shared" si="2"/>
        <v>OK</v>
      </c>
      <c r="K30" s="2">
        <v>46034</v>
      </c>
      <c r="L30" s="2">
        <v>46034</v>
      </c>
      <c r="M30" t="str">
        <f t="shared" si="3"/>
        <v>OK</v>
      </c>
      <c r="N30" t="s">
        <v>141</v>
      </c>
      <c r="O30" t="s">
        <v>18</v>
      </c>
    </row>
  </sheetData>
  <autoFilter ref="A1:O30" xr:uid="{A5D6E6FD-BDFA-4451-A686-27432816927D}">
    <filterColumn colId="14">
      <filters>
        <filter val="KM nabrak dgn servis ID 2 (3260)"/>
        <filter val="KM nabrak dgn servis ID 2 (4530)"/>
      </filters>
    </filterColumn>
    <sortState xmlns:xlrd2="http://schemas.microsoft.com/office/spreadsheetml/2017/richdata2" ref="A2:O30">
      <sortCondition ref="B1:B30"/>
    </sortState>
  </autoFilter>
  <phoneticPr fontId="3" type="noConversion"/>
  <conditionalFormatting sqref="B1:B1048576">
    <cfRule type="duplicateValues" dxfId="23" priority="2"/>
    <cfRule type="duplicateValues" dxfId="22" priority="10"/>
    <cfRule type="duplicateValues" dxfId="21" priority="11"/>
    <cfRule type="duplicateValues" dxfId="20" priority="17"/>
    <cfRule type="duplicateValues" dxfId="19" priority="18"/>
  </conditionalFormatting>
  <conditionalFormatting sqref="D1:D1048576">
    <cfRule type="duplicateValues" dxfId="18" priority="1"/>
    <cfRule type="duplicateValues" dxfId="17" priority="9"/>
    <cfRule type="duplicateValues" dxfId="16" priority="16"/>
  </conditionalFormatting>
  <conditionalFormatting sqref="F1:F1048576 M2:M30 J2:J30">
    <cfRule type="containsText" dxfId="15" priority="20" operator="containsText" text="OK">
      <formula>NOT(ISERROR(SEARCH("OK",F1)))</formula>
    </cfRule>
  </conditionalFormatting>
  <conditionalFormatting sqref="F1:F1048576 M2:M30">
    <cfRule type="containsText" dxfId="14" priority="19" operator="containsText" text="Not">
      <formula>NOT(ISERROR(SEARCH("Not",F1)))</formula>
    </cfRule>
  </conditionalFormatting>
  <conditionalFormatting sqref="J1:J1048576">
    <cfRule type="containsText" dxfId="13" priority="14" operator="containsText" text="Not">
      <formula>NOT(ISERROR(SEARCH("Not",J1)))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2DF7-356E-440B-B3DA-EA1B1433E3F3}">
  <dimension ref="A1:O22"/>
  <sheetViews>
    <sheetView tabSelected="1" workbookViewId="0">
      <pane ySplit="1" topLeftCell="A2" activePane="bottomLeft" state="frozen"/>
      <selection pane="bottomLeft" activeCell="B2" sqref="B2:B8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188</v>
      </c>
      <c r="B2" t="s">
        <v>145</v>
      </c>
      <c r="C2" t="s">
        <v>17</v>
      </c>
      <c r="D2">
        <v>1169</v>
      </c>
      <c r="E2">
        <v>1169</v>
      </c>
      <c r="F2" t="str">
        <f t="shared" ref="F2:F22" si="0">IF(D2=E2,"OK","Not")</f>
        <v>OK</v>
      </c>
      <c r="G2" s="2">
        <v>45991</v>
      </c>
      <c r="H2" s="2">
        <v>45990</v>
      </c>
      <c r="I2">
        <f t="shared" ref="I2:I22" si="1">H2-G2</f>
        <v>-1</v>
      </c>
      <c r="J2" t="str">
        <f t="shared" ref="J2:J22" si="2">IF(H2=G2,"OK","Not")</f>
        <v>Not</v>
      </c>
      <c r="K2" s="2">
        <v>46042</v>
      </c>
      <c r="L2" s="2">
        <v>46042</v>
      </c>
      <c r="M2" t="str">
        <f t="shared" ref="M2:M22" si="3">IF(K2=L2,"OK","Not")</f>
        <v>OK</v>
      </c>
      <c r="N2" t="s">
        <v>166</v>
      </c>
      <c r="O2" t="s">
        <v>18</v>
      </c>
    </row>
    <row r="3" spans="1:15" x14ac:dyDescent="0.25">
      <c r="A3" t="s">
        <v>188</v>
      </c>
      <c r="B3" t="s">
        <v>146</v>
      </c>
      <c r="C3" t="s">
        <v>16</v>
      </c>
      <c r="D3">
        <v>962</v>
      </c>
      <c r="E3">
        <v>962</v>
      </c>
      <c r="F3" t="str">
        <f t="shared" si="0"/>
        <v>OK</v>
      </c>
      <c r="G3" s="2">
        <v>46006</v>
      </c>
      <c r="H3" s="2">
        <v>46006</v>
      </c>
      <c r="I3">
        <f t="shared" si="1"/>
        <v>0</v>
      </c>
      <c r="J3" t="str">
        <f t="shared" si="2"/>
        <v>OK</v>
      </c>
      <c r="K3" s="2">
        <v>46043</v>
      </c>
      <c r="L3" s="2">
        <v>46043</v>
      </c>
      <c r="M3" t="str">
        <f t="shared" si="3"/>
        <v>OK</v>
      </c>
      <c r="N3" t="s">
        <v>167</v>
      </c>
      <c r="O3" t="s">
        <v>18</v>
      </c>
    </row>
    <row r="4" spans="1:15" x14ac:dyDescent="0.25">
      <c r="A4" t="s">
        <v>188</v>
      </c>
      <c r="B4" t="s">
        <v>147</v>
      </c>
      <c r="C4" t="s">
        <v>15</v>
      </c>
      <c r="D4">
        <v>4489</v>
      </c>
      <c r="E4">
        <v>4489</v>
      </c>
      <c r="F4" t="str">
        <f t="shared" si="0"/>
        <v>OK</v>
      </c>
      <c r="G4" s="2">
        <v>45916</v>
      </c>
      <c r="H4" s="2">
        <v>45916</v>
      </c>
      <c r="I4">
        <f t="shared" si="1"/>
        <v>0</v>
      </c>
      <c r="J4" t="str">
        <f t="shared" si="2"/>
        <v>OK</v>
      </c>
      <c r="K4" s="2">
        <v>46041</v>
      </c>
      <c r="L4" s="2">
        <v>46041</v>
      </c>
      <c r="M4" t="str">
        <f t="shared" si="3"/>
        <v>OK</v>
      </c>
      <c r="N4" t="s">
        <v>168</v>
      </c>
      <c r="O4" t="s">
        <v>18</v>
      </c>
    </row>
    <row r="5" spans="1:15" x14ac:dyDescent="0.25">
      <c r="A5" t="s">
        <v>188</v>
      </c>
      <c r="B5" t="s">
        <v>148</v>
      </c>
      <c r="C5" t="s">
        <v>17</v>
      </c>
      <c r="D5">
        <v>2010</v>
      </c>
      <c r="E5">
        <v>2010</v>
      </c>
      <c r="F5" t="str">
        <f t="shared" si="0"/>
        <v>OK</v>
      </c>
      <c r="G5" s="2">
        <v>45941</v>
      </c>
      <c r="H5" s="2">
        <v>45941</v>
      </c>
      <c r="I5">
        <f t="shared" si="1"/>
        <v>0</v>
      </c>
      <c r="J5" t="str">
        <f t="shared" si="2"/>
        <v>OK</v>
      </c>
      <c r="K5" s="2">
        <v>46041</v>
      </c>
      <c r="L5" s="2">
        <v>46041</v>
      </c>
      <c r="M5" t="str">
        <f t="shared" si="3"/>
        <v>OK</v>
      </c>
      <c r="N5" t="s">
        <v>169</v>
      </c>
      <c r="O5" t="s">
        <v>41</v>
      </c>
    </row>
    <row r="6" spans="1:15" x14ac:dyDescent="0.25">
      <c r="A6" t="s">
        <v>188</v>
      </c>
      <c r="B6" t="s">
        <v>149</v>
      </c>
      <c r="C6" t="s">
        <v>16</v>
      </c>
      <c r="D6">
        <v>228</v>
      </c>
      <c r="E6">
        <v>228</v>
      </c>
      <c r="F6" t="str">
        <f t="shared" si="0"/>
        <v>OK</v>
      </c>
      <c r="G6" s="2">
        <v>45997</v>
      </c>
      <c r="H6" s="2">
        <v>45997</v>
      </c>
      <c r="I6">
        <f t="shared" si="1"/>
        <v>0</v>
      </c>
      <c r="J6" t="str">
        <f t="shared" si="2"/>
        <v>OK</v>
      </c>
      <c r="K6" s="2">
        <v>46041</v>
      </c>
      <c r="L6" s="2">
        <v>46041</v>
      </c>
      <c r="M6" t="str">
        <f t="shared" si="3"/>
        <v>OK</v>
      </c>
      <c r="N6" t="s">
        <v>170</v>
      </c>
      <c r="O6" t="s">
        <v>18</v>
      </c>
    </row>
    <row r="7" spans="1:15" x14ac:dyDescent="0.25">
      <c r="A7" t="s">
        <v>188</v>
      </c>
      <c r="B7" t="s">
        <v>150</v>
      </c>
      <c r="C7" t="s">
        <v>17</v>
      </c>
      <c r="D7">
        <v>2570</v>
      </c>
      <c r="E7">
        <v>2570</v>
      </c>
      <c r="F7" t="str">
        <f t="shared" si="0"/>
        <v>OK</v>
      </c>
      <c r="G7" s="2">
        <v>45982</v>
      </c>
      <c r="H7" s="2">
        <v>45982</v>
      </c>
      <c r="I7">
        <f t="shared" si="1"/>
        <v>0</v>
      </c>
      <c r="J7" t="str">
        <f t="shared" si="2"/>
        <v>OK</v>
      </c>
      <c r="K7" s="2">
        <v>46041</v>
      </c>
      <c r="L7" s="2">
        <v>46041</v>
      </c>
      <c r="M7" t="str">
        <f t="shared" si="3"/>
        <v>OK</v>
      </c>
      <c r="N7" t="s">
        <v>171</v>
      </c>
      <c r="O7" t="s">
        <v>18</v>
      </c>
    </row>
    <row r="8" spans="1:15" x14ac:dyDescent="0.25">
      <c r="A8" t="s">
        <v>188</v>
      </c>
      <c r="B8" t="s">
        <v>151</v>
      </c>
      <c r="C8" t="s">
        <v>17</v>
      </c>
      <c r="D8">
        <v>1540</v>
      </c>
      <c r="E8">
        <v>1540</v>
      </c>
      <c r="F8" t="str">
        <f t="shared" si="0"/>
        <v>OK</v>
      </c>
      <c r="G8" s="2">
        <v>45973</v>
      </c>
      <c r="H8" s="2">
        <v>45973</v>
      </c>
      <c r="I8">
        <f t="shared" si="1"/>
        <v>0</v>
      </c>
      <c r="J8" t="str">
        <f t="shared" si="2"/>
        <v>OK</v>
      </c>
      <c r="K8" s="2">
        <v>46043</v>
      </c>
      <c r="L8" s="2">
        <v>46043</v>
      </c>
      <c r="M8" t="str">
        <f t="shared" si="3"/>
        <v>OK</v>
      </c>
      <c r="N8" t="s">
        <v>172</v>
      </c>
      <c r="O8" t="s">
        <v>18</v>
      </c>
    </row>
    <row r="9" spans="1:15" x14ac:dyDescent="0.25">
      <c r="A9" t="s">
        <v>188</v>
      </c>
      <c r="B9" t="s">
        <v>152</v>
      </c>
      <c r="C9" t="s">
        <v>16</v>
      </c>
      <c r="D9">
        <v>513</v>
      </c>
      <c r="E9">
        <v>513</v>
      </c>
      <c r="F9" t="str">
        <f t="shared" si="0"/>
        <v>OK</v>
      </c>
      <c r="G9" s="2">
        <v>45983</v>
      </c>
      <c r="H9" s="2">
        <v>45983</v>
      </c>
      <c r="I9">
        <f t="shared" si="1"/>
        <v>0</v>
      </c>
      <c r="J9" t="str">
        <f t="shared" si="2"/>
        <v>OK</v>
      </c>
      <c r="K9" s="2">
        <v>46043</v>
      </c>
      <c r="L9" s="2">
        <v>46043</v>
      </c>
      <c r="M9" t="str">
        <f t="shared" si="3"/>
        <v>OK</v>
      </c>
      <c r="N9" t="s">
        <v>173</v>
      </c>
      <c r="O9" t="s">
        <v>18</v>
      </c>
    </row>
    <row r="10" spans="1:15" x14ac:dyDescent="0.25">
      <c r="A10" t="s">
        <v>187</v>
      </c>
      <c r="B10" t="s">
        <v>153</v>
      </c>
      <c r="C10" t="s">
        <v>16</v>
      </c>
      <c r="D10">
        <v>874</v>
      </c>
      <c r="E10">
        <v>874</v>
      </c>
      <c r="F10" t="str">
        <f t="shared" si="0"/>
        <v>OK</v>
      </c>
      <c r="G10" s="2">
        <v>46007</v>
      </c>
      <c r="H10" s="2">
        <v>46007</v>
      </c>
      <c r="I10">
        <f t="shared" si="1"/>
        <v>0</v>
      </c>
      <c r="J10" t="str">
        <f t="shared" si="2"/>
        <v>OK</v>
      </c>
      <c r="K10" s="2">
        <v>46043</v>
      </c>
      <c r="L10" s="2">
        <v>46043</v>
      </c>
      <c r="M10" t="str">
        <f t="shared" si="3"/>
        <v>OK</v>
      </c>
      <c r="N10" t="s">
        <v>174</v>
      </c>
      <c r="O10" t="s">
        <v>18</v>
      </c>
    </row>
    <row r="11" spans="1:15" x14ac:dyDescent="0.25">
      <c r="A11" t="s">
        <v>188</v>
      </c>
      <c r="B11" t="s">
        <v>154</v>
      </c>
      <c r="C11" t="s">
        <v>16</v>
      </c>
      <c r="D11">
        <v>1000</v>
      </c>
      <c r="E11">
        <v>1000</v>
      </c>
      <c r="F11" t="str">
        <f t="shared" si="0"/>
        <v>OK</v>
      </c>
      <c r="G11" s="2">
        <v>46017</v>
      </c>
      <c r="H11" s="2">
        <v>46017</v>
      </c>
      <c r="I11">
        <f t="shared" si="1"/>
        <v>0</v>
      </c>
      <c r="J11" t="str">
        <f t="shared" si="2"/>
        <v>OK</v>
      </c>
      <c r="K11" s="2">
        <v>46041</v>
      </c>
      <c r="L11" s="2">
        <v>46041</v>
      </c>
      <c r="M11" t="str">
        <f t="shared" si="3"/>
        <v>OK</v>
      </c>
      <c r="N11" t="s">
        <v>175</v>
      </c>
      <c r="O11" t="s">
        <v>18</v>
      </c>
    </row>
    <row r="12" spans="1:15" x14ac:dyDescent="0.25">
      <c r="A12" t="s">
        <v>188</v>
      </c>
      <c r="B12" t="s">
        <v>155</v>
      </c>
      <c r="C12" t="s">
        <v>15</v>
      </c>
      <c r="D12">
        <v>6817</v>
      </c>
      <c r="E12">
        <v>6817</v>
      </c>
      <c r="F12" t="str">
        <f t="shared" si="0"/>
        <v>OK</v>
      </c>
      <c r="G12" s="2">
        <v>45804</v>
      </c>
      <c r="H12" s="2">
        <v>45804</v>
      </c>
      <c r="I12">
        <f t="shared" si="1"/>
        <v>0</v>
      </c>
      <c r="J12" t="str">
        <f t="shared" si="2"/>
        <v>OK</v>
      </c>
      <c r="K12" s="2">
        <v>46041</v>
      </c>
      <c r="L12" s="2">
        <v>46041</v>
      </c>
      <c r="M12" t="str">
        <f t="shared" si="3"/>
        <v>OK</v>
      </c>
      <c r="N12" t="s">
        <v>176</v>
      </c>
      <c r="O12" t="s">
        <v>18</v>
      </c>
    </row>
    <row r="13" spans="1:15" x14ac:dyDescent="0.25">
      <c r="A13" t="s">
        <v>188</v>
      </c>
      <c r="B13" t="s">
        <v>156</v>
      </c>
      <c r="C13" t="s">
        <v>16</v>
      </c>
      <c r="D13">
        <v>1198</v>
      </c>
      <c r="E13">
        <v>1198</v>
      </c>
      <c r="F13" t="str">
        <f t="shared" si="0"/>
        <v>OK</v>
      </c>
      <c r="G13" s="2">
        <v>46008</v>
      </c>
      <c r="H13" s="2">
        <v>46008</v>
      </c>
      <c r="I13">
        <f t="shared" si="1"/>
        <v>0</v>
      </c>
      <c r="J13" t="str">
        <f t="shared" si="2"/>
        <v>OK</v>
      </c>
      <c r="K13" s="2">
        <v>46043</v>
      </c>
      <c r="L13" s="2">
        <v>46043</v>
      </c>
      <c r="M13" t="str">
        <f t="shared" si="3"/>
        <v>OK</v>
      </c>
      <c r="N13" t="s">
        <v>177</v>
      </c>
      <c r="O13" t="s">
        <v>18</v>
      </c>
    </row>
    <row r="14" spans="1:15" x14ac:dyDescent="0.25">
      <c r="A14" t="s">
        <v>188</v>
      </c>
      <c r="B14" s="5" t="s">
        <v>157</v>
      </c>
      <c r="C14" t="s">
        <v>16</v>
      </c>
      <c r="D14">
        <v>1112</v>
      </c>
      <c r="E14">
        <v>1112</v>
      </c>
      <c r="F14" t="str">
        <f t="shared" si="0"/>
        <v>OK</v>
      </c>
      <c r="G14" s="2">
        <v>46002</v>
      </c>
      <c r="H14" s="2">
        <v>46002</v>
      </c>
      <c r="I14">
        <f t="shared" si="1"/>
        <v>0</v>
      </c>
      <c r="J14" t="str">
        <f t="shared" si="2"/>
        <v>OK</v>
      </c>
      <c r="K14" s="2">
        <v>46041</v>
      </c>
      <c r="L14" s="2">
        <v>46041</v>
      </c>
      <c r="M14" t="str">
        <f t="shared" si="3"/>
        <v>OK</v>
      </c>
      <c r="N14" t="s">
        <v>178</v>
      </c>
      <c r="O14" t="s">
        <v>18</v>
      </c>
    </row>
    <row r="15" spans="1:15" x14ac:dyDescent="0.25">
      <c r="A15" t="s">
        <v>188</v>
      </c>
      <c r="B15" t="s">
        <v>158</v>
      </c>
      <c r="C15" t="s">
        <v>16</v>
      </c>
      <c r="D15">
        <v>950</v>
      </c>
      <c r="E15">
        <v>950</v>
      </c>
      <c r="F15" t="str">
        <f t="shared" si="0"/>
        <v>OK</v>
      </c>
      <c r="G15" s="2">
        <v>46018</v>
      </c>
      <c r="H15" s="2">
        <v>46017</v>
      </c>
      <c r="I15">
        <f t="shared" si="1"/>
        <v>-1</v>
      </c>
      <c r="J15" t="str">
        <f t="shared" si="2"/>
        <v>Not</v>
      </c>
      <c r="K15" s="2">
        <v>46042</v>
      </c>
      <c r="L15" s="2">
        <v>46042</v>
      </c>
      <c r="M15" t="str">
        <f t="shared" si="3"/>
        <v>OK</v>
      </c>
      <c r="N15" t="s">
        <v>179</v>
      </c>
      <c r="O15" t="s">
        <v>18</v>
      </c>
    </row>
    <row r="16" spans="1:15" x14ac:dyDescent="0.25">
      <c r="A16" t="s">
        <v>188</v>
      </c>
      <c r="B16" t="s">
        <v>159</v>
      </c>
      <c r="C16" t="s">
        <v>16</v>
      </c>
      <c r="D16">
        <v>233</v>
      </c>
      <c r="E16">
        <v>233</v>
      </c>
      <c r="F16" t="str">
        <f t="shared" si="0"/>
        <v>OK</v>
      </c>
      <c r="G16" s="2">
        <v>46027</v>
      </c>
      <c r="H16" s="2">
        <v>46027</v>
      </c>
      <c r="I16">
        <f t="shared" si="1"/>
        <v>0</v>
      </c>
      <c r="J16" t="str">
        <f t="shared" si="2"/>
        <v>OK</v>
      </c>
      <c r="K16" s="2">
        <v>46043</v>
      </c>
      <c r="L16" s="2">
        <v>46043</v>
      </c>
      <c r="M16" t="str">
        <f t="shared" si="3"/>
        <v>OK</v>
      </c>
      <c r="N16" t="s">
        <v>180</v>
      </c>
      <c r="O16" t="s">
        <v>18</v>
      </c>
    </row>
    <row r="17" spans="1:15" x14ac:dyDescent="0.25">
      <c r="A17" t="s">
        <v>188</v>
      </c>
      <c r="B17" t="s">
        <v>160</v>
      </c>
      <c r="C17" t="s">
        <v>16</v>
      </c>
      <c r="D17">
        <v>1108</v>
      </c>
      <c r="E17">
        <v>1108</v>
      </c>
      <c r="F17" t="str">
        <f t="shared" si="0"/>
        <v>OK</v>
      </c>
      <c r="G17" s="2">
        <v>46014</v>
      </c>
      <c r="H17" s="2">
        <v>46014</v>
      </c>
      <c r="I17">
        <f t="shared" si="1"/>
        <v>0</v>
      </c>
      <c r="J17" t="str">
        <f t="shared" si="2"/>
        <v>OK</v>
      </c>
      <c r="K17" s="2">
        <v>46043</v>
      </c>
      <c r="L17" s="2">
        <v>46043</v>
      </c>
      <c r="M17" t="str">
        <f t="shared" si="3"/>
        <v>OK</v>
      </c>
      <c r="N17" t="s">
        <v>181</v>
      </c>
      <c r="O17" t="s">
        <v>18</v>
      </c>
    </row>
    <row r="18" spans="1:15" x14ac:dyDescent="0.25">
      <c r="A18" t="s">
        <v>188</v>
      </c>
      <c r="B18" t="s">
        <v>161</v>
      </c>
      <c r="C18" t="s">
        <v>15</v>
      </c>
      <c r="D18">
        <v>7550</v>
      </c>
      <c r="E18">
        <v>7550</v>
      </c>
      <c r="F18" t="str">
        <f t="shared" si="0"/>
        <v>OK</v>
      </c>
      <c r="G18" s="2">
        <v>45716</v>
      </c>
      <c r="H18" s="2">
        <v>45715</v>
      </c>
      <c r="I18">
        <f t="shared" si="1"/>
        <v>-1</v>
      </c>
      <c r="J18" t="str">
        <f t="shared" si="2"/>
        <v>Not</v>
      </c>
      <c r="K18" s="2">
        <v>46041</v>
      </c>
      <c r="L18" s="2">
        <v>46041</v>
      </c>
      <c r="M18" t="str">
        <f t="shared" si="3"/>
        <v>OK</v>
      </c>
      <c r="N18" t="s">
        <v>182</v>
      </c>
      <c r="O18" t="s">
        <v>18</v>
      </c>
    </row>
    <row r="19" spans="1:15" x14ac:dyDescent="0.25">
      <c r="A19" t="s">
        <v>188</v>
      </c>
      <c r="B19" t="s">
        <v>162</v>
      </c>
      <c r="C19" t="s">
        <v>16</v>
      </c>
      <c r="D19">
        <v>955</v>
      </c>
      <c r="E19">
        <v>955</v>
      </c>
      <c r="F19" t="str">
        <f t="shared" si="0"/>
        <v>OK</v>
      </c>
      <c r="G19" s="2">
        <v>46013</v>
      </c>
      <c r="H19" s="2">
        <v>46013</v>
      </c>
      <c r="I19">
        <f t="shared" si="1"/>
        <v>0</v>
      </c>
      <c r="J19" t="str">
        <f t="shared" si="2"/>
        <v>OK</v>
      </c>
      <c r="K19" s="2">
        <v>46042</v>
      </c>
      <c r="L19" s="2">
        <v>46042</v>
      </c>
      <c r="M19" t="str">
        <f t="shared" si="3"/>
        <v>OK</v>
      </c>
      <c r="N19" t="s">
        <v>183</v>
      </c>
      <c r="O19" t="s">
        <v>18</v>
      </c>
    </row>
    <row r="20" spans="1:15" x14ac:dyDescent="0.25">
      <c r="A20" t="s">
        <v>188</v>
      </c>
      <c r="B20" t="s">
        <v>163</v>
      </c>
      <c r="C20" t="s">
        <v>15</v>
      </c>
      <c r="D20">
        <v>6832</v>
      </c>
      <c r="E20">
        <v>6832</v>
      </c>
      <c r="F20" t="str">
        <f t="shared" si="0"/>
        <v>OK</v>
      </c>
      <c r="G20" s="2">
        <v>45682</v>
      </c>
      <c r="H20" s="2">
        <v>45682</v>
      </c>
      <c r="I20">
        <f t="shared" si="1"/>
        <v>0</v>
      </c>
      <c r="J20" t="str">
        <f t="shared" si="2"/>
        <v>OK</v>
      </c>
      <c r="K20" s="2">
        <v>46041</v>
      </c>
      <c r="L20" s="2">
        <v>46041</v>
      </c>
      <c r="M20" t="str">
        <f t="shared" si="3"/>
        <v>OK</v>
      </c>
      <c r="N20" t="s">
        <v>184</v>
      </c>
      <c r="O20" t="s">
        <v>18</v>
      </c>
    </row>
    <row r="21" spans="1:15" x14ac:dyDescent="0.25">
      <c r="A21" t="s">
        <v>188</v>
      </c>
      <c r="B21" t="s">
        <v>164</v>
      </c>
      <c r="C21" t="s">
        <v>16</v>
      </c>
      <c r="D21">
        <v>900</v>
      </c>
      <c r="E21">
        <v>900</v>
      </c>
      <c r="F21" t="str">
        <f t="shared" si="0"/>
        <v>OK</v>
      </c>
      <c r="G21" s="2">
        <v>46022</v>
      </c>
      <c r="H21" s="2">
        <v>46021</v>
      </c>
      <c r="I21">
        <f t="shared" si="1"/>
        <v>-1</v>
      </c>
      <c r="J21" t="str">
        <f t="shared" si="2"/>
        <v>Not</v>
      </c>
      <c r="K21" s="2">
        <v>46043</v>
      </c>
      <c r="L21" s="2">
        <v>46043</v>
      </c>
      <c r="M21" t="str">
        <f t="shared" si="3"/>
        <v>OK</v>
      </c>
      <c r="N21" t="s">
        <v>185</v>
      </c>
      <c r="O21" t="s">
        <v>18</v>
      </c>
    </row>
    <row r="22" spans="1:15" x14ac:dyDescent="0.25">
      <c r="A22" t="s">
        <v>188</v>
      </c>
      <c r="B22" t="s">
        <v>165</v>
      </c>
      <c r="C22" t="s">
        <v>16</v>
      </c>
      <c r="D22">
        <v>1001</v>
      </c>
      <c r="E22">
        <v>1001</v>
      </c>
      <c r="F22" t="str">
        <f t="shared" si="0"/>
        <v>OK</v>
      </c>
      <c r="G22" s="2">
        <v>46015</v>
      </c>
      <c r="H22" s="2">
        <v>46015</v>
      </c>
      <c r="I22">
        <f t="shared" si="1"/>
        <v>0</v>
      </c>
      <c r="J22" t="str">
        <f t="shared" si="2"/>
        <v>OK</v>
      </c>
      <c r="K22" s="2">
        <v>46041</v>
      </c>
      <c r="L22" s="2">
        <v>46041</v>
      </c>
      <c r="M22" t="str">
        <f t="shared" si="3"/>
        <v>OK</v>
      </c>
      <c r="N22" t="s">
        <v>186</v>
      </c>
      <c r="O22" t="s">
        <v>18</v>
      </c>
    </row>
  </sheetData>
  <autoFilter ref="A1:O22" xr:uid="{0F6B2DF7-356E-440B-B3DA-EA1B1433E3F3}">
    <sortState xmlns:xlrd2="http://schemas.microsoft.com/office/spreadsheetml/2017/richdata2" ref="A2:O22">
      <sortCondition ref="B1:B22"/>
    </sortState>
  </autoFilter>
  <phoneticPr fontId="3" type="noConversion"/>
  <conditionalFormatting sqref="B1:B1048576">
    <cfRule type="duplicateValues" dxfId="12" priority="3"/>
    <cfRule type="duplicateValues" dxfId="11" priority="5"/>
    <cfRule type="duplicateValues" dxfId="10" priority="7"/>
    <cfRule type="duplicateValues" dxfId="9" priority="8"/>
    <cfRule type="duplicateValues" dxfId="8" priority="11"/>
    <cfRule type="duplicateValues" dxfId="7" priority="12"/>
  </conditionalFormatting>
  <conditionalFormatting sqref="D1:D1048576">
    <cfRule type="duplicateValues" dxfId="6" priority="1"/>
    <cfRule type="duplicateValues" dxfId="5" priority="2"/>
    <cfRule type="duplicateValues" dxfId="4" priority="4"/>
    <cfRule type="duplicateValues" dxfId="3" priority="6"/>
    <cfRule type="duplicateValues" dxfId="2" priority="10"/>
  </conditionalFormatting>
  <conditionalFormatting sqref="F1:F1048576 J1:J1048576 M2:M22">
    <cfRule type="containsText" dxfId="1" priority="13" operator="containsText" text="Not">
      <formula>NOT(ISERROR(SEARCH("Not",F1)))</formula>
    </cfRule>
  </conditionalFormatting>
  <conditionalFormatting sqref="F1:F1048576 J2:J22 M2:M22">
    <cfRule type="containsText" dxfId="0" priority="14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1-5 Jan</vt:lpstr>
      <vt:lpstr>6-10 Jan</vt:lpstr>
      <vt:lpstr>11-15 Jan</vt:lpstr>
      <vt:lpstr>16-20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2026-01-27T03:15:59Z</dcterms:modified>
</cp:coreProperties>
</file>