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Okt 2025\"/>
    </mc:Choice>
  </mc:AlternateContent>
  <xr:revisionPtr revIDLastSave="0" documentId="13_ncr:1_{0778B9AD-695F-4108-B203-53591B6B41E0}" xr6:coauthVersionLast="47" xr6:coauthVersionMax="47" xr10:uidLastSave="{00000000-0000-0000-0000-000000000000}"/>
  <bookViews>
    <workbookView xWindow="-120" yWindow="-120" windowWidth="20730" windowHeight="11040" xr2:uid="{F539FE30-51E7-4CFD-BE97-DDA477811A17}"/>
  </bookViews>
  <sheets>
    <sheet name="Sheet1" sheetId="1" r:id="rId1"/>
  </sheets>
  <definedNames>
    <definedName name="_xlnm._FilterDatabase" localSheetId="0" hidden="1">Sheet1!$A$1:$N$17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</calcChain>
</file>

<file path=xl/sharedStrings.xml><?xml version="1.0" encoding="utf-8"?>
<sst xmlns="http://schemas.openxmlformats.org/spreadsheetml/2006/main" count="94" uniqueCount="55">
  <si>
    <t>no_mesin</t>
  </si>
  <si>
    <t>kpb_type</t>
  </si>
  <si>
    <t>km</t>
  </si>
  <si>
    <t>tanggal_beli</t>
  </si>
  <si>
    <t>tanggal_claim</t>
  </si>
  <si>
    <t>photo_url</t>
  </si>
  <si>
    <t>Noted</t>
  </si>
  <si>
    <t>KPB1</t>
  </si>
  <si>
    <t>KPB4</t>
  </si>
  <si>
    <t>KPB2</t>
  </si>
  <si>
    <t>KPB3</t>
  </si>
  <si>
    <t>JBK3E1593447</t>
  </si>
  <si>
    <t>https://hana.modakita.com/azd942/avatar/21305051120251019085020ETXQSS.jpg</t>
  </si>
  <si>
    <t>JMA1E1204316</t>
  </si>
  <si>
    <t>https://fruitbasket.blob.core.windows.net/gk2o5k/avatar/21114682520251005085909VOG19G.jpg</t>
  </si>
  <si>
    <t>https://hana.modakita.com/azd942/avatar/21427282120251025105206GLXJQ7.jpg</t>
  </si>
  <si>
    <t>JMC1E1669203</t>
  </si>
  <si>
    <t>https://hana.modakita.com/azd942/avatar/23442420251026083045ZNG3FA.jpg</t>
  </si>
  <si>
    <t>JMD1E1961817</t>
  </si>
  <si>
    <t>https://hana.modakita.com/azd942/avatar/21339440520251021162722FOGJRJ.jpg</t>
  </si>
  <si>
    <t>JMD1E2045360</t>
  </si>
  <si>
    <t>https://hana.modakita.com/azd942/avatar/214079502202510261102135Z0J1R.jpg</t>
  </si>
  <si>
    <t>JME1E1523243</t>
  </si>
  <si>
    <t>https://hana.modakita.com/azd942/avatar/2974433820251019090807EHPXZO.jpg</t>
  </si>
  <si>
    <t>JME1E1547611</t>
  </si>
  <si>
    <t>https://hana.modakita.com/azd942/avatar/21305051120251018092204SVDHDV.jpg</t>
  </si>
  <si>
    <t>JME1E1688271</t>
  </si>
  <si>
    <t>https://hana.modakita.com/azd942/avatar/21428126620251025140214RSP4YZ.jpg</t>
  </si>
  <si>
    <t>JMF1E1314690</t>
  </si>
  <si>
    <t>https://hana.modakita.com/azd942/avatar/21020590120251031104740B1HHSK.jpg</t>
  </si>
  <si>
    <t>JMF1E1315944</t>
  </si>
  <si>
    <t>https://hana.modakita.com/azd942/avatar/21411336020251020135305LZXLJL.jpg</t>
  </si>
  <si>
    <t>JMG1E1425421</t>
  </si>
  <si>
    <t>https://hana.modakita.com/azd942/avatar/21420619720251014142412CJJ2CE.jpg</t>
  </si>
  <si>
    <t>JMH2E1357111</t>
  </si>
  <si>
    <t>https://hana.modakita.com/azd942/avatar/2758151520251016131258QSSLM9.jpg</t>
  </si>
  <si>
    <t>JMH2E1457133</t>
  </si>
  <si>
    <t>https://fruitbasket.blob.core.windows.net/gk2o5k/avatar/214168078202510081133596Y3VSH.jpg</t>
  </si>
  <si>
    <t>KFA1E1320521</t>
  </si>
  <si>
    <t>https://fruitbasket.blob.core.windows.net/gk2o5k/avatar/214175678202510091227086S0YRT.jpg</t>
  </si>
  <si>
    <t>KFE3E1040774</t>
  </si>
  <si>
    <t>https://hana.modakita.com/azd942/avatar/21422091820251016152208FI7RKM.jpg</t>
  </si>
  <si>
    <t>No. Surat Klaim</t>
  </si>
  <si>
    <t>00010-251023_1112</t>
  </si>
  <si>
    <t>00010-251010_1421</t>
  </si>
  <si>
    <t>00010-251103_1025</t>
  </si>
  <si>
    <t>00010-251018_0926</t>
  </si>
  <si>
    <t>Tgls STAR</t>
  </si>
  <si>
    <t>Cek Tgls</t>
  </si>
  <si>
    <t>KM STAR</t>
  </si>
  <si>
    <t>Cek KM</t>
  </si>
  <si>
    <t>Tglb STAR</t>
  </si>
  <si>
    <t>Cek Tglb</t>
  </si>
  <si>
    <t>Ok (tidak ada fisik)</t>
  </si>
  <si>
    <t>Speedo tidak sesuai tipe (tidak ada fisik-tidak bisa klaim)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</si>
</sst>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EEAF-191D-436F-89BC-8ACD5A7AB808}">
  <sheetPr filterMode="1"/>
  <dimension ref="A1:N17"/>
  <sheetViews>
    <sheetView tabSelected="1" workbookViewId="0">
      <pane ySplit="1" topLeftCell="A11" activePane="bottomLeft" state="frozen"/>
      <selection pane="bottomLeft" activeCell="G21" sqref="G21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9" width="11.85546875" customWidth="1"/>
    <col min="10" max="12" width="13.28515625" customWidth="1"/>
    <col min="13" max="13" width="89" hidden="1" customWidth="1"/>
    <col min="14" max="14" width="6.5703125" bestFit="1" customWidth="1"/>
  </cols>
  <sheetData>
    <row r="1" spans="1:14" x14ac:dyDescent="0.25">
      <c r="A1" s="3" t="s">
        <v>42</v>
      </c>
      <c r="B1" s="1" t="s">
        <v>0</v>
      </c>
      <c r="C1" s="1" t="s">
        <v>1</v>
      </c>
      <c r="D1" s="1" t="s">
        <v>2</v>
      </c>
      <c r="E1" s="1" t="s">
        <v>49</v>
      </c>
      <c r="F1" s="1" t="s">
        <v>50</v>
      </c>
      <c r="G1" s="1" t="s">
        <v>3</v>
      </c>
      <c r="H1" s="1" t="s">
        <v>51</v>
      </c>
      <c r="I1" s="1" t="s">
        <v>52</v>
      </c>
      <c r="J1" s="1" t="s">
        <v>4</v>
      </c>
      <c r="K1" s="1" t="s">
        <v>47</v>
      </c>
      <c r="L1" s="1" t="s">
        <v>48</v>
      </c>
      <c r="M1" s="1" t="s">
        <v>5</v>
      </c>
      <c r="N1" s="1" t="s">
        <v>6</v>
      </c>
    </row>
    <row r="2" spans="1:14" hidden="1" x14ac:dyDescent="0.25">
      <c r="A2" t="s">
        <v>43</v>
      </c>
      <c r="B2" t="s">
        <v>11</v>
      </c>
      <c r="C2" t="s">
        <v>9</v>
      </c>
      <c r="D2">
        <v>1316</v>
      </c>
      <c r="E2">
        <v>1316</v>
      </c>
      <c r="F2" t="str">
        <f>IF(D2=E2,"OK","Not")</f>
        <v>OK</v>
      </c>
      <c r="G2" s="2">
        <v>45932</v>
      </c>
      <c r="H2" s="2">
        <v>45932</v>
      </c>
      <c r="I2" t="str">
        <f>IF(G2=H2,"OK","Not")</f>
        <v>OK</v>
      </c>
      <c r="J2" s="2">
        <v>45949</v>
      </c>
      <c r="K2" s="2">
        <v>45949</v>
      </c>
      <c r="L2" t="str">
        <f>IF(J2=K2,"OK","Not")</f>
        <v>OK</v>
      </c>
      <c r="M2" t="s">
        <v>12</v>
      </c>
      <c r="N2" t="s">
        <v>53</v>
      </c>
    </row>
    <row r="3" spans="1:14" hidden="1" x14ac:dyDescent="0.25">
      <c r="A3" t="s">
        <v>44</v>
      </c>
      <c r="B3" t="s">
        <v>13</v>
      </c>
      <c r="C3" t="s">
        <v>10</v>
      </c>
      <c r="D3">
        <v>2145</v>
      </c>
      <c r="E3">
        <v>2145</v>
      </c>
      <c r="F3" t="str">
        <f>IF(D3=E3,"OK","Not")</f>
        <v>OK</v>
      </c>
      <c r="G3" s="2">
        <v>45888</v>
      </c>
      <c r="H3" s="2">
        <v>45888</v>
      </c>
      <c r="I3" t="str">
        <f>IF(G3=H3,"OK","Not")</f>
        <v>OK</v>
      </c>
      <c r="J3" s="2">
        <v>45935</v>
      </c>
      <c r="K3" s="2">
        <v>45935</v>
      </c>
      <c r="L3" t="str">
        <f>IF(J3=K3,"OK","Not")</f>
        <v>OK</v>
      </c>
      <c r="M3" t="s">
        <v>14</v>
      </c>
      <c r="N3" t="s">
        <v>53</v>
      </c>
    </row>
    <row r="4" spans="1:14" hidden="1" x14ac:dyDescent="0.25">
      <c r="A4" t="s">
        <v>45</v>
      </c>
      <c r="B4" t="s">
        <v>13</v>
      </c>
      <c r="C4" t="s">
        <v>8</v>
      </c>
      <c r="D4">
        <v>3199</v>
      </c>
      <c r="E4">
        <v>3199</v>
      </c>
      <c r="F4" t="str">
        <f>IF(D4=E4,"OK","Not")</f>
        <v>OK</v>
      </c>
      <c r="G4" s="2">
        <v>45888</v>
      </c>
      <c r="H4" s="2">
        <v>45888</v>
      </c>
      <c r="I4" t="str">
        <f>IF(G4=H4,"OK","Not")</f>
        <v>OK</v>
      </c>
      <c r="J4" s="2">
        <v>45955</v>
      </c>
      <c r="K4" s="2">
        <v>45955</v>
      </c>
      <c r="L4" t="str">
        <f>IF(J4=K4,"OK","Not")</f>
        <v>OK</v>
      </c>
      <c r="M4" t="s">
        <v>15</v>
      </c>
      <c r="N4" t="s">
        <v>53</v>
      </c>
    </row>
    <row r="5" spans="1:14" hidden="1" x14ac:dyDescent="0.25">
      <c r="A5" t="s">
        <v>45</v>
      </c>
      <c r="B5" t="s">
        <v>16</v>
      </c>
      <c r="C5" t="s">
        <v>10</v>
      </c>
      <c r="D5">
        <v>1418</v>
      </c>
      <c r="E5">
        <v>1418</v>
      </c>
      <c r="F5" t="str">
        <f>IF(D5=E5,"OK","Not")</f>
        <v>OK</v>
      </c>
      <c r="G5" s="2">
        <v>45857</v>
      </c>
      <c r="H5" s="2">
        <v>45857</v>
      </c>
      <c r="I5" t="str">
        <f>IF(G5=H5,"OK","Not")</f>
        <v>OK</v>
      </c>
      <c r="J5" s="2">
        <v>45956</v>
      </c>
      <c r="K5" s="2">
        <v>45956</v>
      </c>
      <c r="L5" t="str">
        <f>IF(J5=K5,"OK","Not")</f>
        <v>OK</v>
      </c>
      <c r="M5" t="s">
        <v>17</v>
      </c>
      <c r="N5" t="s">
        <v>53</v>
      </c>
    </row>
    <row r="6" spans="1:14" hidden="1" x14ac:dyDescent="0.25">
      <c r="A6" t="s">
        <v>43</v>
      </c>
      <c r="B6" t="s">
        <v>18</v>
      </c>
      <c r="C6" t="s">
        <v>9</v>
      </c>
      <c r="D6">
        <v>1243</v>
      </c>
      <c r="E6">
        <v>1243</v>
      </c>
      <c r="F6" t="str">
        <f>IF(D6=E6,"OK","Not")</f>
        <v>OK</v>
      </c>
      <c r="G6" s="2">
        <v>45829</v>
      </c>
      <c r="H6" s="2">
        <v>45829</v>
      </c>
      <c r="I6" t="str">
        <f>IF(G6=H6,"OK","Not")</f>
        <v>OK</v>
      </c>
      <c r="J6" s="2">
        <v>45951</v>
      </c>
      <c r="K6" s="2">
        <v>45951</v>
      </c>
      <c r="L6" t="str">
        <f>IF(J6=K6,"OK","Not")</f>
        <v>OK</v>
      </c>
      <c r="M6" t="s">
        <v>19</v>
      </c>
      <c r="N6" t="s">
        <v>53</v>
      </c>
    </row>
    <row r="7" spans="1:14" hidden="1" x14ac:dyDescent="0.25">
      <c r="A7" t="s">
        <v>45</v>
      </c>
      <c r="B7" t="s">
        <v>20</v>
      </c>
      <c r="C7" t="s">
        <v>9</v>
      </c>
      <c r="D7">
        <v>871</v>
      </c>
      <c r="E7">
        <v>871</v>
      </c>
      <c r="F7" t="str">
        <f>IF(D7=E7,"OK","Not")</f>
        <v>OK</v>
      </c>
      <c r="G7" s="2">
        <v>45927</v>
      </c>
      <c r="H7" s="2">
        <v>45927</v>
      </c>
      <c r="I7" t="str">
        <f>IF(G7=H7,"OK","Not")</f>
        <v>OK</v>
      </c>
      <c r="J7" s="2">
        <v>45956</v>
      </c>
      <c r="K7" s="2">
        <v>45956</v>
      </c>
      <c r="L7" t="str">
        <f>IF(J7=K7,"OK","Not")</f>
        <v>OK</v>
      </c>
      <c r="M7" t="s">
        <v>21</v>
      </c>
      <c r="N7" t="s">
        <v>53</v>
      </c>
    </row>
    <row r="8" spans="1:14" hidden="1" x14ac:dyDescent="0.25">
      <c r="A8" t="s">
        <v>43</v>
      </c>
      <c r="B8" t="s">
        <v>22</v>
      </c>
      <c r="C8" t="s">
        <v>7</v>
      </c>
      <c r="D8">
        <v>935</v>
      </c>
      <c r="E8">
        <v>935</v>
      </c>
      <c r="F8" t="str">
        <f>IF(D8=E8,"OK","Not")</f>
        <v>OK</v>
      </c>
      <c r="G8" s="2">
        <v>45930</v>
      </c>
      <c r="H8" s="2">
        <v>45930</v>
      </c>
      <c r="I8" t="str">
        <f>IF(G8=H8,"OK","Not")</f>
        <v>OK</v>
      </c>
      <c r="J8" s="2">
        <v>45949</v>
      </c>
      <c r="K8" s="2">
        <v>45949</v>
      </c>
      <c r="L8" t="str">
        <f>IF(J8=K8,"OK","Not")</f>
        <v>OK</v>
      </c>
      <c r="M8" t="s">
        <v>23</v>
      </c>
      <c r="N8" t="s">
        <v>53</v>
      </c>
    </row>
    <row r="9" spans="1:14" hidden="1" x14ac:dyDescent="0.25">
      <c r="A9" t="s">
        <v>43</v>
      </c>
      <c r="B9" t="s">
        <v>24</v>
      </c>
      <c r="C9" t="s">
        <v>9</v>
      </c>
      <c r="D9">
        <v>1494</v>
      </c>
      <c r="E9">
        <v>1494</v>
      </c>
      <c r="F9" t="str">
        <f>IF(D9=E9,"OK","Not")</f>
        <v>OK</v>
      </c>
      <c r="G9" s="2">
        <v>45854</v>
      </c>
      <c r="H9" s="2">
        <v>45854</v>
      </c>
      <c r="I9" t="str">
        <f>IF(G9=H9,"OK","Not")</f>
        <v>OK</v>
      </c>
      <c r="J9" s="2">
        <v>45948</v>
      </c>
      <c r="K9" s="2">
        <v>45948</v>
      </c>
      <c r="L9" t="str">
        <f>IF(J9=K9,"OK","Not")</f>
        <v>OK</v>
      </c>
      <c r="M9" t="s">
        <v>25</v>
      </c>
      <c r="N9" t="s">
        <v>53</v>
      </c>
    </row>
    <row r="10" spans="1:14" hidden="1" x14ac:dyDescent="0.25">
      <c r="A10" t="s">
        <v>45</v>
      </c>
      <c r="B10" t="s">
        <v>26</v>
      </c>
      <c r="C10" t="s">
        <v>9</v>
      </c>
      <c r="D10">
        <v>1310</v>
      </c>
      <c r="E10">
        <v>1310</v>
      </c>
      <c r="F10" t="str">
        <f>IF(D10=E10,"OK","Not")</f>
        <v>OK</v>
      </c>
      <c r="G10" s="2">
        <v>45889</v>
      </c>
      <c r="H10" s="2">
        <v>45889</v>
      </c>
      <c r="I10" t="str">
        <f>IF(G10=H10,"OK","Not")</f>
        <v>OK</v>
      </c>
      <c r="J10" s="2">
        <v>45955</v>
      </c>
      <c r="K10" s="2">
        <v>45955</v>
      </c>
      <c r="L10" t="str">
        <f>IF(J10=K10,"OK","Not")</f>
        <v>OK</v>
      </c>
      <c r="M10" t="s">
        <v>27</v>
      </c>
      <c r="N10" t="s">
        <v>53</v>
      </c>
    </row>
    <row r="11" spans="1:14" x14ac:dyDescent="0.25">
      <c r="A11" t="s">
        <v>45</v>
      </c>
      <c r="B11" t="s">
        <v>28</v>
      </c>
      <c r="C11" t="s">
        <v>9</v>
      </c>
      <c r="D11">
        <v>3757</v>
      </c>
      <c r="E11">
        <v>3757</v>
      </c>
      <c r="F11" t="str">
        <f>IF(D11=E11,"OK","Not")</f>
        <v>OK</v>
      </c>
      <c r="G11" s="2">
        <v>45909</v>
      </c>
      <c r="H11" s="2">
        <v>45909</v>
      </c>
      <c r="I11" t="str">
        <f>IF(G11=H11,"OK","Not")</f>
        <v>OK</v>
      </c>
      <c r="J11" s="2">
        <v>45961</v>
      </c>
      <c r="K11" s="2">
        <v>45961</v>
      </c>
      <c r="L11" t="str">
        <f>IF(J11=K11,"OK","Not")</f>
        <v>OK</v>
      </c>
      <c r="M11" t="s">
        <v>29</v>
      </c>
      <c r="N11" t="s">
        <v>54</v>
      </c>
    </row>
    <row r="12" spans="1:14" hidden="1" x14ac:dyDescent="0.25">
      <c r="A12" t="s">
        <v>43</v>
      </c>
      <c r="B12" t="s">
        <v>30</v>
      </c>
      <c r="C12" t="s">
        <v>7</v>
      </c>
      <c r="D12">
        <v>917</v>
      </c>
      <c r="E12">
        <v>917</v>
      </c>
      <c r="F12" t="str">
        <f>IF(D12=E12,"OK","Not")</f>
        <v>OK</v>
      </c>
      <c r="G12" s="2">
        <v>45930</v>
      </c>
      <c r="H12" s="2">
        <v>45930</v>
      </c>
      <c r="I12" t="str">
        <f>IF(G12=H12,"OK","Not")</f>
        <v>OK</v>
      </c>
      <c r="J12" s="2">
        <v>45950</v>
      </c>
      <c r="K12" s="2">
        <v>45950</v>
      </c>
      <c r="L12" t="str">
        <f>IF(J12=K12,"OK","Not")</f>
        <v>OK</v>
      </c>
      <c r="M12" t="s">
        <v>31</v>
      </c>
      <c r="N12" t="s">
        <v>53</v>
      </c>
    </row>
    <row r="13" spans="1:14" hidden="1" x14ac:dyDescent="0.25">
      <c r="A13" t="s">
        <v>46</v>
      </c>
      <c r="B13" t="s">
        <v>32</v>
      </c>
      <c r="C13" t="s">
        <v>10</v>
      </c>
      <c r="D13">
        <v>5012</v>
      </c>
      <c r="E13">
        <v>5012</v>
      </c>
      <c r="F13" t="str">
        <f>IF(D13=E13,"OK","Not")</f>
        <v>OK</v>
      </c>
      <c r="G13" s="2">
        <v>45841</v>
      </c>
      <c r="H13" s="2">
        <v>45841</v>
      </c>
      <c r="I13" t="str">
        <f>IF(G13=H13,"OK","Not")</f>
        <v>OK</v>
      </c>
      <c r="J13" s="2">
        <v>45944</v>
      </c>
      <c r="K13" s="2">
        <v>45944</v>
      </c>
      <c r="L13" t="str">
        <f>IF(J13=K13,"OK","Not")</f>
        <v>OK</v>
      </c>
      <c r="M13" t="s">
        <v>33</v>
      </c>
      <c r="N13" t="s">
        <v>53</v>
      </c>
    </row>
    <row r="14" spans="1:14" hidden="1" x14ac:dyDescent="0.25">
      <c r="A14" t="s">
        <v>43</v>
      </c>
      <c r="B14" t="s">
        <v>34</v>
      </c>
      <c r="C14" t="s">
        <v>7</v>
      </c>
      <c r="D14">
        <v>941</v>
      </c>
      <c r="E14">
        <v>941</v>
      </c>
      <c r="F14" t="str">
        <f>IF(D14=E14,"OK","Not")</f>
        <v>OK</v>
      </c>
      <c r="G14" s="2">
        <v>45909</v>
      </c>
      <c r="H14" s="2">
        <v>45909</v>
      </c>
      <c r="I14" t="str">
        <f>IF(G14=H14,"OK","Not")</f>
        <v>OK</v>
      </c>
      <c r="J14" s="2">
        <v>45946</v>
      </c>
      <c r="K14" s="2">
        <v>45946</v>
      </c>
      <c r="L14" t="str">
        <f>IF(J14=K14,"OK","Not")</f>
        <v>OK</v>
      </c>
      <c r="M14" t="s">
        <v>35</v>
      </c>
      <c r="N14" t="s">
        <v>53</v>
      </c>
    </row>
    <row r="15" spans="1:14" hidden="1" x14ac:dyDescent="0.25">
      <c r="A15" t="s">
        <v>46</v>
      </c>
      <c r="B15" t="s">
        <v>36</v>
      </c>
      <c r="C15" t="s">
        <v>9</v>
      </c>
      <c r="D15">
        <v>2306</v>
      </c>
      <c r="E15">
        <v>2306</v>
      </c>
      <c r="F15" t="str">
        <f>IF(D15=E15,"OK","Not")</f>
        <v>OK</v>
      </c>
      <c r="G15" s="2">
        <v>45897</v>
      </c>
      <c r="H15" s="2">
        <v>45897</v>
      </c>
      <c r="I15" t="str">
        <f>IF(G15=H15,"OK","Not")</f>
        <v>OK</v>
      </c>
      <c r="J15" s="2">
        <v>45938</v>
      </c>
      <c r="K15" s="2">
        <v>45938</v>
      </c>
      <c r="L15" t="str">
        <f>IF(J15=K15,"OK","Not")</f>
        <v>OK</v>
      </c>
      <c r="M15" t="s">
        <v>37</v>
      </c>
      <c r="N15" t="s">
        <v>53</v>
      </c>
    </row>
    <row r="16" spans="1:14" hidden="1" x14ac:dyDescent="0.25">
      <c r="A16" t="s">
        <v>46</v>
      </c>
      <c r="B16" t="s">
        <v>38</v>
      </c>
      <c r="C16" t="s">
        <v>7</v>
      </c>
      <c r="D16">
        <v>947</v>
      </c>
      <c r="E16">
        <v>947</v>
      </c>
      <c r="F16" t="str">
        <f>IF(D16=E16,"OK","Not")</f>
        <v>OK</v>
      </c>
      <c r="G16" s="2">
        <v>45906</v>
      </c>
      <c r="H16" s="2">
        <v>45906</v>
      </c>
      <c r="I16" t="str">
        <f>IF(G16=H16,"OK","Not")</f>
        <v>OK</v>
      </c>
      <c r="J16" s="2">
        <v>45939</v>
      </c>
      <c r="K16" s="2">
        <v>45939</v>
      </c>
      <c r="L16" t="str">
        <f>IF(J16=K16,"OK","Not")</f>
        <v>OK</v>
      </c>
      <c r="M16" t="s">
        <v>39</v>
      </c>
      <c r="N16" t="s">
        <v>53</v>
      </c>
    </row>
    <row r="17" spans="1:14" hidden="1" x14ac:dyDescent="0.25">
      <c r="A17" t="s">
        <v>43</v>
      </c>
      <c r="B17" t="s">
        <v>40</v>
      </c>
      <c r="C17" t="s">
        <v>9</v>
      </c>
      <c r="D17">
        <v>2005</v>
      </c>
      <c r="E17">
        <v>2005</v>
      </c>
      <c r="F17" t="str">
        <f>IF(D17=E17,"OK","Not")</f>
        <v>OK</v>
      </c>
      <c r="G17" s="2">
        <v>45848</v>
      </c>
      <c r="H17" s="2">
        <v>45848</v>
      </c>
      <c r="I17" t="str">
        <f>IF(G17=H17,"OK","Not")</f>
        <v>OK</v>
      </c>
      <c r="J17" s="2">
        <v>45946</v>
      </c>
      <c r="K17" s="2">
        <v>45946</v>
      </c>
      <c r="L17" t="str">
        <f>IF(J17=K17,"OK","Not")</f>
        <v>OK</v>
      </c>
      <c r="M17" t="s">
        <v>41</v>
      </c>
      <c r="N17" t="s">
        <v>53</v>
      </c>
    </row>
  </sheetData>
  <autoFilter ref="A1:N17" xr:uid="{999FEEAF-191D-436F-89BC-8ACD5A7AB808}">
    <filterColumn colId="13">
      <filters>
        <filter val="Speedo tidak sesuai tipe (tidak ada fisik-tidak bisa klaim)"/>
      </filters>
    </filterColumn>
    <sortState xmlns:xlrd2="http://schemas.microsoft.com/office/spreadsheetml/2017/richdata2" ref="A2:N17">
      <sortCondition ref="B1:B17"/>
    </sortState>
  </autoFilter>
  <conditionalFormatting sqref="B1:B1048576">
    <cfRule type="duplicateValues" dxfId="7" priority="8"/>
  </conditionalFormatting>
  <conditionalFormatting sqref="F1:F1048576">
    <cfRule type="containsText" dxfId="6" priority="7" operator="containsText" text="OK">
      <formula>NOT(ISERROR(SEARCH("OK",F1)))</formula>
    </cfRule>
    <cfRule type="containsText" dxfId="5" priority="6" operator="containsText" text="Not">
      <formula>NOT(ISERROR(SEARCH("Not",F1)))</formula>
    </cfRule>
  </conditionalFormatting>
  <conditionalFormatting sqref="I2:I17">
    <cfRule type="containsText" dxfId="4" priority="4" operator="containsText" text="Not">
      <formula>NOT(ISERROR(SEARCH("Not",I2)))</formula>
    </cfRule>
    <cfRule type="containsText" dxfId="3" priority="5" operator="containsText" text="OK">
      <formula>NOT(ISERROR(SEARCH("OK",I2)))</formula>
    </cfRule>
  </conditionalFormatting>
  <conditionalFormatting sqref="L2:L17">
    <cfRule type="containsText" dxfId="2" priority="2" operator="containsText" text="Not">
      <formula>NOT(ISERROR(SEARCH("Not",L2)))</formula>
    </cfRule>
    <cfRule type="containsText" dxfId="1" priority="3" operator="containsText" text="OK">
      <formula>NOT(ISERROR(SEARCH("OK",L2)))</formula>
    </cfRule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2025-11-13T07:27:12Z</dcterms:created>
  <dcterms:modified xsi:type="dcterms:W3CDTF">2025-11-13T08:26:16Z</dcterms:modified>
</cp:coreProperties>
</file>