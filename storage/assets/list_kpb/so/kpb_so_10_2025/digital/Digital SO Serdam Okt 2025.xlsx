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Okt 2025\"/>
    </mc:Choice>
  </mc:AlternateContent>
  <xr:revisionPtr revIDLastSave="0" documentId="13_ncr:1_{5B565673-3E8B-4F5C-ADF3-D390826D7D72}" xr6:coauthVersionLast="47" xr6:coauthVersionMax="47" xr10:uidLastSave="{00000000-0000-0000-0000-000000000000}"/>
  <bookViews>
    <workbookView xWindow="-120" yWindow="-120" windowWidth="20730" windowHeight="11040" xr2:uid="{9D84E799-AD35-4F37-B094-86ECB0D63D51}"/>
  </bookViews>
  <sheets>
    <sheet name="Sheet1" sheetId="1" r:id="rId1"/>
  </sheets>
  <definedNames>
    <definedName name="_xlnm._FilterDatabase" localSheetId="0" hidden="1">Sheet1!$A$1:$O$41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2" i="1"/>
</calcChain>
</file>

<file path=xl/sharedStrings.xml><?xml version="1.0" encoding="utf-8"?>
<sst xmlns="http://schemas.openxmlformats.org/spreadsheetml/2006/main" count="215" uniqueCount="105">
  <si>
    <t>no_mesin</t>
  </si>
  <si>
    <t>kpb_type</t>
  </si>
  <si>
    <t>km</t>
  </si>
  <si>
    <t>tanggal_beli</t>
  </si>
  <si>
    <t>tanggal_claim</t>
  </si>
  <si>
    <t>photo_url</t>
  </si>
  <si>
    <t>Noted</t>
  </si>
  <si>
    <t>EF31E1005561</t>
  </si>
  <si>
    <t>KPB1</t>
  </si>
  <si>
    <t>https://hana.modakita.com/azd942/avatar/246502122025101014352421CCLE.jpg</t>
  </si>
  <si>
    <t>JBK1E2126950</t>
  </si>
  <si>
    <t>https://fruitbasket.blob.core.windows.net/gk2o5k/avatar/21157966020251008154835SKW6RR.jpg</t>
  </si>
  <si>
    <t>KPB3</t>
  </si>
  <si>
    <t>KPB4</t>
  </si>
  <si>
    <t>KPB2</t>
  </si>
  <si>
    <t>JBP1E2077706</t>
  </si>
  <si>
    <t>https://fruitbasket.blob.core.windows.net/gk2o5k/avatar/21157967920251008095136ZGG1WQ.jpg</t>
  </si>
  <si>
    <t>JBP1E2098855</t>
  </si>
  <si>
    <t>https://fruitbasket.blob.core.windows.net/gk2o5k/avatar/21156581620251008095937D5SASJ.jpg</t>
  </si>
  <si>
    <t>JBP1E2118699</t>
  </si>
  <si>
    <t>https://fruitbasket.blob.core.windows.net/gk2o5k/avatar/246502122025100711380688ZAJS.jpg</t>
  </si>
  <si>
    <t>JM03E1807805</t>
  </si>
  <si>
    <t>https://fruitbasket.blob.core.windows.net/gk2o5k/avatar/21157967920251004054052NIBXZJ.jpg</t>
  </si>
  <si>
    <t>JMA1E1206068</t>
  </si>
  <si>
    <t>https://fruitbasket.blob.core.windows.net/gk2o5k/avatar/21157373820251006135539TAHTL1.jpg</t>
  </si>
  <si>
    <t>JMA1E1207528</t>
  </si>
  <si>
    <t>https://fruitbasket.blob.core.windows.net/gk2o5k/avatar/2465021220251006112900RXR2AT.jpg</t>
  </si>
  <si>
    <t>JMB1E1215522</t>
  </si>
  <si>
    <t>https://fruitbasket.blob.core.windows.net/gk2o5k/avatar/21157373820251006090632DAAEOQ.jpg</t>
  </si>
  <si>
    <t>JMC1E1563861</t>
  </si>
  <si>
    <t>https://fruitbasket.blob.core.windows.net/gk2o5k/avatar/21278876620251008152149HZCTDT.jpg</t>
  </si>
  <si>
    <t>JMC1E1601942</t>
  </si>
  <si>
    <t>https://fruitbasket.blob.core.windows.net/gk2o5k/avatar/2465021220251008054459MBGMRR.jpg</t>
  </si>
  <si>
    <t>JMC1E1645999</t>
  </si>
  <si>
    <t>https://fruitbasket.blob.core.windows.net/gk2o5k/avatar/2465021220251008062944U8XZTH.jpg</t>
  </si>
  <si>
    <t>JMC1E1649004</t>
  </si>
  <si>
    <t>https://fruitbasket.blob.core.windows.net/gk2o5k/avatar/2465021220251008063614B0LNYR.jpg</t>
  </si>
  <si>
    <t>JMC1E1653989</t>
  </si>
  <si>
    <t>https://fruitbasket.blob.core.windows.net/gk2o5k/avatar/21157373820251004062849CD463E.jpg</t>
  </si>
  <si>
    <t>JMC1E1667206</t>
  </si>
  <si>
    <t>https://fruitbasket.blob.core.windows.net/gk2o5k/avatar/2465021220251006103311VFEL3O.jpg</t>
  </si>
  <si>
    <t>JMD1E1942864</t>
  </si>
  <si>
    <t>https://fruitbasket.blob.core.windows.net/gk2o5k/avatar/246502122025100406053296HJRF.jpg</t>
  </si>
  <si>
    <t>JMD1E2019595</t>
  </si>
  <si>
    <t>https://hana.modakita.com/azd942/avatar/2465021220251010100053SQYFYP.jpg</t>
  </si>
  <si>
    <t>JME1E1509576</t>
  </si>
  <si>
    <t>https://fruitbasket.blob.core.windows.net/gk2o5k/avatar/2465021220251007150901E1BR14.jpg</t>
  </si>
  <si>
    <t>JMF1E1217984</t>
  </si>
  <si>
    <t>https://fruitbasket.blob.core.windows.net/gk2o5k/avatar/2465021220251008054915ER4ENM.jpg</t>
  </si>
  <si>
    <t>JMF1E1279438</t>
  </si>
  <si>
    <t>https://fruitbasket.blob.core.windows.net/gk2o5k/avatar/2465021220251008092126DACYDQ.jpg</t>
  </si>
  <si>
    <t>JMF1E1291206</t>
  </si>
  <si>
    <t>https://fruitbasket.blob.core.windows.net/gk2o5k/avatar/2465021220251006100020YFG8XM.jpg</t>
  </si>
  <si>
    <t>JMF1E1320334</t>
  </si>
  <si>
    <t>https://fruitbasket.blob.core.windows.net/gk2o5k/avatar/24650212202510081632405FHHGX.jpg</t>
  </si>
  <si>
    <t>JMF2E1492323</t>
  </si>
  <si>
    <t>https://fruitbasket.blob.core.windows.net/gk2o5k/avatar/21157967920251004055714F7D2NT.jpg</t>
  </si>
  <si>
    <t>JMF2E1514160</t>
  </si>
  <si>
    <t>https://fruitbasket.blob.core.windows.net/gk2o5k/avatar/21157967920251008143822AUIQFF.jpg</t>
  </si>
  <si>
    <t>JMF2E1544752</t>
  </si>
  <si>
    <t>https://fruitbasket.blob.core.windows.net/gk2o5k/avatar/21157373820251006092453IAKXPK.jpg</t>
  </si>
  <si>
    <t>JMH1E1093532</t>
  </si>
  <si>
    <t>https://fruitbasket.blob.core.windows.net/gk2o5k/avatar/2465021220251008064038UJZKDV.jpg</t>
  </si>
  <si>
    <t>JMH2E1166904</t>
  </si>
  <si>
    <t>https://fruitbasket.blob.core.windows.net/gk2o5k/avatar/21157967920251004054628LYJNBA.jpg</t>
  </si>
  <si>
    <t>JMH2E1226377</t>
  </si>
  <si>
    <t>https://fruitbasket.blob.core.windows.net/gk2o5k/avatar/21157373820251006110436WX99DM.jpg</t>
  </si>
  <si>
    <t>JMH2E1466308</t>
  </si>
  <si>
    <t>https://fruitbasket.blob.core.windows.net/gk2o5k/avatar/2465021220251006105128CBKEGN.jpg</t>
  </si>
  <si>
    <t>JMH2E1494489</t>
  </si>
  <si>
    <t>https://fruitbasket.blob.core.windows.net/gk2o5k/avatar/21157966020251006104036HTC1FI.jpg</t>
  </si>
  <si>
    <t>KC04E1017210</t>
  </si>
  <si>
    <t>https://fruitbasket.blob.core.windows.net/gk2o5k/avatar/2465021220251006114745EXTSDY.jpg</t>
  </si>
  <si>
    <t>KF01E1917426</t>
  </si>
  <si>
    <t>https://hana.modakita.com/azd942/avatar/2465021220251010132622C4XXSY.jpg</t>
  </si>
  <si>
    <t>KFA1E1261780</t>
  </si>
  <si>
    <t>https://fruitbasket.blob.core.windows.net/gk2o5k/avatar/21157966020251008133507UNCYND.jpg</t>
  </si>
  <si>
    <t>KFA1E1296437</t>
  </si>
  <si>
    <t>https://fruitbasket.blob.core.windows.net/gk2o5k/avatar/246502122025100806385996JLPW.jpg</t>
  </si>
  <si>
    <t>KFC1E1115270</t>
  </si>
  <si>
    <t>https://fruitbasket.blob.core.windows.net/gk2o5k/avatar/2465021220251007153831EIUQXW.jpg</t>
  </si>
  <si>
    <t>KFC1E1157617</t>
  </si>
  <si>
    <t>https://fruitbasket.blob.core.windows.net/gk2o5k/avatar/2465021220251009143723SY4G9T.jpg</t>
  </si>
  <si>
    <t>KFC1E1172910</t>
  </si>
  <si>
    <t>https://fruitbasket.blob.core.windows.net/gk2o5k/avatar/2465021220251008160211AIYQ5T.jpg</t>
  </si>
  <si>
    <t>KFD1E1161581</t>
  </si>
  <si>
    <t>https://fruitbasket.blob.core.windows.net/gk2o5k/avatar/21157373820251006053657FETXNE.jpg</t>
  </si>
  <si>
    <t>KFE1E1107708</t>
  </si>
  <si>
    <t>https://fruitbasket.blob.core.windows.net/gk2o5k/avatar/211573738202510080936542O94XN.jpg</t>
  </si>
  <si>
    <t>KFE1E1172144</t>
  </si>
  <si>
    <t>https://fruitbasket.blob.core.windows.net/gk2o5k/avatar/21157967920251004053619ARKVNI.jpg</t>
  </si>
  <si>
    <t>No. Surat Klaim</t>
  </si>
  <si>
    <t>04017-251028_0027</t>
  </si>
  <si>
    <t>04017-251027_2211</t>
  </si>
  <si>
    <t>Tgls STAR</t>
  </si>
  <si>
    <t>Cek Tgls</t>
  </si>
  <si>
    <t>KM STAR</t>
  </si>
  <si>
    <t>Cek KM</t>
  </si>
  <si>
    <t>Tglb STAR</t>
  </si>
  <si>
    <t>Cek Tglb</t>
  </si>
  <si>
    <t>Selisih</t>
  </si>
  <si>
    <t>KM nabrak dengan servis ID 2 (2686)</t>
  </si>
  <si>
    <t>KM nabrak dengan servis ID 3 (3652)</t>
  </si>
  <si>
    <t>Speedo tidak sesuai tipe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</si>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</sst>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BDEB-2E37-4B91-A2A4-03673F3E62EE}">
  <sheetPr filterMode="1"/>
  <dimension ref="A1:O41"/>
  <sheetViews>
    <sheetView tabSelected="1" topLeftCell="C1" zoomScaleNormal="100" workbookViewId="0">
      <pane ySplit="1" topLeftCell="A5" activePane="bottomLeft" state="frozen"/>
      <selection pane="bottomLeft" activeCell="L52" sqref="L52"/>
    </sheetView>
  </sheetViews>
  <sheetFormatPr defaultRowHeight="15" x14ac:dyDescent="0.25"/>
  <cols>
    <col min="1" max="1" width="19.42578125" bestFit="1" customWidth="1"/>
    <col min="2" max="2" width="13.71093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88.85546875" hidden="1" customWidth="1"/>
    <col min="15" max="15" width="6.5703125" bestFit="1" customWidth="1"/>
  </cols>
  <sheetData>
    <row r="1" spans="1:15" x14ac:dyDescent="0.25">
      <c r="A1" s="3" t="s">
        <v>91</v>
      </c>
      <c r="B1" s="1" t="s">
        <v>0</v>
      </c>
      <c r="C1" s="1" t="s">
        <v>1</v>
      </c>
      <c r="D1" s="1" t="s">
        <v>2</v>
      </c>
      <c r="E1" s="1" t="s">
        <v>96</v>
      </c>
      <c r="F1" s="1" t="s">
        <v>97</v>
      </c>
      <c r="G1" s="1" t="s">
        <v>3</v>
      </c>
      <c r="H1" s="1" t="s">
        <v>98</v>
      </c>
      <c r="I1" s="1" t="s">
        <v>99</v>
      </c>
      <c r="J1" s="5" t="s">
        <v>100</v>
      </c>
      <c r="K1" s="1" t="s">
        <v>4</v>
      </c>
      <c r="L1" s="1" t="s">
        <v>94</v>
      </c>
      <c r="M1" s="1" t="s">
        <v>95</v>
      </c>
      <c r="N1" s="1" t="s">
        <v>5</v>
      </c>
      <c r="O1" s="1" t="s">
        <v>6</v>
      </c>
    </row>
    <row r="2" spans="1:15" hidden="1" x14ac:dyDescent="0.25">
      <c r="A2" t="s">
        <v>92</v>
      </c>
      <c r="B2" t="s">
        <v>7</v>
      </c>
      <c r="C2" t="s">
        <v>8</v>
      </c>
      <c r="D2">
        <v>141</v>
      </c>
      <c r="E2">
        <v>141</v>
      </c>
      <c r="F2" t="str">
        <f>IF(D2=E2,"OK","Not")</f>
        <v>OK</v>
      </c>
      <c r="G2" s="2">
        <v>45853</v>
      </c>
      <c r="H2" s="2">
        <v>45852</v>
      </c>
      <c r="I2" t="str">
        <f>IF(G2=H2,"OK","Not")</f>
        <v>Not</v>
      </c>
      <c r="J2" s="4">
        <f>H2-G2</f>
        <v>-1</v>
      </c>
      <c r="K2" s="2">
        <v>45940</v>
      </c>
      <c r="L2" s="2">
        <v>45940</v>
      </c>
      <c r="M2" t="str">
        <f>IF(K2=L2,"OK","Not")</f>
        <v>OK</v>
      </c>
      <c r="N2" t="s">
        <v>9</v>
      </c>
      <c r="O2" t="s">
        <v>104</v>
      </c>
    </row>
    <row r="3" spans="1:15" hidden="1" x14ac:dyDescent="0.25">
      <c r="A3" t="s">
        <v>92</v>
      </c>
      <c r="B3" t="s">
        <v>10</v>
      </c>
      <c r="C3" t="s">
        <v>8</v>
      </c>
      <c r="D3">
        <v>667</v>
      </c>
      <c r="E3">
        <v>667</v>
      </c>
      <c r="F3" t="str">
        <f>IF(D3=E3,"OK","Not")</f>
        <v>OK</v>
      </c>
      <c r="G3" s="2">
        <v>45911</v>
      </c>
      <c r="H3" s="2">
        <v>45911</v>
      </c>
      <c r="I3" t="str">
        <f>IF(G3=H3,"OK","Not")</f>
        <v>OK</v>
      </c>
      <c r="J3" s="4">
        <f>H3-G3</f>
        <v>0</v>
      </c>
      <c r="K3" s="2">
        <v>45938</v>
      </c>
      <c r="L3" s="2">
        <v>45938</v>
      </c>
      <c r="M3" t="str">
        <f>IF(K3=L3,"OK","Not")</f>
        <v>OK</v>
      </c>
      <c r="N3" t="s">
        <v>11</v>
      </c>
      <c r="O3" t="s">
        <v>104</v>
      </c>
    </row>
    <row r="4" spans="1:15" hidden="1" x14ac:dyDescent="0.25">
      <c r="A4" t="s">
        <v>93</v>
      </c>
      <c r="B4" t="s">
        <v>15</v>
      </c>
      <c r="C4" t="s">
        <v>13</v>
      </c>
      <c r="D4">
        <v>6286</v>
      </c>
      <c r="E4">
        <v>6286</v>
      </c>
      <c r="F4" t="str">
        <f>IF(D4=E4,"OK","Not")</f>
        <v>OK</v>
      </c>
      <c r="G4" s="2">
        <v>45670</v>
      </c>
      <c r="H4" s="2">
        <v>45670</v>
      </c>
      <c r="I4" t="str">
        <f>IF(G4=H4,"OK","Not")</f>
        <v>OK</v>
      </c>
      <c r="J4" s="4">
        <f>H4-G4</f>
        <v>0</v>
      </c>
      <c r="K4" s="2">
        <v>45938</v>
      </c>
      <c r="L4" s="2">
        <v>45938</v>
      </c>
      <c r="M4" t="str">
        <f>IF(K4=L4,"OK","Not")</f>
        <v>OK</v>
      </c>
      <c r="N4" t="s">
        <v>16</v>
      </c>
      <c r="O4" t="s">
        <v>104</v>
      </c>
    </row>
    <row r="5" spans="1:15" x14ac:dyDescent="0.25">
      <c r="A5" t="s">
        <v>93</v>
      </c>
      <c r="B5" t="s">
        <v>17</v>
      </c>
      <c r="C5" t="s">
        <v>12</v>
      </c>
      <c r="D5">
        <v>2375</v>
      </c>
      <c r="E5">
        <v>2375</v>
      </c>
      <c r="F5" t="str">
        <f>IF(D5=E5,"OK","Not")</f>
        <v>OK</v>
      </c>
      <c r="G5" s="2">
        <v>45763</v>
      </c>
      <c r="H5" s="2">
        <v>45763</v>
      </c>
      <c r="I5" t="str">
        <f>IF(G5=H5,"OK","Not")</f>
        <v>OK</v>
      </c>
      <c r="J5" s="4">
        <f>H5-G5</f>
        <v>0</v>
      </c>
      <c r="K5" s="2">
        <v>45938</v>
      </c>
      <c r="L5" s="2">
        <v>45938</v>
      </c>
      <c r="M5" t="str">
        <f>IF(K5=L5,"OK","Not")</f>
        <v>OK</v>
      </c>
      <c r="N5" t="s">
        <v>18</v>
      </c>
      <c r="O5" t="s">
        <v>101</v>
      </c>
    </row>
    <row r="6" spans="1:15" hidden="1" x14ac:dyDescent="0.25">
      <c r="A6" t="s">
        <v>92</v>
      </c>
      <c r="B6" t="s">
        <v>19</v>
      </c>
      <c r="C6" t="s">
        <v>12</v>
      </c>
      <c r="D6">
        <v>4384</v>
      </c>
      <c r="E6">
        <v>4384</v>
      </c>
      <c r="F6" t="str">
        <f>IF(D6=E6,"OK","Not")</f>
        <v>OK</v>
      </c>
      <c r="G6" s="2">
        <v>45890</v>
      </c>
      <c r="H6" s="2">
        <v>45890</v>
      </c>
      <c r="I6" t="str">
        <f>IF(G6=H6,"OK","Not")</f>
        <v>OK</v>
      </c>
      <c r="J6" s="4">
        <f>H6-G6</f>
        <v>0</v>
      </c>
      <c r="K6" s="2">
        <v>45937</v>
      </c>
      <c r="L6" s="2">
        <v>45937</v>
      </c>
      <c r="M6" t="str">
        <f>IF(K6=L6,"OK","Not")</f>
        <v>OK</v>
      </c>
      <c r="N6" t="s">
        <v>20</v>
      </c>
      <c r="O6" t="s">
        <v>104</v>
      </c>
    </row>
    <row r="7" spans="1:15" hidden="1" x14ac:dyDescent="0.25">
      <c r="A7" t="s">
        <v>92</v>
      </c>
      <c r="B7" t="s">
        <v>21</v>
      </c>
      <c r="C7" t="s">
        <v>13</v>
      </c>
      <c r="D7">
        <v>2977</v>
      </c>
      <c r="E7">
        <v>2977</v>
      </c>
      <c r="F7" t="str">
        <f>IF(D7=E7,"OK","Not")</f>
        <v>OK</v>
      </c>
      <c r="G7" s="2">
        <v>45598</v>
      </c>
      <c r="H7" s="2">
        <v>45598</v>
      </c>
      <c r="I7" t="str">
        <f>IF(G7=H7,"OK","Not")</f>
        <v>OK</v>
      </c>
      <c r="J7" s="4">
        <f>H7-G7</f>
        <v>0</v>
      </c>
      <c r="K7" s="2">
        <v>45934</v>
      </c>
      <c r="L7" s="2">
        <v>45934</v>
      </c>
      <c r="M7" t="str">
        <f>IF(K7=L7,"OK","Not")</f>
        <v>OK</v>
      </c>
      <c r="N7" t="s">
        <v>22</v>
      </c>
      <c r="O7" t="s">
        <v>104</v>
      </c>
    </row>
    <row r="8" spans="1:15" hidden="1" x14ac:dyDescent="0.25">
      <c r="A8" t="s">
        <v>92</v>
      </c>
      <c r="B8" t="s">
        <v>23</v>
      </c>
      <c r="C8" t="s">
        <v>8</v>
      </c>
      <c r="D8">
        <v>1105</v>
      </c>
      <c r="E8">
        <v>1105</v>
      </c>
      <c r="F8" t="str">
        <f>IF(D8=E8,"OK","Not")</f>
        <v>OK</v>
      </c>
      <c r="G8" s="2">
        <v>45904</v>
      </c>
      <c r="H8" s="2">
        <v>45904</v>
      </c>
      <c r="I8" t="str">
        <f>IF(G8=H8,"OK","Not")</f>
        <v>OK</v>
      </c>
      <c r="J8" s="4">
        <f>H8-G8</f>
        <v>0</v>
      </c>
      <c r="K8" s="2">
        <v>45936</v>
      </c>
      <c r="L8" s="2">
        <v>45936</v>
      </c>
      <c r="M8" t="str">
        <f>IF(K8=L8,"OK","Not")</f>
        <v>OK</v>
      </c>
      <c r="N8" t="s">
        <v>24</v>
      </c>
      <c r="O8" t="s">
        <v>104</v>
      </c>
    </row>
    <row r="9" spans="1:15" hidden="1" x14ac:dyDescent="0.25">
      <c r="A9" t="s">
        <v>92</v>
      </c>
      <c r="B9" t="s">
        <v>25</v>
      </c>
      <c r="C9" t="s">
        <v>8</v>
      </c>
      <c r="D9">
        <v>322</v>
      </c>
      <c r="E9">
        <v>322</v>
      </c>
      <c r="F9" t="str">
        <f>IF(D9=E9,"OK","Not")</f>
        <v>OK</v>
      </c>
      <c r="G9" s="2">
        <v>45923</v>
      </c>
      <c r="H9" s="2">
        <v>45923</v>
      </c>
      <c r="I9" t="str">
        <f>IF(G9=H9,"OK","Not")</f>
        <v>OK</v>
      </c>
      <c r="J9" s="4">
        <f>H9-G9</f>
        <v>0</v>
      </c>
      <c r="K9" s="2">
        <v>45936</v>
      </c>
      <c r="L9" s="2">
        <v>45936</v>
      </c>
      <c r="M9" t="str">
        <f>IF(K9=L9,"OK","Not")</f>
        <v>OK</v>
      </c>
      <c r="N9" t="s">
        <v>26</v>
      </c>
      <c r="O9" t="s">
        <v>104</v>
      </c>
    </row>
    <row r="10" spans="1:15" hidden="1" x14ac:dyDescent="0.25">
      <c r="A10" t="s">
        <v>92</v>
      </c>
      <c r="B10" t="s">
        <v>27</v>
      </c>
      <c r="C10" t="s">
        <v>8</v>
      </c>
      <c r="D10">
        <v>1025</v>
      </c>
      <c r="E10">
        <v>1025</v>
      </c>
      <c r="F10" t="str">
        <f>IF(D10=E10,"OK","Not")</f>
        <v>OK</v>
      </c>
      <c r="G10" s="2">
        <v>45912</v>
      </c>
      <c r="H10" s="2">
        <v>45911</v>
      </c>
      <c r="I10" t="str">
        <f>IF(G10=H10,"OK","Not")</f>
        <v>Not</v>
      </c>
      <c r="J10" s="4">
        <f>H10-G10</f>
        <v>-1</v>
      </c>
      <c r="K10" s="2">
        <v>45936</v>
      </c>
      <c r="L10" s="2">
        <v>45936</v>
      </c>
      <c r="M10" t="str">
        <f>IF(K10=L10,"OK","Not")</f>
        <v>OK</v>
      </c>
      <c r="N10" t="s">
        <v>28</v>
      </c>
      <c r="O10" t="s">
        <v>104</v>
      </c>
    </row>
    <row r="11" spans="1:15" hidden="1" x14ac:dyDescent="0.25">
      <c r="A11" t="s">
        <v>93</v>
      </c>
      <c r="B11" t="s">
        <v>29</v>
      </c>
      <c r="C11" t="s">
        <v>12</v>
      </c>
      <c r="D11">
        <v>3546</v>
      </c>
      <c r="E11">
        <v>3546</v>
      </c>
      <c r="F11" t="str">
        <f>IF(D11=E11,"OK","Not")</f>
        <v>OK</v>
      </c>
      <c r="G11" s="2">
        <v>45700</v>
      </c>
      <c r="H11" s="2">
        <v>45700</v>
      </c>
      <c r="I11" t="str">
        <f>IF(G11=H11,"OK","Not")</f>
        <v>OK</v>
      </c>
      <c r="J11" s="4">
        <f>H11-G11</f>
        <v>0</v>
      </c>
      <c r="K11" s="2">
        <v>45938</v>
      </c>
      <c r="L11" s="2">
        <v>45938</v>
      </c>
      <c r="M11" t="str">
        <f>IF(K11=L11,"OK","Not")</f>
        <v>OK</v>
      </c>
      <c r="N11" t="s">
        <v>30</v>
      </c>
      <c r="O11" t="s">
        <v>104</v>
      </c>
    </row>
    <row r="12" spans="1:15" x14ac:dyDescent="0.25">
      <c r="A12" t="s">
        <v>93</v>
      </c>
      <c r="B12" t="s">
        <v>31</v>
      </c>
      <c r="C12" t="s">
        <v>13</v>
      </c>
      <c r="D12">
        <v>1637</v>
      </c>
      <c r="E12">
        <v>1637</v>
      </c>
      <c r="F12" t="str">
        <f>IF(D12=E12,"OK","Not")</f>
        <v>OK</v>
      </c>
      <c r="G12" s="2">
        <v>45755</v>
      </c>
      <c r="H12" s="2">
        <v>45755</v>
      </c>
      <c r="I12" t="str">
        <f>IF(G12=H12,"OK","Not")</f>
        <v>OK</v>
      </c>
      <c r="J12" s="4">
        <f>H12-G12</f>
        <v>0</v>
      </c>
      <c r="K12" s="2">
        <v>45938</v>
      </c>
      <c r="L12" s="2">
        <v>45938</v>
      </c>
      <c r="M12" t="str">
        <f>IF(K12=L12,"OK","Not")</f>
        <v>OK</v>
      </c>
      <c r="N12" t="s">
        <v>32</v>
      </c>
      <c r="O12" t="s">
        <v>102</v>
      </c>
    </row>
    <row r="13" spans="1:15" hidden="1" x14ac:dyDescent="0.25">
      <c r="A13" t="s">
        <v>93</v>
      </c>
      <c r="B13" t="s">
        <v>33</v>
      </c>
      <c r="C13" t="s">
        <v>13</v>
      </c>
      <c r="D13">
        <v>7241</v>
      </c>
      <c r="E13">
        <v>7241</v>
      </c>
      <c r="F13" t="str">
        <f>IF(D13=E13,"OK","Not")</f>
        <v>OK</v>
      </c>
      <c r="G13" s="2">
        <v>45819</v>
      </c>
      <c r="H13" s="2">
        <v>45819</v>
      </c>
      <c r="I13" t="str">
        <f>IF(G13=H13,"OK","Not")</f>
        <v>OK</v>
      </c>
      <c r="J13" s="4">
        <f>H13-G13</f>
        <v>0</v>
      </c>
      <c r="K13" s="2">
        <v>45938</v>
      </c>
      <c r="L13" s="2">
        <v>45938</v>
      </c>
      <c r="M13" t="str">
        <f>IF(K13=L13,"OK","Not")</f>
        <v>OK</v>
      </c>
      <c r="N13" t="s">
        <v>34</v>
      </c>
      <c r="O13" t="s">
        <v>104</v>
      </c>
    </row>
    <row r="14" spans="1:15" hidden="1" x14ac:dyDescent="0.25">
      <c r="A14" t="s">
        <v>93</v>
      </c>
      <c r="B14" t="s">
        <v>35</v>
      </c>
      <c r="C14" t="s">
        <v>14</v>
      </c>
      <c r="D14">
        <v>1427</v>
      </c>
      <c r="E14">
        <v>1427</v>
      </c>
      <c r="F14" t="str">
        <f>IF(D14=E14,"OK","Not")</f>
        <v>OK</v>
      </c>
      <c r="G14" s="2">
        <v>45826</v>
      </c>
      <c r="H14" s="2">
        <v>45826</v>
      </c>
      <c r="I14" t="str">
        <f>IF(G14=H14,"OK","Not")</f>
        <v>OK</v>
      </c>
      <c r="J14" s="4">
        <f>H14-G14</f>
        <v>0</v>
      </c>
      <c r="K14" s="2">
        <v>45938</v>
      </c>
      <c r="L14" s="2">
        <v>45938</v>
      </c>
      <c r="M14" t="str">
        <f>IF(K14=L14,"OK","Not")</f>
        <v>OK</v>
      </c>
      <c r="N14" t="s">
        <v>36</v>
      </c>
      <c r="O14" t="s">
        <v>104</v>
      </c>
    </row>
    <row r="15" spans="1:15" hidden="1" x14ac:dyDescent="0.25">
      <c r="A15" t="s">
        <v>92</v>
      </c>
      <c r="B15" t="s">
        <v>37</v>
      </c>
      <c r="C15" t="s">
        <v>14</v>
      </c>
      <c r="D15">
        <v>2942</v>
      </c>
      <c r="E15">
        <v>2942</v>
      </c>
      <c r="F15" t="str">
        <f>IF(D15=E15,"OK","Not")</f>
        <v>OK</v>
      </c>
      <c r="G15" s="2">
        <v>45836</v>
      </c>
      <c r="H15" s="2">
        <v>45836</v>
      </c>
      <c r="I15" t="str">
        <f>IF(G15=H15,"OK","Not")</f>
        <v>OK</v>
      </c>
      <c r="J15" s="4">
        <f>H15-G15</f>
        <v>0</v>
      </c>
      <c r="K15" s="2">
        <v>45934</v>
      </c>
      <c r="L15" s="2">
        <v>45934</v>
      </c>
      <c r="M15" t="str">
        <f>IF(K15=L15,"OK","Not")</f>
        <v>OK</v>
      </c>
      <c r="N15" t="s">
        <v>38</v>
      </c>
      <c r="O15" t="s">
        <v>104</v>
      </c>
    </row>
    <row r="16" spans="1:15" hidden="1" x14ac:dyDescent="0.25">
      <c r="A16" t="s">
        <v>92</v>
      </c>
      <c r="B16" t="s">
        <v>39</v>
      </c>
      <c r="C16" t="s">
        <v>14</v>
      </c>
      <c r="D16">
        <v>1935</v>
      </c>
      <c r="E16">
        <v>1935</v>
      </c>
      <c r="F16" t="str">
        <f>IF(D16=E16,"OK","Not")</f>
        <v>OK</v>
      </c>
      <c r="G16" s="2">
        <v>45849</v>
      </c>
      <c r="H16" s="2">
        <v>45849</v>
      </c>
      <c r="I16" t="str">
        <f>IF(G16=H16,"OK","Not")</f>
        <v>OK</v>
      </c>
      <c r="J16" s="4">
        <f>H16-G16</f>
        <v>0</v>
      </c>
      <c r="K16" s="2">
        <v>45936</v>
      </c>
      <c r="L16" s="2">
        <v>45936</v>
      </c>
      <c r="M16" t="str">
        <f>IF(K16=L16,"OK","Not")</f>
        <v>OK</v>
      </c>
      <c r="N16" t="s">
        <v>40</v>
      </c>
      <c r="O16" t="s">
        <v>104</v>
      </c>
    </row>
    <row r="17" spans="1:15" hidden="1" x14ac:dyDescent="0.25">
      <c r="A17" t="s">
        <v>92</v>
      </c>
      <c r="B17" t="s">
        <v>41</v>
      </c>
      <c r="C17" t="s">
        <v>13</v>
      </c>
      <c r="D17">
        <v>4872</v>
      </c>
      <c r="E17">
        <v>4872</v>
      </c>
      <c r="F17" t="str">
        <f>IF(D17=E17,"OK","Not")</f>
        <v>OK</v>
      </c>
      <c r="G17" s="2">
        <v>45813</v>
      </c>
      <c r="H17" s="2">
        <v>45813</v>
      </c>
      <c r="I17" t="str">
        <f>IF(G17=H17,"OK","Not")</f>
        <v>OK</v>
      </c>
      <c r="J17" s="4">
        <f>H17-G17</f>
        <v>0</v>
      </c>
      <c r="K17" s="2">
        <v>45934</v>
      </c>
      <c r="L17" s="2">
        <v>45934</v>
      </c>
      <c r="M17" t="str">
        <f>IF(K17=L17,"OK","Not")</f>
        <v>OK</v>
      </c>
      <c r="N17" t="s">
        <v>42</v>
      </c>
      <c r="O17" t="s">
        <v>104</v>
      </c>
    </row>
    <row r="18" spans="1:15" hidden="1" x14ac:dyDescent="0.25">
      <c r="A18" t="s">
        <v>92</v>
      </c>
      <c r="B18" t="s">
        <v>43</v>
      </c>
      <c r="C18" t="s">
        <v>14</v>
      </c>
      <c r="D18">
        <v>3271</v>
      </c>
      <c r="E18">
        <v>3271</v>
      </c>
      <c r="F18" t="str">
        <f>IF(D18=E18,"OK","Not")</f>
        <v>OK</v>
      </c>
      <c r="G18" s="2">
        <v>45884</v>
      </c>
      <c r="H18" s="2">
        <v>45883</v>
      </c>
      <c r="I18" t="str">
        <f>IF(G18=H18,"OK","Not")</f>
        <v>Not</v>
      </c>
      <c r="J18" s="4">
        <f>H18-G18</f>
        <v>-1</v>
      </c>
      <c r="K18" s="2">
        <v>45940</v>
      </c>
      <c r="L18" s="2">
        <v>45940</v>
      </c>
      <c r="M18" t="str">
        <f>IF(K18=L18,"OK","Not")</f>
        <v>OK</v>
      </c>
      <c r="N18" t="s">
        <v>44</v>
      </c>
      <c r="O18" t="s">
        <v>104</v>
      </c>
    </row>
    <row r="19" spans="1:15" hidden="1" x14ac:dyDescent="0.25">
      <c r="A19" t="s">
        <v>92</v>
      </c>
      <c r="B19" t="s">
        <v>45</v>
      </c>
      <c r="C19" t="s">
        <v>13</v>
      </c>
      <c r="D19">
        <v>6500</v>
      </c>
      <c r="E19">
        <v>6500</v>
      </c>
      <c r="F19" t="str">
        <f>IF(D19=E19,"OK","Not")</f>
        <v>OK</v>
      </c>
      <c r="G19" s="2">
        <v>45808</v>
      </c>
      <c r="H19" s="2">
        <v>45808</v>
      </c>
      <c r="I19" t="str">
        <f>IF(G19=H19,"OK","Not")</f>
        <v>OK</v>
      </c>
      <c r="J19" s="4">
        <f>H19-G19</f>
        <v>0</v>
      </c>
      <c r="K19" s="2">
        <v>45937</v>
      </c>
      <c r="L19" s="2">
        <v>45937</v>
      </c>
      <c r="M19" t="str">
        <f>IF(K19=L19,"OK","Not")</f>
        <v>OK</v>
      </c>
      <c r="N19" t="s">
        <v>46</v>
      </c>
      <c r="O19" t="s">
        <v>104</v>
      </c>
    </row>
    <row r="20" spans="1:15" hidden="1" x14ac:dyDescent="0.25">
      <c r="A20" t="s">
        <v>93</v>
      </c>
      <c r="B20" t="s">
        <v>47</v>
      </c>
      <c r="C20" t="s">
        <v>14</v>
      </c>
      <c r="D20">
        <v>1462</v>
      </c>
      <c r="E20">
        <v>1462</v>
      </c>
      <c r="F20" t="str">
        <f>IF(D20=E20,"OK","Not")</f>
        <v>OK</v>
      </c>
      <c r="G20" s="2">
        <v>45856</v>
      </c>
      <c r="H20" s="2">
        <v>45856</v>
      </c>
      <c r="I20" t="str">
        <f>IF(G20=H20,"OK","Not")</f>
        <v>OK</v>
      </c>
      <c r="J20" s="4">
        <f>H20-G20</f>
        <v>0</v>
      </c>
      <c r="K20" s="2">
        <v>45938</v>
      </c>
      <c r="L20" s="2">
        <v>45938</v>
      </c>
      <c r="M20" t="str">
        <f>IF(K20=L20,"OK","Not")</f>
        <v>OK</v>
      </c>
      <c r="N20" t="s">
        <v>48</v>
      </c>
      <c r="O20" t="s">
        <v>104</v>
      </c>
    </row>
    <row r="21" spans="1:15" hidden="1" x14ac:dyDescent="0.25">
      <c r="A21" t="s">
        <v>93</v>
      </c>
      <c r="B21" t="s">
        <v>49</v>
      </c>
      <c r="C21" t="s">
        <v>12</v>
      </c>
      <c r="D21">
        <v>3013</v>
      </c>
      <c r="E21">
        <v>3013</v>
      </c>
      <c r="F21" t="str">
        <f>IF(D21=E21,"OK","Not")</f>
        <v>OK</v>
      </c>
      <c r="G21" s="2">
        <v>45878</v>
      </c>
      <c r="H21" s="2">
        <v>45878</v>
      </c>
      <c r="I21" t="str">
        <f>IF(G21=H21,"OK","Not")</f>
        <v>OK</v>
      </c>
      <c r="J21" s="4">
        <f>H21-G21</f>
        <v>0</v>
      </c>
      <c r="K21" s="2">
        <v>45938</v>
      </c>
      <c r="L21" s="2">
        <v>45938</v>
      </c>
      <c r="M21" t="str">
        <f>IF(K21=L21,"OK","Not")</f>
        <v>OK</v>
      </c>
      <c r="N21" t="s">
        <v>50</v>
      </c>
      <c r="O21" t="s">
        <v>104</v>
      </c>
    </row>
    <row r="22" spans="1:15" hidden="1" x14ac:dyDescent="0.25">
      <c r="A22" t="s">
        <v>92</v>
      </c>
      <c r="B22" t="s">
        <v>51</v>
      </c>
      <c r="C22" t="s">
        <v>14</v>
      </c>
      <c r="D22">
        <v>3425</v>
      </c>
      <c r="E22">
        <v>3425</v>
      </c>
      <c r="F22" t="str">
        <f>IF(D22=E22,"OK","Not")</f>
        <v>OK</v>
      </c>
      <c r="G22" s="2">
        <v>45864</v>
      </c>
      <c r="H22" s="2">
        <v>45864</v>
      </c>
      <c r="I22" t="str">
        <f>IF(G22=H22,"OK","Not")</f>
        <v>OK</v>
      </c>
      <c r="J22" s="4">
        <f>H22-G22</f>
        <v>0</v>
      </c>
      <c r="K22" s="2">
        <v>45936</v>
      </c>
      <c r="L22" s="2">
        <v>45936</v>
      </c>
      <c r="M22" t="str">
        <f>IF(K22=L22,"OK","Not")</f>
        <v>OK</v>
      </c>
      <c r="N22" t="s">
        <v>52</v>
      </c>
      <c r="O22" t="s">
        <v>104</v>
      </c>
    </row>
    <row r="23" spans="1:15" hidden="1" x14ac:dyDescent="0.25">
      <c r="A23" t="s">
        <v>93</v>
      </c>
      <c r="B23" t="s">
        <v>53</v>
      </c>
      <c r="C23" t="s">
        <v>8</v>
      </c>
      <c r="D23">
        <v>321</v>
      </c>
      <c r="E23">
        <v>321</v>
      </c>
      <c r="F23" t="str">
        <f>IF(D23=E23,"OK","Not")</f>
        <v>OK</v>
      </c>
      <c r="G23" s="2">
        <v>45920</v>
      </c>
      <c r="H23" s="2">
        <v>45920</v>
      </c>
      <c r="I23" t="str">
        <f>IF(G23=H23,"OK","Not")</f>
        <v>OK</v>
      </c>
      <c r="J23" s="4">
        <f>H23-G23</f>
        <v>0</v>
      </c>
      <c r="K23" s="2">
        <v>45938</v>
      </c>
      <c r="L23" s="2">
        <v>45938</v>
      </c>
      <c r="M23" t="str">
        <f>IF(K23=L23,"OK","Not")</f>
        <v>OK</v>
      </c>
      <c r="N23" t="s">
        <v>54</v>
      </c>
      <c r="O23" t="s">
        <v>104</v>
      </c>
    </row>
    <row r="24" spans="1:15" hidden="1" x14ac:dyDescent="0.25">
      <c r="A24" t="s">
        <v>92</v>
      </c>
      <c r="B24" t="s">
        <v>55</v>
      </c>
      <c r="C24" t="s">
        <v>14</v>
      </c>
      <c r="D24">
        <v>961</v>
      </c>
      <c r="E24">
        <v>961</v>
      </c>
      <c r="F24" t="str">
        <f>IF(D24=E24,"OK","Not")</f>
        <v>OK</v>
      </c>
      <c r="G24" s="2">
        <v>45855</v>
      </c>
      <c r="H24" s="2">
        <v>45854</v>
      </c>
      <c r="I24" t="str">
        <f>IF(G24=H24,"OK","Not")</f>
        <v>Not</v>
      </c>
      <c r="J24" s="4">
        <f>H24-G24</f>
        <v>-1</v>
      </c>
      <c r="K24" s="2">
        <v>45934</v>
      </c>
      <c r="L24" s="2">
        <v>45934</v>
      </c>
      <c r="M24" t="str">
        <f>IF(K24=L24,"OK","Not")</f>
        <v>OK</v>
      </c>
      <c r="N24" t="s">
        <v>56</v>
      </c>
      <c r="O24" t="s">
        <v>104</v>
      </c>
    </row>
    <row r="25" spans="1:15" hidden="1" x14ac:dyDescent="0.25">
      <c r="A25" t="s">
        <v>93</v>
      </c>
      <c r="B25" t="s">
        <v>57</v>
      </c>
      <c r="C25" t="s">
        <v>14</v>
      </c>
      <c r="D25">
        <v>3188</v>
      </c>
      <c r="E25">
        <v>3188</v>
      </c>
      <c r="F25" t="str">
        <f>IF(D25=E25,"OK","Not")</f>
        <v>OK</v>
      </c>
      <c r="G25" s="2">
        <v>45875</v>
      </c>
      <c r="H25" s="2">
        <v>45875</v>
      </c>
      <c r="I25" t="str">
        <f>IF(G25=H25,"OK","Not")</f>
        <v>OK</v>
      </c>
      <c r="J25" s="4">
        <f>H25-G25</f>
        <v>0</v>
      </c>
      <c r="K25" s="2">
        <v>45938</v>
      </c>
      <c r="L25" s="2">
        <v>45938</v>
      </c>
      <c r="M25" t="str">
        <f>IF(K25=L25,"OK","Not")</f>
        <v>OK</v>
      </c>
      <c r="N25" t="s">
        <v>58</v>
      </c>
      <c r="O25" t="s">
        <v>104</v>
      </c>
    </row>
    <row r="26" spans="1:15" hidden="1" x14ac:dyDescent="0.25">
      <c r="A26" t="s">
        <v>92</v>
      </c>
      <c r="B26" t="s">
        <v>59</v>
      </c>
      <c r="C26" t="s">
        <v>8</v>
      </c>
      <c r="D26">
        <v>95</v>
      </c>
      <c r="E26">
        <v>95</v>
      </c>
      <c r="F26" t="str">
        <f>IF(D26=E26,"OK","Not")</f>
        <v>OK</v>
      </c>
      <c r="G26" s="2">
        <v>45904</v>
      </c>
      <c r="H26" s="2">
        <v>45902</v>
      </c>
      <c r="I26" t="str">
        <f>IF(G26=H26,"OK","Not")</f>
        <v>Not</v>
      </c>
      <c r="J26" s="4">
        <f>H26-G26</f>
        <v>-2</v>
      </c>
      <c r="K26" s="2">
        <v>45936</v>
      </c>
      <c r="L26" s="2">
        <v>45936</v>
      </c>
      <c r="M26" t="str">
        <f>IF(K26=L26,"OK","Not")</f>
        <v>OK</v>
      </c>
      <c r="N26" t="s">
        <v>60</v>
      </c>
      <c r="O26" t="s">
        <v>104</v>
      </c>
    </row>
    <row r="27" spans="1:15" hidden="1" x14ac:dyDescent="0.25">
      <c r="A27" t="s">
        <v>93</v>
      </c>
      <c r="B27" t="s">
        <v>61</v>
      </c>
      <c r="C27" t="s">
        <v>13</v>
      </c>
      <c r="D27">
        <v>2873</v>
      </c>
      <c r="E27">
        <v>2873</v>
      </c>
      <c r="F27" t="str">
        <f>IF(D27=E27,"OK","Not")</f>
        <v>OK</v>
      </c>
      <c r="G27" s="2">
        <v>45733</v>
      </c>
      <c r="H27" s="2">
        <v>45733</v>
      </c>
      <c r="I27" t="str">
        <f>IF(G27=H27,"OK","Not")</f>
        <v>OK</v>
      </c>
      <c r="J27" s="4">
        <f>H27-G27</f>
        <v>0</v>
      </c>
      <c r="K27" s="2">
        <v>45938</v>
      </c>
      <c r="L27" s="2">
        <v>45938</v>
      </c>
      <c r="M27" t="str">
        <f>IF(K27=L27,"OK","Not")</f>
        <v>OK</v>
      </c>
      <c r="N27" t="s">
        <v>62</v>
      </c>
      <c r="O27" t="s">
        <v>104</v>
      </c>
    </row>
    <row r="28" spans="1:15" hidden="1" x14ac:dyDescent="0.25">
      <c r="A28" t="s">
        <v>92</v>
      </c>
      <c r="B28" t="s">
        <v>63</v>
      </c>
      <c r="C28" t="s">
        <v>12</v>
      </c>
      <c r="D28">
        <v>4169</v>
      </c>
      <c r="E28">
        <v>4169</v>
      </c>
      <c r="F28" t="str">
        <f>IF(D28=E28,"OK","Not")</f>
        <v>OK</v>
      </c>
      <c r="G28" s="2">
        <v>45723</v>
      </c>
      <c r="H28" s="2">
        <v>45723</v>
      </c>
      <c r="I28" t="str">
        <f>IF(G28=H28,"OK","Not")</f>
        <v>OK</v>
      </c>
      <c r="J28" s="4">
        <f>H28-G28</f>
        <v>0</v>
      </c>
      <c r="K28" s="2">
        <v>45934</v>
      </c>
      <c r="L28" s="2">
        <v>45934</v>
      </c>
      <c r="M28" t="str">
        <f>IF(K28=L28,"OK","Not")</f>
        <v>OK</v>
      </c>
      <c r="N28" t="s">
        <v>64</v>
      </c>
      <c r="O28" t="s">
        <v>104</v>
      </c>
    </row>
    <row r="29" spans="1:15" hidden="1" x14ac:dyDescent="0.25">
      <c r="A29" t="s">
        <v>92</v>
      </c>
      <c r="B29" t="s">
        <v>65</v>
      </c>
      <c r="C29" t="s">
        <v>8</v>
      </c>
      <c r="D29">
        <v>693</v>
      </c>
      <c r="E29">
        <v>693</v>
      </c>
      <c r="F29" t="str">
        <f>IF(D29=E29,"OK","Not")</f>
        <v>OK</v>
      </c>
      <c r="G29" s="2">
        <v>45877</v>
      </c>
      <c r="H29" s="2">
        <v>45877</v>
      </c>
      <c r="I29" t="str">
        <f>IF(G29=H29,"OK","Not")</f>
        <v>OK</v>
      </c>
      <c r="J29" s="4">
        <f>H29-G29</f>
        <v>0</v>
      </c>
      <c r="K29" s="2">
        <v>45936</v>
      </c>
      <c r="L29" s="2">
        <v>45936</v>
      </c>
      <c r="M29" t="str">
        <f>IF(K29=L29,"OK","Not")</f>
        <v>OK</v>
      </c>
      <c r="N29" t="s">
        <v>66</v>
      </c>
      <c r="O29" t="s">
        <v>104</v>
      </c>
    </row>
    <row r="30" spans="1:15" hidden="1" x14ac:dyDescent="0.25">
      <c r="A30" t="s">
        <v>92</v>
      </c>
      <c r="B30" t="s">
        <v>67</v>
      </c>
      <c r="C30" t="s">
        <v>8</v>
      </c>
      <c r="D30">
        <v>997</v>
      </c>
      <c r="E30">
        <v>997</v>
      </c>
      <c r="F30" t="str">
        <f>IF(D30=E30,"OK","Not")</f>
        <v>OK</v>
      </c>
      <c r="G30" s="2">
        <v>45877</v>
      </c>
      <c r="H30" s="2">
        <v>45877</v>
      </c>
      <c r="I30" t="str">
        <f>IF(G30=H30,"OK","Not")</f>
        <v>OK</v>
      </c>
      <c r="J30" s="4">
        <f>H30-G30</f>
        <v>0</v>
      </c>
      <c r="K30" s="2">
        <v>45936</v>
      </c>
      <c r="L30" s="2">
        <v>45936</v>
      </c>
      <c r="M30" t="str">
        <f>IF(K30=L30,"OK","Not")</f>
        <v>OK</v>
      </c>
      <c r="N30" t="s">
        <v>68</v>
      </c>
      <c r="O30" t="s">
        <v>104</v>
      </c>
    </row>
    <row r="31" spans="1:15" hidden="1" x14ac:dyDescent="0.25">
      <c r="A31" t="s">
        <v>92</v>
      </c>
      <c r="B31" t="s">
        <v>69</v>
      </c>
      <c r="C31" t="s">
        <v>8</v>
      </c>
      <c r="D31">
        <v>1047</v>
      </c>
      <c r="E31">
        <v>1047</v>
      </c>
      <c r="F31" t="str">
        <f>IF(D31=E31,"OK","Not")</f>
        <v>OK</v>
      </c>
      <c r="G31" s="2">
        <v>45889</v>
      </c>
      <c r="H31" s="2">
        <v>45889</v>
      </c>
      <c r="I31" t="str">
        <f>IF(G31=H31,"OK","Not")</f>
        <v>OK</v>
      </c>
      <c r="J31" s="4">
        <f>H31-G31</f>
        <v>0</v>
      </c>
      <c r="K31" s="2">
        <v>45936</v>
      </c>
      <c r="L31" s="2">
        <v>45936</v>
      </c>
      <c r="M31" t="str">
        <f>IF(K31=L31,"OK","Not")</f>
        <v>OK</v>
      </c>
      <c r="N31" t="s">
        <v>70</v>
      </c>
      <c r="O31" t="s">
        <v>104</v>
      </c>
    </row>
    <row r="32" spans="1:15" hidden="1" x14ac:dyDescent="0.25">
      <c r="A32" t="s">
        <v>92</v>
      </c>
      <c r="B32" t="s">
        <v>71</v>
      </c>
      <c r="C32" t="s">
        <v>8</v>
      </c>
      <c r="D32">
        <v>448</v>
      </c>
      <c r="E32">
        <v>448</v>
      </c>
      <c r="F32" t="str">
        <f>IF(D32=E32,"OK","Not")</f>
        <v>OK</v>
      </c>
      <c r="G32" s="2">
        <v>45909</v>
      </c>
      <c r="H32" s="2">
        <v>45909</v>
      </c>
      <c r="I32" t="str">
        <f>IF(G32=H32,"OK","Not")</f>
        <v>OK</v>
      </c>
      <c r="J32" s="4">
        <f>H32-G32</f>
        <v>0</v>
      </c>
      <c r="K32" s="2">
        <v>45936</v>
      </c>
      <c r="L32" s="2">
        <v>45936</v>
      </c>
      <c r="M32" t="str">
        <f>IF(K32=L32,"OK","Not")</f>
        <v>OK</v>
      </c>
      <c r="N32" t="s">
        <v>72</v>
      </c>
      <c r="O32" t="s">
        <v>104</v>
      </c>
    </row>
    <row r="33" spans="1:15" hidden="1" x14ac:dyDescent="0.25">
      <c r="A33" t="s">
        <v>92</v>
      </c>
      <c r="B33" t="s">
        <v>73</v>
      </c>
      <c r="C33" t="s">
        <v>8</v>
      </c>
      <c r="D33">
        <v>817</v>
      </c>
      <c r="E33">
        <v>817</v>
      </c>
      <c r="F33" t="str">
        <f>IF(D33=E33,"OK","Not")</f>
        <v>OK</v>
      </c>
      <c r="G33" s="2">
        <v>45874</v>
      </c>
      <c r="H33" s="2">
        <v>45874</v>
      </c>
      <c r="I33" t="str">
        <f>IF(G33=H33,"OK","Not")</f>
        <v>OK</v>
      </c>
      <c r="J33" s="4">
        <f>H33-G33</f>
        <v>0</v>
      </c>
      <c r="K33" s="2">
        <v>45940</v>
      </c>
      <c r="L33" s="2">
        <v>45940</v>
      </c>
      <c r="M33" t="str">
        <f>IF(K33=L33,"OK","Not")</f>
        <v>OK</v>
      </c>
      <c r="N33" t="s">
        <v>74</v>
      </c>
      <c r="O33" t="s">
        <v>104</v>
      </c>
    </row>
    <row r="34" spans="1:15" hidden="1" x14ac:dyDescent="0.25">
      <c r="A34" t="s">
        <v>93</v>
      </c>
      <c r="B34" t="s">
        <v>75</v>
      </c>
      <c r="C34" t="s">
        <v>12</v>
      </c>
      <c r="D34">
        <v>6165</v>
      </c>
      <c r="E34">
        <v>6165</v>
      </c>
      <c r="F34" t="str">
        <f>IF(D34=E34,"OK","Not")</f>
        <v>OK</v>
      </c>
      <c r="G34" s="2">
        <v>45635</v>
      </c>
      <c r="H34" s="2">
        <v>45635</v>
      </c>
      <c r="I34" t="str">
        <f>IF(G34=H34,"OK","Not")</f>
        <v>OK</v>
      </c>
      <c r="J34" s="4">
        <f>H34-G34</f>
        <v>0</v>
      </c>
      <c r="K34" s="2">
        <v>45938</v>
      </c>
      <c r="L34" s="2">
        <v>45938</v>
      </c>
      <c r="M34" t="str">
        <f>IF(K34=L34,"OK","Not")</f>
        <v>OK</v>
      </c>
      <c r="N34" t="s">
        <v>76</v>
      </c>
      <c r="O34" t="s">
        <v>104</v>
      </c>
    </row>
    <row r="35" spans="1:15" hidden="1" x14ac:dyDescent="0.25">
      <c r="A35" t="s">
        <v>93</v>
      </c>
      <c r="B35" t="s">
        <v>77</v>
      </c>
      <c r="C35" t="s">
        <v>12</v>
      </c>
      <c r="D35">
        <v>5519</v>
      </c>
      <c r="E35">
        <v>5519</v>
      </c>
      <c r="F35" t="str">
        <f>IF(D35=E35,"OK","Not")</f>
        <v>OK</v>
      </c>
      <c r="G35" s="2">
        <v>45752</v>
      </c>
      <c r="H35" s="2">
        <v>45752</v>
      </c>
      <c r="I35" t="str">
        <f>IF(G35=H35,"OK","Not")</f>
        <v>OK</v>
      </c>
      <c r="J35" s="4">
        <f>H35-G35</f>
        <v>0</v>
      </c>
      <c r="K35" s="2">
        <v>45938</v>
      </c>
      <c r="L35" s="2">
        <v>45938</v>
      </c>
      <c r="M35" t="str">
        <f>IF(K35=L35,"OK","Not")</f>
        <v>OK</v>
      </c>
      <c r="N35" t="s">
        <v>78</v>
      </c>
      <c r="O35" t="s">
        <v>104</v>
      </c>
    </row>
    <row r="36" spans="1:15" hidden="1" x14ac:dyDescent="0.25">
      <c r="A36" t="s">
        <v>92</v>
      </c>
      <c r="B36" t="s">
        <v>79</v>
      </c>
      <c r="C36" t="s">
        <v>12</v>
      </c>
      <c r="D36">
        <v>6893</v>
      </c>
      <c r="E36">
        <v>6893</v>
      </c>
      <c r="F36" t="str">
        <f>IF(D36=E36,"OK","Not")</f>
        <v>OK</v>
      </c>
      <c r="G36" s="2">
        <v>45730</v>
      </c>
      <c r="H36" s="2">
        <v>45730</v>
      </c>
      <c r="I36" t="str">
        <f>IF(G36=H36,"OK","Not")</f>
        <v>OK</v>
      </c>
      <c r="J36" s="4">
        <f>H36-G36</f>
        <v>0</v>
      </c>
      <c r="K36" s="2">
        <v>45937</v>
      </c>
      <c r="L36" s="2">
        <v>45937</v>
      </c>
      <c r="M36" t="str">
        <f>IF(K36=L36,"OK","Not")</f>
        <v>OK</v>
      </c>
      <c r="N36" t="s">
        <v>80</v>
      </c>
      <c r="O36" t="s">
        <v>104</v>
      </c>
    </row>
    <row r="37" spans="1:15" hidden="1" x14ac:dyDescent="0.25">
      <c r="A37" t="s">
        <v>92</v>
      </c>
      <c r="B37" t="s">
        <v>81</v>
      </c>
      <c r="C37" t="s">
        <v>14</v>
      </c>
      <c r="D37">
        <v>2322</v>
      </c>
      <c r="E37">
        <v>2322</v>
      </c>
      <c r="F37" t="str">
        <f>IF(D37=E37,"OK","Not")</f>
        <v>OK</v>
      </c>
      <c r="G37" s="2">
        <v>45856</v>
      </c>
      <c r="H37" s="2">
        <v>45856</v>
      </c>
      <c r="I37" t="str">
        <f>IF(G37=H37,"OK","Not")</f>
        <v>OK</v>
      </c>
      <c r="J37" s="4">
        <f>H37-G37</f>
        <v>0</v>
      </c>
      <c r="K37" s="2">
        <v>45939</v>
      </c>
      <c r="L37" s="2">
        <v>45939</v>
      </c>
      <c r="M37" t="str">
        <f>IF(K37=L37,"OK","Not")</f>
        <v>OK</v>
      </c>
      <c r="N37" t="s">
        <v>82</v>
      </c>
      <c r="O37" t="s">
        <v>104</v>
      </c>
    </row>
    <row r="38" spans="1:15" hidden="1" x14ac:dyDescent="0.25">
      <c r="A38" t="s">
        <v>93</v>
      </c>
      <c r="B38" t="s">
        <v>83</v>
      </c>
      <c r="C38" t="s">
        <v>14</v>
      </c>
      <c r="D38">
        <v>2480</v>
      </c>
      <c r="E38">
        <v>2480</v>
      </c>
      <c r="F38" t="str">
        <f>IF(D38=E38,"OK","Not")</f>
        <v>OK</v>
      </c>
      <c r="G38" s="2">
        <v>45883</v>
      </c>
      <c r="H38" s="2">
        <v>45883</v>
      </c>
      <c r="I38" t="str">
        <f>IF(G38=H38,"OK","Not")</f>
        <v>OK</v>
      </c>
      <c r="J38" s="4">
        <f>H38-G38</f>
        <v>0</v>
      </c>
      <c r="K38" s="2">
        <v>45938</v>
      </c>
      <c r="L38" s="2">
        <v>45938</v>
      </c>
      <c r="M38" t="str">
        <f>IF(K38=L38,"OK","Not")</f>
        <v>OK</v>
      </c>
      <c r="N38" t="s">
        <v>84</v>
      </c>
      <c r="O38" t="s">
        <v>104</v>
      </c>
    </row>
    <row r="39" spans="1:15" hidden="1" x14ac:dyDescent="0.25">
      <c r="A39" t="s">
        <v>92</v>
      </c>
      <c r="B39" t="s">
        <v>85</v>
      </c>
      <c r="C39" t="s">
        <v>8</v>
      </c>
      <c r="D39">
        <v>431</v>
      </c>
      <c r="E39">
        <v>431</v>
      </c>
      <c r="F39" t="str">
        <f>IF(D39=E39,"OK","Not")</f>
        <v>OK</v>
      </c>
      <c r="G39" s="2">
        <v>45903</v>
      </c>
      <c r="H39" s="2">
        <v>45903</v>
      </c>
      <c r="I39" t="str">
        <f>IF(G39=H39,"OK","Not")</f>
        <v>OK</v>
      </c>
      <c r="J39" s="4">
        <f>H39-G39</f>
        <v>0</v>
      </c>
      <c r="K39" s="2">
        <v>45936</v>
      </c>
      <c r="L39" s="2">
        <v>45936</v>
      </c>
      <c r="M39" t="str">
        <f>IF(K39=L39,"OK","Not")</f>
        <v>OK</v>
      </c>
      <c r="N39" t="s">
        <v>86</v>
      </c>
      <c r="O39" t="s">
        <v>104</v>
      </c>
    </row>
    <row r="40" spans="1:15" hidden="1" x14ac:dyDescent="0.25">
      <c r="A40" t="s">
        <v>93</v>
      </c>
      <c r="B40" t="s">
        <v>87</v>
      </c>
      <c r="C40" t="s">
        <v>14</v>
      </c>
      <c r="D40">
        <v>2142</v>
      </c>
      <c r="E40">
        <v>2142</v>
      </c>
      <c r="F40" t="str">
        <f>IF(D40=E40,"OK","Not")</f>
        <v>OK</v>
      </c>
      <c r="G40" s="2">
        <v>45761</v>
      </c>
      <c r="H40" s="2">
        <v>45761</v>
      </c>
      <c r="I40" t="str">
        <f>IF(G40=H40,"OK","Not")</f>
        <v>OK</v>
      </c>
      <c r="J40" s="4">
        <f>H40-G40</f>
        <v>0</v>
      </c>
      <c r="K40" s="2">
        <v>45938</v>
      </c>
      <c r="L40" s="2">
        <v>45938</v>
      </c>
      <c r="M40" t="str">
        <f>IF(K40=L40,"OK","Not")</f>
        <v>OK</v>
      </c>
      <c r="N40" t="s">
        <v>88</v>
      </c>
      <c r="O40" t="s">
        <v>104</v>
      </c>
    </row>
    <row r="41" spans="1:15" x14ac:dyDescent="0.25">
      <c r="A41" t="s">
        <v>92</v>
      </c>
      <c r="B41" t="s">
        <v>89</v>
      </c>
      <c r="C41" t="s">
        <v>14</v>
      </c>
      <c r="D41">
        <v>868</v>
      </c>
      <c r="E41">
        <v>868</v>
      </c>
      <c r="F41" t="str">
        <f>IF(D41=E41,"OK","Not")</f>
        <v>OK</v>
      </c>
      <c r="G41" s="2">
        <v>45856</v>
      </c>
      <c r="H41" s="2">
        <v>45856</v>
      </c>
      <c r="I41" t="str">
        <f>IF(G41=H41,"OK","Not")</f>
        <v>OK</v>
      </c>
      <c r="J41" s="4">
        <f>H41-G41</f>
        <v>0</v>
      </c>
      <c r="K41" s="2">
        <v>45934</v>
      </c>
      <c r="L41" s="2">
        <v>45934</v>
      </c>
      <c r="M41" t="str">
        <f>IF(K41=L41,"OK","Not")</f>
        <v>OK</v>
      </c>
      <c r="N41" t="s">
        <v>90</v>
      </c>
      <c r="O41" t="s">
        <v>103</v>
      </c>
    </row>
  </sheetData>
  <autoFilter ref="A1:O41" xr:uid="{14D6BDEB-2E37-4B91-A2A4-03673F3E62EE}">
    <filterColumn colId="14">
      <filters>
        <filter val="KM nabrak dengan servis ID 2 (2686)"/>
        <filter val="KM nabrak dengan servis ID 3 (3652)"/>
        <filter val="Speedo tidak sesuai tipe"/>
      </filters>
    </filterColumn>
    <sortState xmlns:xlrd2="http://schemas.microsoft.com/office/spreadsheetml/2017/richdata2" ref="A2:O41">
      <sortCondition ref="B1:B41"/>
    </sortState>
  </autoFilter>
  <conditionalFormatting sqref="F2:F41">
    <cfRule type="containsText" dxfId="5" priority="6" operator="containsText" text="OK">
      <formula>NOT(ISERROR(SEARCH("OK",F2)))</formula>
    </cfRule>
  </conditionalFormatting>
  <conditionalFormatting sqref="I2:I41">
    <cfRule type="containsText" dxfId="4" priority="5" operator="containsText" text="OK">
      <formula>NOT(ISERROR(SEARCH("OK",I2)))</formula>
    </cfRule>
  </conditionalFormatting>
  <conditionalFormatting sqref="M2:M41">
    <cfRule type="containsText" dxfId="3" priority="4" operator="containsText" text="OK">
      <formula>NOT(ISERROR(SEARCH("OK",M2)))</formula>
    </cfRule>
  </conditionalFormatting>
  <conditionalFormatting sqref="I1:I1048576">
    <cfRule type="containsText" dxfId="2" priority="3" operator="containsText" text="Not">
      <formula>NOT(ISERROR(SEARCH("Not",I1)))</formula>
    </cfRule>
  </conditionalFormatting>
  <conditionalFormatting sqref="B1:B1048576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2025-11-14T09:00:38Z</dcterms:created>
  <dcterms:modified xsi:type="dcterms:W3CDTF">2025-11-14T09:53:46Z</dcterms:modified>
</cp:coreProperties>
</file>