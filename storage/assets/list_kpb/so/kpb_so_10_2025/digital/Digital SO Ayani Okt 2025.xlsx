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3EC991AF-F4EC-4633-B216-7727D0162C43}" xr6:coauthVersionLast="47" xr6:coauthVersionMax="47" xr10:uidLastSave="{00000000-0000-0000-0000-000000000000}"/>
  <bookViews>
    <workbookView xWindow="-120" yWindow="-120" windowWidth="20730" windowHeight="11040" xr2:uid="{AB083D40-6F35-49A0-80AA-6177F3EC85CF}"/>
  </bookViews>
  <sheets>
    <sheet name="Sheet1" sheetId="1" r:id="rId1"/>
  </sheets>
  <definedNames>
    <definedName name="_xlnm._FilterDatabase" localSheetId="0" hidden="1">Sheet1!$A$1:$O$44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39" i="1"/>
  <c r="J14" i="1"/>
  <c r="J15" i="1"/>
  <c r="J16" i="1"/>
  <c r="J17" i="1"/>
  <c r="J18" i="1"/>
  <c r="J19" i="1"/>
  <c r="J20" i="1"/>
  <c r="J21" i="1"/>
  <c r="J36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7" i="1"/>
  <c r="J38" i="1"/>
  <c r="J40" i="1"/>
  <c r="J41" i="1"/>
  <c r="J42" i="1"/>
  <c r="J43" i="1"/>
  <c r="J44" i="1"/>
  <c r="J2" i="1"/>
  <c r="M44" i="1"/>
  <c r="M43" i="1"/>
  <c r="M42" i="1"/>
  <c r="M41" i="1"/>
  <c r="M40" i="1"/>
  <c r="M38" i="1"/>
  <c r="M37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36" i="1"/>
  <c r="M21" i="1"/>
  <c r="M20" i="1"/>
  <c r="M19" i="1"/>
  <c r="M18" i="1"/>
  <c r="M17" i="1"/>
  <c r="M16" i="1"/>
  <c r="M15" i="1"/>
  <c r="M14" i="1"/>
  <c r="M39" i="1"/>
  <c r="M13" i="1"/>
  <c r="M12" i="1"/>
  <c r="M11" i="1"/>
  <c r="M10" i="1"/>
  <c r="M9" i="1"/>
  <c r="M8" i="1"/>
  <c r="M7" i="1"/>
  <c r="M6" i="1"/>
  <c r="M5" i="1"/>
  <c r="M4" i="1"/>
  <c r="M3" i="1"/>
  <c r="M2" i="1"/>
  <c r="I44" i="1"/>
  <c r="I43" i="1"/>
  <c r="I42" i="1"/>
  <c r="I41" i="1"/>
  <c r="I40" i="1"/>
  <c r="I38" i="1"/>
  <c r="I37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36" i="1"/>
  <c r="I21" i="1"/>
  <c r="I20" i="1"/>
  <c r="I19" i="1"/>
  <c r="I18" i="1"/>
  <c r="I17" i="1"/>
  <c r="I16" i="1"/>
  <c r="I15" i="1"/>
  <c r="I14" i="1"/>
  <c r="I39" i="1"/>
  <c r="I13" i="1"/>
  <c r="I12" i="1"/>
  <c r="I11" i="1"/>
  <c r="I10" i="1"/>
  <c r="I9" i="1"/>
  <c r="I8" i="1"/>
  <c r="I7" i="1"/>
  <c r="I6" i="1"/>
  <c r="I5" i="1"/>
  <c r="I4" i="1"/>
  <c r="I3" i="1"/>
  <c r="I2" i="1"/>
  <c r="F3" i="1"/>
  <c r="F4" i="1"/>
  <c r="F5" i="1"/>
  <c r="F6" i="1"/>
  <c r="F7" i="1"/>
  <c r="F8" i="1"/>
  <c r="F9" i="1"/>
  <c r="F10" i="1"/>
  <c r="F11" i="1"/>
  <c r="F12" i="1"/>
  <c r="F13" i="1"/>
  <c r="F39" i="1"/>
  <c r="F14" i="1"/>
  <c r="F15" i="1"/>
  <c r="F16" i="1"/>
  <c r="F17" i="1"/>
  <c r="F18" i="1"/>
  <c r="F19" i="1"/>
  <c r="F20" i="1"/>
  <c r="F21" i="1"/>
  <c r="F36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8" i="1"/>
  <c r="F40" i="1"/>
  <c r="F41" i="1"/>
  <c r="F42" i="1"/>
  <c r="F43" i="1"/>
  <c r="F44" i="1"/>
  <c r="F2" i="1"/>
</calcChain>
</file>

<file path=xl/sharedStrings.xml><?xml version="1.0" encoding="utf-8"?>
<sst xmlns="http://schemas.openxmlformats.org/spreadsheetml/2006/main" count="230" uniqueCount="111">
  <si>
    <t>no_mesin</t>
  </si>
  <si>
    <t>kpb_type</t>
  </si>
  <si>
    <t>km</t>
  </si>
  <si>
    <t>tanggal_beli</t>
  </si>
  <si>
    <t>tanggal_claim</t>
  </si>
  <si>
    <t>photo_url</t>
  </si>
  <si>
    <t>Noted</t>
  </si>
  <si>
    <t>KPB2</t>
  </si>
  <si>
    <t>KPB3</t>
  </si>
  <si>
    <t>KPB4</t>
  </si>
  <si>
    <t>KPB1</t>
  </si>
  <si>
    <t>JBP1E2097202</t>
  </si>
  <si>
    <t>https://hana.modakita.com/azd942/avatar/21201050820251010082127JUQUOQ.jpg</t>
  </si>
  <si>
    <t>JBP1E2115918</t>
  </si>
  <si>
    <t>https://fruitbasket.blob.core.windows.net/gk2o5k/avatar/21170211020251006101628BUZLII.jpg</t>
  </si>
  <si>
    <t>JBP1E2122955</t>
  </si>
  <si>
    <t>https://fruitbasket.blob.core.windows.net/gk2o5k/avatar/21395758920251003094308AU7FOW.jpg</t>
  </si>
  <si>
    <t>JMB1E1217030</t>
  </si>
  <si>
    <t>https://fruitbasket.blob.core.windows.net/gk2o5k/avatar/21394388720251004112532YPKWKE.jpg</t>
  </si>
  <si>
    <t>JMC1E1596067</t>
  </si>
  <si>
    <t>https://fruitbasket.blob.core.windows.net/gk2o5k/avatar/21201050820251007105425QVYNHP.jpg</t>
  </si>
  <si>
    <t>JMC1E1651576</t>
  </si>
  <si>
    <t>https://fruitbasket.blob.core.windows.net/gk2o5k/avatar/21412901420251007114035OAKWJQ.jpg</t>
  </si>
  <si>
    <t>JMC1E1665224</t>
  </si>
  <si>
    <t>https://fruitbasket.blob.core.windows.net/gk2o5k/avatar/21352350520251002084301GHERAO.jpg</t>
  </si>
  <si>
    <t>JMC1E1702367</t>
  </si>
  <si>
    <t>https://fruitbasket.blob.core.windows.net/gk2o5k/avatar/21412441320251001115840JBARSN.jpg</t>
  </si>
  <si>
    <t>JMC1E1702758</t>
  </si>
  <si>
    <t>https://fruitbasket.blob.core.windows.net/gk2o5k/avatar/212010508202510071156309WDEKX.jpg</t>
  </si>
  <si>
    <t>JMC1E1703211</t>
  </si>
  <si>
    <t>https://fruitbasket.blob.core.windows.net/gk2o5k/avatar/21395758920251004094916YPWDD0.jpg</t>
  </si>
  <si>
    <t>JMC1E1714013</t>
  </si>
  <si>
    <t>https://fruitbasket.blob.core.windows.net/gk2o5k/avatar/21394388720251003111332LZ6VDL.jpg</t>
  </si>
  <si>
    <t>JMD1E1886642</t>
  </si>
  <si>
    <t>https://fruitbasket.blob.core.windows.net/gk2o5k/avatar/2129953402025100314244470DT12.jpg</t>
  </si>
  <si>
    <t>JMD1E1952714</t>
  </si>
  <si>
    <t>https://fruitbasket.blob.core.windows.net/gk2o5k/avatar/21395758920251003094424NCTGZI.jpg</t>
  </si>
  <si>
    <t>JMD1E2014339</t>
  </si>
  <si>
    <t>https://fruitbasket.blob.core.windows.net/gk2o5k/avatar/21375354220251003134721SKRLBM.jpg</t>
  </si>
  <si>
    <t>JMD1E2021469</t>
  </si>
  <si>
    <t>https://fruitbasket.blob.core.windows.net/gk2o5k/avatar/21170211020251006090220G0LKIA.jpg</t>
  </si>
  <si>
    <t>JMD1E2024476</t>
  </si>
  <si>
    <t>https://fruitbasket.blob.core.windows.net/gk2o5k/avatar/21170211020251006104350RUXDRI.jpg</t>
  </si>
  <si>
    <t>JMD1E2060782</t>
  </si>
  <si>
    <t>https://fruitbasket.blob.core.windows.net/gk2o5k/avatar/21395758920251003144310CQ5XOT.jpg</t>
  </si>
  <si>
    <t>JME1E1636895</t>
  </si>
  <si>
    <t>https://fruitbasket.blob.core.windows.net/gk2o5k/avatar/21170211020251006101722GRT3ID.jpg</t>
  </si>
  <si>
    <t>JMF1E1184717</t>
  </si>
  <si>
    <t>https://fruitbasket.blob.core.windows.net/gk2o5k/avatar/21395758920251002115315OUCYHX.jpg</t>
  </si>
  <si>
    <t>JMF1E1240545</t>
  </si>
  <si>
    <t>https://fruitbasket.blob.core.windows.net/gk2o5k/avatar/21338789920251007091927ZNYL7R.jpg</t>
  </si>
  <si>
    <t>JMF1E1305817</t>
  </si>
  <si>
    <t>https://fruitbasket.blob.core.windows.net/gk2o5k/avatar/21412482120251001125109SLWCZL.jpg</t>
  </si>
  <si>
    <t>JMF2E1290189</t>
  </si>
  <si>
    <t>https://fruitbasket.blob.core.windows.net/gk2o5k/avatar/21338789920251002105708WG3YPD.jpg</t>
  </si>
  <si>
    <t>JMF2E1526742</t>
  </si>
  <si>
    <t>https://fruitbasket.blob.core.windows.net/gk2o5k/avatar/21170211020251007094426UPOYTQ.jpg</t>
  </si>
  <si>
    <t>JMF2E1534446</t>
  </si>
  <si>
    <t>https://fruitbasket.blob.core.windows.net/gk2o5k/avatar/2141277922025100211165620KSXK.jpg</t>
  </si>
  <si>
    <t>JMG1E1348847</t>
  </si>
  <si>
    <t>https://fruitbasket.blob.core.windows.net/gk2o5k/avatar/211702110202510060921521SB2B6.jpg</t>
  </si>
  <si>
    <t>JMH1E1169615</t>
  </si>
  <si>
    <t>https://fruitbasket.blob.core.windows.net/gk2o5k/avatar/21338789920251001105159CLQ3CI.jpg</t>
  </si>
  <si>
    <t>JMH1E1253666</t>
  </si>
  <si>
    <t>https://fruitbasket.blob.core.windows.net/gk2o5k/avatar/21170211020251007102511HQ1KKK.jpg</t>
  </si>
  <si>
    <t>JMH2E1205735</t>
  </si>
  <si>
    <t>https://fruitbasket.blob.core.windows.net/gk2o5k/avatar/212010508202510071338274DOZQU.jpg</t>
  </si>
  <si>
    <t>JMH2E1350151</t>
  </si>
  <si>
    <t>https://fruitbasket.blob.core.windows.net/gk2o5k/avatar/21413198520251003092827YIBSC8.jpg</t>
  </si>
  <si>
    <t>JMH2E1387774</t>
  </si>
  <si>
    <t>https://fruitbasket.blob.core.windows.net/gk2o5k/avatar/21395758920251001101618ESKSSF.jpg</t>
  </si>
  <si>
    <t>JMH2E1468259</t>
  </si>
  <si>
    <t>https://fruitbasket.blob.core.windows.net/gk2o5k/avatar/21373611520251008123832LQGMCK.jpg</t>
  </si>
  <si>
    <t>JMH2E1490464</t>
  </si>
  <si>
    <t>https://fruitbasket.blob.core.windows.net/gk2o5k/avatar/21201050820251006115616G2YWXI.jpg</t>
  </si>
  <si>
    <t>KF01E1847333</t>
  </si>
  <si>
    <t>https://fruitbasket.blob.core.windows.net/gk2o5k/avatar/21412740620251002100648DFGDKE.jpg</t>
  </si>
  <si>
    <t>KF01E1894614</t>
  </si>
  <si>
    <t>https://fruitbasket.blob.core.windows.net/gk2o5k/avatar/21170211020251006094722XOOMMF.jpg</t>
  </si>
  <si>
    <t>KF01E1922954</t>
  </si>
  <si>
    <t>https://fruitbasket.blob.core.windows.net/gk2o5k/avatar/211702110202510080954269LQTNF.jpg</t>
  </si>
  <si>
    <t>KFB2E1084625</t>
  </si>
  <si>
    <t>https://hana.modakita.com/azd942/avatar/21201050820251010082043JTO0Z3.jpg</t>
  </si>
  <si>
    <t>KFC1E1135626</t>
  </si>
  <si>
    <t>https://fruitbasket.blob.core.windows.net/gk2o5k/avatar/21394388720251001100116PCAAUX.jpg</t>
  </si>
  <si>
    <t>KFD1E1153209</t>
  </si>
  <si>
    <t>https://fruitbasket.blob.core.windows.net/gk2o5k/avatar/21201050820251007110955YDEJMF.jpg</t>
  </si>
  <si>
    <t>KFD1E1157387</t>
  </si>
  <si>
    <t>https://fruitbasket.blob.core.windows.net/gk2o5k/avatar/21395758920251004112425XVGTSM.jpg</t>
  </si>
  <si>
    <t>KFE1E1230337</t>
  </si>
  <si>
    <t>https://fruitbasket.blob.core.windows.net/gk2o5k/avatar/21201050820251006141117VFSNJY.jpg</t>
  </si>
  <si>
    <t>KFE1E1253634</t>
  </si>
  <si>
    <t>https://fruitbasket.blob.core.windows.net/gk2o5k/avatar/21170211020251008095320KLC4EL.jpg</t>
  </si>
  <si>
    <t>KFE1E1295488</t>
  </si>
  <si>
    <t>https://fruitbasket.blob.core.windows.net/gk2o5k/avatar/21201050820251007135504XZMDEB.jpg</t>
  </si>
  <si>
    <t>KFE3E1059741</t>
  </si>
  <si>
    <t>https://fruitbasket.blob.core.windows.net/gk2o5k/avatar/21201050820251008091944YPDX2Q.jpg</t>
  </si>
  <si>
    <t>No. Surat Klaim</t>
  </si>
  <si>
    <t>09887-251030_1033</t>
  </si>
  <si>
    <t>Tgls STAR</t>
  </si>
  <si>
    <t>Cek Tgls</t>
  </si>
  <si>
    <t>Tglb STAR</t>
  </si>
  <si>
    <t>Cek Tglb</t>
  </si>
  <si>
    <t>KM STAR</t>
  </si>
  <si>
    <t>Cek KM</t>
  </si>
  <si>
    <t>Selisih</t>
  </si>
  <si>
    <t>Speedo sama dgn KPB Sept 2025</t>
  </si>
  <si>
    <t>Speedo tidak sesuai tipe</t>
  </si>
  <si>
    <t>Tidak foto speedo langsung</t>
  </si>
  <si>
    <t>Ok</t>
  </si>
  <si>
    <t>KM nabrak dengan servis ID 3 (7248)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</si>
</sst>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1874-B678-4982-8ED7-C2C8F7643401}">
  <sheetPr filterMode="1"/>
  <dimension ref="A1:O44"/>
  <sheetViews>
    <sheetView tabSelected="1" workbookViewId="0">
      <pane ySplit="1" topLeftCell="A2" activePane="bottomLeft" state="frozen"/>
      <selection pane="bottomLeft" activeCell="E47" sqref="E47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5" bestFit="1" customWidth="1"/>
    <col min="5" max="6" width="5" customWidth="1"/>
    <col min="7" max="10" width="11.85546875" customWidth="1"/>
    <col min="11" max="13" width="13.28515625" customWidth="1"/>
    <col min="14" max="14" width="88.5703125" hidden="1" customWidth="1"/>
    <col min="15" max="15" width="6.5703125" bestFit="1" customWidth="1"/>
  </cols>
  <sheetData>
    <row r="1" spans="1:15" x14ac:dyDescent="0.25">
      <c r="A1" s="1" t="s">
        <v>97</v>
      </c>
      <c r="B1" s="2" t="s">
        <v>0</v>
      </c>
      <c r="C1" s="2" t="s">
        <v>1</v>
      </c>
      <c r="D1" s="2" t="s">
        <v>2</v>
      </c>
      <c r="E1" s="2" t="s">
        <v>103</v>
      </c>
      <c r="F1" s="2" t="s">
        <v>104</v>
      </c>
      <c r="G1" s="2" t="s">
        <v>3</v>
      </c>
      <c r="H1" s="2" t="s">
        <v>101</v>
      </c>
      <c r="I1" s="2" t="s">
        <v>102</v>
      </c>
      <c r="J1" s="4" t="s">
        <v>105</v>
      </c>
      <c r="K1" s="2" t="s">
        <v>4</v>
      </c>
      <c r="L1" s="2" t="s">
        <v>99</v>
      </c>
      <c r="M1" s="2" t="s">
        <v>100</v>
      </c>
      <c r="N1" s="2" t="s">
        <v>5</v>
      </c>
      <c r="O1" s="2" t="s">
        <v>6</v>
      </c>
    </row>
    <row r="2" spans="1:15" x14ac:dyDescent="0.25">
      <c r="A2" t="s">
        <v>98</v>
      </c>
      <c r="B2" t="s">
        <v>11</v>
      </c>
      <c r="C2" t="s">
        <v>9</v>
      </c>
      <c r="D2">
        <v>5779</v>
      </c>
      <c r="E2">
        <v>5779</v>
      </c>
      <c r="F2" t="str">
        <f t="shared" ref="F2:F44" si="0">IF(D2=E2,"OK","Not")</f>
        <v>OK</v>
      </c>
      <c r="G2" s="3">
        <v>45741</v>
      </c>
      <c r="H2" s="3">
        <v>45741</v>
      </c>
      <c r="I2" t="str">
        <f t="shared" ref="I2:I44" si="1">IF(G2=H2,"OK","Not")</f>
        <v>OK</v>
      </c>
      <c r="J2">
        <f t="shared" ref="J2:J44" si="2">H2-G2</f>
        <v>0</v>
      </c>
      <c r="K2" s="3">
        <v>45940</v>
      </c>
      <c r="L2" s="3">
        <v>45940</v>
      </c>
      <c r="M2" t="str">
        <f t="shared" ref="M2:M44" si="3">IF(K2=L2,"OK","Not")</f>
        <v>OK</v>
      </c>
      <c r="N2" t="s">
        <v>12</v>
      </c>
      <c r="O2" t="s">
        <v>110</v>
      </c>
    </row>
    <row r="3" spans="1:15" hidden="1" x14ac:dyDescent="0.25">
      <c r="A3" t="s">
        <v>98</v>
      </c>
      <c r="B3" t="s">
        <v>13</v>
      </c>
      <c r="C3" t="s">
        <v>10</v>
      </c>
      <c r="D3">
        <v>747</v>
      </c>
      <c r="E3">
        <v>747</v>
      </c>
      <c r="F3" t="str">
        <f t="shared" si="0"/>
        <v>OK</v>
      </c>
      <c r="G3" s="3">
        <v>45876</v>
      </c>
      <c r="H3" s="3">
        <v>45876</v>
      </c>
      <c r="I3" t="str">
        <f t="shared" si="1"/>
        <v>OK</v>
      </c>
      <c r="J3">
        <f t="shared" si="2"/>
        <v>0</v>
      </c>
      <c r="K3" s="3">
        <v>45936</v>
      </c>
      <c r="L3" s="3">
        <v>45936</v>
      </c>
      <c r="M3" t="str">
        <f t="shared" si="3"/>
        <v>OK</v>
      </c>
      <c r="N3" t="s">
        <v>14</v>
      </c>
      <c r="O3" t="s">
        <v>109</v>
      </c>
    </row>
    <row r="4" spans="1:15" hidden="1" x14ac:dyDescent="0.25">
      <c r="A4" t="s">
        <v>98</v>
      </c>
      <c r="B4" t="s">
        <v>15</v>
      </c>
      <c r="C4" t="s">
        <v>10</v>
      </c>
      <c r="D4">
        <v>1078</v>
      </c>
      <c r="E4">
        <v>1078</v>
      </c>
      <c r="F4" t="str">
        <f t="shared" si="0"/>
        <v>OK</v>
      </c>
      <c r="G4" s="3">
        <v>45920</v>
      </c>
      <c r="H4" s="3">
        <v>45920</v>
      </c>
      <c r="I4" t="str">
        <f t="shared" si="1"/>
        <v>OK</v>
      </c>
      <c r="J4">
        <f t="shared" si="2"/>
        <v>0</v>
      </c>
      <c r="K4" s="3">
        <v>45933</v>
      </c>
      <c r="L4" s="3">
        <v>45933</v>
      </c>
      <c r="M4" t="str">
        <f t="shared" si="3"/>
        <v>OK</v>
      </c>
      <c r="N4" t="s">
        <v>16</v>
      </c>
      <c r="O4" t="s">
        <v>109</v>
      </c>
    </row>
    <row r="5" spans="1:15" hidden="1" x14ac:dyDescent="0.25">
      <c r="A5" t="s">
        <v>98</v>
      </c>
      <c r="B5" t="s">
        <v>17</v>
      </c>
      <c r="C5" t="s">
        <v>10</v>
      </c>
      <c r="D5">
        <v>884</v>
      </c>
      <c r="E5">
        <v>884</v>
      </c>
      <c r="F5" t="str">
        <f t="shared" si="0"/>
        <v>OK</v>
      </c>
      <c r="G5" s="3">
        <v>45908</v>
      </c>
      <c r="H5" s="3">
        <v>45908</v>
      </c>
      <c r="I5" t="str">
        <f t="shared" si="1"/>
        <v>OK</v>
      </c>
      <c r="J5">
        <f t="shared" si="2"/>
        <v>0</v>
      </c>
      <c r="K5" s="3">
        <v>45934</v>
      </c>
      <c r="L5" s="3">
        <v>45934</v>
      </c>
      <c r="M5" t="str">
        <f t="shared" si="3"/>
        <v>OK</v>
      </c>
      <c r="N5" t="s">
        <v>18</v>
      </c>
      <c r="O5" t="s">
        <v>109</v>
      </c>
    </row>
    <row r="6" spans="1:15" hidden="1" x14ac:dyDescent="0.25">
      <c r="A6" t="s">
        <v>98</v>
      </c>
      <c r="B6" t="s">
        <v>19</v>
      </c>
      <c r="C6" t="s">
        <v>9</v>
      </c>
      <c r="D6">
        <v>8511</v>
      </c>
      <c r="E6">
        <v>8511</v>
      </c>
      <c r="F6" t="str">
        <f t="shared" si="0"/>
        <v>OK</v>
      </c>
      <c r="G6" s="3">
        <v>45744</v>
      </c>
      <c r="H6" s="3">
        <v>45744</v>
      </c>
      <c r="I6" t="str">
        <f t="shared" si="1"/>
        <v>OK</v>
      </c>
      <c r="J6">
        <f t="shared" si="2"/>
        <v>0</v>
      </c>
      <c r="K6" s="3">
        <v>45937</v>
      </c>
      <c r="L6" s="3">
        <v>45937</v>
      </c>
      <c r="M6" t="str">
        <f t="shared" si="3"/>
        <v>OK</v>
      </c>
      <c r="N6" t="s">
        <v>20</v>
      </c>
      <c r="O6" t="s">
        <v>109</v>
      </c>
    </row>
    <row r="7" spans="1:15" hidden="1" x14ac:dyDescent="0.25">
      <c r="A7" t="s">
        <v>98</v>
      </c>
      <c r="B7" t="s">
        <v>21</v>
      </c>
      <c r="C7" t="s">
        <v>7</v>
      </c>
      <c r="D7">
        <v>3117</v>
      </c>
      <c r="E7">
        <v>3117</v>
      </c>
      <c r="F7" t="str">
        <f t="shared" si="0"/>
        <v>OK</v>
      </c>
      <c r="G7" s="3">
        <v>45828</v>
      </c>
      <c r="H7" s="3">
        <v>45828</v>
      </c>
      <c r="I7" t="str">
        <f t="shared" si="1"/>
        <v>OK</v>
      </c>
      <c r="J7">
        <f t="shared" si="2"/>
        <v>0</v>
      </c>
      <c r="K7" s="3">
        <v>45937</v>
      </c>
      <c r="L7" s="3">
        <v>45937</v>
      </c>
      <c r="M7" t="str">
        <f t="shared" si="3"/>
        <v>OK</v>
      </c>
      <c r="N7" t="s">
        <v>22</v>
      </c>
      <c r="O7" t="s">
        <v>109</v>
      </c>
    </row>
    <row r="8" spans="1:15" hidden="1" x14ac:dyDescent="0.25">
      <c r="A8" t="s">
        <v>98</v>
      </c>
      <c r="B8" t="s">
        <v>23</v>
      </c>
      <c r="C8" t="s">
        <v>7</v>
      </c>
      <c r="D8">
        <v>2485</v>
      </c>
      <c r="E8">
        <v>2485</v>
      </c>
      <c r="F8" t="str">
        <f t="shared" si="0"/>
        <v>OK</v>
      </c>
      <c r="G8" s="3">
        <v>45847</v>
      </c>
      <c r="H8" s="3">
        <v>45847</v>
      </c>
      <c r="I8" t="str">
        <f t="shared" si="1"/>
        <v>OK</v>
      </c>
      <c r="J8">
        <f t="shared" si="2"/>
        <v>0</v>
      </c>
      <c r="K8" s="3">
        <v>45932</v>
      </c>
      <c r="L8" s="3">
        <v>45932</v>
      </c>
      <c r="M8" t="str">
        <f t="shared" si="3"/>
        <v>OK</v>
      </c>
      <c r="N8" t="s">
        <v>24</v>
      </c>
      <c r="O8" t="s">
        <v>109</v>
      </c>
    </row>
    <row r="9" spans="1:15" hidden="1" x14ac:dyDescent="0.25">
      <c r="A9" t="s">
        <v>98</v>
      </c>
      <c r="B9" t="s">
        <v>25</v>
      </c>
      <c r="C9" t="s">
        <v>10</v>
      </c>
      <c r="D9">
        <v>970</v>
      </c>
      <c r="E9">
        <v>970</v>
      </c>
      <c r="F9" t="str">
        <f t="shared" si="0"/>
        <v>OK</v>
      </c>
      <c r="G9" s="3">
        <v>45900</v>
      </c>
      <c r="H9" s="3">
        <v>45900</v>
      </c>
      <c r="I9" t="str">
        <f t="shared" si="1"/>
        <v>OK</v>
      </c>
      <c r="J9">
        <f t="shared" si="2"/>
        <v>0</v>
      </c>
      <c r="K9" s="3">
        <v>45931</v>
      </c>
      <c r="L9" s="3">
        <v>45931</v>
      </c>
      <c r="M9" t="str">
        <f t="shared" si="3"/>
        <v>OK</v>
      </c>
      <c r="N9" t="s">
        <v>26</v>
      </c>
      <c r="O9" t="s">
        <v>109</v>
      </c>
    </row>
    <row r="10" spans="1:15" hidden="1" x14ac:dyDescent="0.25">
      <c r="A10" t="s">
        <v>98</v>
      </c>
      <c r="B10" t="s">
        <v>27</v>
      </c>
      <c r="C10" t="s">
        <v>10</v>
      </c>
      <c r="D10">
        <v>853</v>
      </c>
      <c r="E10">
        <v>853</v>
      </c>
      <c r="F10" t="str">
        <f t="shared" si="0"/>
        <v>OK</v>
      </c>
      <c r="G10" s="3">
        <v>45901</v>
      </c>
      <c r="H10" s="3">
        <v>45901</v>
      </c>
      <c r="I10" t="str">
        <f t="shared" si="1"/>
        <v>OK</v>
      </c>
      <c r="J10">
        <f t="shared" si="2"/>
        <v>0</v>
      </c>
      <c r="K10" s="3">
        <v>45937</v>
      </c>
      <c r="L10" s="3">
        <v>45937</v>
      </c>
      <c r="M10" t="str">
        <f t="shared" si="3"/>
        <v>OK</v>
      </c>
      <c r="N10" t="s">
        <v>28</v>
      </c>
      <c r="O10" t="s">
        <v>109</v>
      </c>
    </row>
    <row r="11" spans="1:15" x14ac:dyDescent="0.25">
      <c r="A11" t="s">
        <v>98</v>
      </c>
      <c r="B11" t="s">
        <v>29</v>
      </c>
      <c r="C11" t="s">
        <v>10</v>
      </c>
      <c r="D11">
        <v>868</v>
      </c>
      <c r="E11">
        <v>868</v>
      </c>
      <c r="F11" t="str">
        <f t="shared" si="0"/>
        <v>OK</v>
      </c>
      <c r="G11" s="3">
        <v>45902</v>
      </c>
      <c r="H11" s="3">
        <v>45902</v>
      </c>
      <c r="I11" t="str">
        <f t="shared" si="1"/>
        <v>OK</v>
      </c>
      <c r="J11">
        <f t="shared" si="2"/>
        <v>0</v>
      </c>
      <c r="K11" s="3">
        <v>45934</v>
      </c>
      <c r="L11" s="3">
        <v>45934</v>
      </c>
      <c r="M11" t="str">
        <f t="shared" si="3"/>
        <v>OK</v>
      </c>
      <c r="N11" t="s">
        <v>30</v>
      </c>
      <c r="O11" t="s">
        <v>107</v>
      </c>
    </row>
    <row r="12" spans="1:15" hidden="1" x14ac:dyDescent="0.25">
      <c r="A12" t="s">
        <v>98</v>
      </c>
      <c r="B12" t="s">
        <v>31</v>
      </c>
      <c r="C12" t="s">
        <v>10</v>
      </c>
      <c r="D12">
        <v>1008</v>
      </c>
      <c r="E12">
        <v>1008</v>
      </c>
      <c r="F12" t="str">
        <f t="shared" si="0"/>
        <v>OK</v>
      </c>
      <c r="G12" s="3">
        <v>45913</v>
      </c>
      <c r="H12" s="3">
        <v>45913</v>
      </c>
      <c r="I12" t="str">
        <f t="shared" si="1"/>
        <v>OK</v>
      </c>
      <c r="J12">
        <f t="shared" si="2"/>
        <v>0</v>
      </c>
      <c r="K12" s="3">
        <v>45933</v>
      </c>
      <c r="L12" s="3">
        <v>45933</v>
      </c>
      <c r="M12" t="str">
        <f t="shared" si="3"/>
        <v>OK</v>
      </c>
      <c r="N12" t="s">
        <v>32</v>
      </c>
      <c r="O12" t="s">
        <v>109</v>
      </c>
    </row>
    <row r="13" spans="1:15" hidden="1" x14ac:dyDescent="0.25">
      <c r="A13" t="s">
        <v>98</v>
      </c>
      <c r="B13" t="s">
        <v>33</v>
      </c>
      <c r="C13" t="s">
        <v>8</v>
      </c>
      <c r="D13">
        <v>7118</v>
      </c>
      <c r="E13">
        <v>7118</v>
      </c>
      <c r="F13" t="str">
        <f t="shared" si="0"/>
        <v>OK</v>
      </c>
      <c r="G13" s="3">
        <v>45757</v>
      </c>
      <c r="H13" s="3">
        <v>45757</v>
      </c>
      <c r="I13" t="str">
        <f t="shared" si="1"/>
        <v>OK</v>
      </c>
      <c r="J13">
        <f t="shared" si="2"/>
        <v>0</v>
      </c>
      <c r="K13" s="3">
        <v>45933</v>
      </c>
      <c r="L13" s="3">
        <v>45933</v>
      </c>
      <c r="M13" t="str">
        <f t="shared" si="3"/>
        <v>OK</v>
      </c>
      <c r="N13" t="s">
        <v>34</v>
      </c>
      <c r="O13" t="s">
        <v>109</v>
      </c>
    </row>
    <row r="14" spans="1:15" hidden="1" x14ac:dyDescent="0.25">
      <c r="A14" t="s">
        <v>98</v>
      </c>
      <c r="B14" t="s">
        <v>37</v>
      </c>
      <c r="C14" t="s">
        <v>10</v>
      </c>
      <c r="D14">
        <v>1082</v>
      </c>
      <c r="E14">
        <v>1082</v>
      </c>
      <c r="F14" t="str">
        <f t="shared" si="0"/>
        <v>OK</v>
      </c>
      <c r="G14" s="3">
        <v>45881</v>
      </c>
      <c r="H14" s="3">
        <v>45881</v>
      </c>
      <c r="I14" t="str">
        <f t="shared" si="1"/>
        <v>OK</v>
      </c>
      <c r="J14">
        <f t="shared" si="2"/>
        <v>0</v>
      </c>
      <c r="K14" s="3">
        <v>45933</v>
      </c>
      <c r="L14" s="3">
        <v>45933</v>
      </c>
      <c r="M14" t="str">
        <f t="shared" si="3"/>
        <v>OK</v>
      </c>
      <c r="N14" t="s">
        <v>38</v>
      </c>
      <c r="O14" t="s">
        <v>109</v>
      </c>
    </row>
    <row r="15" spans="1:15" hidden="1" x14ac:dyDescent="0.25">
      <c r="A15" t="s">
        <v>98</v>
      </c>
      <c r="B15" t="s">
        <v>39</v>
      </c>
      <c r="C15" t="s">
        <v>10</v>
      </c>
      <c r="D15">
        <v>900</v>
      </c>
      <c r="E15">
        <v>900</v>
      </c>
      <c r="F15" t="str">
        <f t="shared" si="0"/>
        <v>OK</v>
      </c>
      <c r="G15" s="3">
        <v>45897</v>
      </c>
      <c r="H15" s="3">
        <v>45897</v>
      </c>
      <c r="I15" t="str">
        <f t="shared" si="1"/>
        <v>OK</v>
      </c>
      <c r="J15">
        <f t="shared" si="2"/>
        <v>0</v>
      </c>
      <c r="K15" s="3">
        <v>45936</v>
      </c>
      <c r="L15" s="3">
        <v>45936</v>
      </c>
      <c r="M15" t="str">
        <f t="shared" si="3"/>
        <v>OK</v>
      </c>
      <c r="N15" t="s">
        <v>40</v>
      </c>
      <c r="O15" t="s">
        <v>109</v>
      </c>
    </row>
    <row r="16" spans="1:15" hidden="1" x14ac:dyDescent="0.25">
      <c r="A16" t="s">
        <v>98</v>
      </c>
      <c r="B16" t="s">
        <v>41</v>
      </c>
      <c r="C16" t="s">
        <v>10</v>
      </c>
      <c r="D16">
        <v>526</v>
      </c>
      <c r="E16">
        <v>526</v>
      </c>
      <c r="F16" t="str">
        <f t="shared" si="0"/>
        <v>OK</v>
      </c>
      <c r="G16" s="3">
        <v>45884</v>
      </c>
      <c r="H16" s="3">
        <v>45884</v>
      </c>
      <c r="I16" t="str">
        <f t="shared" si="1"/>
        <v>OK</v>
      </c>
      <c r="J16">
        <f t="shared" si="2"/>
        <v>0</v>
      </c>
      <c r="K16" s="3">
        <v>45936</v>
      </c>
      <c r="L16" s="3">
        <v>45936</v>
      </c>
      <c r="M16" t="str">
        <f t="shared" si="3"/>
        <v>OK</v>
      </c>
      <c r="N16" t="s">
        <v>42</v>
      </c>
      <c r="O16" t="s">
        <v>109</v>
      </c>
    </row>
    <row r="17" spans="1:15" hidden="1" x14ac:dyDescent="0.25">
      <c r="A17" t="s">
        <v>98</v>
      </c>
      <c r="B17" t="s">
        <v>43</v>
      </c>
      <c r="C17" t="s">
        <v>10</v>
      </c>
      <c r="D17">
        <v>1130</v>
      </c>
      <c r="E17">
        <v>1130</v>
      </c>
      <c r="F17" t="str">
        <f t="shared" si="0"/>
        <v>OK</v>
      </c>
      <c r="G17" s="3">
        <v>45917</v>
      </c>
      <c r="H17" s="3">
        <v>45917</v>
      </c>
      <c r="I17" t="str">
        <f t="shared" si="1"/>
        <v>OK</v>
      </c>
      <c r="J17">
        <f t="shared" si="2"/>
        <v>0</v>
      </c>
      <c r="K17" s="3">
        <v>45933</v>
      </c>
      <c r="L17" s="3">
        <v>45933</v>
      </c>
      <c r="M17" t="str">
        <f t="shared" si="3"/>
        <v>OK</v>
      </c>
      <c r="N17" t="s">
        <v>44</v>
      </c>
      <c r="O17" t="s">
        <v>109</v>
      </c>
    </row>
    <row r="18" spans="1:15" hidden="1" x14ac:dyDescent="0.25">
      <c r="A18" t="s">
        <v>98</v>
      </c>
      <c r="B18" t="s">
        <v>45</v>
      </c>
      <c r="C18" t="s">
        <v>10</v>
      </c>
      <c r="D18">
        <v>1106</v>
      </c>
      <c r="E18">
        <v>1106</v>
      </c>
      <c r="F18" t="str">
        <f t="shared" si="0"/>
        <v>OK</v>
      </c>
      <c r="G18" s="3">
        <v>45875</v>
      </c>
      <c r="H18" s="3">
        <v>45875</v>
      </c>
      <c r="I18" t="str">
        <f t="shared" si="1"/>
        <v>OK</v>
      </c>
      <c r="J18">
        <f t="shared" si="2"/>
        <v>0</v>
      </c>
      <c r="K18" s="3">
        <v>45936</v>
      </c>
      <c r="L18" s="3">
        <v>45936</v>
      </c>
      <c r="M18" t="str">
        <f t="shared" si="3"/>
        <v>OK</v>
      </c>
      <c r="N18" t="s">
        <v>46</v>
      </c>
      <c r="O18" t="s">
        <v>109</v>
      </c>
    </row>
    <row r="19" spans="1:15" hidden="1" x14ac:dyDescent="0.25">
      <c r="A19" t="s">
        <v>98</v>
      </c>
      <c r="B19" t="s">
        <v>47</v>
      </c>
      <c r="C19" t="s">
        <v>8</v>
      </c>
      <c r="D19">
        <v>6663</v>
      </c>
      <c r="E19">
        <v>6663</v>
      </c>
      <c r="F19" t="str">
        <f t="shared" si="0"/>
        <v>OK</v>
      </c>
      <c r="G19" s="3">
        <v>45695</v>
      </c>
      <c r="H19" s="3">
        <v>45695</v>
      </c>
      <c r="I19" t="str">
        <f t="shared" si="1"/>
        <v>OK</v>
      </c>
      <c r="J19">
        <f t="shared" si="2"/>
        <v>0</v>
      </c>
      <c r="K19" s="3">
        <v>45932</v>
      </c>
      <c r="L19" s="3">
        <v>45932</v>
      </c>
      <c r="M19" t="str">
        <f t="shared" si="3"/>
        <v>OK</v>
      </c>
      <c r="N19" t="s">
        <v>48</v>
      </c>
      <c r="O19" t="s">
        <v>109</v>
      </c>
    </row>
    <row r="20" spans="1:15" hidden="1" x14ac:dyDescent="0.25">
      <c r="A20" t="s">
        <v>98</v>
      </c>
      <c r="B20" t="s">
        <v>49</v>
      </c>
      <c r="C20" t="s">
        <v>10</v>
      </c>
      <c r="D20">
        <v>1047</v>
      </c>
      <c r="E20">
        <v>1047</v>
      </c>
      <c r="F20" t="str">
        <f t="shared" si="0"/>
        <v>OK</v>
      </c>
      <c r="G20" s="3">
        <v>45877</v>
      </c>
      <c r="H20" s="3">
        <v>45877</v>
      </c>
      <c r="I20" t="str">
        <f t="shared" si="1"/>
        <v>OK</v>
      </c>
      <c r="J20">
        <f t="shared" si="2"/>
        <v>0</v>
      </c>
      <c r="K20" s="3">
        <v>45937</v>
      </c>
      <c r="L20" s="3">
        <v>45937</v>
      </c>
      <c r="M20" t="str">
        <f t="shared" si="3"/>
        <v>OK</v>
      </c>
      <c r="N20" t="s">
        <v>50</v>
      </c>
      <c r="O20" t="s">
        <v>109</v>
      </c>
    </row>
    <row r="21" spans="1:15" hidden="1" x14ac:dyDescent="0.25">
      <c r="A21" t="s">
        <v>98</v>
      </c>
      <c r="B21" t="s">
        <v>51</v>
      </c>
      <c r="C21" t="s">
        <v>10</v>
      </c>
      <c r="D21">
        <v>699</v>
      </c>
      <c r="E21">
        <v>699</v>
      </c>
      <c r="F21" t="str">
        <f t="shared" si="0"/>
        <v>OK</v>
      </c>
      <c r="G21" s="3">
        <v>45912</v>
      </c>
      <c r="H21" s="3">
        <v>45912</v>
      </c>
      <c r="I21" t="str">
        <f t="shared" si="1"/>
        <v>OK</v>
      </c>
      <c r="J21">
        <f t="shared" si="2"/>
        <v>0</v>
      </c>
      <c r="K21" s="3">
        <v>45931</v>
      </c>
      <c r="L21" s="3">
        <v>45931</v>
      </c>
      <c r="M21" t="str">
        <f t="shared" si="3"/>
        <v>OK</v>
      </c>
      <c r="N21" t="s">
        <v>52</v>
      </c>
      <c r="O21" t="s">
        <v>109</v>
      </c>
    </row>
    <row r="22" spans="1:15" hidden="1" x14ac:dyDescent="0.25">
      <c r="A22" t="s">
        <v>98</v>
      </c>
      <c r="B22" t="s">
        <v>55</v>
      </c>
      <c r="C22" t="s">
        <v>10</v>
      </c>
      <c r="D22">
        <v>421</v>
      </c>
      <c r="E22">
        <v>421</v>
      </c>
      <c r="F22" t="str">
        <f t="shared" si="0"/>
        <v>OK</v>
      </c>
      <c r="G22" s="3">
        <v>45883</v>
      </c>
      <c r="H22" s="3">
        <v>45883</v>
      </c>
      <c r="I22" t="str">
        <f t="shared" si="1"/>
        <v>OK</v>
      </c>
      <c r="J22">
        <f t="shared" si="2"/>
        <v>0</v>
      </c>
      <c r="K22" s="3">
        <v>45937</v>
      </c>
      <c r="L22" s="3">
        <v>45937</v>
      </c>
      <c r="M22" t="str">
        <f t="shared" si="3"/>
        <v>OK</v>
      </c>
      <c r="N22" t="s">
        <v>56</v>
      </c>
      <c r="O22" t="s">
        <v>109</v>
      </c>
    </row>
    <row r="23" spans="1:15" hidden="1" x14ac:dyDescent="0.25">
      <c r="A23" t="s">
        <v>98</v>
      </c>
      <c r="B23" t="s">
        <v>57</v>
      </c>
      <c r="C23" t="s">
        <v>10</v>
      </c>
      <c r="D23">
        <v>932</v>
      </c>
      <c r="E23">
        <v>932</v>
      </c>
      <c r="F23" t="str">
        <f t="shared" si="0"/>
        <v>OK</v>
      </c>
      <c r="G23" s="3">
        <v>45888</v>
      </c>
      <c r="H23" s="3">
        <v>45888</v>
      </c>
      <c r="I23" t="str">
        <f t="shared" si="1"/>
        <v>OK</v>
      </c>
      <c r="J23">
        <f t="shared" si="2"/>
        <v>0</v>
      </c>
      <c r="K23" s="3">
        <v>45932</v>
      </c>
      <c r="L23" s="3">
        <v>45932</v>
      </c>
      <c r="M23" t="str">
        <f t="shared" si="3"/>
        <v>OK</v>
      </c>
      <c r="N23" t="s">
        <v>58</v>
      </c>
      <c r="O23" t="s">
        <v>109</v>
      </c>
    </row>
    <row r="24" spans="1:15" hidden="1" x14ac:dyDescent="0.25">
      <c r="A24" t="s">
        <v>98</v>
      </c>
      <c r="B24" t="s">
        <v>59</v>
      </c>
      <c r="C24" t="s">
        <v>8</v>
      </c>
      <c r="D24">
        <v>4230</v>
      </c>
      <c r="E24">
        <v>4230</v>
      </c>
      <c r="F24" t="str">
        <f t="shared" si="0"/>
        <v>OK</v>
      </c>
      <c r="G24" s="3">
        <v>45784</v>
      </c>
      <c r="H24" s="3">
        <v>45784</v>
      </c>
      <c r="I24" t="str">
        <f t="shared" si="1"/>
        <v>OK</v>
      </c>
      <c r="J24">
        <f t="shared" si="2"/>
        <v>0</v>
      </c>
      <c r="K24" s="3">
        <v>45936</v>
      </c>
      <c r="L24" s="3">
        <v>45936</v>
      </c>
      <c r="M24" t="str">
        <f t="shared" si="3"/>
        <v>OK</v>
      </c>
      <c r="N24" t="s">
        <v>60</v>
      </c>
      <c r="O24" t="s">
        <v>109</v>
      </c>
    </row>
    <row r="25" spans="1:15" hidden="1" x14ac:dyDescent="0.25">
      <c r="A25" t="s">
        <v>98</v>
      </c>
      <c r="B25" t="s">
        <v>61</v>
      </c>
      <c r="C25" t="s">
        <v>10</v>
      </c>
      <c r="D25">
        <v>717</v>
      </c>
      <c r="E25">
        <v>717</v>
      </c>
      <c r="F25" t="str">
        <f t="shared" si="0"/>
        <v>OK</v>
      </c>
      <c r="G25" s="3">
        <v>45906</v>
      </c>
      <c r="H25" s="3">
        <v>45906</v>
      </c>
      <c r="I25" t="str">
        <f t="shared" si="1"/>
        <v>OK</v>
      </c>
      <c r="J25">
        <f t="shared" si="2"/>
        <v>0</v>
      </c>
      <c r="K25" s="3">
        <v>45931</v>
      </c>
      <c r="L25" s="3">
        <v>45931</v>
      </c>
      <c r="M25" t="str">
        <f t="shared" si="3"/>
        <v>OK</v>
      </c>
      <c r="N25" t="s">
        <v>62</v>
      </c>
      <c r="O25" t="s">
        <v>109</v>
      </c>
    </row>
    <row r="26" spans="1:15" hidden="1" x14ac:dyDescent="0.25">
      <c r="A26" t="s">
        <v>98</v>
      </c>
      <c r="B26" t="s">
        <v>63</v>
      </c>
      <c r="C26" t="s">
        <v>10</v>
      </c>
      <c r="D26">
        <v>948</v>
      </c>
      <c r="E26">
        <v>948</v>
      </c>
      <c r="F26" t="str">
        <f t="shared" si="0"/>
        <v>OK</v>
      </c>
      <c r="G26" s="3">
        <v>45918</v>
      </c>
      <c r="H26" s="3">
        <v>45918</v>
      </c>
      <c r="I26" t="str">
        <f t="shared" si="1"/>
        <v>OK</v>
      </c>
      <c r="J26">
        <f t="shared" si="2"/>
        <v>0</v>
      </c>
      <c r="K26" s="3">
        <v>45937</v>
      </c>
      <c r="L26" s="3">
        <v>45937</v>
      </c>
      <c r="M26" t="str">
        <f t="shared" si="3"/>
        <v>OK</v>
      </c>
      <c r="N26" t="s">
        <v>64</v>
      </c>
      <c r="O26" t="s">
        <v>109</v>
      </c>
    </row>
    <row r="27" spans="1:15" hidden="1" x14ac:dyDescent="0.25">
      <c r="A27" t="s">
        <v>98</v>
      </c>
      <c r="B27" t="s">
        <v>65</v>
      </c>
      <c r="C27" t="s">
        <v>8</v>
      </c>
      <c r="D27">
        <v>3008</v>
      </c>
      <c r="E27">
        <v>3008</v>
      </c>
      <c r="F27" t="str">
        <f t="shared" si="0"/>
        <v>OK</v>
      </c>
      <c r="G27" s="3">
        <v>45841</v>
      </c>
      <c r="H27" s="3">
        <v>45841</v>
      </c>
      <c r="I27" t="str">
        <f t="shared" si="1"/>
        <v>OK</v>
      </c>
      <c r="J27">
        <f t="shared" si="2"/>
        <v>0</v>
      </c>
      <c r="K27" s="3">
        <v>45937</v>
      </c>
      <c r="L27" s="3">
        <v>45937</v>
      </c>
      <c r="M27" t="str">
        <f t="shared" si="3"/>
        <v>OK</v>
      </c>
      <c r="N27" t="s">
        <v>66</v>
      </c>
      <c r="O27" t="s">
        <v>109</v>
      </c>
    </row>
    <row r="28" spans="1:15" hidden="1" x14ac:dyDescent="0.25">
      <c r="A28" t="s">
        <v>98</v>
      </c>
      <c r="B28" t="s">
        <v>67</v>
      </c>
      <c r="C28" t="s">
        <v>7</v>
      </c>
      <c r="D28">
        <v>2279</v>
      </c>
      <c r="E28">
        <v>2279</v>
      </c>
      <c r="F28" t="str">
        <f t="shared" si="0"/>
        <v>OK</v>
      </c>
      <c r="G28" s="3">
        <v>45817</v>
      </c>
      <c r="H28" s="3">
        <v>45817</v>
      </c>
      <c r="I28" t="str">
        <f t="shared" si="1"/>
        <v>OK</v>
      </c>
      <c r="J28">
        <f t="shared" si="2"/>
        <v>0</v>
      </c>
      <c r="K28" s="3">
        <v>45933</v>
      </c>
      <c r="L28" s="3">
        <v>45933</v>
      </c>
      <c r="M28" t="str">
        <f t="shared" si="3"/>
        <v>OK</v>
      </c>
      <c r="N28" t="s">
        <v>68</v>
      </c>
      <c r="O28" t="s">
        <v>109</v>
      </c>
    </row>
    <row r="29" spans="1:15" x14ac:dyDescent="0.25">
      <c r="A29" t="s">
        <v>98</v>
      </c>
      <c r="B29" t="s">
        <v>69</v>
      </c>
      <c r="C29" t="s">
        <v>10</v>
      </c>
      <c r="D29">
        <v>1250</v>
      </c>
      <c r="E29">
        <v>1250</v>
      </c>
      <c r="F29" t="str">
        <f t="shared" si="0"/>
        <v>OK</v>
      </c>
      <c r="G29" s="3">
        <v>45880</v>
      </c>
      <c r="H29" s="3">
        <v>45880</v>
      </c>
      <c r="I29" t="str">
        <f t="shared" si="1"/>
        <v>OK</v>
      </c>
      <c r="J29">
        <f t="shared" si="2"/>
        <v>0</v>
      </c>
      <c r="K29" s="3">
        <v>45931</v>
      </c>
      <c r="L29" s="3">
        <v>45931</v>
      </c>
      <c r="M29" t="str">
        <f t="shared" si="3"/>
        <v>OK</v>
      </c>
      <c r="N29" t="s">
        <v>70</v>
      </c>
      <c r="O29" t="s">
        <v>107</v>
      </c>
    </row>
    <row r="30" spans="1:15" x14ac:dyDescent="0.25">
      <c r="A30" t="s">
        <v>98</v>
      </c>
      <c r="B30" t="s">
        <v>71</v>
      </c>
      <c r="C30" t="s">
        <v>7</v>
      </c>
      <c r="D30">
        <v>2397</v>
      </c>
      <c r="E30">
        <v>2397</v>
      </c>
      <c r="F30" t="str">
        <f t="shared" si="0"/>
        <v>OK</v>
      </c>
      <c r="G30" s="3">
        <v>45877</v>
      </c>
      <c r="H30" s="3">
        <v>45877</v>
      </c>
      <c r="I30" t="str">
        <f t="shared" si="1"/>
        <v>OK</v>
      </c>
      <c r="J30">
        <f t="shared" si="2"/>
        <v>0</v>
      </c>
      <c r="K30" s="3">
        <v>45938</v>
      </c>
      <c r="L30" s="3">
        <v>45938</v>
      </c>
      <c r="M30" t="str">
        <f t="shared" si="3"/>
        <v>OK</v>
      </c>
      <c r="N30" t="s">
        <v>72</v>
      </c>
      <c r="O30" t="s">
        <v>108</v>
      </c>
    </row>
    <row r="31" spans="1:15" hidden="1" x14ac:dyDescent="0.25">
      <c r="A31" t="s">
        <v>98</v>
      </c>
      <c r="B31" t="s">
        <v>73</v>
      </c>
      <c r="C31" t="s">
        <v>10</v>
      </c>
      <c r="D31">
        <v>540</v>
      </c>
      <c r="E31">
        <v>540</v>
      </c>
      <c r="F31" t="str">
        <f t="shared" si="0"/>
        <v>OK</v>
      </c>
      <c r="G31" s="3">
        <v>45880</v>
      </c>
      <c r="H31" s="3">
        <v>45880</v>
      </c>
      <c r="I31" t="str">
        <f t="shared" si="1"/>
        <v>OK</v>
      </c>
      <c r="J31">
        <f t="shared" si="2"/>
        <v>0</v>
      </c>
      <c r="K31" s="3">
        <v>45936</v>
      </c>
      <c r="L31" s="3">
        <v>45936</v>
      </c>
      <c r="M31" t="str">
        <f t="shared" si="3"/>
        <v>OK</v>
      </c>
      <c r="N31" t="s">
        <v>74</v>
      </c>
      <c r="O31" t="s">
        <v>109</v>
      </c>
    </row>
    <row r="32" spans="1:15" x14ac:dyDescent="0.25">
      <c r="A32" t="s">
        <v>98</v>
      </c>
      <c r="B32" t="s">
        <v>75</v>
      </c>
      <c r="C32" t="s">
        <v>10</v>
      </c>
      <c r="D32">
        <v>1218</v>
      </c>
      <c r="E32">
        <v>1218</v>
      </c>
      <c r="F32" t="str">
        <f t="shared" si="0"/>
        <v>OK</v>
      </c>
      <c r="G32" s="3">
        <v>45876</v>
      </c>
      <c r="H32" s="3">
        <v>45876</v>
      </c>
      <c r="I32" t="str">
        <f t="shared" si="1"/>
        <v>OK</v>
      </c>
      <c r="J32">
        <f t="shared" si="2"/>
        <v>0</v>
      </c>
      <c r="K32" s="3">
        <v>45932</v>
      </c>
      <c r="L32" s="3">
        <v>45932</v>
      </c>
      <c r="M32" t="str">
        <f t="shared" si="3"/>
        <v>OK</v>
      </c>
      <c r="N32" t="s">
        <v>76</v>
      </c>
      <c r="O32" t="s">
        <v>108</v>
      </c>
    </row>
    <row r="33" spans="1:15" hidden="1" x14ac:dyDescent="0.25">
      <c r="A33" t="s">
        <v>98</v>
      </c>
      <c r="B33" t="s">
        <v>77</v>
      </c>
      <c r="C33" t="s">
        <v>8</v>
      </c>
      <c r="D33">
        <v>3968</v>
      </c>
      <c r="E33">
        <v>3968</v>
      </c>
      <c r="F33" t="str">
        <f t="shared" si="0"/>
        <v>OK</v>
      </c>
      <c r="G33" s="3">
        <v>45861</v>
      </c>
      <c r="H33" s="3">
        <v>45861</v>
      </c>
      <c r="I33" t="str">
        <f t="shared" si="1"/>
        <v>OK</v>
      </c>
      <c r="J33">
        <f t="shared" si="2"/>
        <v>0</v>
      </c>
      <c r="K33" s="3">
        <v>45936</v>
      </c>
      <c r="L33" s="3">
        <v>45936</v>
      </c>
      <c r="M33" t="str">
        <f t="shared" si="3"/>
        <v>OK</v>
      </c>
      <c r="N33" t="s">
        <v>78</v>
      </c>
      <c r="O33" t="s">
        <v>109</v>
      </c>
    </row>
    <row r="34" spans="1:15" hidden="1" x14ac:dyDescent="0.25">
      <c r="A34" t="s">
        <v>98</v>
      </c>
      <c r="B34" t="s">
        <v>79</v>
      </c>
      <c r="C34" t="s">
        <v>10</v>
      </c>
      <c r="D34">
        <v>51</v>
      </c>
      <c r="E34">
        <v>51</v>
      </c>
      <c r="F34" t="str">
        <f t="shared" si="0"/>
        <v>OK</v>
      </c>
      <c r="G34" s="3">
        <v>45888</v>
      </c>
      <c r="H34" s="3">
        <v>45888</v>
      </c>
      <c r="I34" t="str">
        <f t="shared" si="1"/>
        <v>OK</v>
      </c>
      <c r="J34">
        <f t="shared" si="2"/>
        <v>0</v>
      </c>
      <c r="K34" s="3">
        <v>45938</v>
      </c>
      <c r="L34" s="3">
        <v>45938</v>
      </c>
      <c r="M34" t="str">
        <f t="shared" si="3"/>
        <v>OK</v>
      </c>
      <c r="N34" t="s">
        <v>80</v>
      </c>
      <c r="O34" t="s">
        <v>109</v>
      </c>
    </row>
    <row r="35" spans="1:15" hidden="1" x14ac:dyDescent="0.25">
      <c r="A35" t="s">
        <v>98</v>
      </c>
      <c r="B35" t="s">
        <v>81</v>
      </c>
      <c r="C35" t="s">
        <v>10</v>
      </c>
      <c r="D35">
        <v>727</v>
      </c>
      <c r="E35">
        <v>727</v>
      </c>
      <c r="F35" t="str">
        <f t="shared" si="0"/>
        <v>OK</v>
      </c>
      <c r="G35" s="3">
        <v>45892</v>
      </c>
      <c r="H35" s="3">
        <v>45892</v>
      </c>
      <c r="I35" t="str">
        <f t="shared" si="1"/>
        <v>OK</v>
      </c>
      <c r="J35">
        <f t="shared" si="2"/>
        <v>0</v>
      </c>
      <c r="K35" s="3">
        <v>45940</v>
      </c>
      <c r="L35" s="3">
        <v>45940</v>
      </c>
      <c r="M35" t="str">
        <f t="shared" si="3"/>
        <v>OK</v>
      </c>
      <c r="N35" t="s">
        <v>82</v>
      </c>
      <c r="O35" t="s">
        <v>109</v>
      </c>
    </row>
    <row r="36" spans="1:15" x14ac:dyDescent="0.25">
      <c r="A36" t="s">
        <v>98</v>
      </c>
      <c r="B36" t="s">
        <v>53</v>
      </c>
      <c r="C36" t="s">
        <v>8</v>
      </c>
      <c r="D36">
        <v>3554</v>
      </c>
      <c r="E36">
        <v>3554</v>
      </c>
      <c r="F36" t="str">
        <f t="shared" si="0"/>
        <v>OK</v>
      </c>
      <c r="G36" s="3">
        <v>45723</v>
      </c>
      <c r="H36" s="3">
        <v>45723</v>
      </c>
      <c r="I36" t="str">
        <f t="shared" si="1"/>
        <v>OK</v>
      </c>
      <c r="J36">
        <f t="shared" si="2"/>
        <v>0</v>
      </c>
      <c r="K36" s="3">
        <v>45932</v>
      </c>
      <c r="L36" s="3">
        <v>45932</v>
      </c>
      <c r="M36" t="str">
        <f t="shared" si="3"/>
        <v>OK</v>
      </c>
      <c r="N36" t="s">
        <v>54</v>
      </c>
      <c r="O36" t="s">
        <v>106</v>
      </c>
    </row>
    <row r="37" spans="1:15" hidden="1" x14ac:dyDescent="0.25">
      <c r="A37" t="s">
        <v>98</v>
      </c>
      <c r="B37" t="s">
        <v>83</v>
      </c>
      <c r="C37" t="s">
        <v>7</v>
      </c>
      <c r="D37">
        <v>6026</v>
      </c>
      <c r="E37">
        <v>6026</v>
      </c>
      <c r="F37" t="str">
        <f t="shared" si="0"/>
        <v>OK</v>
      </c>
      <c r="G37" s="3">
        <v>45792</v>
      </c>
      <c r="H37" s="3">
        <v>45792</v>
      </c>
      <c r="I37" t="str">
        <f t="shared" si="1"/>
        <v>OK</v>
      </c>
      <c r="J37">
        <f t="shared" si="2"/>
        <v>0</v>
      </c>
      <c r="K37" s="3">
        <v>45931</v>
      </c>
      <c r="L37" s="3">
        <v>45931</v>
      </c>
      <c r="M37" t="str">
        <f t="shared" si="3"/>
        <v>OK</v>
      </c>
      <c r="N37" t="s">
        <v>84</v>
      </c>
      <c r="O37" t="s">
        <v>109</v>
      </c>
    </row>
    <row r="38" spans="1:15" hidden="1" x14ac:dyDescent="0.25">
      <c r="A38" t="s">
        <v>98</v>
      </c>
      <c r="B38" t="s">
        <v>85</v>
      </c>
      <c r="C38" t="s">
        <v>10</v>
      </c>
      <c r="D38">
        <v>425</v>
      </c>
      <c r="E38">
        <v>425</v>
      </c>
      <c r="F38" t="str">
        <f t="shared" si="0"/>
        <v>OK</v>
      </c>
      <c r="G38" s="3">
        <v>45882</v>
      </c>
      <c r="H38" s="3">
        <v>45882</v>
      </c>
      <c r="I38" t="str">
        <f t="shared" si="1"/>
        <v>OK</v>
      </c>
      <c r="J38">
        <f t="shared" si="2"/>
        <v>0</v>
      </c>
      <c r="K38" s="3">
        <v>45937</v>
      </c>
      <c r="L38" s="3">
        <v>45937</v>
      </c>
      <c r="M38" t="str">
        <f t="shared" si="3"/>
        <v>OK</v>
      </c>
      <c r="N38" t="s">
        <v>86</v>
      </c>
      <c r="O38" t="s">
        <v>109</v>
      </c>
    </row>
    <row r="39" spans="1:15" x14ac:dyDescent="0.25">
      <c r="A39" t="s">
        <v>98</v>
      </c>
      <c r="B39" t="s">
        <v>35</v>
      </c>
      <c r="C39" t="s">
        <v>8</v>
      </c>
      <c r="D39">
        <v>5017</v>
      </c>
      <c r="E39">
        <v>5017</v>
      </c>
      <c r="F39" t="str">
        <f t="shared" si="0"/>
        <v>OK</v>
      </c>
      <c r="G39" s="3">
        <v>45822</v>
      </c>
      <c r="H39" s="3">
        <v>45822</v>
      </c>
      <c r="I39" t="str">
        <f t="shared" si="1"/>
        <v>OK</v>
      </c>
      <c r="J39">
        <f t="shared" si="2"/>
        <v>0</v>
      </c>
      <c r="K39" s="3">
        <v>45933</v>
      </c>
      <c r="L39" s="3">
        <v>45933</v>
      </c>
      <c r="M39" t="str">
        <f t="shared" si="3"/>
        <v>OK</v>
      </c>
      <c r="N39" t="s">
        <v>36</v>
      </c>
      <c r="O39" t="s">
        <v>106</v>
      </c>
    </row>
    <row r="40" spans="1:15" hidden="1" x14ac:dyDescent="0.25">
      <c r="A40" t="s">
        <v>98</v>
      </c>
      <c r="B40" t="s">
        <v>87</v>
      </c>
      <c r="C40" t="s">
        <v>10</v>
      </c>
      <c r="D40">
        <v>426</v>
      </c>
      <c r="E40">
        <v>426</v>
      </c>
      <c r="F40" t="str">
        <f t="shared" si="0"/>
        <v>OK</v>
      </c>
      <c r="G40" s="3">
        <v>45894</v>
      </c>
      <c r="H40" s="3">
        <v>45894</v>
      </c>
      <c r="I40" t="str">
        <f t="shared" si="1"/>
        <v>OK</v>
      </c>
      <c r="J40">
        <f t="shared" si="2"/>
        <v>0</v>
      </c>
      <c r="K40" s="3">
        <v>45934</v>
      </c>
      <c r="L40" s="3">
        <v>45934</v>
      </c>
      <c r="M40" t="str">
        <f t="shared" si="3"/>
        <v>OK</v>
      </c>
      <c r="N40" t="s">
        <v>88</v>
      </c>
      <c r="O40" t="s">
        <v>109</v>
      </c>
    </row>
    <row r="41" spans="1:15" hidden="1" x14ac:dyDescent="0.25">
      <c r="A41" t="s">
        <v>98</v>
      </c>
      <c r="B41" t="s">
        <v>89</v>
      </c>
      <c r="C41" t="s">
        <v>10</v>
      </c>
      <c r="D41">
        <v>962</v>
      </c>
      <c r="E41">
        <v>962</v>
      </c>
      <c r="F41" t="str">
        <f t="shared" si="0"/>
        <v>OK</v>
      </c>
      <c r="G41" s="3">
        <v>45908</v>
      </c>
      <c r="H41" s="3">
        <v>45908</v>
      </c>
      <c r="I41" t="str">
        <f t="shared" si="1"/>
        <v>OK</v>
      </c>
      <c r="J41">
        <f t="shared" si="2"/>
        <v>0</v>
      </c>
      <c r="K41" s="3">
        <v>45936</v>
      </c>
      <c r="L41" s="3">
        <v>45936</v>
      </c>
      <c r="M41" t="str">
        <f t="shared" si="3"/>
        <v>OK</v>
      </c>
      <c r="N41" t="s">
        <v>90</v>
      </c>
      <c r="O41" t="s">
        <v>109</v>
      </c>
    </row>
    <row r="42" spans="1:15" hidden="1" x14ac:dyDescent="0.25">
      <c r="A42" t="s">
        <v>98</v>
      </c>
      <c r="B42" t="s">
        <v>91</v>
      </c>
      <c r="C42" t="s">
        <v>10</v>
      </c>
      <c r="D42">
        <v>666</v>
      </c>
      <c r="E42">
        <v>666</v>
      </c>
      <c r="F42" t="str">
        <f t="shared" si="0"/>
        <v>OK</v>
      </c>
      <c r="G42" s="3">
        <v>45906</v>
      </c>
      <c r="H42" s="3">
        <v>45906</v>
      </c>
      <c r="I42" t="str">
        <f t="shared" si="1"/>
        <v>OK</v>
      </c>
      <c r="J42">
        <f t="shared" si="2"/>
        <v>0</v>
      </c>
      <c r="K42" s="3">
        <v>45938</v>
      </c>
      <c r="L42" s="3">
        <v>45938</v>
      </c>
      <c r="M42" t="str">
        <f t="shared" si="3"/>
        <v>OK</v>
      </c>
      <c r="N42" t="s">
        <v>92</v>
      </c>
      <c r="O42" t="s">
        <v>109</v>
      </c>
    </row>
    <row r="43" spans="1:15" hidden="1" x14ac:dyDescent="0.25">
      <c r="A43" t="s">
        <v>98</v>
      </c>
      <c r="B43" t="s">
        <v>93</v>
      </c>
      <c r="C43" t="s">
        <v>10</v>
      </c>
      <c r="D43">
        <v>1041</v>
      </c>
      <c r="E43">
        <v>1041</v>
      </c>
      <c r="F43" t="str">
        <f t="shared" si="0"/>
        <v>OK</v>
      </c>
      <c r="G43" s="3">
        <v>45920</v>
      </c>
      <c r="H43" s="3">
        <v>45920</v>
      </c>
      <c r="I43" t="str">
        <f t="shared" si="1"/>
        <v>OK</v>
      </c>
      <c r="J43">
        <f t="shared" si="2"/>
        <v>0</v>
      </c>
      <c r="K43" s="3">
        <v>45937</v>
      </c>
      <c r="L43" s="3">
        <v>45937</v>
      </c>
      <c r="M43" t="str">
        <f t="shared" si="3"/>
        <v>OK</v>
      </c>
      <c r="N43" t="s">
        <v>94</v>
      </c>
      <c r="O43" t="s">
        <v>109</v>
      </c>
    </row>
    <row r="44" spans="1:15" hidden="1" x14ac:dyDescent="0.25">
      <c r="A44" t="s">
        <v>98</v>
      </c>
      <c r="B44" t="s">
        <v>95</v>
      </c>
      <c r="C44" t="s">
        <v>10</v>
      </c>
      <c r="D44">
        <v>958</v>
      </c>
      <c r="E44">
        <v>958</v>
      </c>
      <c r="F44" t="str">
        <f t="shared" si="0"/>
        <v>OK</v>
      </c>
      <c r="G44" s="3">
        <v>45899</v>
      </c>
      <c r="H44" s="3">
        <v>45899</v>
      </c>
      <c r="I44" t="str">
        <f t="shared" si="1"/>
        <v>OK</v>
      </c>
      <c r="J44">
        <f t="shared" si="2"/>
        <v>0</v>
      </c>
      <c r="K44" s="3">
        <v>45938</v>
      </c>
      <c r="L44" s="3">
        <v>45938</v>
      </c>
      <c r="M44" t="str">
        <f t="shared" si="3"/>
        <v>OK</v>
      </c>
      <c r="N44" t="s">
        <v>96</v>
      </c>
      <c r="O44" t="s">
        <v>109</v>
      </c>
    </row>
  </sheetData>
  <autoFilter ref="A1:O44" xr:uid="{74911874-B678-4982-8ED7-C2C8F7643401}">
    <filterColumn colId="14">
      <filters>
        <filter val="KM nabrak dengan servis ID 3 (7248)"/>
        <filter val="Speedo sama dgn KPB Sept 2025"/>
        <filter val="Speedo tidak sesuai tipe"/>
        <filter val="Tidak foto speedo langsung"/>
      </filters>
    </filterColumn>
    <sortState xmlns:xlrd2="http://schemas.microsoft.com/office/spreadsheetml/2017/richdata2" ref="A2:O44">
      <sortCondition ref="B1:B44"/>
    </sortState>
  </autoFilter>
  <phoneticPr fontId="3" type="noConversion"/>
  <conditionalFormatting sqref="B1:B1048576">
    <cfRule type="duplicateValues" dxfId="4" priority="9"/>
  </conditionalFormatting>
  <conditionalFormatting sqref="D1:D1048576">
    <cfRule type="duplicateValues" dxfId="3" priority="2"/>
  </conditionalFormatting>
  <conditionalFormatting sqref="E42">
    <cfRule type="duplicateValues" dxfId="2" priority="1"/>
  </conditionalFormatting>
  <conditionalFormatting sqref="F1:F1048576 I2:J44 M2:M44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2025-11-14T10:03:48Z</dcterms:created>
  <dcterms:modified xsi:type="dcterms:W3CDTF">2025-11-17T04:34:06Z</dcterms:modified>
</cp:coreProperties>
</file>