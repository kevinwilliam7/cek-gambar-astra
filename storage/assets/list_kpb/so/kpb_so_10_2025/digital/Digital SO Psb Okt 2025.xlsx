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CKUP DESKTOP MEI (24.09.2025)\KPB DIGITAL SO\2025\Okt 2025\"/>
    </mc:Choice>
  </mc:AlternateContent>
  <xr:revisionPtr revIDLastSave="0" documentId="13_ncr:1_{BEA35AD0-AF7C-4A69-9805-1D2FEADFFA87}" xr6:coauthVersionLast="47" xr6:coauthVersionMax="47" xr10:uidLastSave="{00000000-0000-0000-0000-000000000000}"/>
  <bookViews>
    <workbookView xWindow="-120" yWindow="-120" windowWidth="20730" windowHeight="11040" xr2:uid="{5588ECA1-04D5-4525-BA5A-B85CCED49B84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Sheet1!$A$1:$O$264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90" i="1"/>
  <c r="J11" i="1"/>
  <c r="J12" i="1"/>
  <c r="J13" i="1"/>
  <c r="J61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40" i="1"/>
  <c r="J37" i="1"/>
  <c r="J38" i="1"/>
  <c r="J39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82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82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39" i="1"/>
  <c r="F38" i="1"/>
  <c r="F37" i="1"/>
  <c r="F40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61" i="1"/>
  <c r="F13" i="1"/>
  <c r="F12" i="1"/>
  <c r="F11" i="1"/>
  <c r="F190" i="1"/>
  <c r="F10" i="1"/>
  <c r="F9" i="1"/>
  <c r="F8" i="1"/>
  <c r="F7" i="1"/>
  <c r="F6" i="1"/>
  <c r="F5" i="1"/>
  <c r="F4" i="1"/>
  <c r="F3" i="1"/>
  <c r="F2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82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39" i="1"/>
  <c r="I38" i="1"/>
  <c r="I37" i="1"/>
  <c r="I40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61" i="1"/>
  <c r="I13" i="1"/>
  <c r="I12" i="1"/>
  <c r="I11" i="1"/>
  <c r="I190" i="1"/>
  <c r="I10" i="1"/>
  <c r="I9" i="1"/>
  <c r="I8" i="1"/>
  <c r="I7" i="1"/>
  <c r="I6" i="1"/>
  <c r="I5" i="1"/>
  <c r="I4" i="1"/>
  <c r="I3" i="1"/>
  <c r="I2" i="1"/>
  <c r="M3" i="1"/>
  <c r="M4" i="1"/>
  <c r="M5" i="1"/>
  <c r="M6" i="1"/>
  <c r="M7" i="1"/>
  <c r="M8" i="1"/>
  <c r="M9" i="1"/>
  <c r="M10" i="1"/>
  <c r="M190" i="1"/>
  <c r="M11" i="1"/>
  <c r="M12" i="1"/>
  <c r="M13" i="1"/>
  <c r="M61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40" i="1"/>
  <c r="M37" i="1"/>
  <c r="M38" i="1"/>
  <c r="M39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82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" i="1"/>
  <c r="A3" i="1"/>
  <c r="A4" i="1"/>
  <c r="A5" i="1"/>
  <c r="A6" i="1"/>
  <c r="A7" i="1"/>
  <c r="A8" i="1"/>
  <c r="A9" i="1"/>
  <c r="A10" i="1"/>
  <c r="A11" i="1"/>
  <c r="A12" i="1"/>
  <c r="A13" i="1"/>
  <c r="A61" i="1"/>
  <c r="A14" i="1"/>
  <c r="A15" i="1"/>
  <c r="A16" i="1"/>
  <c r="A18" i="1"/>
  <c r="A19" i="1"/>
  <c r="A20" i="1"/>
  <c r="A21" i="1"/>
  <c r="A22" i="1"/>
  <c r="A23" i="1"/>
  <c r="A24" i="1"/>
  <c r="A25" i="1"/>
  <c r="A26" i="1"/>
  <c r="A27" i="1"/>
  <c r="A29" i="1"/>
  <c r="A30" i="1"/>
  <c r="A31" i="1"/>
  <c r="A32" i="1"/>
  <c r="A33" i="1"/>
  <c r="A34" i="1"/>
  <c r="A35" i="1"/>
  <c r="A36" i="1"/>
  <c r="A40" i="1"/>
  <c r="A37" i="1"/>
  <c r="A38" i="1"/>
  <c r="A39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2" i="1"/>
  <c r="A63" i="1"/>
  <c r="A64" i="1"/>
  <c r="A65" i="1"/>
  <c r="A66" i="1"/>
  <c r="A67" i="1"/>
  <c r="A68" i="1"/>
  <c r="A69" i="1"/>
  <c r="A70" i="1"/>
  <c r="A71" i="1"/>
  <c r="A72" i="1"/>
  <c r="A74" i="1"/>
  <c r="A75" i="1"/>
  <c r="A76" i="1"/>
  <c r="A77" i="1"/>
  <c r="A78" i="1"/>
  <c r="A79" i="1"/>
  <c r="A81" i="1"/>
  <c r="A83" i="1"/>
  <c r="A84" i="1"/>
  <c r="A85" i="1"/>
  <c r="A86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7" i="1"/>
  <c r="A82" i="1"/>
  <c r="A178" i="1"/>
  <c r="A179" i="1"/>
  <c r="A180" i="1"/>
  <c r="A181" i="1"/>
  <c r="A182" i="1"/>
  <c r="A183" i="1"/>
  <c r="A185" i="1"/>
  <c r="A186" i="1"/>
  <c r="A187" i="1"/>
  <c r="A188" i="1"/>
  <c r="A189" i="1"/>
  <c r="A191" i="1"/>
  <c r="A192" i="1"/>
  <c r="A193" i="1"/>
  <c r="A194" i="1"/>
  <c r="A195" i="1"/>
  <c r="A196" i="1"/>
  <c r="A198" i="1"/>
  <c r="A199" i="1"/>
  <c r="A201" i="1"/>
  <c r="A202" i="1"/>
  <c r="A203" i="1"/>
  <c r="A204" i="1"/>
  <c r="A206" i="1"/>
  <c r="A207" i="1"/>
  <c r="A208" i="1"/>
  <c r="A209" i="1"/>
  <c r="A210" i="1"/>
  <c r="A211" i="1"/>
  <c r="A212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" i="1"/>
</calcChain>
</file>

<file path=xl/sharedStrings.xml><?xml version="1.0" encoding="utf-8"?>
<sst xmlns="http://schemas.openxmlformats.org/spreadsheetml/2006/main" count="1079" uniqueCount="537">
  <si>
    <t>no_mesin</t>
  </si>
  <si>
    <t>kpb_type</t>
  </si>
  <si>
    <t>km</t>
  </si>
  <si>
    <t>tanggal_beli</t>
  </si>
  <si>
    <t>tanggal_claim</t>
  </si>
  <si>
    <t>photo_url</t>
  </si>
  <si>
    <t>Noted</t>
  </si>
  <si>
    <t>JBK1E2073437</t>
  </si>
  <si>
    <t>KPB4</t>
  </si>
  <si>
    <t>https://fruitbasket.blob.core.windows.net/gk2o5k/avatar/21219454420251006143128WLA3VA.jpg</t>
  </si>
  <si>
    <t>JBK1E2088232</t>
  </si>
  <si>
    <t>https://hana.modakita.com/azd942/avatar/2121945442025101113455284ADOS.jpg</t>
  </si>
  <si>
    <t>JBK1E2088240</t>
  </si>
  <si>
    <t>https://fruitbasket.blob.core.windows.net/gk2o5k/avatar/21219454420251006142609CL0FND.jpg</t>
  </si>
  <si>
    <t>JBK1E2097319</t>
  </si>
  <si>
    <t>https://fruitbasket.blob.core.windows.net/gk2o5k/avatar/2946748420251006140718LWY5C6.jpg</t>
  </si>
  <si>
    <t>JBK1E2100332</t>
  </si>
  <si>
    <t>KPB3</t>
  </si>
  <si>
    <t>https://hana.modakita.com/azd942/avatar/2570512720251024140533OHDN4X.jpg</t>
  </si>
  <si>
    <t>JBK1E2100336</t>
  </si>
  <si>
    <t>https://fruitbasket.blob.core.windows.net/gk2o5k/avatar/2946748420251006140527O8IBNU.jpg</t>
  </si>
  <si>
    <t>JBK1E2100913</t>
  </si>
  <si>
    <t>https://hana.modakita.com/azd942/avatar/2581252620251010161949BIICM6.jpg</t>
  </si>
  <si>
    <t>JBK1E2105125</t>
  </si>
  <si>
    <t>https://fruitbasket.blob.core.windows.net/gk2o5k/avatar/294674842025100118150913MJAQ.jpg</t>
  </si>
  <si>
    <t>JBK1E2106319</t>
  </si>
  <si>
    <t>https://fruitbasket.blob.core.windows.net/gk2o5k/avatar/21057284920251006140739CGSQNI.jpg</t>
  </si>
  <si>
    <t>https://hana.modakita.com/azd942/avatar/21057284920251025140647UXEGJ8.jpg</t>
  </si>
  <si>
    <t>JBK1E2107358</t>
  </si>
  <si>
    <t>KPB2</t>
  </si>
  <si>
    <t>https://hana.modakita.com/azd942/avatar/2581252620251010161800RQAR5W.jpg</t>
  </si>
  <si>
    <t>JBK1E2113557</t>
  </si>
  <si>
    <t>https://fruitbasket.blob.core.windows.net/gk2o5k/avatar/2946893720251008155407AEMWBZ.jpg</t>
  </si>
  <si>
    <t>JBK1E2114382</t>
  </si>
  <si>
    <t>https://fruitbasket.blob.core.windows.net/gk2o5k/avatar/25812526202510071557050SMBRM.jpg</t>
  </si>
  <si>
    <t>JBK1E2114391</t>
  </si>
  <si>
    <t>KPB1</t>
  </si>
  <si>
    <t>https://hana.modakita.com/azd942/avatar/2946893720251010161356AEGAFE.jpg</t>
  </si>
  <si>
    <t>JBK1E2115001</t>
  </si>
  <si>
    <t>https://fruitbasket.blob.core.windows.net/gk2o5k/avatar/2946748420251007160112HIPDWK.jpg</t>
  </si>
  <si>
    <t>JBK1E2115310</t>
  </si>
  <si>
    <t>https://fruitbasket.blob.core.windows.net/gk2o5k/avatar/29467484202510061416547TAM2N.jpg</t>
  </si>
  <si>
    <t>JBK1E2116324</t>
  </si>
  <si>
    <t>https://fruitbasket.blob.core.windows.net/gk2o5k/avatar/21054797920251004153002ITKVWP.jpg</t>
  </si>
  <si>
    <t>https://hana.modakita.com/azd942/avatar/21054797920251013140534ICIRMP.jpg</t>
  </si>
  <si>
    <t>JBK1E2116624</t>
  </si>
  <si>
    <t>https://hana.modakita.com/azd942/avatar/2946893720251011134338C3PVBC.jpg</t>
  </si>
  <si>
    <t>JBK1E2117636</t>
  </si>
  <si>
    <t>https://hana.modakita.com/azd942/avatar/21054797920251013140759VNN0KO.jpg</t>
  </si>
  <si>
    <t>JBK1E2119733</t>
  </si>
  <si>
    <t>https://hana.modakita.com/azd942/avatar/21219454420251021155825MR6HNV.jpg</t>
  </si>
  <si>
    <t>JBK1E2119830</t>
  </si>
  <si>
    <t>https://fruitbasket.blob.core.windows.net/gk2o5k/avatar/2581252620251006140050ZFZXX2.jpg</t>
  </si>
  <si>
    <t>JBK1E2124773</t>
  </si>
  <si>
    <t>https://hana.modakita.com/azd942/avatar/2581252620251013135148EF0SL7.jpg</t>
  </si>
  <si>
    <t>JBK1E2124936</t>
  </si>
  <si>
    <t>https://hana.modakita.com/azd942/avatar/258125262025101313510802UWWQ.jpg</t>
  </si>
  <si>
    <t>JBK1E2125100</t>
  </si>
  <si>
    <t>https://hana.modakita.com/azd942/avatar/21057284920251024153812NXQP9H.jpg</t>
  </si>
  <si>
    <t>JBK3E1568963</t>
  </si>
  <si>
    <t>https://hana.modakita.com/azd942/avatar/2581252620251010161637DZ0AIR.jpg</t>
  </si>
  <si>
    <t>JBK3E1574050</t>
  </si>
  <si>
    <t>https://fruitbasket.blob.core.windows.net/gk2o5k/avatar/21219454420251006143245C2WCAQ.jpg</t>
  </si>
  <si>
    <t>JBK3E1574306</t>
  </si>
  <si>
    <t>https://fruitbasket.blob.core.windows.net/gk2o5k/avatar/29467484202510061409415CLASK.jpg</t>
  </si>
  <si>
    <t>https://hana.modakita.com/azd942/avatar/2946748420251016120918DPGH2T.jpg</t>
  </si>
  <si>
    <t>JBK3E1574789</t>
  </si>
  <si>
    <t>https://hana.modakita.com/azd942/avatar/21219454420251011134730HVBRP3.jpg</t>
  </si>
  <si>
    <t>JBK3E1577014</t>
  </si>
  <si>
    <t>https://hana.modakita.com/azd942/avatar/2581252620251018162456BJSIWV.jpg</t>
  </si>
  <si>
    <t>JBK3E1578476</t>
  </si>
  <si>
    <t>https://fruitbasket.blob.core.windows.net/gk2o5k/avatar/2946748420251001153422RDYBSI.jpg</t>
  </si>
  <si>
    <t>JBK3E1578895</t>
  </si>
  <si>
    <t>https://hana.modakita.com/azd942/avatar/21373447820251014155211LPNMIV.jpg</t>
  </si>
  <si>
    <t>JBK3E1580891</t>
  </si>
  <si>
    <t>https://hana.modakita.com/azd942/avatar/21219454420251028210523XCVLPL.jpg</t>
  </si>
  <si>
    <t>JBK3E1582662</t>
  </si>
  <si>
    <t>https://hana.modakita.com/azd942/avatar/2570512720251024140139ICXGN3.jpg</t>
  </si>
  <si>
    <t>JBK3E1582665</t>
  </si>
  <si>
    <t>https://fruitbasket.blob.core.windows.net/gk2o5k/avatar/2570512720251001153748POKT5J.jpg</t>
  </si>
  <si>
    <t>JBK3E1584958</t>
  </si>
  <si>
    <t>https://fruitbasket.blob.core.windows.net/gk2o5k/avatar/29468937202510041525344NQR00.jpg</t>
  </si>
  <si>
    <t>JBK3E1586375</t>
  </si>
  <si>
    <t>https://fruitbasket.blob.core.windows.net/gk2o5k/avatar/212194544202510011540539OPFMC.jpg</t>
  </si>
  <si>
    <t>JBK3E1587525</t>
  </si>
  <si>
    <t>https://fruitbasket.blob.core.windows.net/gk2o5k/avatar/2946748420251008160321FUEE3G.jpg</t>
  </si>
  <si>
    <t>JBK3E1587551</t>
  </si>
  <si>
    <t>https://hana.modakita.com/azd942/avatar/21219454420251011134921F055KS.jpg</t>
  </si>
  <si>
    <t>JBK3E1588748</t>
  </si>
  <si>
    <t>https://fruitbasket.blob.core.windows.net/gk2o5k/avatar/21219454420251007155658WGGOKO.jpg</t>
  </si>
  <si>
    <t>JBK3E1591344</t>
  </si>
  <si>
    <t>https://hana.modakita.com/azd942/avatar/21219454420251016104835LK2A5L.jpg</t>
  </si>
  <si>
    <t>JBK3E1592251</t>
  </si>
  <si>
    <t>https://hana.modakita.com/azd942/avatar/2946893720251010161249WYIA5B.jpg</t>
  </si>
  <si>
    <t>JBK3E1592318</t>
  </si>
  <si>
    <t>https://hana.modakita.com/azd942/avatar/21219454420251010161339YBUBX0.jpg</t>
  </si>
  <si>
    <t>JBK3E1592493</t>
  </si>
  <si>
    <t>https://hana.modakita.com/azd942/avatar/210572849202510241552595FWGFT.jpg</t>
  </si>
  <si>
    <t>JBK3E1592767</t>
  </si>
  <si>
    <t>https://hana.modakita.com/azd942/avatar/2946748420251010135506KMQUXB.jpg</t>
  </si>
  <si>
    <t>JBK3E1593658</t>
  </si>
  <si>
    <t>https://hana.modakita.com/azd942/avatar/21054797920251010142928K62MHP.jpg</t>
  </si>
  <si>
    <t>JBK3E1593707</t>
  </si>
  <si>
    <t>https://hana.modakita.com/azd942/avatar/210572849202510241550160B5IX5.jpg</t>
  </si>
  <si>
    <t>JBK3E1593941</t>
  </si>
  <si>
    <t>https://hana.modakita.com/azd942/avatar/21219454420251024141701Y1FTGU.jpg</t>
  </si>
  <si>
    <t>JBK3E1594652</t>
  </si>
  <si>
    <t>https://hana.modakita.com/azd942/avatar/210572849202510241542321LIKKH.jpg</t>
  </si>
  <si>
    <t>JBK3E1594689</t>
  </si>
  <si>
    <t>https://hana.modakita.com/azd942/avatar/21219454420251016150919UCLKAK.jpg</t>
  </si>
  <si>
    <t>JBK3E1595736</t>
  </si>
  <si>
    <t>https://hana.modakita.com/azd942/avatar/210547979202510231154512DTIIF.jpg</t>
  </si>
  <si>
    <t>JBK3E1595744</t>
  </si>
  <si>
    <t>https://hana.modakita.com/azd942/avatar/21054797920251010141621E4NDG8.jpg</t>
  </si>
  <si>
    <t>JBK3E1597205</t>
  </si>
  <si>
    <t>https://hana.modakita.com/azd942/avatar/21057284920251024153557BAUU66.jpg</t>
  </si>
  <si>
    <t>JBK3E1597313</t>
  </si>
  <si>
    <t>https://hana.modakita.com/azd942/avatar/21057284920251024154055VIXDKV.jpg</t>
  </si>
  <si>
    <t>JBN1E1248283</t>
  </si>
  <si>
    <t>https://fruitbasket.blob.core.windows.net/gk2o5k/avatar/2570512720251007144917JHGNFA.jpg</t>
  </si>
  <si>
    <t>JBP1E2096918</t>
  </si>
  <si>
    <t>https://hana.modakita.com/azd942/avatar/2581252620251011144007MHWLYB.jpg</t>
  </si>
  <si>
    <t>JBP1E2114327</t>
  </si>
  <si>
    <t>https://hana.modakita.com/azd942/avatar/29467484202510101400123B4Z6T.jpg</t>
  </si>
  <si>
    <t>JBP1E2114501</t>
  </si>
  <si>
    <t>https://hana.modakita.com/azd942/avatar/21054797920251010143058SH4JKU.jpg</t>
  </si>
  <si>
    <t>JBP1E2117399</t>
  </si>
  <si>
    <t>https://fruitbasket.blob.core.windows.net/gk2o5k/avatar/21219454420251007160255LISOTS.jpg</t>
  </si>
  <si>
    <t>JBP1E2120790</t>
  </si>
  <si>
    <t>https://hana.modakita.com/azd942/avatar/21219454420251024141231J1TYVJ.jpg</t>
  </si>
  <si>
    <t>JBP1E2121171</t>
  </si>
  <si>
    <t>https://hana.modakita.com/azd942/avatar/21054797920251010140733ZN5JFJ.jpg</t>
  </si>
  <si>
    <t>JBP1E2121858</t>
  </si>
  <si>
    <t>https://hana.modakita.com/azd942/avatar/210572849202510241544054HDVJM.jpg</t>
  </si>
  <si>
    <t>JBP1E2121880</t>
  </si>
  <si>
    <t>https://fruitbasket.blob.core.windows.net/gk2o5k/avatar/21219454420251009161334KXUU62.jpg</t>
  </si>
  <si>
    <t>JMB1E1179549</t>
  </si>
  <si>
    <t>https://hana.modakita.com/azd942/avatar/2946893720251021145455DIWZRM.jpg</t>
  </si>
  <si>
    <t>JMB1E1202643</t>
  </si>
  <si>
    <t>https://hana.modakita.com/azd942/avatar/21219454420251030164342RIINA5.jpg</t>
  </si>
  <si>
    <t>JMC1E1579788</t>
  </si>
  <si>
    <t>https://hana.modakita.com/azd942/avatar/2581252620251031160316TLRAEP.jpg</t>
  </si>
  <si>
    <t>JMC1E1583558</t>
  </si>
  <si>
    <t>https://fruitbasket.blob.core.windows.net/gk2o5k/avatar/2581252620251006140147NZYRIO.jpg</t>
  </si>
  <si>
    <t>JMC1E1615483</t>
  </si>
  <si>
    <t>https://hana.modakita.com/azd942/avatar/294689372025102514021709EA6A.jpg</t>
  </si>
  <si>
    <t>JMC1E1623000</t>
  </si>
  <si>
    <t>https://fruitbasket.blob.core.windows.net/gk2o5k/avatar/2581252620251008162444UFFHDL.jpg</t>
  </si>
  <si>
    <t>JMC1E1644477</t>
  </si>
  <si>
    <t>https://fruitbasket.blob.core.windows.net/gk2o5k/avatar/2877701720251004141354HV1NEE.jpg</t>
  </si>
  <si>
    <t>JMC1E1658342</t>
  </si>
  <si>
    <t>https://fruitbasket.blob.core.windows.net/gk2o5k/avatar/21219454420251001154143WDECH2.jpg</t>
  </si>
  <si>
    <t>https://hana.modakita.com/azd942/avatar/212194544202510251407341NTOAX.jpg</t>
  </si>
  <si>
    <t>JMC1E1658344</t>
  </si>
  <si>
    <t>https://fruitbasket.blob.core.windows.net/gk2o5k/avatar/21054797920251002151328NNASKN.jpg</t>
  </si>
  <si>
    <t>JMC1E1664754</t>
  </si>
  <si>
    <t>https://fruitbasket.blob.core.windows.net/gk2o5k/avatar/2581252620251006135821UTJQVA.jpg</t>
  </si>
  <si>
    <t>JMC1E1672496</t>
  </si>
  <si>
    <t>https://hana.modakita.com/azd942/avatar/2946893720251026125336VPXAWS.jpg</t>
  </si>
  <si>
    <t>JMC1E1680818</t>
  </si>
  <si>
    <t>https://fruitbasket.blob.core.windows.net/gk2o5k/avatar/29468937202510091611172ACZCG.jpg</t>
  </si>
  <si>
    <t>JMC1E1689841</t>
  </si>
  <si>
    <t>https://hana.modakita.com/azd942/avatar/21219454420251030112155BM9FBZ.jpg</t>
  </si>
  <si>
    <t>JMC1E1693287</t>
  </si>
  <si>
    <t>https://fruitbasket.blob.core.windows.net/gk2o5k/avatar/21223068920251002142705ZOTNSY.jpg</t>
  </si>
  <si>
    <t>https://hana.modakita.com/azd942/avatar/21223068920251015164924L84SOJ.jpg</t>
  </si>
  <si>
    <t>JMC1E1695596</t>
  </si>
  <si>
    <t>https://hana.modakita.com/azd942/avatar/2570512720251030105601M3LZXJ.jpg</t>
  </si>
  <si>
    <t>JMC1E1697832</t>
  </si>
  <si>
    <t>https://hana.modakita.com/azd942/avatar/2946893720251028205631RCUY4N.jpg</t>
  </si>
  <si>
    <t>JMC1E1700728</t>
  </si>
  <si>
    <t>https://fruitbasket.blob.core.windows.net/gk2o5k/avatar/2121945442025100611222063BR76.jpg</t>
  </si>
  <si>
    <t>JMC1E1700733</t>
  </si>
  <si>
    <t>https://hana.modakita.com/azd942/avatar/21054797920251010142253NWFT61.jpg</t>
  </si>
  <si>
    <t>JMC1E1716304</t>
  </si>
  <si>
    <t>https://hana.modakita.com/azd942/avatar/21054797920251010141231NGMZUN.jpg</t>
  </si>
  <si>
    <t>https://hana.modakita.com/azd942/avatar/2570512720251025140304HBIAAP.jpg</t>
  </si>
  <si>
    <t>JMC1E1721424</t>
  </si>
  <si>
    <t>https://hana.modakita.com/azd942/avatar/21219454420251018154315HISYZF.jpg</t>
  </si>
  <si>
    <t>JMC1E1721684</t>
  </si>
  <si>
    <t>https://hana.modakita.com/azd942/avatar/212194544202510211557147TI7NA.jpg</t>
  </si>
  <si>
    <t>JMD1E1909773</t>
  </si>
  <si>
    <t>https://hana.modakita.com/azd942/avatar/2581252620251030162610ILXLPU.jpg</t>
  </si>
  <si>
    <t>JMD1E1932184</t>
  </si>
  <si>
    <t>https://fruitbasket.blob.core.windows.net/gk2o5k/avatar/257051272025100414174970NHYO.jpg</t>
  </si>
  <si>
    <t>JMD1E1956386</t>
  </si>
  <si>
    <t>https://fruitbasket.blob.core.windows.net/gk2o5k/avatar/21219454420251008153939YVV44G.jpg</t>
  </si>
  <si>
    <t>JMD1E1967775</t>
  </si>
  <si>
    <t>https://fruitbasket.blob.core.windows.net/gk2o5k/avatar/25705127202510041419091E7CJX.jpg</t>
  </si>
  <si>
    <t>JMD1E1969256</t>
  </si>
  <si>
    <t>https://fruitbasket.blob.core.windows.net/gk2o5k/avatar/2581252620251008162526YBW6CF.jpg</t>
  </si>
  <si>
    <t>JMD1E1978962</t>
  </si>
  <si>
    <t>https://hana.modakita.com/azd942/avatar/2946893720251031153831GHTTRQ.jpg</t>
  </si>
  <si>
    <t>JMD1E1997332</t>
  </si>
  <si>
    <t>https://fruitbasket.blob.core.windows.net/gk2o5k/avatar/21223068920251002142953DHH3LS.jpg</t>
  </si>
  <si>
    <t>JMD1E2001404</t>
  </si>
  <si>
    <t>https://hana.modakita.com/azd942/avatar/21373447820251014154950WOHH3O.jpg</t>
  </si>
  <si>
    <t>JMD1E2007213</t>
  </si>
  <si>
    <t>https://fruitbasket.blob.core.windows.net/gk2o5k/avatar/29467484202510081601372X5L7S.jpg</t>
  </si>
  <si>
    <t>JMD1E2015914</t>
  </si>
  <si>
    <t>https://fruitbasket.blob.core.windows.net/gk2o5k/avatar/21223068920251002142835VBYPBY.jpg</t>
  </si>
  <si>
    <t>JMD1E2019553</t>
  </si>
  <si>
    <t>https://fruitbasket.blob.core.windows.net/gk2o5k/avatar/2877701720251008155748PW1HEK.jpg</t>
  </si>
  <si>
    <t>JMD1E2034189</t>
  </si>
  <si>
    <t>https://hana.modakita.com/azd942/avatar/2946748420251010135637TXHX9M.jpg</t>
  </si>
  <si>
    <t>JMD1E2047793</t>
  </si>
  <si>
    <t>https://hana.modakita.com/azd942/avatar/210547979202510101427331ZKL8Q.jpg</t>
  </si>
  <si>
    <t>JMD1E2049371</t>
  </si>
  <si>
    <t>https://fruitbasket.blob.core.windows.net/gk2o5k/avatar/21219454420251007160454JPZXVS.jpg</t>
  </si>
  <si>
    <t>JME1E1332214</t>
  </si>
  <si>
    <t>https://hana.modakita.com/azd942/avatar/2570512720251030164730QHP3X5.jpg</t>
  </si>
  <si>
    <t>JME1E1395119</t>
  </si>
  <si>
    <t>https://hana.modakita.com/azd942/avatar/2570512720251026124617DCAKZK.jpg</t>
  </si>
  <si>
    <t>JME1E1475057</t>
  </si>
  <si>
    <t>https://hana.modakita.com/azd942/avatar/21373447820251018161648PFQBP3.jpg</t>
  </si>
  <si>
    <t>JME1E1500222</t>
  </si>
  <si>
    <t>https://hana.modakita.com/azd942/avatar/21373447820251030163317QIVOXM.jpg</t>
  </si>
  <si>
    <t>JME1E1502565</t>
  </si>
  <si>
    <t>https://hana.modakita.com/azd942/avatar/21219454420251029142808ROVNRV.jpg</t>
  </si>
  <si>
    <t>JME1E1511416</t>
  </si>
  <si>
    <t>https://hana.modakita.com/azd942/avatar/2570512720251016182551EB6I87.jpg</t>
  </si>
  <si>
    <t>JME1E1515833</t>
  </si>
  <si>
    <t>https://hana.modakita.com/azd942/avatar/2570512720251016183145ONSQFT.jpg</t>
  </si>
  <si>
    <t>https://hana.modakita.com/azd942/avatar/2570512720251031154642JCHZBN.jpg</t>
  </si>
  <si>
    <t>JME1E1519173</t>
  </si>
  <si>
    <t>https://hana.modakita.com/azd942/avatar/28777017202510181551280OWAYT.jpg</t>
  </si>
  <si>
    <t>JME1E1526515</t>
  </si>
  <si>
    <t>https://hana.modakita.com/azd942/avatar/210547979202510211535130OAWUY.jpg</t>
  </si>
  <si>
    <t>JME1E1538314</t>
  </si>
  <si>
    <t>https://hana.modakita.com/azd942/avatar/2946748420251030120245YXDWMR.jpg</t>
  </si>
  <si>
    <t>JME1E1602667</t>
  </si>
  <si>
    <t>https://hana.modakita.com/azd942/avatar/2946748420251021152046G59MYE.jpg</t>
  </si>
  <si>
    <t>JME1E1615675</t>
  </si>
  <si>
    <t>https://hana.modakita.com/azd942/avatar/2570512720251018160024WVIBQ4.jpg</t>
  </si>
  <si>
    <t>JME1E1669850</t>
  </si>
  <si>
    <t>https://hana.modakita.com/azd942/avatar/21219454420251016181322IKIUKB.jpg</t>
  </si>
  <si>
    <t>https://hana.modakita.com/azd942/avatar/2121945442025102612564443TUXY.jpg</t>
  </si>
  <si>
    <t>JME1E1672496</t>
  </si>
  <si>
    <t>https://hana.modakita.com/azd942/avatar/2946748420251030120150MHFQ1L.jpg</t>
  </si>
  <si>
    <t>JME1E1672543</t>
  </si>
  <si>
    <t>https://hana.modakita.com/azd942/avatar/2946893720251030162546MSF6EB.jpg</t>
  </si>
  <si>
    <t>JME1E1675612</t>
  </si>
  <si>
    <t>https://hana.modakita.com/azd942/avatar/21373447820251021155908ENSVXM.jpg</t>
  </si>
  <si>
    <t>JME1E1723668</t>
  </si>
  <si>
    <t>https://hana.modakita.com/azd942/avatar/21219454420251029141856LWCRAD.jpg</t>
  </si>
  <si>
    <t>JMF1E1183679</t>
  </si>
  <si>
    <t>https://hana.modakita.com/azd942/avatar/2946893720251028205234TONPVB.jpg</t>
  </si>
  <si>
    <t>JMF1E1248770</t>
  </si>
  <si>
    <t>https://hana.modakita.com/azd942/avatar/21054797920251016184237M7M6IA.jpg</t>
  </si>
  <si>
    <t>JMF1E1259071</t>
  </si>
  <si>
    <t>https://hana.modakita.com/azd942/avatar/21373447820251016180654OXU7SC.jpg</t>
  </si>
  <si>
    <t>JMF1E1286736</t>
  </si>
  <si>
    <t>https://hana.modakita.com/azd942/avatar/21219454420251018153941SZUFJU.jpg</t>
  </si>
  <si>
    <t>JMF1E1288016</t>
  </si>
  <si>
    <t>https://hana.modakita.com/azd942/avatar/2946748420251018160942ENUYBT.jpg</t>
  </si>
  <si>
    <t>JMF1E1317195</t>
  </si>
  <si>
    <t>https://hana.modakita.com/azd942/avatar/21054797920251029145054OKXCFZ.jpg</t>
  </si>
  <si>
    <t>JMF2E1391372</t>
  </si>
  <si>
    <t>https://hana.modakita.com/azd942/avatar/21219454420251016182036RYOBBH.jpg</t>
  </si>
  <si>
    <t>JMF2E1442885</t>
  </si>
  <si>
    <t>https://hana.modakita.com/azd942/avatar/21373447820251030163409B15IZZ.jpg</t>
  </si>
  <si>
    <t>JMF2E1501601</t>
  </si>
  <si>
    <t>https://hana.modakita.com/azd942/avatar/21054797920251016184628MTYYCF.jpg</t>
  </si>
  <si>
    <t>JMF2E1503389</t>
  </si>
  <si>
    <t>https://hana.modakita.com/azd942/avatar/21054797920251018161349R9WOWJ.jpg</t>
  </si>
  <si>
    <t>JMG1E1316858</t>
  </si>
  <si>
    <t>https://hana.modakita.com/azd942/avatar/2946893720251030115206B9GMVH.jpg</t>
  </si>
  <si>
    <t>JMH1E1104619</t>
  </si>
  <si>
    <t>https://hana.modakita.com/azd942/avatar/2581252620251031160205MRRJY7.jpg</t>
  </si>
  <si>
    <t>JMH1E1138038</t>
  </si>
  <si>
    <t>https://hana.modakita.com/azd942/avatar/2946893720251021145936DDWRPM.jpg</t>
  </si>
  <si>
    <t>JMH1E1155493</t>
  </si>
  <si>
    <t>https://hana.modakita.com/azd942/avatar/29468937202510211457571UC9LO.jpg</t>
  </si>
  <si>
    <t>JMH1E1163105</t>
  </si>
  <si>
    <t>https://hana.modakita.com/azd942/avatar/2581252620251030162914NFWBBQ.jpg</t>
  </si>
  <si>
    <t>JMH1E1176090</t>
  </si>
  <si>
    <t>https://hana.modakita.com/azd942/avatar/2570512720251016183549ZNYCJL.jpg</t>
  </si>
  <si>
    <t>JMH1E1193904</t>
  </si>
  <si>
    <t>https://hana.modakita.com/azd942/avatar/212194544202510301639579AX2GI.jpg</t>
  </si>
  <si>
    <t>JMH1E1204508</t>
  </si>
  <si>
    <t>https://hana.modakita.com/azd942/avatar/213734478202510301634569TVQGH.jpg</t>
  </si>
  <si>
    <t>JMH1E1207344</t>
  </si>
  <si>
    <t>https://hana.modakita.com/azd942/avatar/2877701720251018155352AQJKUI.jpg</t>
  </si>
  <si>
    <t>JMH1E1208644</t>
  </si>
  <si>
    <t>https://hana.modakita.com/azd942/avatar/21219454420251021155932I7PLEC.jpg</t>
  </si>
  <si>
    <t>JMH1E1208655</t>
  </si>
  <si>
    <t>https://hana.modakita.com/azd942/avatar/29467484202510301200391T3AEG.jpg</t>
  </si>
  <si>
    <t>JMH1E1225051</t>
  </si>
  <si>
    <t>https://hana.modakita.com/azd942/avatar/29468937202510301628593TQZFL.jpg</t>
  </si>
  <si>
    <t>JMH1E1228570</t>
  </si>
  <si>
    <t>https://hana.modakita.com/azd942/avatar/2581252620251018162654OMECXF.jpg</t>
  </si>
  <si>
    <t>https://hana.modakita.com/azd942/avatar/25812526202510301313238ITIZV.jpg</t>
  </si>
  <si>
    <t>JMH2E1131886</t>
  </si>
  <si>
    <t>https://hana.modakita.com/azd942/avatar/2581252620251018162541ZB7NE4.jpg</t>
  </si>
  <si>
    <t>JMH2E1146795</t>
  </si>
  <si>
    <t>https://hana.modakita.com/azd942/avatar/21057284920251016183837WBRJAW.jpg</t>
  </si>
  <si>
    <t>JMH2E1217122</t>
  </si>
  <si>
    <t>https://hana.modakita.com/azd942/avatar/2946893720251030162653M9BKDS.jpg</t>
  </si>
  <si>
    <t>JMH2E1244763</t>
  </si>
  <si>
    <t>https://hana.modakita.com/azd942/avatar/213734478202510301632338EJXSN.jpg</t>
  </si>
  <si>
    <t>JMH2E1287310</t>
  </si>
  <si>
    <t>https://hana.modakita.com/azd942/avatar/2877701720251030150950NWQWMV.jpg</t>
  </si>
  <si>
    <t>JMH2E1289140</t>
  </si>
  <si>
    <t>https://hana.modakita.com/azd942/avatar/2570512720251022134609CDIIWV.jpg</t>
  </si>
  <si>
    <t>JMH2E1343106</t>
  </si>
  <si>
    <t>https://hana.modakita.com/azd942/avatar/2570512720251018160308OCMPT9.jpg</t>
  </si>
  <si>
    <t>JMH2E1346173</t>
  </si>
  <si>
    <t>https://hana.modakita.com/azd942/avatar/2581252620251030162828NT9JH1.jpg</t>
  </si>
  <si>
    <t>JMH2E1348315</t>
  </si>
  <si>
    <t>https://hana.modakita.com/azd942/avatar/21054797920251029145138S2UOXD.jpg</t>
  </si>
  <si>
    <t>JMH2E1381526</t>
  </si>
  <si>
    <t>https://hana.modakita.com/azd942/avatar/21054797920251018161544JFN4U8.jpg</t>
  </si>
  <si>
    <t>JMH2E1398970</t>
  </si>
  <si>
    <t>https://hana.modakita.com/azd942/avatar/2946893720251030162947KA9PNP.jpg</t>
  </si>
  <si>
    <t>JMH2E1416617</t>
  </si>
  <si>
    <t>https://hana.modakita.com/azd942/avatar/2946893720251030162747Q0TOSZ.jpg</t>
  </si>
  <si>
    <t>JMH2E1430184</t>
  </si>
  <si>
    <t>https://hana.modakita.com/azd942/avatar/2570512720251030164822NZ3HR3.jpg</t>
  </si>
  <si>
    <t>JMH2E1457219</t>
  </si>
  <si>
    <t>https://hana.modakita.com/azd942/avatar/2946893720251028204900LEM5HD.jpg</t>
  </si>
  <si>
    <t>JMH2E1457276</t>
  </si>
  <si>
    <t>https://hana.modakita.com/azd942/avatar/212194544202510291421170LXC4W.jpg</t>
  </si>
  <si>
    <t>JMH2E1468270</t>
  </si>
  <si>
    <t>https://hana.modakita.com/azd942/avatar/21219454420251029142550UKZ6IQ.jpg</t>
  </si>
  <si>
    <t>JMH2E1474149</t>
  </si>
  <si>
    <t>https://hana.modakita.com/azd942/avatar/2570512720251016182800PEHIWK.jpg</t>
  </si>
  <si>
    <t>JMH2E1500424</t>
  </si>
  <si>
    <t>https://hana.modakita.com/azd942/avatar/2877701720251018155557NYQBFD.jpg</t>
  </si>
  <si>
    <t>JMH2E1504954</t>
  </si>
  <si>
    <t>https://hana.modakita.com/azd942/avatar/2570512720251021150433U1TXVT.jpg</t>
  </si>
  <si>
    <t>JMH2E1508994</t>
  </si>
  <si>
    <t>https://hana.modakita.com/azd942/avatar/21054797920251029144815MPBOFM.jpg</t>
  </si>
  <si>
    <t>JMH2E1508999</t>
  </si>
  <si>
    <t>https://hana.modakita.com/azd942/avatar/2877701720251030151402TZCURU.jpg</t>
  </si>
  <si>
    <t>JMH2E1540148</t>
  </si>
  <si>
    <t>https://hana.modakita.com/azd942/avatar/21054797920251029144915YLWMGY.jpg</t>
  </si>
  <si>
    <t>JMH2E1541120</t>
  </si>
  <si>
    <t>https://hana.modakita.com/azd942/avatar/21054797920251029145230K5GQED.jpg</t>
  </si>
  <si>
    <t>JMH2E1541451</t>
  </si>
  <si>
    <t>https://hana.modakita.com/azd942/avatar/21054797920251029145008UTXANV.jpg</t>
  </si>
  <si>
    <t>JMH2E1560911</t>
  </si>
  <si>
    <t>https://hana.modakita.com/azd942/avatar/28777017202510301512169RZMPK.jpg</t>
  </si>
  <si>
    <t>KB22E1052935</t>
  </si>
  <si>
    <t>https://fruitbasket.blob.core.windows.net/gk2o5k/avatar/2581252620251008162303MEDEBM.jpg</t>
  </si>
  <si>
    <t>KB22E1057564</t>
  </si>
  <si>
    <t>https://fruitbasket.blob.core.windows.net/gk2o5k/avatar/21219454420251008154152E0JNPO.jpg</t>
  </si>
  <si>
    <t>KB22E1058102</t>
  </si>
  <si>
    <t>https://hana.modakita.com/azd942/avatar/21219454420251015164138SEL0KD.jpg</t>
  </si>
  <si>
    <t>KB22E1058920</t>
  </si>
  <si>
    <t>https://hana.modakita.com/azd942/avatar/29468937202510101527101YP2FB.jpg</t>
  </si>
  <si>
    <t>https://hana.modakita.com/azd942/avatar/2946893720251028204643PRQ6V0.jpg</t>
  </si>
  <si>
    <t>KC02E1284500</t>
  </si>
  <si>
    <t>https://fruitbasket.blob.core.windows.net/gk2o5k/avatar/21219454420251006142728Q2XMRX.jpg</t>
  </si>
  <si>
    <t>KC02E1290532</t>
  </si>
  <si>
    <t>https://fruitbasket.blob.core.windows.net/gk2o5k/avatar/2946748420251006141228YKRLYR.jpg</t>
  </si>
  <si>
    <t>KC03E1000639</t>
  </si>
  <si>
    <t>https://hana.modakita.com/azd942/avatar/2581252620251018162404SEHM0L.jpg</t>
  </si>
  <si>
    <t>KC03E1003321</t>
  </si>
  <si>
    <t>https://hana.modakita.com/azd942/avatar/21219454420251010135344NURAUW.jpg</t>
  </si>
  <si>
    <t>KC03E1003323</t>
  </si>
  <si>
    <t>https://hana.modakita.com/azd942/avatar/2570512720251024135214FVO6K5.jpg</t>
  </si>
  <si>
    <t>KC04E1000552</t>
  </si>
  <si>
    <t>https://fruitbasket.blob.core.windows.net/gk2o5k/avatar/2581252620251006140529JARHCQ.jpg</t>
  </si>
  <si>
    <t>KC04E1002969</t>
  </si>
  <si>
    <t>https://hana.modakita.com/azd942/avatar/213734478202510141624143BG4CV.jpg</t>
  </si>
  <si>
    <t>KC04E1002970</t>
  </si>
  <si>
    <t>https://fruitbasket.blob.core.windows.net/gk2o5k/avatar/2946748420251006141541WOFPIX.jpg</t>
  </si>
  <si>
    <t>https://hana.modakita.com/azd942/avatar/2946748420251023114856YAP6XF.jpg</t>
  </si>
  <si>
    <t>KC04E1003002</t>
  </si>
  <si>
    <t>https://hana.modakita.com/azd942/avatar/2570512720251024140731XGP5UM.jpg</t>
  </si>
  <si>
    <t>KC04E1003007</t>
  </si>
  <si>
    <t>https://hana.modakita.com/azd942/avatar/2946893720251021144159BE0OJU.jpg</t>
  </si>
  <si>
    <t>KC04E1003015</t>
  </si>
  <si>
    <t>https://fruitbasket.blob.core.windows.net/gk2o5k/avatar/2946893720251008155246TUIYQE.jpg</t>
  </si>
  <si>
    <t>KC04E1007341</t>
  </si>
  <si>
    <t>https://hana.modakita.com/azd942/avatar/21057284920251023115816JRIJBA.jpg</t>
  </si>
  <si>
    <t>KC04E1008241</t>
  </si>
  <si>
    <t>https://hana.modakita.com/azd942/avatar/2581252620251018162312DCTKJY.jpg</t>
  </si>
  <si>
    <t>KC04E1008249</t>
  </si>
  <si>
    <t>https://fruitbasket.blob.core.windows.net/gk2o5k/avatar/2946748420251001181711LAGMQI.jpg</t>
  </si>
  <si>
    <t>KC04E1008842</t>
  </si>
  <si>
    <t>https://hana.modakita.com/azd942/avatar/2570512720251024140346P0VUNO.jpg</t>
  </si>
  <si>
    <t>KC04E1010029</t>
  </si>
  <si>
    <t>https://fruitbasket.blob.core.windows.net/gk2o5k/avatar/2946893720251001152942GZRJEP.jpg</t>
  </si>
  <si>
    <t>KC04E1010199</t>
  </si>
  <si>
    <t>https://fruitbasket.blob.core.windows.net/gk2o5k/avatar/29468937202510061351365QIXOB.jpg</t>
  </si>
  <si>
    <t>KC04E1010548</t>
  </si>
  <si>
    <t>https://fruitbasket.blob.core.windows.net/gk2o5k/avatar/2581252620251009154508LUHCTK.jpg</t>
  </si>
  <si>
    <t>KC04E1010553</t>
  </si>
  <si>
    <t>https://fruitbasket.blob.core.windows.net/gk2o5k/avatar/21223068920251002144721CYGAW5.jpg</t>
  </si>
  <si>
    <t>https://hana.modakita.com/azd942/avatar/2581252620251013134922TNKSXO.jpg</t>
  </si>
  <si>
    <t>KC04E1010969</t>
  </si>
  <si>
    <t>https://hana.modakita.com/azd942/avatar/2581252620251011144050HO0PUT.jpg</t>
  </si>
  <si>
    <t>KC04E1010974</t>
  </si>
  <si>
    <t>https://fruitbasket.blob.core.windows.net/gk2o5k/avatar/21219454420251004142129O1JHGO.jpg</t>
  </si>
  <si>
    <t>https://hana.modakita.com/azd942/avatar/21219454420251031155347KKQPVE.jpg</t>
  </si>
  <si>
    <t>KC04E1011212</t>
  </si>
  <si>
    <t>https://hana.modakita.com/azd942/avatar/21054797920251010140433QEQER3.jpg</t>
  </si>
  <si>
    <t>KC04E1011422</t>
  </si>
  <si>
    <t>https://hana.modakita.com/azd942/avatar/2570512720251015164652GXHO6M.jpg</t>
  </si>
  <si>
    <t>KC04E1011903</t>
  </si>
  <si>
    <t>https://hana.modakita.com/azd942/avatar/21057284920251011141417PFGYEN.jpg</t>
  </si>
  <si>
    <t>KC04E1011914</t>
  </si>
  <si>
    <t>https://fruitbasket.blob.core.windows.net/gk2o5k/avatar/25705127202510021507152RBWB4.jpg</t>
  </si>
  <si>
    <t>https://hana.modakita.com/azd942/avatar/2570512720251026124107TOWBRI.jpg</t>
  </si>
  <si>
    <t>KC04E1012359</t>
  </si>
  <si>
    <t>https://hana.modakita.com/azd942/avatar/21219454420251023114417ZJDTEF.jpg</t>
  </si>
  <si>
    <t>KC04E1012789</t>
  </si>
  <si>
    <t>https://hana.modakita.com/azd942/avatar/2877701720251011135412Y7QYM3.jpg</t>
  </si>
  <si>
    <t>KC04E1013187</t>
  </si>
  <si>
    <t>https://hana.modakita.com/azd942/avatar/2946893720251011134235CXXRY7.jpg</t>
  </si>
  <si>
    <t>KC04E1013631</t>
  </si>
  <si>
    <t>https://hana.modakita.com/azd942/avatar/2946893720251011134433IKYAOX.jpg</t>
  </si>
  <si>
    <t>KC04E1013633</t>
  </si>
  <si>
    <t>https://fruitbasket.blob.core.windows.net/gk2o5k/avatar/258125262025100613594347BKTW.jpg</t>
  </si>
  <si>
    <t>KC04E1013818</t>
  </si>
  <si>
    <t>https://hana.modakita.com/azd942/avatar/2946893720251016104807PRRF2Z.jpg</t>
  </si>
  <si>
    <t>KC04E1014323</t>
  </si>
  <si>
    <t>https://fruitbasket.blob.core.windows.net/gk2o5k/avatar/21219454420251008154515XWTWKR.jpg</t>
  </si>
  <si>
    <t>https://hana.modakita.com/azd942/avatar/2570512720251025105410CDRBF1.jpg</t>
  </si>
  <si>
    <t>KC04E1014585</t>
  </si>
  <si>
    <t>https://fruitbasket.blob.core.windows.net/gk2o5k/avatar/2570512720251008160728SOMYNQ.jpg</t>
  </si>
  <si>
    <t>KC04E1014622</t>
  </si>
  <si>
    <t>https://fruitbasket.blob.core.windows.net/gk2o5k/avatar/21219454420251007155254024GMV.jpg</t>
  </si>
  <si>
    <t>KC04E1015580</t>
  </si>
  <si>
    <t>https://hana.modakita.com/azd942/avatar/21219454420251015163735UV64IN.jpg</t>
  </si>
  <si>
    <t>KC04E1015598</t>
  </si>
  <si>
    <t>https://fruitbasket.blob.core.windows.net/gk2o5k/avatar/2877701720251008155959FOXEFX.jpg</t>
  </si>
  <si>
    <t>KC04E1015638</t>
  </si>
  <si>
    <t>https://hana.modakita.com/azd942/avatar/21057284920251025140908C9WLRL.jpg</t>
  </si>
  <si>
    <t>KC04E1015917</t>
  </si>
  <si>
    <t>https://hana.modakita.com/azd942/avatar/210547979202510101419475HSGZ3.jpg</t>
  </si>
  <si>
    <t>KC04E1016405</t>
  </si>
  <si>
    <t>https://hana.modakita.com/azd942/avatar/21054797920251010142121FWDBIB.jpg</t>
  </si>
  <si>
    <t>KC04E1017662</t>
  </si>
  <si>
    <t>https://hana.modakita.com/azd942/avatar/21219454420251030111104F5KJAA.jpg</t>
  </si>
  <si>
    <t>KC04E1017770</t>
  </si>
  <si>
    <t>https://hana.modakita.com/azd942/avatar/25705127202510241359358F47Z0.jpg</t>
  </si>
  <si>
    <t>KC04E1018097</t>
  </si>
  <si>
    <t>https://hana.modakita.com/azd942/avatar/26210220251029144922294TM4.jpg</t>
  </si>
  <si>
    <t>KC04E1018884</t>
  </si>
  <si>
    <t>https://hana.modakita.com/azd942/avatar/2570512720251024135500IZVMBO.jpg</t>
  </si>
  <si>
    <t>KC04E1019511</t>
  </si>
  <si>
    <t>https://hana.modakita.com/azd942/avatar/2581252620251018162731ICMDCT.jpg</t>
  </si>
  <si>
    <t>KC04E1019690</t>
  </si>
  <si>
    <t>https://hana.modakita.com/azd942/avatar/2581252620251014162548SIXPUA.jpg</t>
  </si>
  <si>
    <t>KC04E1020389</t>
  </si>
  <si>
    <t>https://fruitbasket.blob.core.windows.net/gk2o5k/avatar/21223068920251002143955M7IC1P.jpg</t>
  </si>
  <si>
    <t>KC04E1020953</t>
  </si>
  <si>
    <t>https://hana.modakita.com/azd942/avatar/21219454420251016151011O4PBFK.jpg</t>
  </si>
  <si>
    <t>KD11E1600206</t>
  </si>
  <si>
    <t>https://fruitbasket.blob.core.windows.net/gk2o5k/avatar/2877701720251002142119A2P5N0.jpg</t>
  </si>
  <si>
    <t>KD11E1604917</t>
  </si>
  <si>
    <t>https://fruitbasket.blob.core.windows.net/gk2o5k/avatar/21219454420251006142248C71OG7.jpg</t>
  </si>
  <si>
    <t>KD11E1606681</t>
  </si>
  <si>
    <t>https://hana.modakita.com/azd942/avatar/2570512720251026124321BO74Y9.jpg</t>
  </si>
  <si>
    <t>KD11E1616372</t>
  </si>
  <si>
    <t>https://hana.modakita.com/azd942/avatar/2946748420251010135809U86JIG.jpg</t>
  </si>
  <si>
    <t>KD11E1622273</t>
  </si>
  <si>
    <t>https://hana.modakita.com/azd942/avatar/2946748420251010135304KHTXNG.jpg</t>
  </si>
  <si>
    <t>KD11E1626882</t>
  </si>
  <si>
    <t>https://hana.modakita.com/azd942/avatar/2570512720251010152935LFBF3F.jpg</t>
  </si>
  <si>
    <t>KF01E1862461</t>
  </si>
  <si>
    <t>https://fruitbasket.blob.core.windows.net/gk2o5k/avatar/2946748420251006141424NGZBSJ.jpg</t>
  </si>
  <si>
    <t>KF01E1886694</t>
  </si>
  <si>
    <t>https://hana.modakita.com/azd942/avatar/2581252620251015163858PKNMLB.jpg</t>
  </si>
  <si>
    <t>KF01E1887046</t>
  </si>
  <si>
    <t>https://fruitbasket.blob.core.windows.net/gk2o5k/avatar/2946748420251001153253Z7PZMY.jpg</t>
  </si>
  <si>
    <t>KF01E1897272</t>
  </si>
  <si>
    <t>https://hana.modakita.com/azd942/avatar/2581252620251010161842Q6REIN.jpg</t>
  </si>
  <si>
    <t>KF01E1904125</t>
  </si>
  <si>
    <t>https://fruitbasket.blob.core.windows.net/gk2o5k/avatar/2581252620251006125311BO6WTC.jpg</t>
  </si>
  <si>
    <t>KF01E1904787</t>
  </si>
  <si>
    <t>https://hana.modakita.com/azd942/avatar/21223068920251026130225XJUJPQ.jpg</t>
  </si>
  <si>
    <t>KF01E1908415</t>
  </si>
  <si>
    <t>https://hana.modakita.com/azd942/avatar/2570512720251030105406FGLUEJ.jpg</t>
  </si>
  <si>
    <t>KF01E1913737</t>
  </si>
  <si>
    <t>https://fruitbasket.blob.core.windows.net/gk2o5k/avatar/2581252620251009154713XTBPK7.jpg</t>
  </si>
  <si>
    <t>KF01E1922836</t>
  </si>
  <si>
    <t>https://hana.modakita.com/azd942/avatar/2570512720251025140440BTQZWQ.jpg</t>
  </si>
  <si>
    <t>KF01E1929364</t>
  </si>
  <si>
    <t>https://hana.modakita.com/azd942/avatar/2570512720251010153109MKYAQH.jpg</t>
  </si>
  <si>
    <t>KF01E1934248</t>
  </si>
  <si>
    <t>https://fruitbasket.blob.core.windows.net/gk2o5k/avatar/2946893720251004152646G90MM3.jpg</t>
  </si>
  <si>
    <t>KF01E1947975</t>
  </si>
  <si>
    <t>https://fruitbasket.blob.core.windows.net/gk2o5k/avatar/2946748420251008160556UISS4E.jpg</t>
  </si>
  <si>
    <t>KF01E1951416</t>
  </si>
  <si>
    <t>https://hana.modakita.com/azd942/avatar/2877701720251018155736S0MMHQ.jpg</t>
  </si>
  <si>
    <t>KF01E1954408</t>
  </si>
  <si>
    <t>https://fruitbasket.blob.core.windows.net/gk2o5k/avatar/21054797920251002151453SPFFKF.jpg</t>
  </si>
  <si>
    <t>KF01E1957927</t>
  </si>
  <si>
    <t>https://fruitbasket.blob.core.windows.net/gk2o5k/avatar/2570512720251004152312DCGDZY.jpg</t>
  </si>
  <si>
    <t>KF01E1961038</t>
  </si>
  <si>
    <t>https://fruitbasket.blob.core.windows.net/gk2o5k/avatar/21054797920251001180615ABMJUV.jpg</t>
  </si>
  <si>
    <t>KFA1E1309188</t>
  </si>
  <si>
    <t>https://hana.modakita.com/azd942/avatar/2581252620251030131456AI31ZB.jpg</t>
  </si>
  <si>
    <t>KFA1E1309636</t>
  </si>
  <si>
    <t>https://hana.modakita.com/azd942/avatar/21373447820251021155747RFOWOH.jpg</t>
  </si>
  <si>
    <t>KFA1E1331739</t>
  </si>
  <si>
    <t>https://fruitbasket.blob.core.windows.net/gk2o5k/avatar/2877701720251004141503JTL4KS.jpg</t>
  </si>
  <si>
    <t>KFB1E1108616</t>
  </si>
  <si>
    <t>https://fruitbasket.blob.core.windows.net/gk2o5k/avatar/2946748420251007155304MAA3SO.jpg</t>
  </si>
  <si>
    <t>KFC1E1132028</t>
  </si>
  <si>
    <t>https://hana.modakita.com/azd942/avatar/25812526202510161521079JOHBE.jpg</t>
  </si>
  <si>
    <t>KFC1E1148834</t>
  </si>
  <si>
    <t>https://fruitbasket.blob.core.windows.net/gk2o5k/avatar/2570512720251008160506MVJFKO.jpg</t>
  </si>
  <si>
    <t>KFC1E1154487</t>
  </si>
  <si>
    <t>https://fruitbasket.blob.core.windows.net/gk2o5k/avatar/2581252620251007155801P4GIFQ.jpg</t>
  </si>
  <si>
    <t>KFC1E1182626</t>
  </si>
  <si>
    <t>https://hana.modakita.com/azd942/avatar/21219454420251030111656I6OLF6.jpg</t>
  </si>
  <si>
    <t>KFD1E1132410</t>
  </si>
  <si>
    <t>https://fruitbasket.blob.core.windows.net/gk2o5k/avatar/2581252620251008162625ALUDY2.jpg</t>
  </si>
  <si>
    <t>KFD1E1148143</t>
  </si>
  <si>
    <t>https://hana.modakita.com/azd942/avatar/2581252620251014162657VVXANF.jpg</t>
  </si>
  <si>
    <t>KFD1E1157778</t>
  </si>
  <si>
    <t>https://hana.modakita.com/azd942/avatar/294674842025101516570157OC0P.jpg</t>
  </si>
  <si>
    <t>KFD1E1166893</t>
  </si>
  <si>
    <t>https://fruitbasket.blob.core.windows.net/gk2o5k/avatar/2570512720251007144752IYFMGH.jpg</t>
  </si>
  <si>
    <t>KFE1E1291150</t>
  </si>
  <si>
    <t>https://hana.modakita.com/azd942/avatar/21219454420251015163338CP0GXB.jpg</t>
  </si>
  <si>
    <t>KFE2E1008601</t>
  </si>
  <si>
    <t>https://fruitbasket.blob.core.windows.net/gk2o5k/avatar/21054797920251001180759WVM2LZ.jpg</t>
  </si>
  <si>
    <t>No. Surat Klaim</t>
  </si>
  <si>
    <t>Tgls STAR</t>
  </si>
  <si>
    <t>Cek Tgls</t>
  </si>
  <si>
    <t>Tglb STAR</t>
  </si>
  <si>
    <t>Cek Tglbs</t>
  </si>
  <si>
    <t>Selisih</t>
  </si>
  <si>
    <t>KM STAR</t>
  </si>
  <si>
    <t>Cek KM</t>
  </si>
  <si>
    <t>16451-251107_1714</t>
  </si>
  <si>
    <t>Salah KM di WEBC</t>
  </si>
  <si>
    <t>Ok</t>
  </si>
  <si>
    <t>Speedo sama dgn KPB Sept 2025</t>
  </si>
  <si>
    <t>Speedo tidak sesuai tipe</t>
  </si>
  <si>
    <t>Speedo terpotong</t>
  </si>
  <si>
    <t>Tgl di foto speedo tidak sesuai dengan tgl servis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</si>
</sst>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7030A0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/>
    <xf numFmtId="0" fontId="3" fillId="0" borderId="0" xfId="0" applyFont="1"/>
    <xf numFmtId="0" fontId="4" fillId="2" borderId="0" xfId="0" applyFont="1" applyFill="1"/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Meilia067746\Downloads\Laporan%20Claim%20KPB%20to%20MD%20H729%2016451-251029_0955.xls" TargetMode="External"/><Relationship Id="rId1" Type="http://schemas.openxmlformats.org/officeDocument/2006/relationships/externalLinkPath" Target="/Users/Meilia067746/Downloads/Laporan%20Claim%20KPB%20to%20MD%20H729%2016451-251029_095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port Rekap KPB"/>
      <sheetName val="Report Detail KPB"/>
    </sheetNames>
    <sheetDataSet>
      <sheetData sheetId="0" refreshError="1"/>
      <sheetData sheetId="1">
        <row r="2">
          <cell r="A2" t="str">
            <v>JBK1E2073437</v>
          </cell>
          <cell r="B2">
            <v>4</v>
          </cell>
          <cell r="C2" t="str">
            <v>26/02/2025</v>
          </cell>
          <cell r="D2" t="str">
            <v>06/10/2025</v>
          </cell>
          <cell r="E2">
            <v>11584</v>
          </cell>
          <cell r="F2" t="str">
            <v>16451-251029_0955</v>
          </cell>
        </row>
        <row r="3">
          <cell r="A3" t="str">
            <v>JBK1E2088232</v>
          </cell>
          <cell r="B3">
            <v>4</v>
          </cell>
          <cell r="C3" t="str">
            <v>01/03/2025</v>
          </cell>
          <cell r="D3" t="str">
            <v>11/10/2025</v>
          </cell>
          <cell r="E3">
            <v>4149</v>
          </cell>
          <cell r="F3" t="str">
            <v>16451-251107_1714</v>
          </cell>
        </row>
        <row r="4">
          <cell r="A4" t="str">
            <v>JBK1E2088240</v>
          </cell>
          <cell r="B4">
            <v>4</v>
          </cell>
          <cell r="C4" t="str">
            <v>27/02/2025</v>
          </cell>
          <cell r="D4" t="str">
            <v>06/10/2025</v>
          </cell>
          <cell r="E4">
            <v>5248</v>
          </cell>
          <cell r="F4" t="str">
            <v>16451-251029_0955</v>
          </cell>
        </row>
        <row r="5">
          <cell r="A5" t="str">
            <v>JBK1E2097319</v>
          </cell>
          <cell r="B5">
            <v>4</v>
          </cell>
          <cell r="C5" t="str">
            <v>03/05/2025</v>
          </cell>
          <cell r="D5" t="str">
            <v>06/10/2025</v>
          </cell>
          <cell r="E5">
            <v>3132</v>
          </cell>
          <cell r="F5" t="str">
            <v>16451-251029_0955</v>
          </cell>
        </row>
        <row r="6">
          <cell r="A6" t="str">
            <v>JBK1E2100332</v>
          </cell>
          <cell r="B6">
            <v>3</v>
          </cell>
          <cell r="C6" t="str">
            <v>30/05/2025</v>
          </cell>
          <cell r="D6" t="str">
            <v>24/10/2025</v>
          </cell>
          <cell r="E6">
            <v>4283</v>
          </cell>
          <cell r="F6" t="str">
            <v>16451-251107_1714</v>
          </cell>
        </row>
        <row r="7">
          <cell r="A7" t="str">
            <v>JBK1E2100336</v>
          </cell>
          <cell r="B7">
            <v>4</v>
          </cell>
          <cell r="C7" t="str">
            <v>09/06/2025</v>
          </cell>
          <cell r="D7" t="str">
            <v>06/10/2025</v>
          </cell>
          <cell r="E7">
            <v>5632</v>
          </cell>
          <cell r="F7" t="str">
            <v>16451-251029_0955</v>
          </cell>
        </row>
        <row r="8">
          <cell r="A8" t="str">
            <v>JBK1E2100913</v>
          </cell>
          <cell r="B8">
            <v>3</v>
          </cell>
          <cell r="C8" t="str">
            <v>22/05/2025</v>
          </cell>
          <cell r="D8" t="str">
            <v>10/10/2025</v>
          </cell>
          <cell r="E8">
            <v>5352</v>
          </cell>
          <cell r="F8" t="str">
            <v>16451-251029_0955</v>
          </cell>
        </row>
        <row r="9">
          <cell r="A9" t="str">
            <v>JBK1E2105125</v>
          </cell>
          <cell r="B9">
            <v>4</v>
          </cell>
          <cell r="C9" t="str">
            <v>16/06/2025</v>
          </cell>
          <cell r="D9" t="str">
            <v>01/10/2025</v>
          </cell>
          <cell r="E9">
            <v>6584</v>
          </cell>
          <cell r="F9" t="str">
            <v>16451-251029_0955</v>
          </cell>
        </row>
        <row r="10">
          <cell r="A10" t="str">
            <v>JBK1E2106319</v>
          </cell>
          <cell r="B10">
            <v>3</v>
          </cell>
          <cell r="C10" t="str">
            <v>13/07/2025</v>
          </cell>
          <cell r="D10" t="str">
            <v>06/10/2025</v>
          </cell>
          <cell r="E10">
            <v>2006</v>
          </cell>
          <cell r="F10" t="str">
            <v>16451-251029_0955</v>
          </cell>
        </row>
        <row r="11">
          <cell r="A11" t="str">
            <v>JBK1E2106319</v>
          </cell>
          <cell r="B11">
            <v>4</v>
          </cell>
          <cell r="C11" t="str">
            <v>13/07/2025</v>
          </cell>
          <cell r="D11" t="str">
            <v>25/10/2025</v>
          </cell>
          <cell r="E11">
            <v>2640</v>
          </cell>
          <cell r="F11" t="str">
            <v>16451-251107_1714</v>
          </cell>
        </row>
        <row r="12">
          <cell r="A12" t="str">
            <v>JBK1E2107358</v>
          </cell>
          <cell r="B12">
            <v>2</v>
          </cell>
          <cell r="C12" t="str">
            <v>12/07/2025</v>
          </cell>
          <cell r="D12" t="str">
            <v>10/10/2025</v>
          </cell>
          <cell r="E12">
            <v>419</v>
          </cell>
          <cell r="F12" t="str">
            <v>16451-251029_0955</v>
          </cell>
        </row>
        <row r="13">
          <cell r="A13" t="str">
            <v>JBK1E2113557</v>
          </cell>
          <cell r="B13">
            <v>2</v>
          </cell>
          <cell r="C13" t="str">
            <v>28/07/2025</v>
          </cell>
          <cell r="D13" t="str">
            <v>08/10/2025</v>
          </cell>
          <cell r="E13">
            <v>756</v>
          </cell>
          <cell r="F13" t="str">
            <v>16451-251029_0955</v>
          </cell>
        </row>
        <row r="14">
          <cell r="A14" t="str">
            <v>JBK1E2114382</v>
          </cell>
          <cell r="B14">
            <v>3</v>
          </cell>
          <cell r="C14" t="str">
            <v>28/07/2025</v>
          </cell>
          <cell r="D14" t="str">
            <v>07/10/2025</v>
          </cell>
          <cell r="E14">
            <v>2490</v>
          </cell>
          <cell r="F14" t="str">
            <v>16451-251029_0955</v>
          </cell>
        </row>
        <row r="15">
          <cell r="A15" t="str">
            <v>JBK1E2114391</v>
          </cell>
          <cell r="B15">
            <v>1</v>
          </cell>
          <cell r="C15" t="str">
            <v>20/08/2025</v>
          </cell>
          <cell r="D15" t="str">
            <v>10/10/2025</v>
          </cell>
          <cell r="E15">
            <v>700</v>
          </cell>
          <cell r="F15" t="str">
            <v>16451-251029_0955</v>
          </cell>
        </row>
        <row r="16">
          <cell r="A16" t="str">
            <v>JBK1E2115001</v>
          </cell>
          <cell r="B16">
            <v>2</v>
          </cell>
          <cell r="C16" t="str">
            <v>06/08/2025</v>
          </cell>
          <cell r="D16" t="str">
            <v>07/10/2025</v>
          </cell>
          <cell r="E16">
            <v>1269</v>
          </cell>
          <cell r="F16" t="str">
            <v>16451-251029_0955</v>
          </cell>
        </row>
        <row r="17">
          <cell r="A17" t="str">
            <v>JBK1E2115310</v>
          </cell>
          <cell r="B17">
            <v>2</v>
          </cell>
          <cell r="C17" t="str">
            <v>10/08/2025</v>
          </cell>
          <cell r="D17" t="str">
            <v>06/10/2025</v>
          </cell>
          <cell r="E17">
            <v>967</v>
          </cell>
          <cell r="F17" t="str">
            <v>16451-251029_0955</v>
          </cell>
        </row>
        <row r="18">
          <cell r="A18" t="str">
            <v>JBK1E2116324</v>
          </cell>
          <cell r="B18">
            <v>3</v>
          </cell>
          <cell r="C18" t="str">
            <v>08/08/2025</v>
          </cell>
          <cell r="D18" t="str">
            <v>04/10/2025</v>
          </cell>
          <cell r="E18">
            <v>3756</v>
          </cell>
          <cell r="F18" t="str">
            <v>16451-251029_0955</v>
          </cell>
        </row>
        <row r="19">
          <cell r="A19" t="str">
            <v>JBK1E2116324</v>
          </cell>
          <cell r="B19">
            <v>4</v>
          </cell>
          <cell r="C19" t="str">
            <v>08/08/2025</v>
          </cell>
          <cell r="D19" t="str">
            <v>13/10/2025</v>
          </cell>
          <cell r="E19">
            <v>4850</v>
          </cell>
          <cell r="F19" t="str">
            <v>16451-251107_1714</v>
          </cell>
        </row>
        <row r="20">
          <cell r="A20" t="str">
            <v>JBK1E2116624</v>
          </cell>
          <cell r="B20">
            <v>2</v>
          </cell>
          <cell r="C20" t="str">
            <v>19/08/2025</v>
          </cell>
          <cell r="D20" t="str">
            <v>11/10/2025</v>
          </cell>
          <cell r="E20">
            <v>1126</v>
          </cell>
          <cell r="F20" t="str">
            <v>16451-251107_1714</v>
          </cell>
        </row>
        <row r="21">
          <cell r="A21" t="str">
            <v>JBK1E2117636</v>
          </cell>
          <cell r="B21">
            <v>2</v>
          </cell>
          <cell r="C21" t="str">
            <v>15/08/2025</v>
          </cell>
          <cell r="D21" t="str">
            <v>13/10/2025</v>
          </cell>
          <cell r="E21">
            <v>1383</v>
          </cell>
          <cell r="F21" t="str">
            <v>16451-251107_1714</v>
          </cell>
        </row>
        <row r="22">
          <cell r="A22" t="str">
            <v>JBK1E2119733</v>
          </cell>
          <cell r="B22">
            <v>3</v>
          </cell>
          <cell r="C22" t="str">
            <v>19/08/2025</v>
          </cell>
          <cell r="D22" t="str">
            <v>21/10/2025</v>
          </cell>
          <cell r="E22">
            <v>1784</v>
          </cell>
          <cell r="F22" t="str">
            <v>16451-251107_1714</v>
          </cell>
        </row>
        <row r="23">
          <cell r="A23" t="str">
            <v>JBK1E2119830</v>
          </cell>
          <cell r="B23">
            <v>1</v>
          </cell>
          <cell r="C23" t="str">
            <v>13/09/2025</v>
          </cell>
          <cell r="D23" t="str">
            <v>06/10/2025</v>
          </cell>
          <cell r="E23">
            <v>457</v>
          </cell>
          <cell r="F23" t="str">
            <v>16451-251029_0955</v>
          </cell>
        </row>
        <row r="24">
          <cell r="A24" t="str">
            <v>JBK1E2124773</v>
          </cell>
          <cell r="B24">
            <v>1</v>
          </cell>
          <cell r="C24" t="str">
            <v>22/09/2025</v>
          </cell>
          <cell r="D24" t="str">
            <v>13/10/2025</v>
          </cell>
          <cell r="E24">
            <v>840</v>
          </cell>
          <cell r="F24" t="str">
            <v>16451-251107_1714</v>
          </cell>
        </row>
        <row r="25">
          <cell r="A25" t="str">
            <v>JBK1E2124936</v>
          </cell>
          <cell r="B25">
            <v>1</v>
          </cell>
          <cell r="C25" t="str">
            <v>26/09/2025</v>
          </cell>
          <cell r="D25" t="str">
            <v>13/10/2025</v>
          </cell>
          <cell r="E25">
            <v>427</v>
          </cell>
          <cell r="F25" t="str">
            <v>16451-251107_1714</v>
          </cell>
        </row>
        <row r="26">
          <cell r="A26" t="str">
            <v>JBK1E2125100</v>
          </cell>
          <cell r="B26">
            <v>1</v>
          </cell>
          <cell r="C26" t="str">
            <v>02/10/2025</v>
          </cell>
          <cell r="D26" t="str">
            <v>24/10/2025</v>
          </cell>
          <cell r="E26">
            <v>677</v>
          </cell>
          <cell r="F26" t="str">
            <v>16451-251107_1714</v>
          </cell>
        </row>
        <row r="27">
          <cell r="A27" t="str">
            <v>JBK3E1568963</v>
          </cell>
          <cell r="B27">
            <v>4</v>
          </cell>
          <cell r="C27" t="str">
            <v>15/04/2025</v>
          </cell>
          <cell r="D27" t="str">
            <v>10/10/2025</v>
          </cell>
          <cell r="E27">
            <v>3950</v>
          </cell>
          <cell r="F27" t="str">
            <v>16451-251029_0955</v>
          </cell>
        </row>
        <row r="28">
          <cell r="A28" t="str">
            <v>JBK3E1574050</v>
          </cell>
          <cell r="B28">
            <v>3</v>
          </cell>
          <cell r="C28" t="str">
            <v>24/05/2025</v>
          </cell>
          <cell r="D28" t="str">
            <v>06/10/2025</v>
          </cell>
          <cell r="E28">
            <v>1770</v>
          </cell>
          <cell r="F28" t="str">
            <v>16451-251029_0955</v>
          </cell>
        </row>
        <row r="29">
          <cell r="A29" t="str">
            <v>JBK3E1574306</v>
          </cell>
          <cell r="B29">
            <v>3</v>
          </cell>
          <cell r="C29" t="str">
            <v>19/05/2025</v>
          </cell>
          <cell r="D29" t="str">
            <v>06/10/2025</v>
          </cell>
          <cell r="E29">
            <v>2380</v>
          </cell>
          <cell r="F29" t="str">
            <v>16451-251029_0955</v>
          </cell>
        </row>
        <row r="30">
          <cell r="A30" t="str">
            <v>JBK3E1574306</v>
          </cell>
          <cell r="B30">
            <v>4</v>
          </cell>
          <cell r="C30" t="str">
            <v>19/05/2025</v>
          </cell>
          <cell r="D30" t="str">
            <v>16/10/2025</v>
          </cell>
          <cell r="E30">
            <v>4815</v>
          </cell>
          <cell r="F30" t="str">
            <v>16451-251107_1714</v>
          </cell>
        </row>
        <row r="31">
          <cell r="A31" t="str">
            <v>JBK3E1574789</v>
          </cell>
          <cell r="B31">
            <v>3</v>
          </cell>
          <cell r="C31" t="str">
            <v>17/05/2025</v>
          </cell>
          <cell r="D31" t="str">
            <v>11/10/2025</v>
          </cell>
          <cell r="E31">
            <v>3339</v>
          </cell>
          <cell r="F31" t="str">
            <v>16451-251107_1714</v>
          </cell>
        </row>
        <row r="32">
          <cell r="A32" t="str">
            <v>JBK3E1577014</v>
          </cell>
          <cell r="B32">
            <v>3</v>
          </cell>
          <cell r="C32" t="str">
            <v>11/06/2025</v>
          </cell>
          <cell r="D32" t="str">
            <v>18/10/2025</v>
          </cell>
          <cell r="E32">
            <v>2866</v>
          </cell>
          <cell r="F32" t="str">
            <v>16451-251107_1714</v>
          </cell>
        </row>
        <row r="33">
          <cell r="A33" t="str">
            <v>JBK3E1578476</v>
          </cell>
          <cell r="B33">
            <v>2</v>
          </cell>
          <cell r="C33" t="str">
            <v>19/06/2025</v>
          </cell>
          <cell r="D33" t="str">
            <v>01/10/2025</v>
          </cell>
          <cell r="E33">
            <v>3816</v>
          </cell>
          <cell r="F33" t="str">
            <v>16451-251029_0955</v>
          </cell>
        </row>
        <row r="34">
          <cell r="A34" t="str">
            <v>JBK3E1578895</v>
          </cell>
          <cell r="B34">
            <v>2</v>
          </cell>
          <cell r="C34" t="str">
            <v>14/06/2025</v>
          </cell>
          <cell r="D34" t="str">
            <v>14/10/2025</v>
          </cell>
          <cell r="E34">
            <v>3489</v>
          </cell>
          <cell r="F34" t="str">
            <v>16451-251107_1714</v>
          </cell>
        </row>
        <row r="35">
          <cell r="A35" t="str">
            <v>JBK3E1580891</v>
          </cell>
          <cell r="B35">
            <v>3</v>
          </cell>
          <cell r="C35" t="str">
            <v>23/06/2025</v>
          </cell>
          <cell r="D35" t="str">
            <v>28/10/2025</v>
          </cell>
          <cell r="E35">
            <v>4967</v>
          </cell>
          <cell r="F35" t="str">
            <v>16451-251107_1714</v>
          </cell>
        </row>
        <row r="36">
          <cell r="A36" t="str">
            <v>JBK3E1582662</v>
          </cell>
          <cell r="B36">
            <v>2</v>
          </cell>
          <cell r="C36" t="str">
            <v>07/07/2025</v>
          </cell>
          <cell r="D36" t="str">
            <v>24/10/2025</v>
          </cell>
          <cell r="E36">
            <v>742</v>
          </cell>
          <cell r="F36" t="str">
            <v>16451-251107_1714</v>
          </cell>
        </row>
        <row r="37">
          <cell r="A37" t="str">
            <v>JBK3E1582665</v>
          </cell>
          <cell r="B37">
            <v>2</v>
          </cell>
          <cell r="C37" t="str">
            <v>14/07/2025</v>
          </cell>
          <cell r="D37" t="str">
            <v>01/10/2025</v>
          </cell>
          <cell r="E37">
            <v>1154</v>
          </cell>
          <cell r="F37" t="str">
            <v>16451-251029_0955</v>
          </cell>
        </row>
        <row r="38">
          <cell r="A38" t="str">
            <v>JBK3E1584958</v>
          </cell>
          <cell r="B38">
            <v>3</v>
          </cell>
          <cell r="C38" t="str">
            <v>22/07/2025</v>
          </cell>
          <cell r="D38" t="str">
            <v>04/10/2025</v>
          </cell>
          <cell r="E38">
            <v>1781</v>
          </cell>
          <cell r="F38" t="str">
            <v>16451-251029_0955</v>
          </cell>
        </row>
        <row r="39">
          <cell r="A39" t="str">
            <v>JBK3E1586375</v>
          </cell>
          <cell r="B39">
            <v>2</v>
          </cell>
          <cell r="C39" t="str">
            <v>28/07/2025</v>
          </cell>
          <cell r="D39" t="str">
            <v>01/10/2025</v>
          </cell>
          <cell r="E39">
            <v>566</v>
          </cell>
          <cell r="F39" t="str">
            <v>16451-251029_0955</v>
          </cell>
        </row>
        <row r="40">
          <cell r="A40" t="str">
            <v>JBK3E1587525</v>
          </cell>
          <cell r="B40">
            <v>2</v>
          </cell>
          <cell r="C40" t="str">
            <v>06/08/2025</v>
          </cell>
          <cell r="D40" t="str">
            <v>08/10/2025</v>
          </cell>
          <cell r="E40">
            <v>924</v>
          </cell>
          <cell r="F40" t="str">
            <v>16451-251029_0955</v>
          </cell>
        </row>
        <row r="41">
          <cell r="A41" t="str">
            <v>JBK3E1587551</v>
          </cell>
          <cell r="B41">
            <v>2</v>
          </cell>
          <cell r="C41" t="str">
            <v>06/08/2025</v>
          </cell>
          <cell r="D41" t="str">
            <v>11/10/2025</v>
          </cell>
          <cell r="E41">
            <v>2172</v>
          </cell>
          <cell r="F41" t="str">
            <v>16451-251107_1714</v>
          </cell>
        </row>
        <row r="42">
          <cell r="A42" t="str">
            <v>JBK3E1588748</v>
          </cell>
          <cell r="B42">
            <v>1</v>
          </cell>
          <cell r="C42" t="str">
            <v>26/08/2025</v>
          </cell>
          <cell r="D42" t="str">
            <v>07/10/2025</v>
          </cell>
          <cell r="E42">
            <v>920</v>
          </cell>
          <cell r="F42" t="str">
            <v>16451-251029_0955</v>
          </cell>
        </row>
        <row r="43">
          <cell r="A43" t="str">
            <v>JBK3E1591344</v>
          </cell>
          <cell r="B43">
            <v>1</v>
          </cell>
          <cell r="C43" t="str">
            <v>23/09/2025</v>
          </cell>
          <cell r="D43" t="str">
            <v>16/10/2025</v>
          </cell>
          <cell r="E43">
            <v>709</v>
          </cell>
          <cell r="F43" t="str">
            <v>16451-251107_1714</v>
          </cell>
        </row>
        <row r="44">
          <cell r="A44" t="str">
            <v>JBK3E1592251</v>
          </cell>
          <cell r="B44">
            <v>1</v>
          </cell>
          <cell r="C44" t="str">
            <v>30/08/2025</v>
          </cell>
          <cell r="D44" t="str">
            <v>10/10/2025</v>
          </cell>
          <cell r="E44">
            <v>224</v>
          </cell>
          <cell r="F44" t="str">
            <v>16451-251029_0955</v>
          </cell>
        </row>
        <row r="45">
          <cell r="A45" t="str">
            <v>JBK3E1592318</v>
          </cell>
          <cell r="B45">
            <v>1</v>
          </cell>
          <cell r="C45" t="str">
            <v>31/08/2025</v>
          </cell>
          <cell r="D45" t="str">
            <v>10/10/2025</v>
          </cell>
          <cell r="E45">
            <v>252</v>
          </cell>
          <cell r="F45" t="str">
            <v>16451-251029_0955</v>
          </cell>
        </row>
        <row r="46">
          <cell r="A46" t="str">
            <v>JBK3E1592493</v>
          </cell>
          <cell r="B46">
            <v>1</v>
          </cell>
          <cell r="C46" t="str">
            <v>13/09/2025</v>
          </cell>
          <cell r="D46" t="str">
            <v>24/10/2025</v>
          </cell>
          <cell r="E46">
            <v>796</v>
          </cell>
          <cell r="F46" t="str">
            <v>16451-251107_1714</v>
          </cell>
        </row>
        <row r="47">
          <cell r="A47" t="str">
            <v>JBK3E1592767</v>
          </cell>
          <cell r="B47">
            <v>1</v>
          </cell>
          <cell r="C47" t="str">
            <v>10/09/2025</v>
          </cell>
          <cell r="D47" t="str">
            <v>10/10/2025</v>
          </cell>
          <cell r="E47">
            <v>361</v>
          </cell>
          <cell r="F47" t="str">
            <v>16451-251029_0955</v>
          </cell>
        </row>
        <row r="48">
          <cell r="A48" t="str">
            <v>JBK3E1593658</v>
          </cell>
          <cell r="B48">
            <v>1</v>
          </cell>
          <cell r="C48" t="str">
            <v>11/09/2025</v>
          </cell>
          <cell r="D48" t="str">
            <v>10/10/2025</v>
          </cell>
          <cell r="E48">
            <v>329</v>
          </cell>
          <cell r="F48" t="str">
            <v>16451-251029_0955</v>
          </cell>
        </row>
        <row r="49">
          <cell r="A49" t="str">
            <v>JBK3E1593707</v>
          </cell>
          <cell r="B49">
            <v>1</v>
          </cell>
          <cell r="C49" t="str">
            <v>08/09/2025</v>
          </cell>
          <cell r="D49" t="str">
            <v>24/10/2025</v>
          </cell>
          <cell r="E49">
            <v>604</v>
          </cell>
          <cell r="F49" t="str">
            <v>16451-251107_1714</v>
          </cell>
        </row>
        <row r="50">
          <cell r="A50" t="str">
            <v>JBK3E1593941</v>
          </cell>
          <cell r="B50">
            <v>1</v>
          </cell>
          <cell r="C50" t="str">
            <v>16/09/2025</v>
          </cell>
          <cell r="D50" t="str">
            <v>24/10/2025</v>
          </cell>
          <cell r="E50">
            <v>670</v>
          </cell>
          <cell r="F50" t="str">
            <v>16451-251107_1714</v>
          </cell>
        </row>
        <row r="51">
          <cell r="A51" t="str">
            <v>JBK3E1594652</v>
          </cell>
          <cell r="B51">
            <v>1</v>
          </cell>
          <cell r="C51" t="str">
            <v>18/09/2025</v>
          </cell>
          <cell r="D51" t="str">
            <v>24/10/2025</v>
          </cell>
          <cell r="E51">
            <v>895</v>
          </cell>
          <cell r="F51" t="str">
            <v>16451-251107_1714</v>
          </cell>
        </row>
        <row r="52">
          <cell r="A52" t="str">
            <v>JBK3E1594689</v>
          </cell>
          <cell r="B52">
            <v>1</v>
          </cell>
          <cell r="C52" t="str">
            <v>20/09/2025</v>
          </cell>
          <cell r="D52" t="str">
            <v>16/10/2025</v>
          </cell>
          <cell r="E52">
            <v>253</v>
          </cell>
          <cell r="F52" t="str">
            <v>16451-251107_1714</v>
          </cell>
        </row>
        <row r="53">
          <cell r="A53" t="str">
            <v>JBK3E1595736</v>
          </cell>
          <cell r="B53">
            <v>2</v>
          </cell>
          <cell r="C53" t="str">
            <v>17/09/2025</v>
          </cell>
          <cell r="D53" t="str">
            <v>23/10/2025</v>
          </cell>
          <cell r="E53">
            <v>1466</v>
          </cell>
          <cell r="F53" t="str">
            <v>16451-251107_1714</v>
          </cell>
        </row>
        <row r="54">
          <cell r="A54" t="str">
            <v>JBK3E1595744</v>
          </cell>
          <cell r="B54">
            <v>1</v>
          </cell>
          <cell r="C54" t="str">
            <v>19/09/2025</v>
          </cell>
          <cell r="D54" t="str">
            <v>10/10/2025</v>
          </cell>
          <cell r="E54">
            <v>961</v>
          </cell>
          <cell r="F54" t="str">
            <v>16451-251029_0955</v>
          </cell>
        </row>
        <row r="55">
          <cell r="A55" t="str">
            <v>JBK3E1597205</v>
          </cell>
          <cell r="B55">
            <v>1</v>
          </cell>
          <cell r="C55" t="str">
            <v>01/10/2025</v>
          </cell>
          <cell r="D55" t="str">
            <v>24/10/2025</v>
          </cell>
          <cell r="E55">
            <v>990</v>
          </cell>
          <cell r="F55" t="str">
            <v>16451-251107_1714</v>
          </cell>
        </row>
        <row r="56">
          <cell r="A56" t="str">
            <v>JBK3E1597313</v>
          </cell>
          <cell r="B56">
            <v>1</v>
          </cell>
          <cell r="C56" t="str">
            <v>26/09/2025</v>
          </cell>
          <cell r="D56" t="str">
            <v>24/10/2025</v>
          </cell>
          <cell r="E56">
            <v>651</v>
          </cell>
          <cell r="F56" t="str">
            <v>16451-251107_1714</v>
          </cell>
        </row>
        <row r="57">
          <cell r="A57" t="str">
            <v>JBN1E1248283</v>
          </cell>
          <cell r="B57">
            <v>4</v>
          </cell>
          <cell r="C57" t="str">
            <v>07/06/2025</v>
          </cell>
          <cell r="D57" t="str">
            <v>07/10/2025</v>
          </cell>
          <cell r="E57">
            <v>1988</v>
          </cell>
          <cell r="F57" t="str">
            <v>16451-251029_0955</v>
          </cell>
        </row>
        <row r="58">
          <cell r="A58" t="str">
            <v>JBP1E2096918</v>
          </cell>
          <cell r="B58">
            <v>4</v>
          </cell>
          <cell r="C58" t="str">
            <v>26/03/2025</v>
          </cell>
          <cell r="D58" t="str">
            <v>11/10/2025</v>
          </cell>
          <cell r="E58">
            <v>9185</v>
          </cell>
          <cell r="F58" t="str">
            <v>16451-251107_1714</v>
          </cell>
        </row>
        <row r="59">
          <cell r="A59" t="str">
            <v>JBP1E2114327</v>
          </cell>
          <cell r="B59">
            <v>1</v>
          </cell>
          <cell r="C59" t="str">
            <v>11/08/2025</v>
          </cell>
          <cell r="D59" t="str">
            <v>10/10/2025</v>
          </cell>
          <cell r="E59">
            <v>651</v>
          </cell>
          <cell r="F59" t="str">
            <v>16451-251029_0955</v>
          </cell>
        </row>
        <row r="60">
          <cell r="A60" t="str">
            <v>JBP1E2114501</v>
          </cell>
          <cell r="B60">
            <v>1</v>
          </cell>
          <cell r="C60" t="str">
            <v>27/08/2025</v>
          </cell>
          <cell r="D60" t="str">
            <v>10/10/2025</v>
          </cell>
          <cell r="E60">
            <v>298</v>
          </cell>
          <cell r="F60" t="str">
            <v>16451-251029_0955</v>
          </cell>
        </row>
        <row r="61">
          <cell r="A61" t="str">
            <v>JBP1E2117399</v>
          </cell>
          <cell r="B61">
            <v>1</v>
          </cell>
          <cell r="C61" t="str">
            <v>14/08/2025</v>
          </cell>
          <cell r="D61" t="str">
            <v>07/10/2025</v>
          </cell>
          <cell r="E61">
            <v>531</v>
          </cell>
          <cell r="F61" t="str">
            <v>16451-251029_0955</v>
          </cell>
        </row>
        <row r="62">
          <cell r="A62" t="str">
            <v>JBP1E2120790</v>
          </cell>
          <cell r="B62">
            <v>1</v>
          </cell>
          <cell r="C62" t="str">
            <v>08/09/2025</v>
          </cell>
          <cell r="D62" t="str">
            <v>24/10/2025</v>
          </cell>
          <cell r="E62">
            <v>478</v>
          </cell>
          <cell r="F62" t="str">
            <v>16451-251107_1714</v>
          </cell>
        </row>
        <row r="63">
          <cell r="A63" t="str">
            <v>JBP1E2121171</v>
          </cell>
          <cell r="B63">
            <v>1</v>
          </cell>
          <cell r="C63" t="str">
            <v>12/09/2025</v>
          </cell>
          <cell r="D63" t="str">
            <v>10/10/2025</v>
          </cell>
          <cell r="E63">
            <v>67</v>
          </cell>
          <cell r="F63" t="str">
            <v>16451-251029_0955</v>
          </cell>
        </row>
        <row r="64">
          <cell r="A64" t="str">
            <v>JBP1E2121858</v>
          </cell>
          <cell r="B64">
            <v>1</v>
          </cell>
          <cell r="C64" t="str">
            <v>11/09/2025</v>
          </cell>
          <cell r="D64" t="str">
            <v>24/10/2025</v>
          </cell>
          <cell r="E64">
            <v>693</v>
          </cell>
          <cell r="F64" t="str">
            <v>16451-251107_1714</v>
          </cell>
        </row>
        <row r="65">
          <cell r="A65" t="str">
            <v>JBP1E2121880</v>
          </cell>
          <cell r="B65">
            <v>1</v>
          </cell>
          <cell r="C65" t="str">
            <v>19/09/2025</v>
          </cell>
          <cell r="D65" t="str">
            <v>09/10/2025</v>
          </cell>
          <cell r="E65">
            <v>639</v>
          </cell>
          <cell r="F65" t="str">
            <v>16451-251029_0955</v>
          </cell>
        </row>
        <row r="66">
          <cell r="A66" t="str">
            <v>JMB1E1179549</v>
          </cell>
          <cell r="B66">
            <v>4</v>
          </cell>
          <cell r="C66" t="str">
            <v>30/11/2024</v>
          </cell>
          <cell r="D66" t="str">
            <v>21/10/2025</v>
          </cell>
          <cell r="E66">
            <v>9391</v>
          </cell>
          <cell r="F66" t="str">
            <v>16451-251107_1714</v>
          </cell>
        </row>
        <row r="67">
          <cell r="A67" t="str">
            <v>JMB1E1202643</v>
          </cell>
          <cell r="B67">
            <v>4</v>
          </cell>
          <cell r="C67" t="str">
            <v>14/06/2025</v>
          </cell>
          <cell r="D67" t="str">
            <v>30/10/2025</v>
          </cell>
          <cell r="E67">
            <v>3273</v>
          </cell>
          <cell r="F67" t="str">
            <v>16451-251107_1714</v>
          </cell>
        </row>
        <row r="68">
          <cell r="A68" t="str">
            <v>JMC1E1579788</v>
          </cell>
          <cell r="B68">
            <v>3</v>
          </cell>
          <cell r="C68" t="str">
            <v>07/03/2025</v>
          </cell>
          <cell r="D68" t="str">
            <v>31/10/2025</v>
          </cell>
          <cell r="E68">
            <v>3682</v>
          </cell>
          <cell r="F68" t="str">
            <v>16451-251107_1714</v>
          </cell>
        </row>
        <row r="69">
          <cell r="A69" t="str">
            <v>JMC1E1583558</v>
          </cell>
          <cell r="B69">
            <v>4</v>
          </cell>
          <cell r="C69" t="str">
            <v>15/03/2025</v>
          </cell>
          <cell r="D69" t="str">
            <v>06/10/2025</v>
          </cell>
          <cell r="E69">
            <v>9672</v>
          </cell>
          <cell r="F69" t="str">
            <v>16451-251029_0955</v>
          </cell>
        </row>
        <row r="70">
          <cell r="A70" t="str">
            <v>JMC1E1615483</v>
          </cell>
          <cell r="B70">
            <v>3</v>
          </cell>
          <cell r="C70" t="str">
            <v>03/05/2025</v>
          </cell>
          <cell r="D70" t="str">
            <v>25/10/2025</v>
          </cell>
          <cell r="E70">
            <v>3015</v>
          </cell>
          <cell r="F70" t="str">
            <v>16451-251107_1714</v>
          </cell>
        </row>
        <row r="71">
          <cell r="A71" t="str">
            <v>JMC1E1623000</v>
          </cell>
          <cell r="B71">
            <v>4</v>
          </cell>
          <cell r="C71" t="str">
            <v>19/05/2025</v>
          </cell>
          <cell r="D71" t="str">
            <v>08/10/2025</v>
          </cell>
          <cell r="E71">
            <v>4604</v>
          </cell>
          <cell r="F71" t="str">
            <v>16451-251029_0955</v>
          </cell>
        </row>
        <row r="72">
          <cell r="A72" t="str">
            <v>JMC1E1644477</v>
          </cell>
          <cell r="B72">
            <v>2</v>
          </cell>
          <cell r="C72" t="str">
            <v>26/06/2025</v>
          </cell>
          <cell r="D72" t="str">
            <v>04/10/2025</v>
          </cell>
          <cell r="E72">
            <v>1480</v>
          </cell>
          <cell r="F72" t="str">
            <v>16451-251029_0955</v>
          </cell>
        </row>
        <row r="73">
          <cell r="A73" t="str">
            <v>JMC1E1658342</v>
          </cell>
          <cell r="B73">
            <v>2</v>
          </cell>
          <cell r="C73" t="str">
            <v>05/07/2025</v>
          </cell>
          <cell r="D73" t="str">
            <v>01/10/2025</v>
          </cell>
          <cell r="E73">
            <v>1033</v>
          </cell>
          <cell r="F73" t="str">
            <v>16451-251029_0955</v>
          </cell>
        </row>
        <row r="74">
          <cell r="A74" t="str">
            <v>JMC1E1658342</v>
          </cell>
          <cell r="B74">
            <v>3</v>
          </cell>
          <cell r="C74" t="str">
            <v>05/07/2025</v>
          </cell>
          <cell r="D74" t="str">
            <v>25/10/2025</v>
          </cell>
          <cell r="E74">
            <v>1286</v>
          </cell>
          <cell r="F74" t="str">
            <v>16451-251107_1714</v>
          </cell>
        </row>
        <row r="75">
          <cell r="A75" t="str">
            <v>JMC1E1658344</v>
          </cell>
          <cell r="B75">
            <v>2</v>
          </cell>
          <cell r="C75" t="str">
            <v>07/07/2025</v>
          </cell>
          <cell r="D75" t="str">
            <v>02/10/2025</v>
          </cell>
          <cell r="E75">
            <v>1844</v>
          </cell>
          <cell r="F75" t="str">
            <v>16451-251029_0955</v>
          </cell>
        </row>
        <row r="76">
          <cell r="A76" t="str">
            <v>JMC1E1664754</v>
          </cell>
          <cell r="B76">
            <v>3</v>
          </cell>
          <cell r="C76" t="str">
            <v>08/07/2025</v>
          </cell>
          <cell r="D76" t="str">
            <v>06/10/2025</v>
          </cell>
          <cell r="E76">
            <v>3207</v>
          </cell>
          <cell r="F76" t="str">
            <v>16451-251029_0955</v>
          </cell>
        </row>
        <row r="77">
          <cell r="A77" t="str">
            <v>JMC1E1672496</v>
          </cell>
          <cell r="B77">
            <v>3</v>
          </cell>
          <cell r="C77" t="str">
            <v>21/07/2025</v>
          </cell>
          <cell r="D77" t="str">
            <v>26/10/2025</v>
          </cell>
          <cell r="E77">
            <v>1653</v>
          </cell>
          <cell r="F77" t="str">
            <v>16451-251107_1714</v>
          </cell>
        </row>
        <row r="78">
          <cell r="A78" t="str">
            <v>JMC1E1680818</v>
          </cell>
          <cell r="B78">
            <v>2</v>
          </cell>
          <cell r="C78" t="str">
            <v>31/07/2025</v>
          </cell>
          <cell r="D78" t="str">
            <v>09/10/2025</v>
          </cell>
          <cell r="E78">
            <v>1234</v>
          </cell>
          <cell r="F78" t="str">
            <v>16451-251029_0955</v>
          </cell>
        </row>
        <row r="79">
          <cell r="A79" t="str">
            <v>JMC1E1689841</v>
          </cell>
          <cell r="B79">
            <v>2</v>
          </cell>
          <cell r="C79" t="str">
            <v>16/08/2025</v>
          </cell>
          <cell r="D79" t="str">
            <v>30/10/2025</v>
          </cell>
          <cell r="E79">
            <v>1983</v>
          </cell>
          <cell r="F79" t="str">
            <v>16451-251107_1714</v>
          </cell>
        </row>
        <row r="80">
          <cell r="A80" t="str">
            <v>JMC1E1693287</v>
          </cell>
          <cell r="B80">
            <v>2</v>
          </cell>
          <cell r="C80" t="str">
            <v>16/08/2025</v>
          </cell>
          <cell r="D80" t="str">
            <v>02/10/2025</v>
          </cell>
          <cell r="E80">
            <v>1504</v>
          </cell>
          <cell r="F80" t="str">
            <v>16451-251029_0955</v>
          </cell>
        </row>
        <row r="81">
          <cell r="A81" t="str">
            <v>JMC1E1693287</v>
          </cell>
          <cell r="B81">
            <v>3</v>
          </cell>
          <cell r="C81" t="str">
            <v>16/08/2025</v>
          </cell>
          <cell r="D81" t="str">
            <v>15/10/2025</v>
          </cell>
          <cell r="E81">
            <v>3600</v>
          </cell>
          <cell r="F81" t="str">
            <v>16451-251107_1714</v>
          </cell>
        </row>
        <row r="82">
          <cell r="A82" t="str">
            <v>JMC1E1695596</v>
          </cell>
          <cell r="B82">
            <v>2</v>
          </cell>
          <cell r="C82" t="str">
            <v>22/08/2025</v>
          </cell>
          <cell r="D82" t="str">
            <v>30/10/2025</v>
          </cell>
          <cell r="E82">
            <v>2003</v>
          </cell>
          <cell r="F82" t="str">
            <v>16451-251107_1714</v>
          </cell>
        </row>
        <row r="83">
          <cell r="A83" t="str">
            <v>JMC1E1697832</v>
          </cell>
          <cell r="B83">
            <v>2</v>
          </cell>
          <cell r="C83" t="str">
            <v>28/08/2025</v>
          </cell>
          <cell r="D83" t="str">
            <v>28/10/2025</v>
          </cell>
          <cell r="E83">
            <v>3016</v>
          </cell>
          <cell r="F83" t="str">
            <v>16451-251107_1714</v>
          </cell>
        </row>
        <row r="84">
          <cell r="A84" t="str">
            <v>JMC1E1700728</v>
          </cell>
          <cell r="B84">
            <v>1</v>
          </cell>
          <cell r="C84" t="str">
            <v>04/09/2025</v>
          </cell>
          <cell r="D84" t="str">
            <v>06/10/2025</v>
          </cell>
          <cell r="E84">
            <v>808</v>
          </cell>
          <cell r="F84" t="str">
            <v>16451-251029_0955</v>
          </cell>
        </row>
        <row r="85">
          <cell r="A85" t="str">
            <v>JMC1E1700733</v>
          </cell>
          <cell r="B85">
            <v>1</v>
          </cell>
          <cell r="C85" t="str">
            <v>05/09/2025</v>
          </cell>
          <cell r="D85" t="str">
            <v>10/10/2025</v>
          </cell>
          <cell r="E85">
            <v>712</v>
          </cell>
          <cell r="F85" t="str">
            <v>16451-251029_0955</v>
          </cell>
        </row>
        <row r="86">
          <cell r="A86" t="str">
            <v>JMC1E1716304</v>
          </cell>
          <cell r="B86">
            <v>1</v>
          </cell>
          <cell r="C86" t="str">
            <v>16/09/2025</v>
          </cell>
          <cell r="D86" t="str">
            <v>10/10/2025</v>
          </cell>
          <cell r="E86">
            <v>868</v>
          </cell>
          <cell r="F86" t="str">
            <v>16451-251029_0955</v>
          </cell>
        </row>
        <row r="87">
          <cell r="A87" t="str">
            <v>JMC1E1716304</v>
          </cell>
          <cell r="B87">
            <v>2</v>
          </cell>
          <cell r="C87" t="str">
            <v>16/09/2025</v>
          </cell>
          <cell r="D87" t="str">
            <v>25/10/2025</v>
          </cell>
          <cell r="E87">
            <v>1653</v>
          </cell>
          <cell r="F87" t="str">
            <v>16451-251107_1714</v>
          </cell>
        </row>
        <row r="88">
          <cell r="A88" t="str">
            <v>JMC1E1721424</v>
          </cell>
          <cell r="B88">
            <v>1</v>
          </cell>
          <cell r="C88" t="str">
            <v>27/09/2025</v>
          </cell>
          <cell r="D88" t="str">
            <v>18/10/2025</v>
          </cell>
          <cell r="E88">
            <v>384</v>
          </cell>
          <cell r="F88" t="str">
            <v>16451-251107_1714</v>
          </cell>
        </row>
        <row r="89">
          <cell r="A89" t="str">
            <v>JMC1E1721684</v>
          </cell>
          <cell r="B89">
            <v>1</v>
          </cell>
          <cell r="C89" t="str">
            <v>25/09/2025</v>
          </cell>
          <cell r="D89" t="str">
            <v>21/10/2025</v>
          </cell>
          <cell r="E89">
            <v>785</v>
          </cell>
          <cell r="F89" t="str">
            <v>16451-251107_1714</v>
          </cell>
        </row>
        <row r="90">
          <cell r="A90" t="str">
            <v>JMD1E1909773</v>
          </cell>
          <cell r="B90">
            <v>3</v>
          </cell>
          <cell r="C90" t="str">
            <v>02/05/2025</v>
          </cell>
          <cell r="D90" t="str">
            <v>30/10/2025</v>
          </cell>
          <cell r="E90">
            <v>1740</v>
          </cell>
          <cell r="F90" t="str">
            <v>16451-251107_1714</v>
          </cell>
        </row>
        <row r="91">
          <cell r="A91" t="str">
            <v>JMD1E1932184</v>
          </cell>
          <cell r="B91">
            <v>4</v>
          </cell>
          <cell r="C91" t="str">
            <v>27/05/2025</v>
          </cell>
          <cell r="D91" t="str">
            <v>04/10/2025</v>
          </cell>
          <cell r="E91">
            <v>2597</v>
          </cell>
          <cell r="F91" t="str">
            <v>16451-251029_0955</v>
          </cell>
        </row>
        <row r="92">
          <cell r="A92" t="str">
            <v>JMD1E1956386</v>
          </cell>
          <cell r="B92">
            <v>2</v>
          </cell>
          <cell r="C92" t="str">
            <v>07/08/2025</v>
          </cell>
          <cell r="D92" t="str">
            <v>08/10/2025</v>
          </cell>
          <cell r="E92">
            <v>1269</v>
          </cell>
          <cell r="F92" t="str">
            <v>16451-251029_0955</v>
          </cell>
        </row>
        <row r="93">
          <cell r="A93" t="str">
            <v>JMD1E1967775</v>
          </cell>
          <cell r="B93">
            <v>3</v>
          </cell>
          <cell r="C93" t="str">
            <v>02/07/2025</v>
          </cell>
          <cell r="D93" t="str">
            <v>04/10/2025</v>
          </cell>
          <cell r="E93">
            <v>3200</v>
          </cell>
          <cell r="F93" t="str">
            <v>16451-251029_0955</v>
          </cell>
        </row>
        <row r="94">
          <cell r="A94" t="str">
            <v>JMD1E1969256</v>
          </cell>
          <cell r="B94">
            <v>3</v>
          </cell>
          <cell r="C94" t="str">
            <v>02/07/2025</v>
          </cell>
          <cell r="D94" t="str">
            <v>08/10/2025</v>
          </cell>
          <cell r="E94">
            <v>2716</v>
          </cell>
          <cell r="F94" t="str">
            <v>16451-251029_0955</v>
          </cell>
        </row>
        <row r="95">
          <cell r="A95" t="str">
            <v>JMD1E1978962</v>
          </cell>
          <cell r="B95">
            <v>3</v>
          </cell>
          <cell r="C95" t="str">
            <v>09/07/2025</v>
          </cell>
          <cell r="D95" t="str">
            <v>31/10/2025</v>
          </cell>
          <cell r="E95">
            <v>4110</v>
          </cell>
          <cell r="F95" t="str">
            <v>16451-251107_1714</v>
          </cell>
        </row>
        <row r="96">
          <cell r="A96" t="str">
            <v>JMD1E1997332</v>
          </cell>
          <cell r="B96">
            <v>2</v>
          </cell>
          <cell r="C96" t="str">
            <v>29/07/2025</v>
          </cell>
          <cell r="D96" t="str">
            <v>02/10/2025</v>
          </cell>
          <cell r="E96">
            <v>2098</v>
          </cell>
          <cell r="F96" t="str">
            <v>16451-251029_0955</v>
          </cell>
        </row>
        <row r="97">
          <cell r="A97" t="str">
            <v>JMD1E2001404</v>
          </cell>
          <cell r="B97">
            <v>2</v>
          </cell>
          <cell r="C97" t="str">
            <v>15/08/2025</v>
          </cell>
          <cell r="D97" t="str">
            <v>14/10/2025</v>
          </cell>
          <cell r="E97">
            <v>725</v>
          </cell>
          <cell r="F97" t="str">
            <v>16451-251107_1714</v>
          </cell>
        </row>
        <row r="98">
          <cell r="A98" t="str">
            <v>JMD1E2007213</v>
          </cell>
          <cell r="B98">
            <v>2</v>
          </cell>
          <cell r="C98" t="str">
            <v>09/08/2025</v>
          </cell>
          <cell r="D98" t="str">
            <v>08/10/2025</v>
          </cell>
          <cell r="E98">
            <v>831</v>
          </cell>
          <cell r="F98" t="str">
            <v>16451-251029_0955</v>
          </cell>
        </row>
        <row r="99">
          <cell r="A99" t="str">
            <v>JMD1E2015914</v>
          </cell>
          <cell r="B99">
            <v>2</v>
          </cell>
          <cell r="C99" t="str">
            <v>14/08/2025</v>
          </cell>
          <cell r="D99" t="str">
            <v>02/10/2025</v>
          </cell>
          <cell r="E99">
            <v>1116</v>
          </cell>
          <cell r="F99" t="str">
            <v>16451-251029_0955</v>
          </cell>
        </row>
        <row r="100">
          <cell r="A100" t="str">
            <v>JMD1E2019553</v>
          </cell>
          <cell r="B100">
            <v>1</v>
          </cell>
          <cell r="C100" t="str">
            <v>02/09/2025</v>
          </cell>
          <cell r="D100" t="str">
            <v>08/10/2025</v>
          </cell>
          <cell r="E100">
            <v>779</v>
          </cell>
          <cell r="F100" t="str">
            <v>16451-251029_0955</v>
          </cell>
        </row>
        <row r="101">
          <cell r="A101" t="str">
            <v>JMD1E2034189</v>
          </cell>
          <cell r="B101">
            <v>1</v>
          </cell>
          <cell r="C101" t="str">
            <v>09/09/2025</v>
          </cell>
          <cell r="D101" t="str">
            <v>10/10/2025</v>
          </cell>
          <cell r="E101">
            <v>886</v>
          </cell>
          <cell r="F101" t="str">
            <v>16451-251029_0955</v>
          </cell>
        </row>
        <row r="102">
          <cell r="A102" t="str">
            <v>JMD1E2047793</v>
          </cell>
          <cell r="B102">
            <v>1</v>
          </cell>
          <cell r="C102" t="str">
            <v>10/09/2025</v>
          </cell>
          <cell r="D102" t="str">
            <v>10/10/2025</v>
          </cell>
          <cell r="E102">
            <v>510</v>
          </cell>
          <cell r="F102" t="str">
            <v>16451-251029_0955</v>
          </cell>
        </row>
        <row r="103">
          <cell r="A103" t="str">
            <v>JMD1E2049371</v>
          </cell>
          <cell r="B103">
            <v>1</v>
          </cell>
          <cell r="C103" t="str">
            <v>20/09/2025</v>
          </cell>
          <cell r="D103" t="str">
            <v>07/10/2025</v>
          </cell>
          <cell r="E103">
            <v>660</v>
          </cell>
          <cell r="F103" t="str">
            <v>16451-251029_0955</v>
          </cell>
        </row>
        <row r="104">
          <cell r="A104" t="str">
            <v>JME1E1332214</v>
          </cell>
          <cell r="B104">
            <v>2</v>
          </cell>
          <cell r="C104" t="str">
            <v>24/07/2025</v>
          </cell>
          <cell r="D104" t="str">
            <v>30/10/2025</v>
          </cell>
          <cell r="E104">
            <v>1501</v>
          </cell>
          <cell r="F104" t="str">
            <v>16451-251107_1714</v>
          </cell>
        </row>
        <row r="105">
          <cell r="A105" t="str">
            <v>JME1E1395119</v>
          </cell>
          <cell r="B105">
            <v>4</v>
          </cell>
          <cell r="C105" t="str">
            <v>16/05/2025</v>
          </cell>
          <cell r="D105" t="str">
            <v>26/10/2025</v>
          </cell>
          <cell r="E105">
            <v>5010</v>
          </cell>
          <cell r="F105" t="str">
            <v>16451-251107_1714</v>
          </cell>
        </row>
        <row r="106">
          <cell r="A106" t="str">
            <v>JME1E1475057</v>
          </cell>
          <cell r="B106">
            <v>2</v>
          </cell>
          <cell r="C106" t="str">
            <v>15/07/2025</v>
          </cell>
          <cell r="D106" t="str">
            <v>18/10/2025</v>
          </cell>
          <cell r="E106">
            <v>2199</v>
          </cell>
          <cell r="F106" t="str">
            <v>16451-251107_1714</v>
          </cell>
        </row>
        <row r="107">
          <cell r="A107" t="str">
            <v>JME1E1500222</v>
          </cell>
          <cell r="B107">
            <v>2</v>
          </cell>
          <cell r="C107" t="str">
            <v>02/07/2025</v>
          </cell>
          <cell r="D107" t="str">
            <v>30/10/2025</v>
          </cell>
          <cell r="E107">
            <v>1147</v>
          </cell>
          <cell r="F107" t="str">
            <v>16451-251107_1714</v>
          </cell>
        </row>
        <row r="108">
          <cell r="A108" t="str">
            <v>JME1E1502565</v>
          </cell>
          <cell r="B108">
            <v>1</v>
          </cell>
          <cell r="C108" t="str">
            <v>06/09/2025</v>
          </cell>
          <cell r="D108" t="str">
            <v>29/10/2025</v>
          </cell>
          <cell r="E108">
            <v>582</v>
          </cell>
          <cell r="F108" t="str">
            <v>16451-251107_1714</v>
          </cell>
        </row>
        <row r="109">
          <cell r="A109" t="str">
            <v>JME1E1511416</v>
          </cell>
          <cell r="B109">
            <v>3</v>
          </cell>
          <cell r="C109" t="str">
            <v>26/07/2025</v>
          </cell>
          <cell r="D109" t="str">
            <v>16/10/2025</v>
          </cell>
          <cell r="E109">
            <v>2282</v>
          </cell>
          <cell r="F109" t="str">
            <v>16451-251107_1714</v>
          </cell>
        </row>
        <row r="110">
          <cell r="A110" t="str">
            <v>JME1E1515833</v>
          </cell>
          <cell r="B110">
            <v>3</v>
          </cell>
          <cell r="C110" t="str">
            <v>28/06/2025</v>
          </cell>
          <cell r="D110" t="str">
            <v>16/10/2025</v>
          </cell>
          <cell r="E110">
            <v>3139</v>
          </cell>
          <cell r="F110" t="str">
            <v>16451-251107_1714</v>
          </cell>
        </row>
        <row r="111">
          <cell r="A111" t="str">
            <v>JME1E1515833</v>
          </cell>
          <cell r="B111">
            <v>4</v>
          </cell>
          <cell r="C111" t="str">
            <v>28/06/2025</v>
          </cell>
          <cell r="D111" t="str">
            <v>31/10/2025</v>
          </cell>
          <cell r="E111">
            <v>4867</v>
          </cell>
          <cell r="F111" t="str">
            <v>16451-251107_1714</v>
          </cell>
        </row>
        <row r="112">
          <cell r="A112" t="str">
            <v>JME1E1519173</v>
          </cell>
          <cell r="B112">
            <v>2</v>
          </cell>
          <cell r="C112" t="str">
            <v>06/08/2025</v>
          </cell>
          <cell r="D112" t="str">
            <v>18/10/2025</v>
          </cell>
          <cell r="E112">
            <v>2061</v>
          </cell>
          <cell r="F112" t="str">
            <v>16451-251107_1714</v>
          </cell>
        </row>
        <row r="113">
          <cell r="A113" t="str">
            <v>JME1E1526515</v>
          </cell>
          <cell r="B113">
            <v>3</v>
          </cell>
          <cell r="C113" t="str">
            <v>11/08/2025</v>
          </cell>
          <cell r="D113" t="str">
            <v>21/10/2025</v>
          </cell>
          <cell r="E113">
            <v>2734</v>
          </cell>
          <cell r="F113" t="str">
            <v>16451-251107_1714</v>
          </cell>
        </row>
        <row r="114">
          <cell r="A114" t="str">
            <v>JME1E1538314</v>
          </cell>
          <cell r="B114">
            <v>2</v>
          </cell>
          <cell r="C114" t="str">
            <v>13/07/2025</v>
          </cell>
          <cell r="D114" t="str">
            <v>30/10/2025</v>
          </cell>
          <cell r="E114">
            <v>1140</v>
          </cell>
          <cell r="F114" t="str">
            <v>16451-251107_1714</v>
          </cell>
        </row>
        <row r="115">
          <cell r="A115" t="str">
            <v>JME1E1602667</v>
          </cell>
          <cell r="B115">
            <v>3</v>
          </cell>
          <cell r="C115" t="str">
            <v>03/07/2025</v>
          </cell>
          <cell r="D115" t="str">
            <v>21/10/2025</v>
          </cell>
          <cell r="E115">
            <v>2915</v>
          </cell>
          <cell r="F115" t="str">
            <v>16451-251107_1714</v>
          </cell>
        </row>
        <row r="116">
          <cell r="A116" t="str">
            <v>JME1E1615675</v>
          </cell>
          <cell r="B116">
            <v>2</v>
          </cell>
          <cell r="C116" t="str">
            <v>08/08/2025</v>
          </cell>
          <cell r="D116" t="str">
            <v>18/10/2025</v>
          </cell>
          <cell r="E116">
            <v>1143</v>
          </cell>
          <cell r="F116" t="str">
            <v>16451-251107_1714</v>
          </cell>
        </row>
        <row r="117">
          <cell r="A117" t="str">
            <v>JME1E1669850</v>
          </cell>
          <cell r="B117">
            <v>2</v>
          </cell>
          <cell r="C117" t="str">
            <v>23/08/2025</v>
          </cell>
          <cell r="D117" t="str">
            <v>16/10/2025</v>
          </cell>
          <cell r="E117">
            <v>1231</v>
          </cell>
          <cell r="F117" t="str">
            <v>16451-251107_1714</v>
          </cell>
        </row>
        <row r="118">
          <cell r="A118" t="str">
            <v>JME1E1669850</v>
          </cell>
          <cell r="B118">
            <v>3</v>
          </cell>
          <cell r="C118" t="str">
            <v>23/08/2025</v>
          </cell>
          <cell r="D118" t="str">
            <v>26/10/2025</v>
          </cell>
          <cell r="E118">
            <v>2556</v>
          </cell>
          <cell r="F118" t="str">
            <v>16451-251107_1714</v>
          </cell>
        </row>
        <row r="119">
          <cell r="A119" t="str">
            <v>JME1E1672496</v>
          </cell>
          <cell r="B119">
            <v>2</v>
          </cell>
          <cell r="C119" t="str">
            <v>27/08/2025</v>
          </cell>
          <cell r="D119" t="str">
            <v>30/10/2025</v>
          </cell>
          <cell r="E119">
            <v>966</v>
          </cell>
          <cell r="F119" t="str">
            <v>16451-251107_1714</v>
          </cell>
        </row>
        <row r="120">
          <cell r="A120" t="str">
            <v>JME1E1672543</v>
          </cell>
          <cell r="B120">
            <v>2</v>
          </cell>
          <cell r="C120" t="str">
            <v>27/08/2025</v>
          </cell>
          <cell r="D120" t="str">
            <v>30/10/2025</v>
          </cell>
          <cell r="E120">
            <v>1588</v>
          </cell>
          <cell r="F120" t="str">
            <v>16451-251107_1714</v>
          </cell>
        </row>
        <row r="121">
          <cell r="A121" t="str">
            <v>JME1E1675612</v>
          </cell>
          <cell r="B121">
            <v>2</v>
          </cell>
          <cell r="C121" t="str">
            <v>21/08/2025</v>
          </cell>
          <cell r="D121" t="str">
            <v>21/10/2025</v>
          </cell>
          <cell r="E121">
            <v>1338</v>
          </cell>
          <cell r="F121" t="str">
            <v>16451-251107_1714</v>
          </cell>
        </row>
        <row r="122">
          <cell r="A122" t="str">
            <v>JME1E1723668</v>
          </cell>
          <cell r="B122">
            <v>1</v>
          </cell>
          <cell r="C122" t="str">
            <v>04/09/2025</v>
          </cell>
          <cell r="D122" t="str">
            <v>29/10/2025</v>
          </cell>
          <cell r="E122">
            <v>928</v>
          </cell>
          <cell r="F122" t="str">
            <v>16451-251107_1714</v>
          </cell>
        </row>
        <row r="123">
          <cell r="A123" t="str">
            <v>JMF1E1183679</v>
          </cell>
          <cell r="B123">
            <v>2</v>
          </cell>
          <cell r="C123" t="str">
            <v>06/08/2025</v>
          </cell>
          <cell r="D123" t="str">
            <v>28/10/2025</v>
          </cell>
          <cell r="E123">
            <v>452</v>
          </cell>
          <cell r="F123" t="str">
            <v>16451-251107_1714</v>
          </cell>
        </row>
        <row r="124">
          <cell r="A124" t="str">
            <v>JMF1E1248770</v>
          </cell>
          <cell r="B124">
            <v>3</v>
          </cell>
          <cell r="C124" t="str">
            <v>11/07/2025</v>
          </cell>
          <cell r="D124" t="str">
            <v>16/10/2025</v>
          </cell>
          <cell r="E124">
            <v>918</v>
          </cell>
          <cell r="F124" t="str">
            <v>16451-251107_1714</v>
          </cell>
        </row>
        <row r="125">
          <cell r="A125" t="str">
            <v>JMF1E1259071</v>
          </cell>
          <cell r="B125">
            <v>2</v>
          </cell>
          <cell r="C125" t="str">
            <v>26/07/2025</v>
          </cell>
          <cell r="D125" t="str">
            <v>16/10/2025</v>
          </cell>
          <cell r="E125">
            <v>2358</v>
          </cell>
          <cell r="F125" t="str">
            <v>16451-251107_1714</v>
          </cell>
        </row>
        <row r="126">
          <cell r="A126" t="str">
            <v>JMF1E1286736</v>
          </cell>
          <cell r="B126">
            <v>2</v>
          </cell>
          <cell r="C126" t="str">
            <v>06/08/2025</v>
          </cell>
          <cell r="D126" t="str">
            <v>18/10/2025</v>
          </cell>
          <cell r="E126">
            <v>2388</v>
          </cell>
          <cell r="F126" t="str">
            <v>16451-251107_1714</v>
          </cell>
        </row>
        <row r="127">
          <cell r="A127" t="str">
            <v>JMF1E1288016</v>
          </cell>
          <cell r="B127">
            <v>2</v>
          </cell>
          <cell r="C127" t="str">
            <v>07/08/2025</v>
          </cell>
          <cell r="D127" t="str">
            <v>18/10/2025</v>
          </cell>
          <cell r="E127">
            <v>1502</v>
          </cell>
          <cell r="F127" t="str">
            <v>16451-251107_1714</v>
          </cell>
        </row>
        <row r="128">
          <cell r="A128" t="str">
            <v>JMF1E1317195</v>
          </cell>
          <cell r="B128">
            <v>1</v>
          </cell>
          <cell r="C128" t="str">
            <v>12/09/2025</v>
          </cell>
          <cell r="D128" t="str">
            <v>29/10/2025</v>
          </cell>
          <cell r="E128">
            <v>346</v>
          </cell>
          <cell r="F128" t="str">
            <v>16451-251107_1714</v>
          </cell>
        </row>
        <row r="129">
          <cell r="A129" t="str">
            <v>JMF2E1391372</v>
          </cell>
          <cell r="B129">
            <v>2</v>
          </cell>
          <cell r="C129" t="str">
            <v>11/06/2025</v>
          </cell>
          <cell r="D129" t="str">
            <v>16/10/2025</v>
          </cell>
          <cell r="E129">
            <v>2310</v>
          </cell>
          <cell r="F129" t="str">
            <v>16451-251107_1714</v>
          </cell>
        </row>
        <row r="130">
          <cell r="A130" t="str">
            <v>JMF2E1442885</v>
          </cell>
          <cell r="B130">
            <v>2</v>
          </cell>
          <cell r="C130" t="str">
            <v>16/07/2025</v>
          </cell>
          <cell r="D130" t="str">
            <v>30/10/2025</v>
          </cell>
          <cell r="E130">
            <v>2639</v>
          </cell>
          <cell r="F130" t="str">
            <v>16451-251107_1714</v>
          </cell>
        </row>
        <row r="131">
          <cell r="A131" t="str">
            <v>JMF2E1501601</v>
          </cell>
          <cell r="B131">
            <v>2</v>
          </cell>
          <cell r="C131" t="str">
            <v>08/08/2025</v>
          </cell>
          <cell r="D131" t="str">
            <v>16/10/2025</v>
          </cell>
          <cell r="E131">
            <v>1511</v>
          </cell>
          <cell r="F131" t="str">
            <v>16451-251107_1714</v>
          </cell>
        </row>
        <row r="132">
          <cell r="A132" t="str">
            <v>JMF2E1503389</v>
          </cell>
          <cell r="B132">
            <v>2</v>
          </cell>
          <cell r="C132" t="str">
            <v>16/08/2025</v>
          </cell>
          <cell r="D132" t="str">
            <v>18/10/2025</v>
          </cell>
          <cell r="E132">
            <v>1164</v>
          </cell>
          <cell r="F132" t="str">
            <v>16451-251107_1714</v>
          </cell>
        </row>
        <row r="133">
          <cell r="A133" t="str">
            <v>JMG1E1316858</v>
          </cell>
          <cell r="B133">
            <v>3</v>
          </cell>
          <cell r="C133" t="str">
            <v>26/07/2025</v>
          </cell>
          <cell r="D133" t="str">
            <v>30/10/2025</v>
          </cell>
          <cell r="E133">
            <v>3413</v>
          </cell>
          <cell r="F133" t="str">
            <v>16451-251107_1714</v>
          </cell>
        </row>
        <row r="134">
          <cell r="A134" t="str">
            <v>JMH1E1104619</v>
          </cell>
          <cell r="B134">
            <v>4</v>
          </cell>
          <cell r="C134" t="str">
            <v>18/03/2025</v>
          </cell>
          <cell r="D134" t="str">
            <v>31/10/2025</v>
          </cell>
          <cell r="E134">
            <v>4397</v>
          </cell>
          <cell r="F134" t="str">
            <v>16451-251107_1714</v>
          </cell>
        </row>
        <row r="135">
          <cell r="A135" t="str">
            <v>JMH1E1138038</v>
          </cell>
          <cell r="B135">
            <v>3</v>
          </cell>
          <cell r="C135" t="str">
            <v>03/05/2025</v>
          </cell>
          <cell r="D135" t="str">
            <v>21/10/2025</v>
          </cell>
          <cell r="E135">
            <v>3823</v>
          </cell>
          <cell r="F135" t="str">
            <v>16451-251107_1714</v>
          </cell>
        </row>
        <row r="136">
          <cell r="A136" t="str">
            <v>JMH1E1155493</v>
          </cell>
          <cell r="B136">
            <v>3</v>
          </cell>
          <cell r="C136" t="str">
            <v>19/05/2025</v>
          </cell>
          <cell r="D136" t="str">
            <v>21/10/2025</v>
          </cell>
          <cell r="E136">
            <v>4541</v>
          </cell>
          <cell r="F136" t="str">
            <v>16451-251107_1714</v>
          </cell>
        </row>
        <row r="137">
          <cell r="A137" t="str">
            <v>JMH1E1163105</v>
          </cell>
          <cell r="B137">
            <v>4</v>
          </cell>
          <cell r="C137" t="str">
            <v>23/05/2025</v>
          </cell>
          <cell r="D137" t="str">
            <v>30/10/2025</v>
          </cell>
          <cell r="E137">
            <v>2699</v>
          </cell>
          <cell r="F137" t="str">
            <v>16451-251107_1714</v>
          </cell>
        </row>
        <row r="138">
          <cell r="A138" t="str">
            <v>JMH1E1176090</v>
          </cell>
          <cell r="B138">
            <v>2</v>
          </cell>
          <cell r="C138" t="str">
            <v>10/08/2025</v>
          </cell>
          <cell r="D138" t="str">
            <v>16/10/2025</v>
          </cell>
          <cell r="E138">
            <v>855</v>
          </cell>
          <cell r="F138" t="str">
            <v>16451-251107_1714</v>
          </cell>
        </row>
        <row r="139">
          <cell r="A139" t="str">
            <v>JMH1E1193904</v>
          </cell>
          <cell r="B139">
            <v>3</v>
          </cell>
          <cell r="C139" t="str">
            <v>19/07/2025</v>
          </cell>
          <cell r="D139" t="str">
            <v>30/10/2025</v>
          </cell>
          <cell r="E139">
            <v>1601</v>
          </cell>
          <cell r="F139" t="str">
            <v>16451-251107_1714</v>
          </cell>
        </row>
        <row r="140">
          <cell r="A140" t="str">
            <v>JMH1E1204508</v>
          </cell>
          <cell r="B140">
            <v>2</v>
          </cell>
          <cell r="C140" t="str">
            <v>09/07/2025</v>
          </cell>
          <cell r="D140" t="str">
            <v>30/10/2025</v>
          </cell>
          <cell r="E140">
            <v>583</v>
          </cell>
          <cell r="F140" t="str">
            <v>16451-251107_1714</v>
          </cell>
        </row>
        <row r="141">
          <cell r="A141" t="str">
            <v>JMH1E1207344</v>
          </cell>
          <cell r="B141">
            <v>2</v>
          </cell>
          <cell r="C141" t="str">
            <v>30/07/2025</v>
          </cell>
          <cell r="D141" t="str">
            <v>18/10/2025</v>
          </cell>
          <cell r="E141">
            <v>3342</v>
          </cell>
          <cell r="F141" t="str">
            <v>16451-251107_1714</v>
          </cell>
        </row>
        <row r="142">
          <cell r="A142" t="str">
            <v>JMH1E1208644</v>
          </cell>
          <cell r="B142">
            <v>4</v>
          </cell>
          <cell r="C142" t="str">
            <v>10/07/2025</v>
          </cell>
          <cell r="D142" t="str">
            <v>21/10/2025</v>
          </cell>
          <cell r="E142">
            <v>3488</v>
          </cell>
          <cell r="F142" t="str">
            <v>16451-251107_1714</v>
          </cell>
        </row>
        <row r="143">
          <cell r="A143" t="str">
            <v>JMH1E1208655</v>
          </cell>
          <cell r="B143">
            <v>3</v>
          </cell>
          <cell r="C143" t="str">
            <v>17/07/2025</v>
          </cell>
          <cell r="D143" t="str">
            <v>30/10/2025</v>
          </cell>
          <cell r="E143">
            <v>1317</v>
          </cell>
          <cell r="F143" t="str">
            <v>16451-251107_1714</v>
          </cell>
        </row>
        <row r="144">
          <cell r="A144" t="str">
            <v>JMH1E1225051</v>
          </cell>
          <cell r="B144">
            <v>2</v>
          </cell>
          <cell r="C144" t="str">
            <v>11/08/2025</v>
          </cell>
          <cell r="D144" t="str">
            <v>30/10/2025</v>
          </cell>
          <cell r="E144">
            <v>595</v>
          </cell>
          <cell r="F144" t="str">
            <v>16451-251107_1714</v>
          </cell>
        </row>
        <row r="145">
          <cell r="A145" t="str">
            <v>JMH1E1228570</v>
          </cell>
          <cell r="B145">
            <v>2</v>
          </cell>
          <cell r="C145" t="str">
            <v>08/08/2025</v>
          </cell>
          <cell r="D145" t="str">
            <v>18/10/2025</v>
          </cell>
          <cell r="E145">
            <v>1814</v>
          </cell>
          <cell r="F145" t="str">
            <v>16451-251107_1714</v>
          </cell>
        </row>
        <row r="146">
          <cell r="A146" t="str">
            <v>JMH1E1228570</v>
          </cell>
          <cell r="B146">
            <v>3</v>
          </cell>
          <cell r="C146" t="str">
            <v>08/08/2025</v>
          </cell>
          <cell r="D146" t="str">
            <v>30/10/2025</v>
          </cell>
          <cell r="E146">
            <v>2208</v>
          </cell>
          <cell r="F146" t="str">
            <v>16451-251107_1714</v>
          </cell>
        </row>
        <row r="147">
          <cell r="A147" t="str">
            <v>JMH2E1131886</v>
          </cell>
          <cell r="B147">
            <v>2</v>
          </cell>
          <cell r="C147" t="str">
            <v>15/07/2025</v>
          </cell>
          <cell r="D147" t="str">
            <v>18/10/2025</v>
          </cell>
          <cell r="E147">
            <v>3198</v>
          </cell>
          <cell r="F147" t="str">
            <v>16451-251107_1714</v>
          </cell>
        </row>
        <row r="148">
          <cell r="A148" t="str">
            <v>JMH2E1146795</v>
          </cell>
          <cell r="B148">
            <v>3</v>
          </cell>
          <cell r="C148" t="str">
            <v>24/07/2025</v>
          </cell>
          <cell r="D148" t="str">
            <v>16/10/2025</v>
          </cell>
          <cell r="E148">
            <v>2358</v>
          </cell>
          <cell r="F148" t="str">
            <v>16451-251107_1714</v>
          </cell>
        </row>
        <row r="149">
          <cell r="A149" t="str">
            <v>JMH2E1217122</v>
          </cell>
          <cell r="B149">
            <v>2</v>
          </cell>
          <cell r="C149" t="str">
            <v>24/07/2025</v>
          </cell>
          <cell r="D149" t="str">
            <v>30/10/2025</v>
          </cell>
          <cell r="E149">
            <v>612</v>
          </cell>
          <cell r="F149" t="str">
            <v>16451-251107_1714</v>
          </cell>
        </row>
        <row r="150">
          <cell r="A150" t="str">
            <v>JMH2E1244763</v>
          </cell>
          <cell r="B150">
            <v>2</v>
          </cell>
          <cell r="C150" t="str">
            <v>03/07/2025</v>
          </cell>
          <cell r="D150" t="str">
            <v>30/10/2025</v>
          </cell>
          <cell r="E150">
            <v>1327</v>
          </cell>
          <cell r="F150" t="str">
            <v>16451-251107_1714</v>
          </cell>
        </row>
        <row r="151">
          <cell r="A151" t="str">
            <v>JMH2E1287310</v>
          </cell>
          <cell r="B151">
            <v>3</v>
          </cell>
          <cell r="C151" t="str">
            <v>09/05/2025</v>
          </cell>
          <cell r="D151" t="str">
            <v>30/10/2025</v>
          </cell>
          <cell r="E151">
            <v>1893</v>
          </cell>
          <cell r="F151" t="str">
            <v>16451-251107_1714</v>
          </cell>
        </row>
        <row r="152">
          <cell r="A152" t="str">
            <v>JMH2E1289140</v>
          </cell>
          <cell r="B152">
            <v>4</v>
          </cell>
          <cell r="C152" t="str">
            <v>07/05/2025</v>
          </cell>
          <cell r="D152" t="str">
            <v>22/10/2025</v>
          </cell>
          <cell r="E152">
            <v>4201</v>
          </cell>
          <cell r="F152" t="str">
            <v>16451-251107_1714</v>
          </cell>
        </row>
        <row r="153">
          <cell r="A153" t="str">
            <v>JMH2E1343106</v>
          </cell>
          <cell r="B153">
            <v>2</v>
          </cell>
          <cell r="C153" t="str">
            <v>29/07/2025</v>
          </cell>
          <cell r="D153" t="str">
            <v>18/10/2025</v>
          </cell>
          <cell r="E153">
            <v>1806</v>
          </cell>
          <cell r="F153" t="str">
            <v>16451-251107_1714</v>
          </cell>
        </row>
        <row r="154">
          <cell r="A154" t="str">
            <v>JMH2E1346173</v>
          </cell>
          <cell r="B154">
            <v>3</v>
          </cell>
          <cell r="C154" t="str">
            <v>03/06/2025</v>
          </cell>
          <cell r="D154" t="str">
            <v>30/10/2025</v>
          </cell>
          <cell r="E154">
            <v>4053</v>
          </cell>
          <cell r="F154" t="str">
            <v>16451-251107_1714</v>
          </cell>
        </row>
        <row r="155">
          <cell r="A155" t="str">
            <v>JMH2E1348315</v>
          </cell>
          <cell r="B155">
            <v>1</v>
          </cell>
          <cell r="C155" t="str">
            <v>08/09/2025</v>
          </cell>
          <cell r="D155" t="str">
            <v>29/10/2025</v>
          </cell>
          <cell r="E155">
            <v>930</v>
          </cell>
          <cell r="F155" t="str">
            <v>16451-251107_1714</v>
          </cell>
        </row>
        <row r="156">
          <cell r="A156" t="str">
            <v>JMH2E1381526</v>
          </cell>
          <cell r="B156">
            <v>2</v>
          </cell>
          <cell r="C156" t="str">
            <v>06/09/2025</v>
          </cell>
          <cell r="D156" t="str">
            <v>18/10/2025</v>
          </cell>
          <cell r="E156">
            <v>2226</v>
          </cell>
          <cell r="F156" t="str">
            <v>16451-251107_1714</v>
          </cell>
        </row>
        <row r="157">
          <cell r="A157" t="str">
            <v>JMH2E1398970</v>
          </cell>
          <cell r="B157">
            <v>2</v>
          </cell>
          <cell r="C157" t="str">
            <v>17/07/2025</v>
          </cell>
          <cell r="D157" t="str">
            <v>30/10/2025</v>
          </cell>
          <cell r="E157">
            <v>1412</v>
          </cell>
          <cell r="F157" t="str">
            <v>16451-251107_1714</v>
          </cell>
        </row>
        <row r="158">
          <cell r="A158" t="str">
            <v>JMH2E1416617</v>
          </cell>
          <cell r="B158">
            <v>2</v>
          </cell>
          <cell r="C158" t="str">
            <v>14/07/2025</v>
          </cell>
          <cell r="D158" t="str">
            <v>30/10/2025</v>
          </cell>
          <cell r="E158">
            <v>1276</v>
          </cell>
          <cell r="F158" t="str">
            <v>16451-251107_1714</v>
          </cell>
        </row>
        <row r="159">
          <cell r="A159" t="str">
            <v>JMH2E1430184</v>
          </cell>
          <cell r="B159">
            <v>2</v>
          </cell>
          <cell r="C159" t="str">
            <v>04/08/2025</v>
          </cell>
          <cell r="D159" t="str">
            <v>30/10/2025</v>
          </cell>
          <cell r="E159">
            <v>501</v>
          </cell>
          <cell r="F159" t="str">
            <v>16451-251107_1714</v>
          </cell>
        </row>
        <row r="160">
          <cell r="A160" t="str">
            <v>JMH2E1457219</v>
          </cell>
          <cell r="B160">
            <v>3</v>
          </cell>
          <cell r="C160" t="str">
            <v>25/07/2025</v>
          </cell>
          <cell r="D160" t="str">
            <v>28/10/2025</v>
          </cell>
          <cell r="E160">
            <v>6649</v>
          </cell>
          <cell r="F160" t="str">
            <v>16451-251107_1714</v>
          </cell>
        </row>
        <row r="161">
          <cell r="A161" t="str">
            <v>JMH2E1457276</v>
          </cell>
          <cell r="B161">
            <v>1</v>
          </cell>
          <cell r="C161" t="str">
            <v>03/09/2025</v>
          </cell>
          <cell r="D161" t="str">
            <v>29/10/2025</v>
          </cell>
          <cell r="E161">
            <v>747</v>
          </cell>
          <cell r="F161" t="str">
            <v>16451-251107_1714</v>
          </cell>
        </row>
        <row r="162">
          <cell r="A162" t="str">
            <v>JMH2E1468270</v>
          </cell>
          <cell r="B162">
            <v>1</v>
          </cell>
          <cell r="C162" t="str">
            <v>17/09/2025</v>
          </cell>
          <cell r="D162" t="str">
            <v>29/10/2025</v>
          </cell>
          <cell r="E162">
            <v>694</v>
          </cell>
          <cell r="F162" t="str">
            <v>16451-251107_1714</v>
          </cell>
        </row>
        <row r="163">
          <cell r="A163" t="str">
            <v>JMH2E1474149</v>
          </cell>
          <cell r="B163">
            <v>3</v>
          </cell>
          <cell r="C163" t="str">
            <v>10/08/2025</v>
          </cell>
          <cell r="D163" t="str">
            <v>16/10/2025</v>
          </cell>
          <cell r="E163">
            <v>1925</v>
          </cell>
          <cell r="F163" t="str">
            <v>16451-251107_1714</v>
          </cell>
        </row>
        <row r="164">
          <cell r="A164" t="str">
            <v>JMH2E1500424</v>
          </cell>
          <cell r="B164">
            <v>2</v>
          </cell>
          <cell r="C164" t="str">
            <v>04/09/2025</v>
          </cell>
          <cell r="D164" t="str">
            <v>18/10/2025</v>
          </cell>
          <cell r="E164">
            <v>1390</v>
          </cell>
          <cell r="F164" t="str">
            <v>16451-251107_1714</v>
          </cell>
        </row>
        <row r="165">
          <cell r="A165" t="str">
            <v>JMH2E1504954</v>
          </cell>
          <cell r="B165">
            <v>3</v>
          </cell>
          <cell r="C165" t="str">
            <v>06/09/2025</v>
          </cell>
          <cell r="D165" t="str">
            <v>21/10/2025</v>
          </cell>
          <cell r="E165">
            <v>1806</v>
          </cell>
          <cell r="F165" t="str">
            <v>16451-251107_1714</v>
          </cell>
        </row>
        <row r="166">
          <cell r="A166" t="str">
            <v>JMH2E1508994</v>
          </cell>
          <cell r="B166">
            <v>1</v>
          </cell>
          <cell r="C166" t="str">
            <v>03/09/2025</v>
          </cell>
          <cell r="D166" t="str">
            <v>29/10/2025</v>
          </cell>
          <cell r="E166">
            <v>803</v>
          </cell>
          <cell r="F166" t="str">
            <v>16451-251107_1714</v>
          </cell>
        </row>
        <row r="167">
          <cell r="A167" t="str">
            <v>JMH2E1508999</v>
          </cell>
          <cell r="B167">
            <v>1</v>
          </cell>
          <cell r="C167" t="str">
            <v>17/09/2025</v>
          </cell>
          <cell r="D167" t="str">
            <v>30/10/2025</v>
          </cell>
          <cell r="E167">
            <v>755</v>
          </cell>
          <cell r="F167" t="str">
            <v>16451-251107_1714</v>
          </cell>
        </row>
        <row r="168">
          <cell r="A168" t="str">
            <v>JMH2E1540148</v>
          </cell>
          <cell r="B168">
            <v>1</v>
          </cell>
          <cell r="C168" t="str">
            <v>22/09/2025</v>
          </cell>
          <cell r="D168" t="str">
            <v>29/10/2025</v>
          </cell>
          <cell r="E168">
            <v>265</v>
          </cell>
          <cell r="F168" t="str">
            <v>16451-251107_1714</v>
          </cell>
        </row>
        <row r="169">
          <cell r="A169" t="str">
            <v>JMH2E1541120</v>
          </cell>
          <cell r="B169">
            <v>1</v>
          </cell>
          <cell r="C169" t="str">
            <v>29/09/2025</v>
          </cell>
          <cell r="D169" t="str">
            <v>29/10/2025</v>
          </cell>
          <cell r="E169">
            <v>874</v>
          </cell>
          <cell r="F169" t="str">
            <v>16451-251107_1714</v>
          </cell>
        </row>
        <row r="170">
          <cell r="A170" t="str">
            <v>JMH2E1541451</v>
          </cell>
          <cell r="B170">
            <v>1</v>
          </cell>
          <cell r="C170" t="str">
            <v>22/09/2025</v>
          </cell>
          <cell r="D170" t="str">
            <v>29/10/2025</v>
          </cell>
          <cell r="E170">
            <v>251</v>
          </cell>
          <cell r="F170" t="str">
            <v>16451-251107_1714</v>
          </cell>
        </row>
        <row r="171">
          <cell r="A171" t="str">
            <v>JMH2E1560911</v>
          </cell>
          <cell r="B171">
            <v>1</v>
          </cell>
          <cell r="C171" t="str">
            <v>27/09/2025</v>
          </cell>
          <cell r="D171" t="str">
            <v>30/10/2025</v>
          </cell>
          <cell r="E171">
            <v>69</v>
          </cell>
          <cell r="F171" t="str">
            <v>16451-251107_1714</v>
          </cell>
        </row>
        <row r="172">
          <cell r="A172" t="str">
            <v>KB22E1052935</v>
          </cell>
          <cell r="B172">
            <v>3</v>
          </cell>
          <cell r="C172" t="str">
            <v>10/01/2025</v>
          </cell>
          <cell r="D172" t="str">
            <v>08/10/2025</v>
          </cell>
          <cell r="E172">
            <v>4388</v>
          </cell>
          <cell r="F172" t="str">
            <v>16451-251029_0955</v>
          </cell>
        </row>
        <row r="173">
          <cell r="A173" t="str">
            <v>KB22E1057564</v>
          </cell>
          <cell r="B173">
            <v>3</v>
          </cell>
          <cell r="C173" t="str">
            <v>14/05/2025</v>
          </cell>
          <cell r="D173" t="str">
            <v>08/10/2025</v>
          </cell>
          <cell r="E173">
            <v>2046</v>
          </cell>
          <cell r="F173" t="str">
            <v>16451-251029_0955</v>
          </cell>
        </row>
        <row r="174">
          <cell r="A174" t="str">
            <v>KB22E1058102</v>
          </cell>
          <cell r="B174">
            <v>1</v>
          </cell>
          <cell r="C174" t="str">
            <v>14/08/2025</v>
          </cell>
          <cell r="D174" t="str">
            <v>15/10/2025</v>
          </cell>
          <cell r="E174">
            <v>690</v>
          </cell>
          <cell r="F174" t="str">
            <v>16451-251107_1714</v>
          </cell>
        </row>
        <row r="175">
          <cell r="A175" t="str">
            <v>KB22E1058920</v>
          </cell>
          <cell r="B175">
            <v>1</v>
          </cell>
          <cell r="C175" t="str">
            <v>06/09/2025</v>
          </cell>
          <cell r="D175" t="str">
            <v>10/10/2025</v>
          </cell>
          <cell r="E175">
            <v>1032</v>
          </cell>
          <cell r="F175" t="str">
            <v>16451-251029_0955</v>
          </cell>
        </row>
        <row r="176">
          <cell r="A176" t="str">
            <v>KB22E1058920</v>
          </cell>
          <cell r="B176">
            <v>2</v>
          </cell>
          <cell r="C176" t="str">
            <v>06/09/2025</v>
          </cell>
          <cell r="D176" t="str">
            <v>28/10/2025</v>
          </cell>
          <cell r="E176">
            <v>1170</v>
          </cell>
          <cell r="F176" t="str">
            <v>16451-251107_1714</v>
          </cell>
        </row>
        <row r="177">
          <cell r="A177" t="str">
            <v>KC02E1284500</v>
          </cell>
          <cell r="B177">
            <v>4</v>
          </cell>
          <cell r="C177" t="str">
            <v>11/01/2025</v>
          </cell>
          <cell r="D177" t="str">
            <v>06/10/2025</v>
          </cell>
          <cell r="E177">
            <v>7321</v>
          </cell>
          <cell r="F177" t="str">
            <v>16451-251029_0955</v>
          </cell>
        </row>
        <row r="178">
          <cell r="A178" t="str">
            <v>KC02E1290532</v>
          </cell>
          <cell r="B178">
            <v>3</v>
          </cell>
          <cell r="C178" t="str">
            <v>19/02/2025</v>
          </cell>
          <cell r="D178" t="str">
            <v>06/10/2025</v>
          </cell>
          <cell r="E178">
            <v>883</v>
          </cell>
          <cell r="F178" t="str">
            <v>16451-251029_0955</v>
          </cell>
        </row>
        <row r="179">
          <cell r="A179" t="str">
            <v>KC03E1000639</v>
          </cell>
          <cell r="B179">
            <v>4</v>
          </cell>
          <cell r="C179" t="str">
            <v>13/06/2025</v>
          </cell>
          <cell r="D179" t="str">
            <v>18/10/2025</v>
          </cell>
          <cell r="E179">
            <v>2291</v>
          </cell>
          <cell r="F179" t="str">
            <v>16451-251107_1714</v>
          </cell>
        </row>
        <row r="180">
          <cell r="A180" t="str">
            <v>KC03E1003321</v>
          </cell>
          <cell r="B180">
            <v>1</v>
          </cell>
          <cell r="C180" t="str">
            <v>21/09/2025</v>
          </cell>
          <cell r="D180" t="str">
            <v>10/10/2025</v>
          </cell>
          <cell r="E180">
            <v>509</v>
          </cell>
          <cell r="F180" t="str">
            <v>16451-251029_0955</v>
          </cell>
        </row>
        <row r="181">
          <cell r="A181" t="str">
            <v>KC03E1003323</v>
          </cell>
          <cell r="B181">
            <v>1</v>
          </cell>
          <cell r="C181" t="str">
            <v>20/09/2025</v>
          </cell>
          <cell r="D181" t="str">
            <v>24/10/2025</v>
          </cell>
          <cell r="E181">
            <v>402</v>
          </cell>
          <cell r="F181" t="str">
            <v>16451-251107_1714</v>
          </cell>
        </row>
        <row r="182">
          <cell r="A182" t="str">
            <v>KC04E1000552</v>
          </cell>
          <cell r="B182">
            <v>4</v>
          </cell>
          <cell r="C182" t="str">
            <v>02/05/2025</v>
          </cell>
          <cell r="D182" t="str">
            <v>06/10/2025</v>
          </cell>
          <cell r="E182">
            <v>1940</v>
          </cell>
          <cell r="F182" t="str">
            <v>16451-251029_0955</v>
          </cell>
        </row>
        <row r="183">
          <cell r="A183" t="str">
            <v>KC04E1002969</v>
          </cell>
          <cell r="B183">
            <v>3</v>
          </cell>
          <cell r="C183" t="str">
            <v>19/05/2025</v>
          </cell>
          <cell r="D183" t="str">
            <v>14/10/2025</v>
          </cell>
          <cell r="E183">
            <v>7061</v>
          </cell>
          <cell r="F183" t="str">
            <v>16451-251107_1714</v>
          </cell>
        </row>
        <row r="184">
          <cell r="A184" t="str">
            <v>KC04E1002970</v>
          </cell>
          <cell r="B184">
            <v>3</v>
          </cell>
          <cell r="C184" t="str">
            <v>06/06/2025</v>
          </cell>
          <cell r="D184" t="str">
            <v>06/10/2025</v>
          </cell>
          <cell r="E184">
            <v>3308</v>
          </cell>
          <cell r="F184" t="str">
            <v>16451-251029_0955</v>
          </cell>
        </row>
        <row r="185">
          <cell r="A185" t="str">
            <v>KC04E1002970</v>
          </cell>
          <cell r="B185">
            <v>4</v>
          </cell>
          <cell r="C185" t="str">
            <v>06/06/2025</v>
          </cell>
          <cell r="D185" t="str">
            <v>23/10/2025</v>
          </cell>
          <cell r="E185">
            <v>3923</v>
          </cell>
          <cell r="F185" t="str">
            <v>16451-251107_1714</v>
          </cell>
        </row>
        <row r="186">
          <cell r="A186" t="str">
            <v>KC04E1003002</v>
          </cell>
          <cell r="B186">
            <v>3</v>
          </cell>
          <cell r="C186" t="str">
            <v>24/05/2025</v>
          </cell>
          <cell r="D186" t="str">
            <v>24/10/2025</v>
          </cell>
          <cell r="E186">
            <v>3155</v>
          </cell>
          <cell r="F186" t="str">
            <v>16451-251107_1714</v>
          </cell>
        </row>
        <row r="187">
          <cell r="A187" t="str">
            <v>KC04E1003007</v>
          </cell>
          <cell r="B187">
            <v>4</v>
          </cell>
          <cell r="C187" t="str">
            <v>30/05/2025</v>
          </cell>
          <cell r="D187" t="str">
            <v>21/10/2025</v>
          </cell>
          <cell r="E187">
            <v>3341</v>
          </cell>
          <cell r="F187" t="str">
            <v>16451-251107_1714</v>
          </cell>
        </row>
        <row r="188">
          <cell r="A188" t="str">
            <v>KC04E1003015</v>
          </cell>
          <cell r="B188">
            <v>4</v>
          </cell>
          <cell r="C188" t="str">
            <v>26/05/2025</v>
          </cell>
          <cell r="D188" t="str">
            <v>08/10/2025</v>
          </cell>
          <cell r="E188">
            <v>2106</v>
          </cell>
          <cell r="F188" t="str">
            <v>16451-251029_0955</v>
          </cell>
        </row>
        <row r="189">
          <cell r="A189" t="str">
            <v>KC04E1007341</v>
          </cell>
          <cell r="B189">
            <v>3</v>
          </cell>
          <cell r="C189" t="str">
            <v>18/06/2025</v>
          </cell>
          <cell r="D189" t="str">
            <v>23/10/2025</v>
          </cell>
          <cell r="E189">
            <v>2461</v>
          </cell>
          <cell r="F189" t="str">
            <v>16451-251107_1714</v>
          </cell>
        </row>
        <row r="190">
          <cell r="A190" t="str">
            <v>KC04E1008241</v>
          </cell>
          <cell r="B190">
            <v>4</v>
          </cell>
          <cell r="C190" t="str">
            <v>23/06/2025</v>
          </cell>
          <cell r="D190" t="str">
            <v>18/10/2025</v>
          </cell>
          <cell r="E190">
            <v>2999</v>
          </cell>
          <cell r="F190" t="str">
            <v>16451-251107_1714</v>
          </cell>
        </row>
        <row r="191">
          <cell r="A191" t="str">
            <v>KC04E1008249</v>
          </cell>
          <cell r="B191">
            <v>3</v>
          </cell>
          <cell r="C191" t="str">
            <v>22/06/2025</v>
          </cell>
          <cell r="D191" t="str">
            <v>01/10/2025</v>
          </cell>
          <cell r="E191">
            <v>2481</v>
          </cell>
          <cell r="F191" t="str">
            <v>16451-251029_0955</v>
          </cell>
        </row>
        <row r="192">
          <cell r="A192" t="str">
            <v>KC04E1008842</v>
          </cell>
          <cell r="B192">
            <v>2</v>
          </cell>
          <cell r="C192" t="str">
            <v>07/07/2025</v>
          </cell>
          <cell r="D192" t="str">
            <v>24/10/2025</v>
          </cell>
          <cell r="E192">
            <v>1751</v>
          </cell>
          <cell r="F192" t="str">
            <v>16451-251107_1714</v>
          </cell>
        </row>
        <row r="193">
          <cell r="A193" t="str">
            <v>KC04E1010029</v>
          </cell>
          <cell r="B193">
            <v>2</v>
          </cell>
          <cell r="C193" t="str">
            <v>14/07/2025</v>
          </cell>
          <cell r="D193" t="str">
            <v>01/10/2025</v>
          </cell>
          <cell r="E193">
            <v>1108</v>
          </cell>
          <cell r="F193" t="str">
            <v>16451-251029_0955</v>
          </cell>
        </row>
        <row r="194">
          <cell r="A194" t="str">
            <v>KC04E1010199</v>
          </cell>
          <cell r="B194">
            <v>3</v>
          </cell>
          <cell r="C194" t="str">
            <v>22/07/2025</v>
          </cell>
          <cell r="D194" t="str">
            <v>06/10/2025</v>
          </cell>
          <cell r="E194">
            <v>1326</v>
          </cell>
          <cell r="F194" t="str">
            <v>16451-251029_0955</v>
          </cell>
        </row>
        <row r="195">
          <cell r="A195" t="str">
            <v>KC04E1010548</v>
          </cell>
          <cell r="B195">
            <v>4</v>
          </cell>
          <cell r="C195" t="str">
            <v>18/07/2025</v>
          </cell>
          <cell r="D195" t="str">
            <v>09/10/2025</v>
          </cell>
          <cell r="E195">
            <v>2296</v>
          </cell>
          <cell r="F195" t="str">
            <v>16451-251029_0955</v>
          </cell>
        </row>
        <row r="196">
          <cell r="A196" t="str">
            <v>KC04E1010553</v>
          </cell>
          <cell r="B196">
            <v>2</v>
          </cell>
          <cell r="C196" t="str">
            <v>18/07/2025</v>
          </cell>
          <cell r="D196" t="str">
            <v>02/10/2025</v>
          </cell>
          <cell r="E196">
            <v>1692</v>
          </cell>
          <cell r="F196" t="str">
            <v>16451-251029_0955</v>
          </cell>
        </row>
        <row r="197">
          <cell r="A197" t="str">
            <v>KC04E1010553</v>
          </cell>
          <cell r="B197">
            <v>3</v>
          </cell>
          <cell r="C197" t="str">
            <v>18/07/2025</v>
          </cell>
          <cell r="D197" t="str">
            <v>13/10/2025</v>
          </cell>
          <cell r="E197">
            <v>2461</v>
          </cell>
          <cell r="F197" t="str">
            <v>16451-251107_1714</v>
          </cell>
        </row>
        <row r="198">
          <cell r="A198" t="str">
            <v>KC04E1010969</v>
          </cell>
          <cell r="B198">
            <v>3</v>
          </cell>
          <cell r="C198" t="str">
            <v>24/07/2025</v>
          </cell>
          <cell r="D198" t="str">
            <v>11/10/2025</v>
          </cell>
          <cell r="E198">
            <v>1601</v>
          </cell>
          <cell r="F198" t="str">
            <v>16451-251107_1714</v>
          </cell>
        </row>
        <row r="199">
          <cell r="A199" t="str">
            <v>KC04E1010974</v>
          </cell>
          <cell r="B199">
            <v>3</v>
          </cell>
          <cell r="C199" t="str">
            <v>22/07/2025</v>
          </cell>
          <cell r="D199" t="str">
            <v>04/10/2025</v>
          </cell>
          <cell r="E199">
            <v>2407</v>
          </cell>
          <cell r="F199" t="str">
            <v>16451-251029_0955</v>
          </cell>
        </row>
        <row r="200">
          <cell r="A200" t="str">
            <v>KC04E1010974</v>
          </cell>
          <cell r="B200">
            <v>4</v>
          </cell>
          <cell r="C200" t="str">
            <v>22/07/2025</v>
          </cell>
          <cell r="D200" t="str">
            <v>31/10/2025</v>
          </cell>
          <cell r="E200">
            <v>3049</v>
          </cell>
          <cell r="F200" t="str">
            <v>16451-251107_1714</v>
          </cell>
        </row>
        <row r="201">
          <cell r="A201" t="str">
            <v>KC04E1011212</v>
          </cell>
          <cell r="B201">
            <v>1</v>
          </cell>
          <cell r="C201" t="str">
            <v>28/07/2025</v>
          </cell>
          <cell r="D201" t="str">
            <v>10/10/2025</v>
          </cell>
          <cell r="E201">
            <v>392</v>
          </cell>
          <cell r="F201" t="str">
            <v>16451-251029_0955</v>
          </cell>
        </row>
        <row r="202">
          <cell r="A202" t="str">
            <v>KC04E1011422</v>
          </cell>
          <cell r="B202">
            <v>2</v>
          </cell>
          <cell r="C202" t="str">
            <v>26/07/2025</v>
          </cell>
          <cell r="D202" t="str">
            <v>15/10/2025</v>
          </cell>
          <cell r="E202">
            <v>2891</v>
          </cell>
          <cell r="F202" t="str">
            <v>16451-251107_1714</v>
          </cell>
        </row>
        <row r="203">
          <cell r="A203" t="str">
            <v>KC04E1011903</v>
          </cell>
          <cell r="B203">
            <v>3</v>
          </cell>
          <cell r="C203" t="str">
            <v>31/07/2025</v>
          </cell>
          <cell r="D203" t="str">
            <v>11/10/2025</v>
          </cell>
          <cell r="E203">
            <v>668</v>
          </cell>
          <cell r="F203" t="str">
            <v>16451-251107_1714</v>
          </cell>
        </row>
        <row r="204">
          <cell r="A204" t="str">
            <v>KC04E1011914</v>
          </cell>
          <cell r="B204">
            <v>2</v>
          </cell>
          <cell r="C204" t="str">
            <v>04/08/2025</v>
          </cell>
          <cell r="D204" t="str">
            <v>02/10/2025</v>
          </cell>
          <cell r="E204">
            <v>1232</v>
          </cell>
          <cell r="F204" t="str">
            <v>16451-251029_0955</v>
          </cell>
        </row>
        <row r="205">
          <cell r="A205" t="str">
            <v>KC04E1011914</v>
          </cell>
          <cell r="B205">
            <v>3</v>
          </cell>
          <cell r="C205" t="str">
            <v>04/08/2025</v>
          </cell>
          <cell r="D205" t="str">
            <v>26/10/2025</v>
          </cell>
          <cell r="E205">
            <v>2181</v>
          </cell>
          <cell r="F205" t="str">
            <v>16451-251107_1714</v>
          </cell>
        </row>
        <row r="206">
          <cell r="A206" t="str">
            <v>KC04E1012359</v>
          </cell>
          <cell r="B206">
            <v>2</v>
          </cell>
          <cell r="C206" t="str">
            <v>06/08/2025</v>
          </cell>
          <cell r="D206" t="str">
            <v>23/10/2025</v>
          </cell>
          <cell r="E206">
            <v>1776</v>
          </cell>
          <cell r="F206" t="str">
            <v>16451-251107_1714</v>
          </cell>
        </row>
        <row r="207">
          <cell r="A207" t="str">
            <v>KC04E1012789</v>
          </cell>
          <cell r="B207">
            <v>2</v>
          </cell>
          <cell r="C207" t="str">
            <v>14/08/2025</v>
          </cell>
          <cell r="D207" t="str">
            <v>11/10/2025</v>
          </cell>
          <cell r="E207">
            <v>550</v>
          </cell>
          <cell r="F207" t="str">
            <v>16451-251107_1714</v>
          </cell>
        </row>
        <row r="208">
          <cell r="A208" t="str">
            <v>KC04E1013187</v>
          </cell>
          <cell r="B208">
            <v>2</v>
          </cell>
          <cell r="C208" t="str">
            <v>14/08/2025</v>
          </cell>
          <cell r="D208" t="str">
            <v>11/10/2025</v>
          </cell>
          <cell r="E208">
            <v>1054</v>
          </cell>
          <cell r="F208" t="str">
            <v>16451-251107_1714</v>
          </cell>
        </row>
        <row r="209">
          <cell r="A209" t="str">
            <v>KC04E1013631</v>
          </cell>
          <cell r="B209">
            <v>2</v>
          </cell>
          <cell r="C209" t="str">
            <v>20/08/2025</v>
          </cell>
          <cell r="D209" t="str">
            <v>11/10/2025</v>
          </cell>
          <cell r="E209">
            <v>1605</v>
          </cell>
          <cell r="F209" t="str">
            <v>16451-251107_1714</v>
          </cell>
        </row>
        <row r="210">
          <cell r="A210" t="str">
            <v>KC04E1013633</v>
          </cell>
          <cell r="B210">
            <v>2</v>
          </cell>
          <cell r="C210" t="str">
            <v>18/08/2025</v>
          </cell>
          <cell r="D210" t="str">
            <v>06/10/2025</v>
          </cell>
          <cell r="E210">
            <v>1132</v>
          </cell>
          <cell r="F210" t="str">
            <v>16451-251029_0955</v>
          </cell>
        </row>
        <row r="211">
          <cell r="A211" t="str">
            <v>KC04E1013818</v>
          </cell>
          <cell r="B211">
            <v>2</v>
          </cell>
          <cell r="C211" t="str">
            <v>18/08/2025</v>
          </cell>
          <cell r="D211" t="str">
            <v>16/10/2025</v>
          </cell>
          <cell r="E211">
            <v>283</v>
          </cell>
          <cell r="F211" t="str">
            <v>16451-251107_1714</v>
          </cell>
        </row>
        <row r="212">
          <cell r="A212" t="str">
            <v>KC04E1014323</v>
          </cell>
          <cell r="B212">
            <v>1</v>
          </cell>
          <cell r="C212" t="str">
            <v>28/08/2025</v>
          </cell>
          <cell r="D212" t="str">
            <v>08/10/2025</v>
          </cell>
          <cell r="E212">
            <v>953</v>
          </cell>
          <cell r="F212" t="str">
            <v>16451-251029_0955</v>
          </cell>
        </row>
        <row r="213">
          <cell r="A213" t="str">
            <v>KC04E1014323</v>
          </cell>
          <cell r="B213">
            <v>2</v>
          </cell>
          <cell r="C213" t="str">
            <v>28/08/2025</v>
          </cell>
          <cell r="D213" t="str">
            <v>25/10/2025</v>
          </cell>
          <cell r="E213">
            <v>1467</v>
          </cell>
          <cell r="F213" t="str">
            <v>16451-251107_1714</v>
          </cell>
        </row>
        <row r="214">
          <cell r="A214" t="str">
            <v>KC04E1014585</v>
          </cell>
          <cell r="B214">
            <v>2</v>
          </cell>
          <cell r="C214" t="str">
            <v>27/08/2025</v>
          </cell>
          <cell r="D214" t="str">
            <v>08/10/2025</v>
          </cell>
          <cell r="E214">
            <v>482</v>
          </cell>
          <cell r="F214" t="str">
            <v>16451-251029_0955</v>
          </cell>
        </row>
        <row r="215">
          <cell r="A215" t="str">
            <v>KC04E1014622</v>
          </cell>
          <cell r="B215">
            <v>3</v>
          </cell>
          <cell r="C215" t="str">
            <v>22/08/2025</v>
          </cell>
          <cell r="D215" t="str">
            <v>07/10/2025</v>
          </cell>
          <cell r="E215">
            <v>2662</v>
          </cell>
          <cell r="F215" t="str">
            <v>16451-251029_0955</v>
          </cell>
        </row>
        <row r="216">
          <cell r="A216" t="str">
            <v>KC04E1015580</v>
          </cell>
          <cell r="B216">
            <v>1</v>
          </cell>
          <cell r="C216" t="str">
            <v>08/09/2025</v>
          </cell>
          <cell r="D216" t="str">
            <v>15/10/2025</v>
          </cell>
          <cell r="E216">
            <v>504</v>
          </cell>
          <cell r="F216" t="str">
            <v>16451-251107_1714</v>
          </cell>
        </row>
        <row r="217">
          <cell r="A217" t="str">
            <v>KC04E1015598</v>
          </cell>
          <cell r="B217">
            <v>1</v>
          </cell>
          <cell r="C217" t="str">
            <v>01/09/2025</v>
          </cell>
          <cell r="D217" t="str">
            <v>08/10/2025</v>
          </cell>
          <cell r="E217">
            <v>679</v>
          </cell>
          <cell r="F217" t="str">
            <v>16451-251029_0955</v>
          </cell>
        </row>
        <row r="218">
          <cell r="A218" t="str">
            <v>KC04E1015638</v>
          </cell>
          <cell r="B218">
            <v>2</v>
          </cell>
          <cell r="C218" t="str">
            <v>29/08/2025</v>
          </cell>
          <cell r="D218" t="str">
            <v>25/10/2025</v>
          </cell>
          <cell r="E218">
            <v>1942</v>
          </cell>
          <cell r="F218" t="str">
            <v>16451-251107_1714</v>
          </cell>
        </row>
        <row r="219">
          <cell r="A219" t="str">
            <v>KC04E1015917</v>
          </cell>
          <cell r="B219">
            <v>1</v>
          </cell>
          <cell r="C219" t="str">
            <v>11/09/2025</v>
          </cell>
          <cell r="D219" t="str">
            <v>10/10/2025</v>
          </cell>
          <cell r="E219">
            <v>381</v>
          </cell>
          <cell r="F219" t="str">
            <v>16451-251029_0955</v>
          </cell>
        </row>
        <row r="220">
          <cell r="A220" t="str">
            <v>KC04E1016405</v>
          </cell>
          <cell r="B220">
            <v>1</v>
          </cell>
          <cell r="C220" t="str">
            <v>08/09/2025</v>
          </cell>
          <cell r="D220" t="str">
            <v>10/10/2025</v>
          </cell>
          <cell r="E220">
            <v>908</v>
          </cell>
          <cell r="F220" t="str">
            <v>16451-251029_0955</v>
          </cell>
        </row>
        <row r="221">
          <cell r="A221" t="str">
            <v>KC04E1017662</v>
          </cell>
          <cell r="B221">
            <v>2</v>
          </cell>
          <cell r="C221" t="str">
            <v>16/09/2025</v>
          </cell>
          <cell r="D221" t="str">
            <v>30/10/2025</v>
          </cell>
          <cell r="E221">
            <v>1551</v>
          </cell>
          <cell r="F221" t="str">
            <v>16451-251107_1714</v>
          </cell>
        </row>
        <row r="222">
          <cell r="A222" t="str">
            <v>KC04E1017770</v>
          </cell>
          <cell r="B222">
            <v>1</v>
          </cell>
          <cell r="C222" t="str">
            <v>19/09/2025</v>
          </cell>
          <cell r="D222" t="str">
            <v>24/10/2025</v>
          </cell>
          <cell r="E222">
            <v>313</v>
          </cell>
          <cell r="F222" t="str">
            <v>16451-251107_1714</v>
          </cell>
        </row>
        <row r="223">
          <cell r="A223" t="str">
            <v>KC04E1018097</v>
          </cell>
          <cell r="B223">
            <v>1</v>
          </cell>
          <cell r="C223" t="str">
            <v>15/09/2025</v>
          </cell>
          <cell r="D223" t="str">
            <v>29/10/2025</v>
          </cell>
          <cell r="E223">
            <v>339</v>
          </cell>
          <cell r="F223" t="str">
            <v>16451-251107_1714</v>
          </cell>
        </row>
        <row r="224">
          <cell r="A224" t="str">
            <v>KC04E1018884</v>
          </cell>
          <cell r="B224">
            <v>1</v>
          </cell>
          <cell r="C224" t="str">
            <v>21/09/2025</v>
          </cell>
          <cell r="D224" t="str">
            <v>24/10/2025</v>
          </cell>
          <cell r="E224">
            <v>515</v>
          </cell>
          <cell r="F224" t="str">
            <v>16451-251107_1714</v>
          </cell>
        </row>
        <row r="225">
          <cell r="A225" t="str">
            <v>KC04E1019511</v>
          </cell>
          <cell r="B225">
            <v>1</v>
          </cell>
          <cell r="C225" t="str">
            <v>22/09/2025</v>
          </cell>
          <cell r="D225" t="str">
            <v>18/10/2025</v>
          </cell>
          <cell r="E225">
            <v>759</v>
          </cell>
          <cell r="F225" t="str">
            <v>16451-251107_1714</v>
          </cell>
        </row>
        <row r="226">
          <cell r="A226" t="str">
            <v>KC04E1019690</v>
          </cell>
          <cell r="B226">
            <v>1</v>
          </cell>
          <cell r="C226" t="str">
            <v>07/10/2025</v>
          </cell>
          <cell r="D226" t="str">
            <v>14/10/2025</v>
          </cell>
          <cell r="E226">
            <v>518</v>
          </cell>
          <cell r="F226" t="str">
            <v>16451-251107_1714</v>
          </cell>
        </row>
        <row r="227">
          <cell r="A227" t="str">
            <v>KC04E1020389</v>
          </cell>
          <cell r="B227">
            <v>1</v>
          </cell>
          <cell r="C227" t="str">
            <v>26/09/2025</v>
          </cell>
          <cell r="D227" t="str">
            <v>02/10/2025</v>
          </cell>
          <cell r="E227">
            <v>12</v>
          </cell>
          <cell r="F227" t="str">
            <v>16451-251029_0955</v>
          </cell>
        </row>
        <row r="228">
          <cell r="A228" t="str">
            <v>KC04E1020953</v>
          </cell>
          <cell r="B228">
            <v>1</v>
          </cell>
          <cell r="C228" t="str">
            <v>08/10/2025</v>
          </cell>
          <cell r="D228" t="str">
            <v>16/10/2025</v>
          </cell>
          <cell r="E228">
            <v>170</v>
          </cell>
          <cell r="F228" t="str">
            <v>16451-251107_1714</v>
          </cell>
        </row>
        <row r="229">
          <cell r="A229" t="str">
            <v>KD11E1600206</v>
          </cell>
          <cell r="B229">
            <v>3</v>
          </cell>
          <cell r="C229" t="str">
            <v>26/05/2025</v>
          </cell>
          <cell r="D229" t="str">
            <v>02/10/2025</v>
          </cell>
          <cell r="E229">
            <v>4707</v>
          </cell>
          <cell r="F229" t="str">
            <v>16451-251029_0955</v>
          </cell>
        </row>
        <row r="230">
          <cell r="A230" t="str">
            <v>KD11E1604917</v>
          </cell>
          <cell r="B230">
            <v>4</v>
          </cell>
          <cell r="C230" t="str">
            <v>15/05/2025</v>
          </cell>
          <cell r="D230" t="str">
            <v>06/10/2025</v>
          </cell>
          <cell r="E230">
            <v>3321</v>
          </cell>
          <cell r="F230" t="str">
            <v>16451-251029_0955</v>
          </cell>
        </row>
        <row r="231">
          <cell r="A231" t="str">
            <v>KD11E1606681</v>
          </cell>
          <cell r="B231">
            <v>3</v>
          </cell>
          <cell r="C231" t="str">
            <v>21/08/2025</v>
          </cell>
          <cell r="D231" t="str">
            <v>26/10/2025</v>
          </cell>
          <cell r="E231">
            <v>4579</v>
          </cell>
          <cell r="F231" t="str">
            <v>16451-251107_1714</v>
          </cell>
        </row>
        <row r="232">
          <cell r="A232" t="str">
            <v>KD11E1616372</v>
          </cell>
          <cell r="B232">
            <v>1</v>
          </cell>
          <cell r="C232" t="str">
            <v>25/08/2025</v>
          </cell>
          <cell r="D232" t="str">
            <v>10/10/2025</v>
          </cell>
          <cell r="E232">
            <v>599</v>
          </cell>
          <cell r="F232" t="str">
            <v>16451-251029_0955</v>
          </cell>
        </row>
        <row r="233">
          <cell r="A233" t="str">
            <v>KD11E1622273</v>
          </cell>
          <cell r="B233">
            <v>2</v>
          </cell>
          <cell r="C233" t="str">
            <v>13/08/2025</v>
          </cell>
          <cell r="D233" t="str">
            <v>10/10/2025</v>
          </cell>
          <cell r="E233">
            <v>1604</v>
          </cell>
          <cell r="F233" t="str">
            <v>16451-251029_0955</v>
          </cell>
        </row>
        <row r="234">
          <cell r="A234" t="str">
            <v>KD11E1626882</v>
          </cell>
          <cell r="B234">
            <v>2</v>
          </cell>
          <cell r="C234" t="str">
            <v>16/09/2025</v>
          </cell>
          <cell r="D234" t="str">
            <v>10/10/2025</v>
          </cell>
          <cell r="E234">
            <v>704</v>
          </cell>
          <cell r="F234" t="str">
            <v>16451-251029_0955</v>
          </cell>
        </row>
        <row r="235">
          <cell r="A235" t="str">
            <v>KF01E1862461</v>
          </cell>
          <cell r="B235">
            <v>3</v>
          </cell>
          <cell r="C235" t="str">
            <v>06/05/2025</v>
          </cell>
          <cell r="D235" t="str">
            <v>06/10/2025</v>
          </cell>
          <cell r="E235">
            <v>361</v>
          </cell>
          <cell r="F235" t="str">
            <v>16451-251029_0955</v>
          </cell>
        </row>
        <row r="236">
          <cell r="A236" t="str">
            <v>KF01E1886694</v>
          </cell>
          <cell r="B236">
            <v>3</v>
          </cell>
          <cell r="C236" t="str">
            <v>24/05/2025</v>
          </cell>
          <cell r="D236" t="str">
            <v>15/10/2025</v>
          </cell>
          <cell r="E236">
            <v>2162</v>
          </cell>
          <cell r="F236" t="str">
            <v>16451-251107_1714</v>
          </cell>
        </row>
        <row r="237">
          <cell r="A237" t="str">
            <v>KF01E1887046</v>
          </cell>
          <cell r="B237">
            <v>2</v>
          </cell>
          <cell r="C237" t="str">
            <v>21/06/2025</v>
          </cell>
          <cell r="D237" t="str">
            <v>01/10/2025</v>
          </cell>
          <cell r="E237">
            <v>2898</v>
          </cell>
          <cell r="F237" t="str">
            <v>16451-251029_0955</v>
          </cell>
        </row>
        <row r="238">
          <cell r="A238" t="str">
            <v>KF01E1897272</v>
          </cell>
          <cell r="B238">
            <v>3</v>
          </cell>
          <cell r="C238" t="str">
            <v>24/05/2025</v>
          </cell>
          <cell r="D238" t="str">
            <v>10/10/2025</v>
          </cell>
          <cell r="E238">
            <v>4873</v>
          </cell>
          <cell r="F238" t="str">
            <v>16451-251029_0955</v>
          </cell>
        </row>
        <row r="239">
          <cell r="A239" t="str">
            <v>KF01E1904125</v>
          </cell>
          <cell r="B239">
            <v>3</v>
          </cell>
          <cell r="C239" t="str">
            <v>09/06/2025</v>
          </cell>
          <cell r="D239" t="str">
            <v>06/10/2025</v>
          </cell>
          <cell r="E239">
            <v>2890</v>
          </cell>
          <cell r="F239" t="str">
            <v>16451-251029_0955</v>
          </cell>
        </row>
        <row r="240">
          <cell r="A240" t="str">
            <v>KF01E1904787</v>
          </cell>
          <cell r="B240">
            <v>3</v>
          </cell>
          <cell r="C240" t="str">
            <v>19/08/2025</v>
          </cell>
          <cell r="D240" t="str">
            <v>26/10/2025</v>
          </cell>
          <cell r="E240">
            <v>2145</v>
          </cell>
          <cell r="F240" t="str">
            <v>16451-251107_1714</v>
          </cell>
        </row>
        <row r="241">
          <cell r="A241" t="str">
            <v>KF01E1908415</v>
          </cell>
          <cell r="B241">
            <v>2</v>
          </cell>
          <cell r="C241" t="str">
            <v>26/08/2025</v>
          </cell>
          <cell r="D241" t="str">
            <v>30/10/2025</v>
          </cell>
          <cell r="E241">
            <v>2154</v>
          </cell>
          <cell r="F241" t="str">
            <v>16451-251107_1714</v>
          </cell>
        </row>
        <row r="242">
          <cell r="A242" t="str">
            <v>KF01E1913737</v>
          </cell>
          <cell r="B242">
            <v>2</v>
          </cell>
          <cell r="C242" t="str">
            <v>03/07/2025</v>
          </cell>
          <cell r="D242" t="str">
            <v>09/10/2025</v>
          </cell>
          <cell r="E242">
            <v>2465</v>
          </cell>
          <cell r="F242" t="str">
            <v>16451-251029_0955</v>
          </cell>
        </row>
        <row r="243">
          <cell r="A243" t="str">
            <v>KF01E1922836</v>
          </cell>
          <cell r="B243">
            <v>2</v>
          </cell>
          <cell r="C243" t="str">
            <v>22/07/2025</v>
          </cell>
          <cell r="D243" t="str">
            <v>25/10/2025</v>
          </cell>
          <cell r="E243">
            <v>1208</v>
          </cell>
          <cell r="F243" t="str">
            <v>16451-251107_1714</v>
          </cell>
        </row>
        <row r="244">
          <cell r="A244" t="str">
            <v>KF01E1929364</v>
          </cell>
          <cell r="B244">
            <v>2</v>
          </cell>
          <cell r="C244" t="str">
            <v>09/08/2025</v>
          </cell>
          <cell r="D244" t="str">
            <v>10/10/2025</v>
          </cell>
          <cell r="E244">
            <v>2796</v>
          </cell>
          <cell r="F244" t="str">
            <v>16451-251029_0955</v>
          </cell>
        </row>
        <row r="245">
          <cell r="A245" t="str">
            <v>KF01E1934248</v>
          </cell>
          <cell r="B245">
            <v>3</v>
          </cell>
          <cell r="C245" t="str">
            <v>14/08/2025</v>
          </cell>
          <cell r="D245" t="str">
            <v>04/10/2025</v>
          </cell>
          <cell r="E245">
            <v>584</v>
          </cell>
          <cell r="F245" t="str">
            <v>16451-251029_0955</v>
          </cell>
        </row>
        <row r="246">
          <cell r="A246" t="str">
            <v>KF01E1947975</v>
          </cell>
          <cell r="B246">
            <v>2</v>
          </cell>
          <cell r="C246" t="str">
            <v>11/08/2025</v>
          </cell>
          <cell r="D246" t="str">
            <v>08/10/2025</v>
          </cell>
          <cell r="E246">
            <v>1838</v>
          </cell>
          <cell r="F246" t="str">
            <v>16451-251029_0955</v>
          </cell>
        </row>
        <row r="247">
          <cell r="A247" t="str">
            <v>KF01E1951416</v>
          </cell>
          <cell r="B247">
            <v>2</v>
          </cell>
          <cell r="C247" t="str">
            <v>20/08/2025</v>
          </cell>
          <cell r="D247" t="str">
            <v>18/10/2025</v>
          </cell>
          <cell r="E247">
            <v>1263</v>
          </cell>
          <cell r="F247" t="str">
            <v>16451-251107_1714</v>
          </cell>
        </row>
        <row r="248">
          <cell r="A248" t="str">
            <v>KF01E1954408</v>
          </cell>
          <cell r="B248">
            <v>2</v>
          </cell>
          <cell r="C248" t="str">
            <v>11/08/2025</v>
          </cell>
          <cell r="D248" t="str">
            <v>02/10/2025</v>
          </cell>
          <cell r="E248">
            <v>1255</v>
          </cell>
          <cell r="F248" t="str">
            <v>16451-251029_0955</v>
          </cell>
        </row>
        <row r="249">
          <cell r="A249" t="str">
            <v>KF01E1957927</v>
          </cell>
          <cell r="B249">
            <v>2</v>
          </cell>
          <cell r="C249" t="str">
            <v>28/08/2025</v>
          </cell>
          <cell r="D249" t="str">
            <v>04/10/2025</v>
          </cell>
          <cell r="E249">
            <v>1257</v>
          </cell>
          <cell r="F249" t="str">
            <v>16451-251029_0955</v>
          </cell>
        </row>
        <row r="250">
          <cell r="A250" t="str">
            <v>KF01E1961038</v>
          </cell>
          <cell r="B250">
            <v>1</v>
          </cell>
          <cell r="C250" t="str">
            <v>15/09/2025</v>
          </cell>
          <cell r="D250" t="str">
            <v>01/10/2025</v>
          </cell>
          <cell r="E250">
            <v>674</v>
          </cell>
          <cell r="F250" t="str">
            <v>16451-251029_0955</v>
          </cell>
        </row>
        <row r="251">
          <cell r="A251" t="str">
            <v>KFA1E1309188</v>
          </cell>
          <cell r="B251">
            <v>2</v>
          </cell>
          <cell r="C251" t="str">
            <v>18/08/2025</v>
          </cell>
          <cell r="D251" t="str">
            <v>30/10/2025</v>
          </cell>
          <cell r="E251">
            <v>1325</v>
          </cell>
          <cell r="F251" t="str">
            <v>16451-251107_1714</v>
          </cell>
        </row>
        <row r="252">
          <cell r="A252" t="str">
            <v>KFA1E1309636</v>
          </cell>
          <cell r="B252">
            <v>2</v>
          </cell>
          <cell r="C252" t="str">
            <v>20/08/2025</v>
          </cell>
          <cell r="D252" t="str">
            <v>21/10/2025</v>
          </cell>
          <cell r="E252">
            <v>972</v>
          </cell>
          <cell r="F252" t="str">
            <v>16451-251107_1714</v>
          </cell>
        </row>
        <row r="253">
          <cell r="A253" t="str">
            <v>KFA1E1331739</v>
          </cell>
          <cell r="B253">
            <v>1</v>
          </cell>
          <cell r="C253" t="str">
            <v>24/09/2025</v>
          </cell>
          <cell r="D253" t="str">
            <v>04/10/2025</v>
          </cell>
          <cell r="E253">
            <v>522</v>
          </cell>
          <cell r="F253" t="str">
            <v>16451-251029_0955</v>
          </cell>
        </row>
        <row r="254">
          <cell r="A254" t="str">
            <v>KFB1E1108616</v>
          </cell>
          <cell r="B254">
            <v>3</v>
          </cell>
          <cell r="C254" t="str">
            <v>14/07/2025</v>
          </cell>
          <cell r="D254" t="str">
            <v>07/10/2025</v>
          </cell>
          <cell r="E254">
            <v>4289</v>
          </cell>
          <cell r="F254" t="str">
            <v>16451-251029_0955</v>
          </cell>
        </row>
        <row r="255">
          <cell r="A255" t="str">
            <v>KFC1E1132028</v>
          </cell>
          <cell r="B255">
            <v>3</v>
          </cell>
          <cell r="C255" t="str">
            <v>20/05/2025</v>
          </cell>
          <cell r="D255" t="str">
            <v>16/10/2025</v>
          </cell>
          <cell r="E255">
            <v>2082</v>
          </cell>
          <cell r="F255" t="str">
            <v>16451-251107_1714</v>
          </cell>
        </row>
        <row r="256">
          <cell r="A256" t="str">
            <v>KFC1E1148834</v>
          </cell>
          <cell r="B256">
            <v>2</v>
          </cell>
          <cell r="C256" t="str">
            <v>25/08/2025</v>
          </cell>
          <cell r="D256" t="str">
            <v>08/10/2025</v>
          </cell>
          <cell r="E256">
            <v>1313</v>
          </cell>
          <cell r="F256" t="str">
            <v>16451-251029_0955</v>
          </cell>
        </row>
        <row r="257">
          <cell r="A257" t="str">
            <v>KFC1E1154487</v>
          </cell>
          <cell r="B257">
            <v>3</v>
          </cell>
          <cell r="C257" t="str">
            <v>07/07/2025</v>
          </cell>
          <cell r="D257" t="str">
            <v>07/10/2025</v>
          </cell>
          <cell r="E257">
            <v>2468</v>
          </cell>
          <cell r="F257" t="str">
            <v>16451-251029_0955</v>
          </cell>
        </row>
        <row r="258">
          <cell r="A258" t="str">
            <v>KFC1E1182626</v>
          </cell>
          <cell r="B258">
            <v>2</v>
          </cell>
          <cell r="C258" t="str">
            <v>06/09/2025</v>
          </cell>
          <cell r="D258" t="str">
            <v>30/10/2025</v>
          </cell>
          <cell r="E258">
            <v>1256</v>
          </cell>
          <cell r="F258" t="str">
            <v>16451-251107_1714</v>
          </cell>
        </row>
        <row r="259">
          <cell r="A259" t="str">
            <v>KFD1E1132410</v>
          </cell>
          <cell r="B259">
            <v>2</v>
          </cell>
          <cell r="C259" t="str">
            <v>28/06/2025</v>
          </cell>
          <cell r="D259" t="str">
            <v>08/10/2025</v>
          </cell>
          <cell r="E259">
            <v>1415</v>
          </cell>
          <cell r="F259" t="str">
            <v>16451-251029_0955</v>
          </cell>
        </row>
        <row r="260">
          <cell r="A260" t="str">
            <v>KFD1E1148143</v>
          </cell>
          <cell r="B260">
            <v>1</v>
          </cell>
          <cell r="C260" t="str">
            <v>19/08/2025</v>
          </cell>
          <cell r="D260" t="str">
            <v>14/10/2025</v>
          </cell>
          <cell r="E260">
            <v>395</v>
          </cell>
          <cell r="F260" t="str">
            <v>16451-251107_1714</v>
          </cell>
        </row>
        <row r="261">
          <cell r="A261" t="str">
            <v>KFD1E1157778</v>
          </cell>
          <cell r="B261">
            <v>2</v>
          </cell>
          <cell r="C261" t="str">
            <v>31/07/2025</v>
          </cell>
          <cell r="D261" t="str">
            <v>15/10/2025</v>
          </cell>
          <cell r="E261">
            <v>2164</v>
          </cell>
          <cell r="F261" t="str">
            <v>16451-251107_1714</v>
          </cell>
        </row>
        <row r="262">
          <cell r="A262" t="str">
            <v>KFD1E1166893</v>
          </cell>
          <cell r="B262">
            <v>1</v>
          </cell>
          <cell r="C262" t="str">
            <v>01/10/2025</v>
          </cell>
          <cell r="D262" t="str">
            <v>07/10/2025</v>
          </cell>
          <cell r="E262">
            <v>30</v>
          </cell>
          <cell r="F262" t="str">
            <v>16451-251029_0955</v>
          </cell>
        </row>
        <row r="263">
          <cell r="A263" t="str">
            <v>KFE1E1291150</v>
          </cell>
          <cell r="B263">
            <v>1</v>
          </cell>
          <cell r="C263" t="str">
            <v>30/09/2025</v>
          </cell>
          <cell r="D263" t="str">
            <v>15/10/2025</v>
          </cell>
          <cell r="E263">
            <v>557</v>
          </cell>
          <cell r="F263" t="str">
            <v>16451-251107_1714</v>
          </cell>
        </row>
        <row r="264">
          <cell r="A264" t="str">
            <v>KFE2E1008601</v>
          </cell>
          <cell r="B264">
            <v>1</v>
          </cell>
          <cell r="C264" t="str">
            <v>03/09/2025</v>
          </cell>
          <cell r="D264" t="str">
            <v>01/10/2025</v>
          </cell>
          <cell r="E264">
            <v>822</v>
          </cell>
          <cell r="F264" t="str">
            <v>16451-251029_0955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1EE3F-236F-44AF-A578-F91180E80775}">
  <sheetPr filterMode="1"/>
  <dimension ref="A1:O264"/>
  <sheetViews>
    <sheetView tabSelected="1" workbookViewId="0">
      <pane ySplit="1" topLeftCell="A82" activePane="bottomLeft" state="frozen"/>
      <selection pane="bottomLeft" activeCell="B82" sqref="B82:B224"/>
    </sheetView>
  </sheetViews>
  <sheetFormatPr defaultRowHeight="15" x14ac:dyDescent="0.25"/>
  <cols>
    <col min="1" max="1" width="17.85546875" bestFit="1" customWidth="1"/>
    <col min="2" max="2" width="13.7109375" bestFit="1" customWidth="1"/>
    <col min="3" max="3" width="9.28515625" bestFit="1" customWidth="1"/>
    <col min="4" max="4" width="6" bestFit="1" customWidth="1"/>
    <col min="5" max="6" width="6" customWidth="1"/>
    <col min="7" max="10" width="11.85546875" customWidth="1"/>
    <col min="11" max="13" width="13.28515625" customWidth="1"/>
    <col min="14" max="14" width="88.7109375" hidden="1" customWidth="1"/>
    <col min="15" max="15" width="6.5703125" bestFit="1" customWidth="1"/>
  </cols>
  <sheetData>
    <row r="1" spans="1:15" x14ac:dyDescent="0.25">
      <c r="A1" s="3" t="s">
        <v>522</v>
      </c>
      <c r="B1" s="1" t="s">
        <v>0</v>
      </c>
      <c r="C1" s="1" t="s">
        <v>1</v>
      </c>
      <c r="D1" s="1" t="s">
        <v>2</v>
      </c>
      <c r="E1" s="1" t="s">
        <v>528</v>
      </c>
      <c r="F1" s="1" t="s">
        <v>529</v>
      </c>
      <c r="G1" s="1" t="s">
        <v>3</v>
      </c>
      <c r="H1" s="1" t="s">
        <v>525</v>
      </c>
      <c r="I1" s="1" t="s">
        <v>526</v>
      </c>
      <c r="J1" s="4" t="s">
        <v>527</v>
      </c>
      <c r="K1" s="1" t="s">
        <v>4</v>
      </c>
      <c r="L1" s="1" t="s">
        <v>523</v>
      </c>
      <c r="M1" s="1" t="s">
        <v>524</v>
      </c>
      <c r="N1" s="1" t="s">
        <v>5</v>
      </c>
      <c r="O1" s="1" t="s">
        <v>6</v>
      </c>
    </row>
    <row r="2" spans="1:15" hidden="1" x14ac:dyDescent="0.25">
      <c r="A2" t="str">
        <f>VLOOKUP(B2,'[1]Report Detail KPB'!$A$2:$F$264,6,0)</f>
        <v>16451-251029_0955</v>
      </c>
      <c r="B2" t="s">
        <v>7</v>
      </c>
      <c r="C2" t="s">
        <v>8</v>
      </c>
      <c r="D2">
        <v>11584</v>
      </c>
      <c r="E2">
        <v>11584</v>
      </c>
      <c r="F2" s="2" t="str">
        <f t="shared" ref="F2:F65" si="0">IF(D2=E2,"OK","Not")</f>
        <v>OK</v>
      </c>
      <c r="G2" s="2">
        <v>45714</v>
      </c>
      <c r="H2" s="2">
        <v>45714</v>
      </c>
      <c r="I2" s="2" t="str">
        <f t="shared" ref="I2:I65" si="1">IF(G2=H2,"OK","Not")</f>
        <v>OK</v>
      </c>
      <c r="J2">
        <f t="shared" ref="J2:J65" si="2">H2-G2</f>
        <v>0</v>
      </c>
      <c r="K2" s="2">
        <v>45936</v>
      </c>
      <c r="L2" s="2">
        <v>45936</v>
      </c>
      <c r="M2" s="2" t="str">
        <f t="shared" ref="M2:M65" si="3">IF(K2=L2,"OK","Not")</f>
        <v>OK</v>
      </c>
      <c r="N2" t="s">
        <v>9</v>
      </c>
      <c r="O2" t="s">
        <v>532</v>
      </c>
    </row>
    <row r="3" spans="1:15" hidden="1" x14ac:dyDescent="0.25">
      <c r="A3" t="str">
        <f>VLOOKUP(B3,'[1]Report Detail KPB'!$A$2:$F$264,6,0)</f>
        <v>16451-251107_1714</v>
      </c>
      <c r="B3" t="s">
        <v>10</v>
      </c>
      <c r="C3" t="s">
        <v>8</v>
      </c>
      <c r="D3">
        <v>4149</v>
      </c>
      <c r="E3">
        <v>4149</v>
      </c>
      <c r="F3" s="2" t="str">
        <f t="shared" si="0"/>
        <v>OK</v>
      </c>
      <c r="G3" s="2">
        <v>45719</v>
      </c>
      <c r="H3" s="2">
        <v>45717</v>
      </c>
      <c r="I3" s="2" t="str">
        <f t="shared" si="1"/>
        <v>Not</v>
      </c>
      <c r="J3">
        <f t="shared" si="2"/>
        <v>-2</v>
      </c>
      <c r="K3" s="2">
        <v>45941</v>
      </c>
      <c r="L3" s="2">
        <v>45941</v>
      </c>
      <c r="M3" s="2" t="str">
        <f t="shared" si="3"/>
        <v>OK</v>
      </c>
      <c r="N3" t="s">
        <v>11</v>
      </c>
      <c r="O3" t="s">
        <v>532</v>
      </c>
    </row>
    <row r="4" spans="1:15" hidden="1" x14ac:dyDescent="0.25">
      <c r="A4" t="str">
        <f>VLOOKUP(B4,'[1]Report Detail KPB'!$A$2:$F$264,6,0)</f>
        <v>16451-251029_0955</v>
      </c>
      <c r="B4" t="s">
        <v>12</v>
      </c>
      <c r="C4" t="s">
        <v>8</v>
      </c>
      <c r="D4">
        <v>5248</v>
      </c>
      <c r="E4">
        <v>5248</v>
      </c>
      <c r="F4" s="2" t="str">
        <f t="shared" si="0"/>
        <v>OK</v>
      </c>
      <c r="G4" s="2">
        <v>45715</v>
      </c>
      <c r="H4" s="2">
        <v>45715</v>
      </c>
      <c r="I4" s="2" t="str">
        <f t="shared" si="1"/>
        <v>OK</v>
      </c>
      <c r="J4">
        <f t="shared" si="2"/>
        <v>0</v>
      </c>
      <c r="K4" s="2">
        <v>45936</v>
      </c>
      <c r="L4" s="2">
        <v>45936</v>
      </c>
      <c r="M4" s="2" t="str">
        <f t="shared" si="3"/>
        <v>OK</v>
      </c>
      <c r="N4" t="s">
        <v>13</v>
      </c>
      <c r="O4" t="s">
        <v>532</v>
      </c>
    </row>
    <row r="5" spans="1:15" hidden="1" x14ac:dyDescent="0.25">
      <c r="A5" t="str">
        <f>VLOOKUP(B5,'[1]Report Detail KPB'!$A$2:$F$264,6,0)</f>
        <v>16451-251029_0955</v>
      </c>
      <c r="B5" t="s">
        <v>14</v>
      </c>
      <c r="C5" t="s">
        <v>8</v>
      </c>
      <c r="D5">
        <v>3132</v>
      </c>
      <c r="E5">
        <v>3132</v>
      </c>
      <c r="F5" s="2" t="str">
        <f t="shared" si="0"/>
        <v>OK</v>
      </c>
      <c r="G5" s="2">
        <v>45780</v>
      </c>
      <c r="H5" s="2">
        <v>45780</v>
      </c>
      <c r="I5" s="2" t="str">
        <f t="shared" si="1"/>
        <v>OK</v>
      </c>
      <c r="J5">
        <f t="shared" si="2"/>
        <v>0</v>
      </c>
      <c r="K5" s="2">
        <v>45936</v>
      </c>
      <c r="L5" s="2">
        <v>45936</v>
      </c>
      <c r="M5" s="2" t="str">
        <f t="shared" si="3"/>
        <v>OK</v>
      </c>
      <c r="N5" t="s">
        <v>15</v>
      </c>
      <c r="O5" t="s">
        <v>532</v>
      </c>
    </row>
    <row r="6" spans="1:15" hidden="1" x14ac:dyDescent="0.25">
      <c r="A6" t="str">
        <f>VLOOKUP(B6,'[1]Report Detail KPB'!$A$2:$F$264,6,0)</f>
        <v>16451-251107_1714</v>
      </c>
      <c r="B6" t="s">
        <v>16</v>
      </c>
      <c r="C6" t="s">
        <v>17</v>
      </c>
      <c r="D6">
        <v>4283</v>
      </c>
      <c r="E6">
        <v>4283</v>
      </c>
      <c r="F6" s="2" t="str">
        <f t="shared" si="0"/>
        <v>OK</v>
      </c>
      <c r="G6" s="2">
        <v>45807</v>
      </c>
      <c r="H6" s="2">
        <v>45807</v>
      </c>
      <c r="I6" s="2" t="str">
        <f t="shared" si="1"/>
        <v>OK</v>
      </c>
      <c r="J6">
        <f t="shared" si="2"/>
        <v>0</v>
      </c>
      <c r="K6" s="2">
        <v>45954</v>
      </c>
      <c r="L6" s="2">
        <v>45954</v>
      </c>
      <c r="M6" s="2" t="str">
        <f t="shared" si="3"/>
        <v>OK</v>
      </c>
      <c r="N6" t="s">
        <v>18</v>
      </c>
      <c r="O6" t="s">
        <v>532</v>
      </c>
    </row>
    <row r="7" spans="1:15" hidden="1" x14ac:dyDescent="0.25">
      <c r="A7" t="str">
        <f>VLOOKUP(B7,'[1]Report Detail KPB'!$A$2:$F$264,6,0)</f>
        <v>16451-251029_0955</v>
      </c>
      <c r="B7" t="s">
        <v>19</v>
      </c>
      <c r="C7" t="s">
        <v>8</v>
      </c>
      <c r="D7">
        <v>5632</v>
      </c>
      <c r="E7">
        <v>5632</v>
      </c>
      <c r="F7" s="2" t="str">
        <f t="shared" si="0"/>
        <v>OK</v>
      </c>
      <c r="G7" s="2">
        <v>45818</v>
      </c>
      <c r="H7" s="2">
        <v>45817</v>
      </c>
      <c r="I7" s="2" t="str">
        <f t="shared" si="1"/>
        <v>Not</v>
      </c>
      <c r="J7">
        <f t="shared" si="2"/>
        <v>-1</v>
      </c>
      <c r="K7" s="2">
        <v>45936</v>
      </c>
      <c r="L7" s="2">
        <v>45936</v>
      </c>
      <c r="M7" s="2" t="str">
        <f t="shared" si="3"/>
        <v>OK</v>
      </c>
      <c r="N7" t="s">
        <v>20</v>
      </c>
      <c r="O7" t="s">
        <v>532</v>
      </c>
    </row>
    <row r="8" spans="1:15" hidden="1" x14ac:dyDescent="0.25">
      <c r="A8" t="str">
        <f>VLOOKUP(B8,'[1]Report Detail KPB'!$A$2:$F$264,6,0)</f>
        <v>16451-251029_0955</v>
      </c>
      <c r="B8" t="s">
        <v>21</v>
      </c>
      <c r="C8" t="s">
        <v>17</v>
      </c>
      <c r="D8">
        <v>5352</v>
      </c>
      <c r="E8">
        <v>5352</v>
      </c>
      <c r="F8" s="2" t="str">
        <f t="shared" si="0"/>
        <v>OK</v>
      </c>
      <c r="G8" s="2">
        <v>45799</v>
      </c>
      <c r="H8" s="2">
        <v>45799</v>
      </c>
      <c r="I8" s="2" t="str">
        <f t="shared" si="1"/>
        <v>OK</v>
      </c>
      <c r="J8">
        <f t="shared" si="2"/>
        <v>0</v>
      </c>
      <c r="K8" s="2">
        <v>45940</v>
      </c>
      <c r="L8" s="2">
        <v>45940</v>
      </c>
      <c r="M8" s="2" t="str">
        <f t="shared" si="3"/>
        <v>OK</v>
      </c>
      <c r="N8" t="s">
        <v>22</v>
      </c>
      <c r="O8" t="s">
        <v>532</v>
      </c>
    </row>
    <row r="9" spans="1:15" hidden="1" x14ac:dyDescent="0.25">
      <c r="A9" t="str">
        <f>VLOOKUP(B9,'[1]Report Detail KPB'!$A$2:$F$264,6,0)</f>
        <v>16451-251029_0955</v>
      </c>
      <c r="B9" t="s">
        <v>23</v>
      </c>
      <c r="C9" t="s">
        <v>8</v>
      </c>
      <c r="D9">
        <v>6584</v>
      </c>
      <c r="E9">
        <v>6584</v>
      </c>
      <c r="F9" s="2" t="str">
        <f t="shared" si="0"/>
        <v>OK</v>
      </c>
      <c r="G9" s="2">
        <v>45824</v>
      </c>
      <c r="H9" s="2">
        <v>45824</v>
      </c>
      <c r="I9" s="2" t="str">
        <f t="shared" si="1"/>
        <v>OK</v>
      </c>
      <c r="J9">
        <f t="shared" si="2"/>
        <v>0</v>
      </c>
      <c r="K9" s="2">
        <v>45931</v>
      </c>
      <c r="L9" s="2">
        <v>45931</v>
      </c>
      <c r="M9" s="2" t="str">
        <f t="shared" si="3"/>
        <v>OK</v>
      </c>
      <c r="N9" t="s">
        <v>24</v>
      </c>
      <c r="O9" t="s">
        <v>532</v>
      </c>
    </row>
    <row r="10" spans="1:15" hidden="1" x14ac:dyDescent="0.25">
      <c r="A10" t="str">
        <f>VLOOKUP(B10,'[1]Report Detail KPB'!$A$2:$F$264,6,0)</f>
        <v>16451-251029_0955</v>
      </c>
      <c r="B10" t="s">
        <v>25</v>
      </c>
      <c r="C10" t="s">
        <v>17</v>
      </c>
      <c r="D10">
        <v>2006</v>
      </c>
      <c r="E10">
        <v>2006</v>
      </c>
      <c r="F10" s="2" t="str">
        <f t="shared" si="0"/>
        <v>OK</v>
      </c>
      <c r="G10" s="2">
        <v>45852</v>
      </c>
      <c r="H10" s="2">
        <v>45851</v>
      </c>
      <c r="I10" s="2" t="str">
        <f t="shared" si="1"/>
        <v>Not</v>
      </c>
      <c r="J10">
        <f t="shared" si="2"/>
        <v>-1</v>
      </c>
      <c r="K10" s="2">
        <v>45936</v>
      </c>
      <c r="L10" s="2">
        <v>45936</v>
      </c>
      <c r="M10" s="2" t="str">
        <f t="shared" si="3"/>
        <v>OK</v>
      </c>
      <c r="N10" t="s">
        <v>26</v>
      </c>
      <c r="O10" t="s">
        <v>532</v>
      </c>
    </row>
    <row r="11" spans="1:15" hidden="1" x14ac:dyDescent="0.25">
      <c r="A11" t="str">
        <f>VLOOKUP(B11,'[1]Report Detail KPB'!$A$2:$F$264,6,0)</f>
        <v>16451-251029_0955</v>
      </c>
      <c r="B11" t="s">
        <v>28</v>
      </c>
      <c r="C11" t="s">
        <v>29</v>
      </c>
      <c r="D11">
        <v>419</v>
      </c>
      <c r="E11">
        <v>419</v>
      </c>
      <c r="F11" s="2" t="str">
        <f t="shared" si="0"/>
        <v>OK</v>
      </c>
      <c r="G11" s="2">
        <v>45850</v>
      </c>
      <c r="H11" s="2">
        <v>45850</v>
      </c>
      <c r="I11" s="2" t="str">
        <f t="shared" si="1"/>
        <v>OK</v>
      </c>
      <c r="J11">
        <f t="shared" si="2"/>
        <v>0</v>
      </c>
      <c r="K11" s="2">
        <v>45940</v>
      </c>
      <c r="L11" s="2">
        <v>45940</v>
      </c>
      <c r="M11" s="2" t="str">
        <f t="shared" si="3"/>
        <v>OK</v>
      </c>
      <c r="N11" t="s">
        <v>30</v>
      </c>
      <c r="O11" t="s">
        <v>532</v>
      </c>
    </row>
    <row r="12" spans="1:15" hidden="1" x14ac:dyDescent="0.25">
      <c r="A12" t="str">
        <f>VLOOKUP(B12,'[1]Report Detail KPB'!$A$2:$F$264,6,0)</f>
        <v>16451-251029_0955</v>
      </c>
      <c r="B12" t="s">
        <v>31</v>
      </c>
      <c r="C12" t="s">
        <v>29</v>
      </c>
      <c r="D12">
        <v>756</v>
      </c>
      <c r="E12">
        <v>756</v>
      </c>
      <c r="F12" s="2" t="str">
        <f t="shared" si="0"/>
        <v>OK</v>
      </c>
      <c r="G12" s="2">
        <v>45866</v>
      </c>
      <c r="H12" s="2">
        <v>45866</v>
      </c>
      <c r="I12" s="2" t="str">
        <f t="shared" si="1"/>
        <v>OK</v>
      </c>
      <c r="J12">
        <f t="shared" si="2"/>
        <v>0</v>
      </c>
      <c r="K12" s="2">
        <v>45938</v>
      </c>
      <c r="L12" s="2">
        <v>45938</v>
      </c>
      <c r="M12" s="2" t="str">
        <f t="shared" si="3"/>
        <v>OK</v>
      </c>
      <c r="N12" t="s">
        <v>32</v>
      </c>
      <c r="O12" t="s">
        <v>532</v>
      </c>
    </row>
    <row r="13" spans="1:15" hidden="1" x14ac:dyDescent="0.25">
      <c r="A13" t="str">
        <f>VLOOKUP(B13,'[1]Report Detail KPB'!$A$2:$F$264,6,0)</f>
        <v>16451-251029_0955</v>
      </c>
      <c r="B13" t="s">
        <v>33</v>
      </c>
      <c r="C13" t="s">
        <v>17</v>
      </c>
      <c r="D13">
        <v>2490</v>
      </c>
      <c r="E13">
        <v>2490</v>
      </c>
      <c r="F13" s="2" t="str">
        <f t="shared" si="0"/>
        <v>OK</v>
      </c>
      <c r="G13" s="2">
        <v>45866</v>
      </c>
      <c r="H13" s="2">
        <v>45866</v>
      </c>
      <c r="I13" s="2" t="str">
        <f t="shared" si="1"/>
        <v>OK</v>
      </c>
      <c r="J13">
        <f t="shared" si="2"/>
        <v>0</v>
      </c>
      <c r="K13" s="2">
        <v>45937</v>
      </c>
      <c r="L13" s="2">
        <v>45937</v>
      </c>
      <c r="M13" s="2" t="str">
        <f t="shared" si="3"/>
        <v>OK</v>
      </c>
      <c r="N13" t="s">
        <v>34</v>
      </c>
      <c r="O13" t="s">
        <v>532</v>
      </c>
    </row>
    <row r="14" spans="1:15" hidden="1" x14ac:dyDescent="0.25">
      <c r="A14" t="str">
        <f>VLOOKUP(B14,'[1]Report Detail KPB'!$A$2:$F$264,6,0)</f>
        <v>16451-251029_0955</v>
      </c>
      <c r="B14" t="s">
        <v>38</v>
      </c>
      <c r="C14" t="s">
        <v>29</v>
      </c>
      <c r="D14">
        <v>1269</v>
      </c>
      <c r="E14">
        <v>1269</v>
      </c>
      <c r="F14" s="2" t="str">
        <f t="shared" si="0"/>
        <v>OK</v>
      </c>
      <c r="G14" s="2">
        <v>45875</v>
      </c>
      <c r="H14" s="2">
        <v>45875</v>
      </c>
      <c r="I14" s="2" t="str">
        <f t="shared" si="1"/>
        <v>OK</v>
      </c>
      <c r="J14">
        <f t="shared" si="2"/>
        <v>0</v>
      </c>
      <c r="K14" s="2">
        <v>45937</v>
      </c>
      <c r="L14" s="2">
        <v>45937</v>
      </c>
      <c r="M14" s="2" t="str">
        <f t="shared" si="3"/>
        <v>OK</v>
      </c>
      <c r="N14" t="s">
        <v>39</v>
      </c>
      <c r="O14" t="s">
        <v>532</v>
      </c>
    </row>
    <row r="15" spans="1:15" hidden="1" x14ac:dyDescent="0.25">
      <c r="A15" t="str">
        <f>VLOOKUP(B15,'[1]Report Detail KPB'!$A$2:$F$264,6,0)</f>
        <v>16451-251029_0955</v>
      </c>
      <c r="B15" t="s">
        <v>40</v>
      </c>
      <c r="C15" t="s">
        <v>29</v>
      </c>
      <c r="D15">
        <v>967</v>
      </c>
      <c r="E15">
        <v>967</v>
      </c>
      <c r="F15" s="2" t="str">
        <f t="shared" si="0"/>
        <v>OK</v>
      </c>
      <c r="G15" s="2">
        <v>45880</v>
      </c>
      <c r="H15" s="2">
        <v>45879</v>
      </c>
      <c r="I15" s="2" t="str">
        <f t="shared" si="1"/>
        <v>Not</v>
      </c>
      <c r="J15">
        <f t="shared" si="2"/>
        <v>-1</v>
      </c>
      <c r="K15" s="2">
        <v>45936</v>
      </c>
      <c r="L15" s="2">
        <v>45936</v>
      </c>
      <c r="M15" s="2" t="str">
        <f t="shared" si="3"/>
        <v>OK</v>
      </c>
      <c r="N15" t="s">
        <v>41</v>
      </c>
      <c r="O15" t="s">
        <v>532</v>
      </c>
    </row>
    <row r="16" spans="1:15" hidden="1" x14ac:dyDescent="0.25">
      <c r="A16" t="str">
        <f>VLOOKUP(B16,'[1]Report Detail KPB'!$A$2:$F$264,6,0)</f>
        <v>16451-251029_0955</v>
      </c>
      <c r="B16" t="s">
        <v>42</v>
      </c>
      <c r="C16" t="s">
        <v>17</v>
      </c>
      <c r="D16">
        <v>3756</v>
      </c>
      <c r="E16">
        <v>3756</v>
      </c>
      <c r="F16" s="2" t="str">
        <f t="shared" si="0"/>
        <v>OK</v>
      </c>
      <c r="G16" s="2">
        <v>45877</v>
      </c>
      <c r="H16" s="2">
        <v>45877</v>
      </c>
      <c r="I16" s="2" t="str">
        <f t="shared" si="1"/>
        <v>OK</v>
      </c>
      <c r="J16">
        <f t="shared" si="2"/>
        <v>0</v>
      </c>
      <c r="K16" s="2">
        <v>45934</v>
      </c>
      <c r="L16" s="2">
        <v>45934</v>
      </c>
      <c r="M16" s="2" t="str">
        <f t="shared" si="3"/>
        <v>OK</v>
      </c>
      <c r="N16" t="s">
        <v>43</v>
      </c>
      <c r="O16" t="s">
        <v>532</v>
      </c>
    </row>
    <row r="17" spans="1:15" hidden="1" x14ac:dyDescent="0.25">
      <c r="A17" t="s">
        <v>530</v>
      </c>
      <c r="B17" t="s">
        <v>42</v>
      </c>
      <c r="C17" t="s">
        <v>8</v>
      </c>
      <c r="D17">
        <v>4850</v>
      </c>
      <c r="E17">
        <v>4850</v>
      </c>
      <c r="F17" s="2" t="str">
        <f t="shared" si="0"/>
        <v>OK</v>
      </c>
      <c r="G17" s="2">
        <v>45877</v>
      </c>
      <c r="H17" s="2">
        <v>45877</v>
      </c>
      <c r="I17" s="2" t="str">
        <f t="shared" si="1"/>
        <v>OK</v>
      </c>
      <c r="J17">
        <f t="shared" si="2"/>
        <v>0</v>
      </c>
      <c r="K17" s="2">
        <v>45943</v>
      </c>
      <c r="L17" s="2">
        <v>45943</v>
      </c>
      <c r="M17" s="2" t="str">
        <f t="shared" si="3"/>
        <v>OK</v>
      </c>
      <c r="N17" t="s">
        <v>44</v>
      </c>
      <c r="O17" t="s">
        <v>532</v>
      </c>
    </row>
    <row r="18" spans="1:15" hidden="1" x14ac:dyDescent="0.25">
      <c r="A18" t="str">
        <f>VLOOKUP(B18,'[1]Report Detail KPB'!$A$2:$F$264,6,0)</f>
        <v>16451-251107_1714</v>
      </c>
      <c r="B18" t="s">
        <v>45</v>
      </c>
      <c r="C18" t="s">
        <v>29</v>
      </c>
      <c r="D18">
        <v>1126</v>
      </c>
      <c r="E18">
        <v>1126</v>
      </c>
      <c r="F18" s="2" t="str">
        <f t="shared" si="0"/>
        <v>OK</v>
      </c>
      <c r="G18" s="2">
        <v>45889</v>
      </c>
      <c r="H18" s="2">
        <v>45888</v>
      </c>
      <c r="I18" s="2" t="str">
        <f t="shared" si="1"/>
        <v>Not</v>
      </c>
      <c r="J18">
        <f t="shared" si="2"/>
        <v>-1</v>
      </c>
      <c r="K18" s="2">
        <v>45941</v>
      </c>
      <c r="L18" s="2">
        <v>45941</v>
      </c>
      <c r="M18" s="2" t="str">
        <f t="shared" si="3"/>
        <v>OK</v>
      </c>
      <c r="N18" t="s">
        <v>46</v>
      </c>
      <c r="O18" t="s">
        <v>532</v>
      </c>
    </row>
    <row r="19" spans="1:15" hidden="1" x14ac:dyDescent="0.25">
      <c r="A19" t="str">
        <f>VLOOKUP(B19,'[1]Report Detail KPB'!$A$2:$F$264,6,0)</f>
        <v>16451-251107_1714</v>
      </c>
      <c r="B19" t="s">
        <v>47</v>
      </c>
      <c r="C19" t="s">
        <v>29</v>
      </c>
      <c r="D19">
        <v>1383</v>
      </c>
      <c r="E19">
        <v>1383</v>
      </c>
      <c r="F19" s="2" t="str">
        <f t="shared" si="0"/>
        <v>OK</v>
      </c>
      <c r="G19" s="2">
        <v>45884</v>
      </c>
      <c r="H19" s="2">
        <v>45884</v>
      </c>
      <c r="I19" s="2" t="str">
        <f t="shared" si="1"/>
        <v>OK</v>
      </c>
      <c r="J19">
        <f t="shared" si="2"/>
        <v>0</v>
      </c>
      <c r="K19" s="2">
        <v>45943</v>
      </c>
      <c r="L19" s="2">
        <v>45943</v>
      </c>
      <c r="M19" s="2" t="str">
        <f t="shared" si="3"/>
        <v>OK</v>
      </c>
      <c r="N19" t="s">
        <v>48</v>
      </c>
      <c r="O19" t="s">
        <v>532</v>
      </c>
    </row>
    <row r="20" spans="1:15" hidden="1" x14ac:dyDescent="0.25">
      <c r="A20" t="str">
        <f>VLOOKUP(B20,'[1]Report Detail KPB'!$A$2:$F$264,6,0)</f>
        <v>16451-251107_1714</v>
      </c>
      <c r="B20" t="s">
        <v>49</v>
      </c>
      <c r="C20" t="s">
        <v>17</v>
      </c>
      <c r="D20">
        <v>1784</v>
      </c>
      <c r="E20">
        <v>1784</v>
      </c>
      <c r="F20" s="2" t="str">
        <f t="shared" si="0"/>
        <v>OK</v>
      </c>
      <c r="G20" s="2">
        <v>45889</v>
      </c>
      <c r="H20" s="2">
        <v>45888</v>
      </c>
      <c r="I20" s="2" t="str">
        <f t="shared" si="1"/>
        <v>Not</v>
      </c>
      <c r="J20">
        <f t="shared" si="2"/>
        <v>-1</v>
      </c>
      <c r="K20" s="2">
        <v>45951</v>
      </c>
      <c r="L20" s="2">
        <v>45951</v>
      </c>
      <c r="M20" s="2" t="str">
        <f t="shared" si="3"/>
        <v>OK</v>
      </c>
      <c r="N20" t="s">
        <v>50</v>
      </c>
      <c r="O20" t="s">
        <v>532</v>
      </c>
    </row>
    <row r="21" spans="1:15" hidden="1" x14ac:dyDescent="0.25">
      <c r="A21" t="str">
        <f>VLOOKUP(B21,'[1]Report Detail KPB'!$A$2:$F$264,6,0)</f>
        <v>16451-251029_0955</v>
      </c>
      <c r="B21" t="s">
        <v>51</v>
      </c>
      <c r="C21" t="s">
        <v>36</v>
      </c>
      <c r="D21">
        <v>457</v>
      </c>
      <c r="E21">
        <v>457</v>
      </c>
      <c r="F21" s="2" t="str">
        <f t="shared" si="0"/>
        <v>OK</v>
      </c>
      <c r="G21" s="2">
        <v>45913</v>
      </c>
      <c r="H21" s="2">
        <v>45913</v>
      </c>
      <c r="I21" s="2" t="str">
        <f t="shared" si="1"/>
        <v>OK</v>
      </c>
      <c r="J21">
        <f t="shared" si="2"/>
        <v>0</v>
      </c>
      <c r="K21" s="2">
        <v>45936</v>
      </c>
      <c r="L21" s="2">
        <v>45936</v>
      </c>
      <c r="M21" s="2" t="str">
        <f t="shared" si="3"/>
        <v>OK</v>
      </c>
      <c r="N21" t="s">
        <v>52</v>
      </c>
      <c r="O21" t="s">
        <v>532</v>
      </c>
    </row>
    <row r="22" spans="1:15" hidden="1" x14ac:dyDescent="0.25">
      <c r="A22" t="str">
        <f>VLOOKUP(B22,'[1]Report Detail KPB'!$A$2:$F$264,6,0)</f>
        <v>16451-251107_1714</v>
      </c>
      <c r="B22" t="s">
        <v>53</v>
      </c>
      <c r="C22" t="s">
        <v>36</v>
      </c>
      <c r="D22">
        <v>840</v>
      </c>
      <c r="E22">
        <v>840</v>
      </c>
      <c r="F22" s="2" t="str">
        <f t="shared" si="0"/>
        <v>OK</v>
      </c>
      <c r="G22" s="2">
        <v>45922</v>
      </c>
      <c r="H22" s="2">
        <v>45922</v>
      </c>
      <c r="I22" s="2" t="str">
        <f t="shared" si="1"/>
        <v>OK</v>
      </c>
      <c r="J22">
        <f t="shared" si="2"/>
        <v>0</v>
      </c>
      <c r="K22" s="2">
        <v>45943</v>
      </c>
      <c r="L22" s="2">
        <v>45943</v>
      </c>
      <c r="M22" s="2" t="str">
        <f t="shared" si="3"/>
        <v>OK</v>
      </c>
      <c r="N22" t="s">
        <v>54</v>
      </c>
      <c r="O22" t="s">
        <v>532</v>
      </c>
    </row>
    <row r="23" spans="1:15" hidden="1" x14ac:dyDescent="0.25">
      <c r="A23" t="str">
        <f>VLOOKUP(B23,'[1]Report Detail KPB'!$A$2:$F$264,6,0)</f>
        <v>16451-251107_1714</v>
      </c>
      <c r="B23" t="s">
        <v>55</v>
      </c>
      <c r="C23" t="s">
        <v>36</v>
      </c>
      <c r="D23">
        <v>427</v>
      </c>
      <c r="E23">
        <v>427</v>
      </c>
      <c r="F23" s="2" t="str">
        <f t="shared" si="0"/>
        <v>OK</v>
      </c>
      <c r="G23" s="2">
        <v>45926</v>
      </c>
      <c r="H23" s="2">
        <v>45926</v>
      </c>
      <c r="I23" s="2" t="str">
        <f t="shared" si="1"/>
        <v>OK</v>
      </c>
      <c r="J23">
        <f t="shared" si="2"/>
        <v>0</v>
      </c>
      <c r="K23" s="2">
        <v>45943</v>
      </c>
      <c r="L23" s="2">
        <v>45943</v>
      </c>
      <c r="M23" s="2" t="str">
        <f t="shared" si="3"/>
        <v>OK</v>
      </c>
      <c r="N23" t="s">
        <v>56</v>
      </c>
      <c r="O23" t="s">
        <v>532</v>
      </c>
    </row>
    <row r="24" spans="1:15" hidden="1" x14ac:dyDescent="0.25">
      <c r="A24" t="str">
        <f>VLOOKUP(B24,'[1]Report Detail KPB'!$A$2:$F$264,6,0)</f>
        <v>16451-251107_1714</v>
      </c>
      <c r="B24" t="s">
        <v>57</v>
      </c>
      <c r="C24" t="s">
        <v>36</v>
      </c>
      <c r="D24">
        <v>677</v>
      </c>
      <c r="E24">
        <v>677</v>
      </c>
      <c r="F24" s="2" t="str">
        <f t="shared" si="0"/>
        <v>OK</v>
      </c>
      <c r="G24" s="2">
        <v>45932</v>
      </c>
      <c r="H24" s="2">
        <v>45932</v>
      </c>
      <c r="I24" s="2" t="str">
        <f t="shared" si="1"/>
        <v>OK</v>
      </c>
      <c r="J24">
        <f t="shared" si="2"/>
        <v>0</v>
      </c>
      <c r="K24" s="2">
        <v>45954</v>
      </c>
      <c r="L24" s="2">
        <v>45954</v>
      </c>
      <c r="M24" s="2" t="str">
        <f t="shared" si="3"/>
        <v>OK</v>
      </c>
      <c r="N24" t="s">
        <v>58</v>
      </c>
      <c r="O24" t="s">
        <v>532</v>
      </c>
    </row>
    <row r="25" spans="1:15" hidden="1" x14ac:dyDescent="0.25">
      <c r="A25" t="str">
        <f>VLOOKUP(B25,'[1]Report Detail KPB'!$A$2:$F$264,6,0)</f>
        <v>16451-251029_0955</v>
      </c>
      <c r="B25" t="s">
        <v>59</v>
      </c>
      <c r="C25" t="s">
        <v>8</v>
      </c>
      <c r="D25">
        <v>3950</v>
      </c>
      <c r="E25">
        <v>3950</v>
      </c>
      <c r="F25" s="2" t="str">
        <f t="shared" si="0"/>
        <v>OK</v>
      </c>
      <c r="G25" s="2">
        <v>45762</v>
      </c>
      <c r="H25" s="2">
        <v>45762</v>
      </c>
      <c r="I25" s="2" t="str">
        <f t="shared" si="1"/>
        <v>OK</v>
      </c>
      <c r="J25">
        <f t="shared" si="2"/>
        <v>0</v>
      </c>
      <c r="K25" s="2">
        <v>45940</v>
      </c>
      <c r="L25" s="2">
        <v>45940</v>
      </c>
      <c r="M25" s="2" t="str">
        <f t="shared" si="3"/>
        <v>OK</v>
      </c>
      <c r="N25" t="s">
        <v>60</v>
      </c>
      <c r="O25" t="s">
        <v>532</v>
      </c>
    </row>
    <row r="26" spans="1:15" hidden="1" x14ac:dyDescent="0.25">
      <c r="A26" t="str">
        <f>VLOOKUP(B26,'[1]Report Detail KPB'!$A$2:$F$264,6,0)</f>
        <v>16451-251029_0955</v>
      </c>
      <c r="B26" t="s">
        <v>61</v>
      </c>
      <c r="C26" t="s">
        <v>17</v>
      </c>
      <c r="D26">
        <v>1770</v>
      </c>
      <c r="E26">
        <v>1770</v>
      </c>
      <c r="F26" s="2" t="str">
        <f t="shared" si="0"/>
        <v>OK</v>
      </c>
      <c r="G26" s="2">
        <v>45801</v>
      </c>
      <c r="H26" s="2">
        <v>45801</v>
      </c>
      <c r="I26" s="2" t="str">
        <f t="shared" si="1"/>
        <v>OK</v>
      </c>
      <c r="J26">
        <f t="shared" si="2"/>
        <v>0</v>
      </c>
      <c r="K26" s="2">
        <v>45936</v>
      </c>
      <c r="L26" s="2">
        <v>45936</v>
      </c>
      <c r="M26" s="2" t="str">
        <f t="shared" si="3"/>
        <v>OK</v>
      </c>
      <c r="N26" t="s">
        <v>62</v>
      </c>
      <c r="O26" t="s">
        <v>532</v>
      </c>
    </row>
    <row r="27" spans="1:15" hidden="1" x14ac:dyDescent="0.25">
      <c r="A27" t="str">
        <f>VLOOKUP(B27,'[1]Report Detail KPB'!$A$2:$F$264,6,0)</f>
        <v>16451-251029_0955</v>
      </c>
      <c r="B27" t="s">
        <v>63</v>
      </c>
      <c r="C27" t="s">
        <v>17</v>
      </c>
      <c r="D27">
        <v>2380</v>
      </c>
      <c r="E27">
        <v>2380</v>
      </c>
      <c r="F27" s="2" t="str">
        <f t="shared" si="0"/>
        <v>OK</v>
      </c>
      <c r="G27" s="2">
        <v>45796</v>
      </c>
      <c r="H27" s="2">
        <v>45796</v>
      </c>
      <c r="I27" s="2" t="str">
        <f t="shared" si="1"/>
        <v>OK</v>
      </c>
      <c r="J27">
        <f t="shared" si="2"/>
        <v>0</v>
      </c>
      <c r="K27" s="2">
        <v>45936</v>
      </c>
      <c r="L27" s="2">
        <v>45936</v>
      </c>
      <c r="M27" s="2" t="str">
        <f t="shared" si="3"/>
        <v>OK</v>
      </c>
      <c r="N27" t="s">
        <v>64</v>
      </c>
      <c r="O27" t="s">
        <v>532</v>
      </c>
    </row>
    <row r="28" spans="1:15" hidden="1" x14ac:dyDescent="0.25">
      <c r="A28" t="s">
        <v>530</v>
      </c>
      <c r="B28" s="5" t="s">
        <v>63</v>
      </c>
      <c r="C28" t="s">
        <v>8</v>
      </c>
      <c r="D28">
        <v>4845</v>
      </c>
      <c r="E28">
        <v>4845</v>
      </c>
      <c r="F28" s="2" t="str">
        <f t="shared" si="0"/>
        <v>OK</v>
      </c>
      <c r="G28" s="2">
        <v>45796</v>
      </c>
      <c r="H28" s="2">
        <v>45796</v>
      </c>
      <c r="I28" s="2" t="str">
        <f t="shared" si="1"/>
        <v>OK</v>
      </c>
      <c r="J28">
        <f t="shared" si="2"/>
        <v>0</v>
      </c>
      <c r="K28" s="2">
        <v>45946</v>
      </c>
      <c r="L28" s="2">
        <v>45946</v>
      </c>
      <c r="M28" s="2" t="str">
        <f t="shared" si="3"/>
        <v>OK</v>
      </c>
      <c r="N28" t="s">
        <v>65</v>
      </c>
      <c r="O28" t="s">
        <v>532</v>
      </c>
    </row>
    <row r="29" spans="1:15" hidden="1" x14ac:dyDescent="0.25">
      <c r="A29" t="str">
        <f>VLOOKUP(B29,'[1]Report Detail KPB'!$A$2:$F$264,6,0)</f>
        <v>16451-251107_1714</v>
      </c>
      <c r="B29" t="s">
        <v>66</v>
      </c>
      <c r="C29" t="s">
        <v>17</v>
      </c>
      <c r="D29">
        <v>3339</v>
      </c>
      <c r="E29">
        <v>3339</v>
      </c>
      <c r="F29" s="2" t="str">
        <f t="shared" si="0"/>
        <v>OK</v>
      </c>
      <c r="G29" s="2">
        <v>45794</v>
      </c>
      <c r="H29" s="2">
        <v>45794</v>
      </c>
      <c r="I29" s="2" t="str">
        <f t="shared" si="1"/>
        <v>OK</v>
      </c>
      <c r="J29">
        <f t="shared" si="2"/>
        <v>0</v>
      </c>
      <c r="K29" s="2">
        <v>45941</v>
      </c>
      <c r="L29" s="2">
        <v>45941</v>
      </c>
      <c r="M29" s="2" t="str">
        <f t="shared" si="3"/>
        <v>OK</v>
      </c>
      <c r="N29" t="s">
        <v>67</v>
      </c>
      <c r="O29" t="s">
        <v>532</v>
      </c>
    </row>
    <row r="30" spans="1:15" hidden="1" x14ac:dyDescent="0.25">
      <c r="A30" t="str">
        <f>VLOOKUP(B30,'[1]Report Detail KPB'!$A$2:$F$264,6,0)</f>
        <v>16451-251107_1714</v>
      </c>
      <c r="B30" t="s">
        <v>68</v>
      </c>
      <c r="C30" t="s">
        <v>17</v>
      </c>
      <c r="D30">
        <v>2866</v>
      </c>
      <c r="E30">
        <v>2866</v>
      </c>
      <c r="F30" s="2" t="str">
        <f t="shared" si="0"/>
        <v>OK</v>
      </c>
      <c r="G30" s="2">
        <v>45819</v>
      </c>
      <c r="H30" s="2">
        <v>45819</v>
      </c>
      <c r="I30" s="2" t="str">
        <f t="shared" si="1"/>
        <v>OK</v>
      </c>
      <c r="J30">
        <f t="shared" si="2"/>
        <v>0</v>
      </c>
      <c r="K30" s="2">
        <v>45948</v>
      </c>
      <c r="L30" s="2">
        <v>45948</v>
      </c>
      <c r="M30" s="2" t="str">
        <f t="shared" si="3"/>
        <v>OK</v>
      </c>
      <c r="N30" t="s">
        <v>69</v>
      </c>
      <c r="O30" t="s">
        <v>532</v>
      </c>
    </row>
    <row r="31" spans="1:15" hidden="1" x14ac:dyDescent="0.25">
      <c r="A31" t="str">
        <f>VLOOKUP(B31,'[1]Report Detail KPB'!$A$2:$F$264,6,0)</f>
        <v>16451-251029_0955</v>
      </c>
      <c r="B31" t="s">
        <v>70</v>
      </c>
      <c r="C31" t="s">
        <v>29</v>
      </c>
      <c r="D31">
        <v>3816</v>
      </c>
      <c r="E31">
        <v>3816</v>
      </c>
      <c r="F31" s="2" t="str">
        <f t="shared" si="0"/>
        <v>OK</v>
      </c>
      <c r="G31" s="2">
        <v>45827</v>
      </c>
      <c r="H31" s="2">
        <v>45827</v>
      </c>
      <c r="I31" s="2" t="str">
        <f t="shared" si="1"/>
        <v>OK</v>
      </c>
      <c r="J31">
        <f t="shared" si="2"/>
        <v>0</v>
      </c>
      <c r="K31" s="2">
        <v>45931</v>
      </c>
      <c r="L31" s="2">
        <v>45931</v>
      </c>
      <c r="M31" s="2" t="str">
        <f t="shared" si="3"/>
        <v>OK</v>
      </c>
      <c r="N31" t="s">
        <v>71</v>
      </c>
      <c r="O31" t="s">
        <v>532</v>
      </c>
    </row>
    <row r="32" spans="1:15" hidden="1" x14ac:dyDescent="0.25">
      <c r="A32" t="str">
        <f>VLOOKUP(B32,'[1]Report Detail KPB'!$A$2:$F$264,6,0)</f>
        <v>16451-251107_1714</v>
      </c>
      <c r="B32" t="s">
        <v>72</v>
      </c>
      <c r="C32" t="s">
        <v>29</v>
      </c>
      <c r="D32">
        <v>3489</v>
      </c>
      <c r="E32">
        <v>3489</v>
      </c>
      <c r="F32" s="2" t="str">
        <f t="shared" si="0"/>
        <v>OK</v>
      </c>
      <c r="G32" s="2">
        <v>45822</v>
      </c>
      <c r="H32" s="2">
        <v>45822</v>
      </c>
      <c r="I32" s="2" t="str">
        <f t="shared" si="1"/>
        <v>OK</v>
      </c>
      <c r="J32">
        <f t="shared" si="2"/>
        <v>0</v>
      </c>
      <c r="K32" s="2">
        <v>45944</v>
      </c>
      <c r="L32" s="2">
        <v>45944</v>
      </c>
      <c r="M32" s="2" t="str">
        <f t="shared" si="3"/>
        <v>OK</v>
      </c>
      <c r="N32" t="s">
        <v>73</v>
      </c>
      <c r="O32" t="s">
        <v>532</v>
      </c>
    </row>
    <row r="33" spans="1:15" hidden="1" x14ac:dyDescent="0.25">
      <c r="A33" t="str">
        <f>VLOOKUP(B33,'[1]Report Detail KPB'!$A$2:$F$264,6,0)</f>
        <v>16451-251107_1714</v>
      </c>
      <c r="B33" t="s">
        <v>74</v>
      </c>
      <c r="C33" t="s">
        <v>17</v>
      </c>
      <c r="D33">
        <v>4967</v>
      </c>
      <c r="E33">
        <v>4967</v>
      </c>
      <c r="F33" s="2" t="str">
        <f t="shared" si="0"/>
        <v>OK</v>
      </c>
      <c r="G33" s="2">
        <v>45831</v>
      </c>
      <c r="H33" s="2">
        <v>45831</v>
      </c>
      <c r="I33" s="2" t="str">
        <f t="shared" si="1"/>
        <v>OK</v>
      </c>
      <c r="J33">
        <f t="shared" si="2"/>
        <v>0</v>
      </c>
      <c r="K33" s="2">
        <v>45958</v>
      </c>
      <c r="L33" s="2">
        <v>45958</v>
      </c>
      <c r="M33" s="2" t="str">
        <f t="shared" si="3"/>
        <v>OK</v>
      </c>
      <c r="N33" t="s">
        <v>75</v>
      </c>
      <c r="O33" t="s">
        <v>532</v>
      </c>
    </row>
    <row r="34" spans="1:15" hidden="1" x14ac:dyDescent="0.25">
      <c r="A34" t="str">
        <f>VLOOKUP(B34,'[1]Report Detail KPB'!$A$2:$F$264,6,0)</f>
        <v>16451-251107_1714</v>
      </c>
      <c r="B34" t="s">
        <v>76</v>
      </c>
      <c r="C34" t="s">
        <v>29</v>
      </c>
      <c r="D34">
        <v>742</v>
      </c>
      <c r="E34">
        <v>742</v>
      </c>
      <c r="F34" s="2" t="str">
        <f t="shared" si="0"/>
        <v>OK</v>
      </c>
      <c r="G34" s="2">
        <v>45846</v>
      </c>
      <c r="H34" s="2">
        <v>45845</v>
      </c>
      <c r="I34" s="2" t="str">
        <f t="shared" si="1"/>
        <v>Not</v>
      </c>
      <c r="J34">
        <f t="shared" si="2"/>
        <v>-1</v>
      </c>
      <c r="K34" s="2">
        <v>45954</v>
      </c>
      <c r="L34" s="2">
        <v>45954</v>
      </c>
      <c r="M34" s="2" t="str">
        <f t="shared" si="3"/>
        <v>OK</v>
      </c>
      <c r="N34" t="s">
        <v>77</v>
      </c>
      <c r="O34" t="s">
        <v>532</v>
      </c>
    </row>
    <row r="35" spans="1:15" hidden="1" x14ac:dyDescent="0.25">
      <c r="A35" t="str">
        <f>VLOOKUP(B35,'[1]Report Detail KPB'!$A$2:$F$264,6,0)</f>
        <v>16451-251029_0955</v>
      </c>
      <c r="B35" t="s">
        <v>78</v>
      </c>
      <c r="C35" t="s">
        <v>29</v>
      </c>
      <c r="D35">
        <v>1154</v>
      </c>
      <c r="E35">
        <v>1154</v>
      </c>
      <c r="F35" s="2" t="str">
        <f t="shared" si="0"/>
        <v>OK</v>
      </c>
      <c r="G35" s="2">
        <v>45852</v>
      </c>
      <c r="H35" s="2">
        <v>45852</v>
      </c>
      <c r="I35" s="2" t="str">
        <f t="shared" si="1"/>
        <v>OK</v>
      </c>
      <c r="J35">
        <f t="shared" si="2"/>
        <v>0</v>
      </c>
      <c r="K35" s="2">
        <v>45931</v>
      </c>
      <c r="L35" s="2">
        <v>45931</v>
      </c>
      <c r="M35" s="2" t="str">
        <f t="shared" si="3"/>
        <v>OK</v>
      </c>
      <c r="N35" t="s">
        <v>79</v>
      </c>
      <c r="O35" t="s">
        <v>532</v>
      </c>
    </row>
    <row r="36" spans="1:15" hidden="1" x14ac:dyDescent="0.25">
      <c r="A36" t="str">
        <f>VLOOKUP(B36,'[1]Report Detail KPB'!$A$2:$F$264,6,0)</f>
        <v>16451-251029_0955</v>
      </c>
      <c r="B36" t="s">
        <v>80</v>
      </c>
      <c r="C36" t="s">
        <v>17</v>
      </c>
      <c r="D36">
        <v>1781</v>
      </c>
      <c r="E36">
        <v>1781</v>
      </c>
      <c r="F36" s="2" t="str">
        <f t="shared" si="0"/>
        <v>OK</v>
      </c>
      <c r="G36" s="2">
        <v>45860</v>
      </c>
      <c r="H36" s="2">
        <v>45860</v>
      </c>
      <c r="I36" s="2" t="str">
        <f t="shared" si="1"/>
        <v>OK</v>
      </c>
      <c r="J36">
        <f t="shared" si="2"/>
        <v>0</v>
      </c>
      <c r="K36" s="2">
        <v>45934</v>
      </c>
      <c r="L36" s="2">
        <v>45934</v>
      </c>
      <c r="M36" s="2" t="str">
        <f t="shared" si="3"/>
        <v>OK</v>
      </c>
      <c r="N36" t="s">
        <v>81</v>
      </c>
      <c r="O36" t="s">
        <v>532</v>
      </c>
    </row>
    <row r="37" spans="1:15" hidden="1" x14ac:dyDescent="0.25">
      <c r="A37" t="str">
        <f>VLOOKUP(B37,'[1]Report Detail KPB'!$A$2:$F$264,6,0)</f>
        <v>16451-251029_0955</v>
      </c>
      <c r="B37" t="s">
        <v>84</v>
      </c>
      <c r="C37" t="s">
        <v>29</v>
      </c>
      <c r="D37">
        <v>924</v>
      </c>
      <c r="E37">
        <v>924</v>
      </c>
      <c r="F37" s="2" t="str">
        <f t="shared" si="0"/>
        <v>OK</v>
      </c>
      <c r="G37" s="2">
        <v>45875</v>
      </c>
      <c r="H37" s="2">
        <v>45875</v>
      </c>
      <c r="I37" s="2" t="str">
        <f t="shared" si="1"/>
        <v>OK</v>
      </c>
      <c r="J37">
        <f t="shared" si="2"/>
        <v>0</v>
      </c>
      <c r="K37" s="2">
        <v>45938</v>
      </c>
      <c r="L37" s="2">
        <v>45938</v>
      </c>
      <c r="M37" s="2" t="str">
        <f t="shared" si="3"/>
        <v>OK</v>
      </c>
      <c r="N37" t="s">
        <v>85</v>
      </c>
      <c r="O37" t="s">
        <v>532</v>
      </c>
    </row>
    <row r="38" spans="1:15" hidden="1" x14ac:dyDescent="0.25">
      <c r="A38" t="str">
        <f>VLOOKUP(B38,'[1]Report Detail KPB'!$A$2:$F$264,6,0)</f>
        <v>16451-251107_1714</v>
      </c>
      <c r="B38" t="s">
        <v>86</v>
      </c>
      <c r="C38" t="s">
        <v>29</v>
      </c>
      <c r="D38">
        <v>2172</v>
      </c>
      <c r="E38">
        <v>2172</v>
      </c>
      <c r="F38" s="2" t="str">
        <f t="shared" si="0"/>
        <v>OK</v>
      </c>
      <c r="G38" s="2">
        <v>45875</v>
      </c>
      <c r="H38" s="2">
        <v>45875</v>
      </c>
      <c r="I38" s="2" t="str">
        <f t="shared" si="1"/>
        <v>OK</v>
      </c>
      <c r="J38">
        <f t="shared" si="2"/>
        <v>0</v>
      </c>
      <c r="K38" s="2">
        <v>45941</v>
      </c>
      <c r="L38" s="2">
        <v>45941</v>
      </c>
      <c r="M38" s="2" t="str">
        <f t="shared" si="3"/>
        <v>OK</v>
      </c>
      <c r="N38" t="s">
        <v>87</v>
      </c>
      <c r="O38" t="s">
        <v>532</v>
      </c>
    </row>
    <row r="39" spans="1:15" hidden="1" x14ac:dyDescent="0.25">
      <c r="A39" t="str">
        <f>VLOOKUP(B39,'[1]Report Detail KPB'!$A$2:$F$264,6,0)</f>
        <v>16451-251029_0955</v>
      </c>
      <c r="B39" t="s">
        <v>88</v>
      </c>
      <c r="C39" t="s">
        <v>36</v>
      </c>
      <c r="D39">
        <v>920</v>
      </c>
      <c r="E39">
        <v>920</v>
      </c>
      <c r="F39" s="2" t="str">
        <f t="shared" si="0"/>
        <v>OK</v>
      </c>
      <c r="G39" s="2">
        <v>45895</v>
      </c>
      <c r="H39" s="2">
        <v>45895</v>
      </c>
      <c r="I39" s="2" t="str">
        <f t="shared" si="1"/>
        <v>OK</v>
      </c>
      <c r="J39">
        <f t="shared" si="2"/>
        <v>0</v>
      </c>
      <c r="K39" s="2">
        <v>45937</v>
      </c>
      <c r="L39" s="2">
        <v>45937</v>
      </c>
      <c r="M39" s="2" t="str">
        <f t="shared" si="3"/>
        <v>OK</v>
      </c>
      <c r="N39" t="s">
        <v>89</v>
      </c>
      <c r="O39" t="s">
        <v>532</v>
      </c>
    </row>
    <row r="40" spans="1:15" hidden="1" x14ac:dyDescent="0.25">
      <c r="A40" t="str">
        <f>VLOOKUP(B40,'[1]Report Detail KPB'!$A$2:$F$264,6,0)</f>
        <v>16451-251029_0955</v>
      </c>
      <c r="B40" s="7" t="s">
        <v>82</v>
      </c>
      <c r="C40" t="s">
        <v>29</v>
      </c>
      <c r="D40">
        <v>556</v>
      </c>
      <c r="E40">
        <v>556</v>
      </c>
      <c r="F40" s="2" t="str">
        <f t="shared" si="0"/>
        <v>OK</v>
      </c>
      <c r="G40" s="2">
        <v>45866</v>
      </c>
      <c r="H40" s="2">
        <v>45866</v>
      </c>
      <c r="I40" s="2" t="str">
        <f t="shared" si="1"/>
        <v>OK</v>
      </c>
      <c r="J40">
        <f t="shared" si="2"/>
        <v>0</v>
      </c>
      <c r="K40" s="2">
        <v>45931</v>
      </c>
      <c r="L40" s="2">
        <v>45931</v>
      </c>
      <c r="M40" s="2" t="str">
        <f t="shared" si="3"/>
        <v>OK</v>
      </c>
      <c r="N40" t="s">
        <v>83</v>
      </c>
      <c r="O40" t="s">
        <v>532</v>
      </c>
    </row>
    <row r="41" spans="1:15" hidden="1" x14ac:dyDescent="0.25">
      <c r="A41" t="str">
        <f>VLOOKUP(B41,'[1]Report Detail KPB'!$A$2:$F$264,6,0)</f>
        <v>16451-251107_1714</v>
      </c>
      <c r="B41" t="s">
        <v>90</v>
      </c>
      <c r="C41" t="s">
        <v>36</v>
      </c>
      <c r="D41">
        <v>709</v>
      </c>
      <c r="E41">
        <v>709</v>
      </c>
      <c r="F41" s="2" t="str">
        <f t="shared" si="0"/>
        <v>OK</v>
      </c>
      <c r="G41" s="2">
        <v>45923</v>
      </c>
      <c r="H41" s="2">
        <v>45923</v>
      </c>
      <c r="I41" s="2" t="str">
        <f t="shared" si="1"/>
        <v>OK</v>
      </c>
      <c r="J41">
        <f t="shared" si="2"/>
        <v>0</v>
      </c>
      <c r="K41" s="2">
        <v>45946</v>
      </c>
      <c r="L41" s="2">
        <v>45946</v>
      </c>
      <c r="M41" s="2" t="str">
        <f t="shared" si="3"/>
        <v>OK</v>
      </c>
      <c r="N41" t="s">
        <v>91</v>
      </c>
      <c r="O41" t="s">
        <v>532</v>
      </c>
    </row>
    <row r="42" spans="1:15" hidden="1" x14ac:dyDescent="0.25">
      <c r="A42" t="str">
        <f>VLOOKUP(B42,'[1]Report Detail KPB'!$A$2:$F$264,6,0)</f>
        <v>16451-251029_0955</v>
      </c>
      <c r="B42" t="s">
        <v>92</v>
      </c>
      <c r="C42" t="s">
        <v>36</v>
      </c>
      <c r="D42">
        <v>224</v>
      </c>
      <c r="E42">
        <v>224</v>
      </c>
      <c r="F42" s="2" t="str">
        <f t="shared" si="0"/>
        <v>OK</v>
      </c>
      <c r="G42" s="2">
        <v>45899</v>
      </c>
      <c r="H42" s="2">
        <v>45899</v>
      </c>
      <c r="I42" s="2" t="str">
        <f t="shared" si="1"/>
        <v>OK</v>
      </c>
      <c r="J42">
        <f t="shared" si="2"/>
        <v>0</v>
      </c>
      <c r="K42" s="2">
        <v>45940</v>
      </c>
      <c r="L42" s="2">
        <v>45940</v>
      </c>
      <c r="M42" s="2" t="str">
        <f t="shared" si="3"/>
        <v>OK</v>
      </c>
      <c r="N42" t="s">
        <v>93</v>
      </c>
      <c r="O42" t="s">
        <v>532</v>
      </c>
    </row>
    <row r="43" spans="1:15" hidden="1" x14ac:dyDescent="0.25">
      <c r="A43" t="str">
        <f>VLOOKUP(B43,'[1]Report Detail KPB'!$A$2:$F$264,6,0)</f>
        <v>16451-251029_0955</v>
      </c>
      <c r="B43" t="s">
        <v>94</v>
      </c>
      <c r="C43" t="s">
        <v>36</v>
      </c>
      <c r="D43">
        <v>252</v>
      </c>
      <c r="E43">
        <v>252</v>
      </c>
      <c r="F43" s="2" t="str">
        <f t="shared" si="0"/>
        <v>OK</v>
      </c>
      <c r="G43" s="2">
        <v>45900</v>
      </c>
      <c r="H43" s="2">
        <v>45900</v>
      </c>
      <c r="I43" s="2" t="str">
        <f t="shared" si="1"/>
        <v>OK</v>
      </c>
      <c r="J43">
        <f t="shared" si="2"/>
        <v>0</v>
      </c>
      <c r="K43" s="2">
        <v>45940</v>
      </c>
      <c r="L43" s="2">
        <v>45940</v>
      </c>
      <c r="M43" s="2" t="str">
        <f t="shared" si="3"/>
        <v>OK</v>
      </c>
      <c r="N43" t="s">
        <v>95</v>
      </c>
      <c r="O43" t="s">
        <v>532</v>
      </c>
    </row>
    <row r="44" spans="1:15" hidden="1" x14ac:dyDescent="0.25">
      <c r="A44" t="str">
        <f>VLOOKUP(B44,'[1]Report Detail KPB'!$A$2:$F$264,6,0)</f>
        <v>16451-251107_1714</v>
      </c>
      <c r="B44" t="s">
        <v>96</v>
      </c>
      <c r="C44" t="s">
        <v>36</v>
      </c>
      <c r="D44">
        <v>796</v>
      </c>
      <c r="E44">
        <v>796</v>
      </c>
      <c r="F44" s="2" t="str">
        <f t="shared" si="0"/>
        <v>OK</v>
      </c>
      <c r="G44" s="2">
        <v>45913</v>
      </c>
      <c r="H44" s="2">
        <v>45913</v>
      </c>
      <c r="I44" s="2" t="str">
        <f t="shared" si="1"/>
        <v>OK</v>
      </c>
      <c r="J44">
        <f t="shared" si="2"/>
        <v>0</v>
      </c>
      <c r="K44" s="2">
        <v>45954</v>
      </c>
      <c r="L44" s="2">
        <v>45954</v>
      </c>
      <c r="M44" s="2" t="str">
        <f t="shared" si="3"/>
        <v>OK</v>
      </c>
      <c r="N44" t="s">
        <v>97</v>
      </c>
      <c r="O44" t="s">
        <v>532</v>
      </c>
    </row>
    <row r="45" spans="1:15" hidden="1" x14ac:dyDescent="0.25">
      <c r="A45" t="str">
        <f>VLOOKUP(B45,'[1]Report Detail KPB'!$A$2:$F$264,6,0)</f>
        <v>16451-251029_0955</v>
      </c>
      <c r="B45" t="s">
        <v>98</v>
      </c>
      <c r="C45" t="s">
        <v>36</v>
      </c>
      <c r="D45">
        <v>361</v>
      </c>
      <c r="E45">
        <v>361</v>
      </c>
      <c r="F45" s="2" t="str">
        <f t="shared" si="0"/>
        <v>OK</v>
      </c>
      <c r="G45" s="2">
        <v>45910</v>
      </c>
      <c r="H45" s="2">
        <v>45910</v>
      </c>
      <c r="I45" s="2" t="str">
        <f t="shared" si="1"/>
        <v>OK</v>
      </c>
      <c r="J45">
        <f t="shared" si="2"/>
        <v>0</v>
      </c>
      <c r="K45" s="2">
        <v>45940</v>
      </c>
      <c r="L45" s="2">
        <v>45940</v>
      </c>
      <c r="M45" s="2" t="str">
        <f t="shared" si="3"/>
        <v>OK</v>
      </c>
      <c r="N45" t="s">
        <v>99</v>
      </c>
      <c r="O45" t="s">
        <v>532</v>
      </c>
    </row>
    <row r="46" spans="1:15" hidden="1" x14ac:dyDescent="0.25">
      <c r="A46" t="str">
        <f>VLOOKUP(B46,'[1]Report Detail KPB'!$A$2:$F$264,6,0)</f>
        <v>16451-251029_0955</v>
      </c>
      <c r="B46" t="s">
        <v>100</v>
      </c>
      <c r="C46" t="s">
        <v>36</v>
      </c>
      <c r="D46">
        <v>329</v>
      </c>
      <c r="E46">
        <v>329</v>
      </c>
      <c r="F46" s="2" t="str">
        <f t="shared" si="0"/>
        <v>OK</v>
      </c>
      <c r="G46" s="2">
        <v>45911</v>
      </c>
      <c r="H46" s="2">
        <v>45911</v>
      </c>
      <c r="I46" s="2" t="str">
        <f t="shared" si="1"/>
        <v>OK</v>
      </c>
      <c r="J46">
        <f t="shared" si="2"/>
        <v>0</v>
      </c>
      <c r="K46" s="2">
        <v>45940</v>
      </c>
      <c r="L46" s="2">
        <v>45940</v>
      </c>
      <c r="M46" s="2" t="str">
        <f t="shared" si="3"/>
        <v>OK</v>
      </c>
      <c r="N46" t="s">
        <v>101</v>
      </c>
      <c r="O46" t="s">
        <v>532</v>
      </c>
    </row>
    <row r="47" spans="1:15" hidden="1" x14ac:dyDescent="0.25">
      <c r="A47" t="str">
        <f>VLOOKUP(B47,'[1]Report Detail KPB'!$A$2:$F$264,6,0)</f>
        <v>16451-251107_1714</v>
      </c>
      <c r="B47" t="s">
        <v>102</v>
      </c>
      <c r="C47" t="s">
        <v>36</v>
      </c>
      <c r="D47">
        <v>604</v>
      </c>
      <c r="E47">
        <v>604</v>
      </c>
      <c r="F47" s="2" t="str">
        <f t="shared" si="0"/>
        <v>OK</v>
      </c>
      <c r="G47" s="2">
        <v>45908</v>
      </c>
      <c r="H47" s="2">
        <v>45908</v>
      </c>
      <c r="I47" s="2" t="str">
        <f t="shared" si="1"/>
        <v>OK</v>
      </c>
      <c r="J47">
        <f t="shared" si="2"/>
        <v>0</v>
      </c>
      <c r="K47" s="2">
        <v>45954</v>
      </c>
      <c r="L47" s="2">
        <v>45954</v>
      </c>
      <c r="M47" s="2" t="str">
        <f t="shared" si="3"/>
        <v>OK</v>
      </c>
      <c r="N47" t="s">
        <v>103</v>
      </c>
      <c r="O47" t="s">
        <v>532</v>
      </c>
    </row>
    <row r="48" spans="1:15" hidden="1" x14ac:dyDescent="0.25">
      <c r="A48" t="str">
        <f>VLOOKUP(B48,'[1]Report Detail KPB'!$A$2:$F$264,6,0)</f>
        <v>16451-251107_1714</v>
      </c>
      <c r="B48" t="s">
        <v>104</v>
      </c>
      <c r="C48" t="s">
        <v>36</v>
      </c>
      <c r="D48">
        <v>670</v>
      </c>
      <c r="E48">
        <v>670</v>
      </c>
      <c r="F48" s="2" t="str">
        <f t="shared" si="0"/>
        <v>OK</v>
      </c>
      <c r="G48" s="2">
        <v>45916</v>
      </c>
      <c r="H48" s="2">
        <v>45916</v>
      </c>
      <c r="I48" s="2" t="str">
        <f t="shared" si="1"/>
        <v>OK</v>
      </c>
      <c r="J48">
        <f t="shared" si="2"/>
        <v>0</v>
      </c>
      <c r="K48" s="2">
        <v>45954</v>
      </c>
      <c r="L48" s="2">
        <v>45954</v>
      </c>
      <c r="M48" s="2" t="str">
        <f t="shared" si="3"/>
        <v>OK</v>
      </c>
      <c r="N48" t="s">
        <v>105</v>
      </c>
      <c r="O48" t="s">
        <v>532</v>
      </c>
    </row>
    <row r="49" spans="1:15" hidden="1" x14ac:dyDescent="0.25">
      <c r="A49" t="str">
        <f>VLOOKUP(B49,'[1]Report Detail KPB'!$A$2:$F$264,6,0)</f>
        <v>16451-251107_1714</v>
      </c>
      <c r="B49" t="s">
        <v>106</v>
      </c>
      <c r="C49" t="s">
        <v>36</v>
      </c>
      <c r="D49">
        <v>895</v>
      </c>
      <c r="E49">
        <v>895</v>
      </c>
      <c r="F49" s="2" t="str">
        <f t="shared" si="0"/>
        <v>OK</v>
      </c>
      <c r="G49" s="2">
        <v>45918</v>
      </c>
      <c r="H49" s="2">
        <v>45918</v>
      </c>
      <c r="I49" s="2" t="str">
        <f t="shared" si="1"/>
        <v>OK</v>
      </c>
      <c r="J49">
        <f t="shared" si="2"/>
        <v>0</v>
      </c>
      <c r="K49" s="2">
        <v>45954</v>
      </c>
      <c r="L49" s="2">
        <v>45954</v>
      </c>
      <c r="M49" s="2" t="str">
        <f t="shared" si="3"/>
        <v>OK</v>
      </c>
      <c r="N49" t="s">
        <v>107</v>
      </c>
      <c r="O49" t="s">
        <v>532</v>
      </c>
    </row>
    <row r="50" spans="1:15" hidden="1" x14ac:dyDescent="0.25">
      <c r="A50" t="str">
        <f>VLOOKUP(B50,'[1]Report Detail KPB'!$A$2:$F$264,6,0)</f>
        <v>16451-251107_1714</v>
      </c>
      <c r="B50" t="s">
        <v>108</v>
      </c>
      <c r="C50" t="s">
        <v>36</v>
      </c>
      <c r="D50">
        <v>253</v>
      </c>
      <c r="E50">
        <v>253</v>
      </c>
      <c r="F50" s="2" t="str">
        <f t="shared" si="0"/>
        <v>OK</v>
      </c>
      <c r="G50" s="2">
        <v>45920</v>
      </c>
      <c r="H50" s="2">
        <v>45920</v>
      </c>
      <c r="I50" s="2" t="str">
        <f t="shared" si="1"/>
        <v>OK</v>
      </c>
      <c r="J50">
        <f t="shared" si="2"/>
        <v>0</v>
      </c>
      <c r="K50" s="2">
        <v>45946</v>
      </c>
      <c r="L50" s="2">
        <v>45946</v>
      </c>
      <c r="M50" s="2" t="str">
        <f t="shared" si="3"/>
        <v>OK</v>
      </c>
      <c r="N50" t="s">
        <v>109</v>
      </c>
      <c r="O50" t="s">
        <v>532</v>
      </c>
    </row>
    <row r="51" spans="1:15" hidden="1" x14ac:dyDescent="0.25">
      <c r="A51" t="str">
        <f>VLOOKUP(B51,'[1]Report Detail KPB'!$A$2:$F$264,6,0)</f>
        <v>16451-251107_1714</v>
      </c>
      <c r="B51" t="s">
        <v>110</v>
      </c>
      <c r="C51" t="s">
        <v>29</v>
      </c>
      <c r="D51">
        <v>1466</v>
      </c>
      <c r="E51">
        <v>1466</v>
      </c>
      <c r="F51" s="2" t="str">
        <f t="shared" si="0"/>
        <v>OK</v>
      </c>
      <c r="G51" s="2">
        <v>45917</v>
      </c>
      <c r="H51" s="2">
        <v>45917</v>
      </c>
      <c r="I51" s="2" t="str">
        <f t="shared" si="1"/>
        <v>OK</v>
      </c>
      <c r="J51">
        <f t="shared" si="2"/>
        <v>0</v>
      </c>
      <c r="K51" s="2">
        <v>45953</v>
      </c>
      <c r="L51" s="2">
        <v>45953</v>
      </c>
      <c r="M51" s="2" t="str">
        <f t="shared" si="3"/>
        <v>OK</v>
      </c>
      <c r="N51" t="s">
        <v>111</v>
      </c>
      <c r="O51" t="s">
        <v>532</v>
      </c>
    </row>
    <row r="52" spans="1:15" hidden="1" x14ac:dyDescent="0.25">
      <c r="A52" t="str">
        <f>VLOOKUP(B52,'[1]Report Detail KPB'!$A$2:$F$264,6,0)</f>
        <v>16451-251029_0955</v>
      </c>
      <c r="B52" t="s">
        <v>112</v>
      </c>
      <c r="C52" t="s">
        <v>36</v>
      </c>
      <c r="D52">
        <v>961</v>
      </c>
      <c r="E52">
        <v>961</v>
      </c>
      <c r="F52" s="2" t="str">
        <f t="shared" si="0"/>
        <v>OK</v>
      </c>
      <c r="G52" s="2">
        <v>45919</v>
      </c>
      <c r="H52" s="2">
        <v>45919</v>
      </c>
      <c r="I52" s="2" t="str">
        <f t="shared" si="1"/>
        <v>OK</v>
      </c>
      <c r="J52">
        <f t="shared" si="2"/>
        <v>0</v>
      </c>
      <c r="K52" s="2">
        <v>45940</v>
      </c>
      <c r="L52" s="2">
        <v>45940</v>
      </c>
      <c r="M52" s="2" t="str">
        <f t="shared" si="3"/>
        <v>OK</v>
      </c>
      <c r="N52" t="s">
        <v>113</v>
      </c>
      <c r="O52" t="s">
        <v>532</v>
      </c>
    </row>
    <row r="53" spans="1:15" hidden="1" x14ac:dyDescent="0.25">
      <c r="A53" t="str">
        <f>VLOOKUP(B53,'[1]Report Detail KPB'!$A$2:$F$264,6,0)</f>
        <v>16451-251107_1714</v>
      </c>
      <c r="B53" t="s">
        <v>114</v>
      </c>
      <c r="C53" t="s">
        <v>36</v>
      </c>
      <c r="D53">
        <v>990</v>
      </c>
      <c r="E53">
        <v>990</v>
      </c>
      <c r="F53" s="2" t="str">
        <f t="shared" si="0"/>
        <v>OK</v>
      </c>
      <c r="G53" s="2">
        <v>45931</v>
      </c>
      <c r="H53" s="2">
        <v>45931</v>
      </c>
      <c r="I53" s="2" t="str">
        <f t="shared" si="1"/>
        <v>OK</v>
      </c>
      <c r="J53">
        <f t="shared" si="2"/>
        <v>0</v>
      </c>
      <c r="K53" s="2">
        <v>45954</v>
      </c>
      <c r="L53" s="2">
        <v>45954</v>
      </c>
      <c r="M53" s="2" t="str">
        <f t="shared" si="3"/>
        <v>OK</v>
      </c>
      <c r="N53" t="s">
        <v>115</v>
      </c>
      <c r="O53" t="s">
        <v>532</v>
      </c>
    </row>
    <row r="54" spans="1:15" hidden="1" x14ac:dyDescent="0.25">
      <c r="A54" t="str">
        <f>VLOOKUP(B54,'[1]Report Detail KPB'!$A$2:$F$264,6,0)</f>
        <v>16451-251107_1714</v>
      </c>
      <c r="B54" t="s">
        <v>116</v>
      </c>
      <c r="C54" t="s">
        <v>36</v>
      </c>
      <c r="D54">
        <v>651</v>
      </c>
      <c r="E54">
        <v>651</v>
      </c>
      <c r="F54" s="2" t="str">
        <f t="shared" si="0"/>
        <v>OK</v>
      </c>
      <c r="G54" s="2">
        <v>45926</v>
      </c>
      <c r="H54" s="2">
        <v>45926</v>
      </c>
      <c r="I54" s="2" t="str">
        <f t="shared" si="1"/>
        <v>OK</v>
      </c>
      <c r="J54">
        <f t="shared" si="2"/>
        <v>0</v>
      </c>
      <c r="K54" s="2">
        <v>45954</v>
      </c>
      <c r="L54" s="2">
        <v>45954</v>
      </c>
      <c r="M54" s="2" t="str">
        <f t="shared" si="3"/>
        <v>OK</v>
      </c>
      <c r="N54" t="s">
        <v>117</v>
      </c>
      <c r="O54" t="s">
        <v>532</v>
      </c>
    </row>
    <row r="55" spans="1:15" hidden="1" x14ac:dyDescent="0.25">
      <c r="A55" t="str">
        <f>VLOOKUP(B55,'[1]Report Detail KPB'!$A$2:$F$264,6,0)</f>
        <v>16451-251029_0955</v>
      </c>
      <c r="B55" t="s">
        <v>118</v>
      </c>
      <c r="C55" t="s">
        <v>8</v>
      </c>
      <c r="D55">
        <v>1988</v>
      </c>
      <c r="E55">
        <v>1988</v>
      </c>
      <c r="F55" s="2" t="str">
        <f t="shared" si="0"/>
        <v>OK</v>
      </c>
      <c r="G55" s="2">
        <v>45815</v>
      </c>
      <c r="H55" s="2">
        <v>45815</v>
      </c>
      <c r="I55" s="2" t="str">
        <f t="shared" si="1"/>
        <v>OK</v>
      </c>
      <c r="J55">
        <f t="shared" si="2"/>
        <v>0</v>
      </c>
      <c r="K55" s="2">
        <v>45937</v>
      </c>
      <c r="L55" s="2">
        <v>45937</v>
      </c>
      <c r="M55" s="2" t="str">
        <f t="shared" si="3"/>
        <v>OK</v>
      </c>
      <c r="N55" t="s">
        <v>119</v>
      </c>
      <c r="O55" t="s">
        <v>532</v>
      </c>
    </row>
    <row r="56" spans="1:15" hidden="1" x14ac:dyDescent="0.25">
      <c r="A56" t="str">
        <f>VLOOKUP(B56,'[1]Report Detail KPB'!$A$2:$F$264,6,0)</f>
        <v>16451-251107_1714</v>
      </c>
      <c r="B56" t="s">
        <v>120</v>
      </c>
      <c r="C56" t="s">
        <v>8</v>
      </c>
      <c r="D56">
        <v>9185</v>
      </c>
      <c r="E56">
        <v>9185</v>
      </c>
      <c r="F56" s="2" t="str">
        <f t="shared" si="0"/>
        <v>OK</v>
      </c>
      <c r="G56" s="2">
        <v>45742</v>
      </c>
      <c r="H56" s="2">
        <v>45742</v>
      </c>
      <c r="I56" s="2" t="str">
        <f t="shared" si="1"/>
        <v>OK</v>
      </c>
      <c r="J56">
        <f t="shared" si="2"/>
        <v>0</v>
      </c>
      <c r="K56" s="2">
        <v>45941</v>
      </c>
      <c r="L56" s="2">
        <v>45941</v>
      </c>
      <c r="M56" s="2" t="str">
        <f t="shared" si="3"/>
        <v>OK</v>
      </c>
      <c r="N56" t="s">
        <v>121</v>
      </c>
      <c r="O56" t="s">
        <v>532</v>
      </c>
    </row>
    <row r="57" spans="1:15" hidden="1" x14ac:dyDescent="0.25">
      <c r="A57" t="str">
        <f>VLOOKUP(B57,'[1]Report Detail KPB'!$A$2:$F$264,6,0)</f>
        <v>16451-251029_0955</v>
      </c>
      <c r="B57" t="s">
        <v>122</v>
      </c>
      <c r="C57" t="s">
        <v>36</v>
      </c>
      <c r="D57">
        <v>651</v>
      </c>
      <c r="E57">
        <v>651</v>
      </c>
      <c r="F57" s="2" t="str">
        <f t="shared" si="0"/>
        <v>OK</v>
      </c>
      <c r="G57" s="2">
        <v>45880</v>
      </c>
      <c r="H57" s="2">
        <v>45880</v>
      </c>
      <c r="I57" s="2" t="str">
        <f t="shared" si="1"/>
        <v>OK</v>
      </c>
      <c r="J57">
        <f t="shared" si="2"/>
        <v>0</v>
      </c>
      <c r="K57" s="2">
        <v>45940</v>
      </c>
      <c r="L57" s="2">
        <v>45940</v>
      </c>
      <c r="M57" s="2" t="str">
        <f t="shared" si="3"/>
        <v>OK</v>
      </c>
      <c r="N57" t="s">
        <v>123</v>
      </c>
      <c r="O57" t="s">
        <v>532</v>
      </c>
    </row>
    <row r="58" spans="1:15" hidden="1" x14ac:dyDescent="0.25">
      <c r="A58" t="str">
        <f>VLOOKUP(B58,'[1]Report Detail KPB'!$A$2:$F$264,6,0)</f>
        <v>16451-251029_0955</v>
      </c>
      <c r="B58" t="s">
        <v>124</v>
      </c>
      <c r="C58" t="s">
        <v>36</v>
      </c>
      <c r="D58">
        <v>298</v>
      </c>
      <c r="E58">
        <v>298</v>
      </c>
      <c r="F58" s="2" t="str">
        <f t="shared" si="0"/>
        <v>OK</v>
      </c>
      <c r="G58" s="2">
        <v>45896</v>
      </c>
      <c r="H58" s="2">
        <v>45896</v>
      </c>
      <c r="I58" s="2" t="str">
        <f t="shared" si="1"/>
        <v>OK</v>
      </c>
      <c r="J58">
        <f t="shared" si="2"/>
        <v>0</v>
      </c>
      <c r="K58" s="2">
        <v>45940</v>
      </c>
      <c r="L58" s="2">
        <v>45940</v>
      </c>
      <c r="M58" s="2" t="str">
        <f t="shared" si="3"/>
        <v>OK</v>
      </c>
      <c r="N58" t="s">
        <v>125</v>
      </c>
      <c r="O58" t="s">
        <v>532</v>
      </c>
    </row>
    <row r="59" spans="1:15" hidden="1" x14ac:dyDescent="0.25">
      <c r="A59" t="str">
        <f>VLOOKUP(B59,'[1]Report Detail KPB'!$A$2:$F$264,6,0)</f>
        <v>16451-251029_0955</v>
      </c>
      <c r="B59" t="s">
        <v>126</v>
      </c>
      <c r="C59" t="s">
        <v>36</v>
      </c>
      <c r="D59">
        <v>531</v>
      </c>
      <c r="E59">
        <v>531</v>
      </c>
      <c r="F59" s="2" t="str">
        <f t="shared" si="0"/>
        <v>OK</v>
      </c>
      <c r="G59" s="2">
        <v>45883</v>
      </c>
      <c r="H59" s="2">
        <v>45883</v>
      </c>
      <c r="I59" s="2" t="str">
        <f t="shared" si="1"/>
        <v>OK</v>
      </c>
      <c r="J59">
        <f t="shared" si="2"/>
        <v>0</v>
      </c>
      <c r="K59" s="2">
        <v>45937</v>
      </c>
      <c r="L59" s="2">
        <v>45937</v>
      </c>
      <c r="M59" s="2" t="str">
        <f t="shared" si="3"/>
        <v>OK</v>
      </c>
      <c r="N59" t="s">
        <v>127</v>
      </c>
      <c r="O59" t="s">
        <v>532</v>
      </c>
    </row>
    <row r="60" spans="1:15" hidden="1" x14ac:dyDescent="0.25">
      <c r="A60" t="str">
        <f>VLOOKUP(B60,'[1]Report Detail KPB'!$A$2:$F$264,6,0)</f>
        <v>16451-251107_1714</v>
      </c>
      <c r="B60" t="s">
        <v>128</v>
      </c>
      <c r="C60" t="s">
        <v>36</v>
      </c>
      <c r="D60">
        <v>478</v>
      </c>
      <c r="E60">
        <v>478</v>
      </c>
      <c r="F60" s="2" t="str">
        <f t="shared" si="0"/>
        <v>OK</v>
      </c>
      <c r="G60" s="2">
        <v>45908</v>
      </c>
      <c r="H60" s="2">
        <v>45908</v>
      </c>
      <c r="I60" s="2" t="str">
        <f t="shared" si="1"/>
        <v>OK</v>
      </c>
      <c r="J60">
        <f t="shared" si="2"/>
        <v>0</v>
      </c>
      <c r="K60" s="2">
        <v>45954</v>
      </c>
      <c r="L60" s="2">
        <v>45954</v>
      </c>
      <c r="M60" s="2" t="str">
        <f t="shared" si="3"/>
        <v>OK</v>
      </c>
      <c r="N60" t="s">
        <v>129</v>
      </c>
      <c r="O60" t="s">
        <v>532</v>
      </c>
    </row>
    <row r="61" spans="1:15" hidden="1" x14ac:dyDescent="0.25">
      <c r="A61" t="str">
        <f>VLOOKUP(B61,'[1]Report Detail KPB'!$A$2:$F$264,6,0)</f>
        <v>16451-251029_0955</v>
      </c>
      <c r="B61" t="s">
        <v>35</v>
      </c>
      <c r="C61" t="s">
        <v>36</v>
      </c>
      <c r="D61">
        <v>700</v>
      </c>
      <c r="E61">
        <v>700</v>
      </c>
      <c r="F61" s="2" t="str">
        <f t="shared" si="0"/>
        <v>OK</v>
      </c>
      <c r="G61" s="2">
        <v>45889</v>
      </c>
      <c r="H61" s="2">
        <v>45889</v>
      </c>
      <c r="I61" s="2" t="str">
        <f t="shared" si="1"/>
        <v>OK</v>
      </c>
      <c r="J61">
        <f t="shared" si="2"/>
        <v>0</v>
      </c>
      <c r="K61" s="2">
        <v>45940</v>
      </c>
      <c r="L61" s="2">
        <v>45940</v>
      </c>
      <c r="M61" s="2" t="str">
        <f t="shared" si="3"/>
        <v>OK</v>
      </c>
      <c r="N61" t="s">
        <v>37</v>
      </c>
      <c r="O61" t="s">
        <v>532</v>
      </c>
    </row>
    <row r="62" spans="1:15" hidden="1" x14ac:dyDescent="0.25">
      <c r="A62" t="str">
        <f>VLOOKUP(B62,'[1]Report Detail KPB'!$A$2:$F$264,6,0)</f>
        <v>16451-251029_0955</v>
      </c>
      <c r="B62" t="s">
        <v>130</v>
      </c>
      <c r="C62" t="s">
        <v>36</v>
      </c>
      <c r="D62">
        <v>67</v>
      </c>
      <c r="E62">
        <v>67</v>
      </c>
      <c r="F62" s="2" t="str">
        <f t="shared" si="0"/>
        <v>OK</v>
      </c>
      <c r="G62" s="2">
        <v>45912</v>
      </c>
      <c r="H62" s="2">
        <v>45912</v>
      </c>
      <c r="I62" s="2" t="str">
        <f t="shared" si="1"/>
        <v>OK</v>
      </c>
      <c r="J62">
        <f t="shared" si="2"/>
        <v>0</v>
      </c>
      <c r="K62" s="2">
        <v>45940</v>
      </c>
      <c r="L62" s="2">
        <v>45940</v>
      </c>
      <c r="M62" s="2" t="str">
        <f t="shared" si="3"/>
        <v>OK</v>
      </c>
      <c r="N62" t="s">
        <v>131</v>
      </c>
      <c r="O62" t="s">
        <v>532</v>
      </c>
    </row>
    <row r="63" spans="1:15" hidden="1" x14ac:dyDescent="0.25">
      <c r="A63" t="str">
        <f>VLOOKUP(B63,'[1]Report Detail KPB'!$A$2:$F$264,6,0)</f>
        <v>16451-251107_1714</v>
      </c>
      <c r="B63" t="s">
        <v>132</v>
      </c>
      <c r="C63" t="s">
        <v>36</v>
      </c>
      <c r="D63">
        <v>693</v>
      </c>
      <c r="E63">
        <v>693</v>
      </c>
      <c r="F63" s="2" t="str">
        <f t="shared" si="0"/>
        <v>OK</v>
      </c>
      <c r="G63" s="2">
        <v>45911</v>
      </c>
      <c r="H63" s="2">
        <v>45911</v>
      </c>
      <c r="I63" s="2" t="str">
        <f t="shared" si="1"/>
        <v>OK</v>
      </c>
      <c r="J63">
        <f t="shared" si="2"/>
        <v>0</v>
      </c>
      <c r="K63" s="2">
        <v>45954</v>
      </c>
      <c r="L63" s="2">
        <v>45954</v>
      </c>
      <c r="M63" s="2" t="str">
        <f t="shared" si="3"/>
        <v>OK</v>
      </c>
      <c r="N63" t="s">
        <v>133</v>
      </c>
      <c r="O63" t="s">
        <v>532</v>
      </c>
    </row>
    <row r="64" spans="1:15" hidden="1" x14ac:dyDescent="0.25">
      <c r="A64" t="str">
        <f>VLOOKUP(B64,'[1]Report Detail KPB'!$A$2:$F$264,6,0)</f>
        <v>16451-251029_0955</v>
      </c>
      <c r="B64" t="s">
        <v>134</v>
      </c>
      <c r="C64" t="s">
        <v>36</v>
      </c>
      <c r="D64">
        <v>639</v>
      </c>
      <c r="E64">
        <v>639</v>
      </c>
      <c r="F64" s="2" t="str">
        <f t="shared" si="0"/>
        <v>OK</v>
      </c>
      <c r="G64" s="2">
        <v>45919</v>
      </c>
      <c r="H64" s="2">
        <v>45919</v>
      </c>
      <c r="I64" s="2" t="str">
        <f t="shared" si="1"/>
        <v>OK</v>
      </c>
      <c r="J64">
        <f t="shared" si="2"/>
        <v>0</v>
      </c>
      <c r="K64" s="2">
        <v>45939</v>
      </c>
      <c r="L64" s="2">
        <v>45939</v>
      </c>
      <c r="M64" s="2" t="str">
        <f t="shared" si="3"/>
        <v>OK</v>
      </c>
      <c r="N64" t="s">
        <v>135</v>
      </c>
      <c r="O64" t="s">
        <v>532</v>
      </c>
    </row>
    <row r="65" spans="1:15" hidden="1" x14ac:dyDescent="0.25">
      <c r="A65" t="str">
        <f>VLOOKUP(B65,'[1]Report Detail KPB'!$A$2:$F$264,6,0)</f>
        <v>16451-251107_1714</v>
      </c>
      <c r="B65" t="s">
        <v>136</v>
      </c>
      <c r="C65" t="s">
        <v>8</v>
      </c>
      <c r="D65">
        <v>9391</v>
      </c>
      <c r="E65">
        <v>9391</v>
      </c>
      <c r="F65" s="2" t="str">
        <f t="shared" si="0"/>
        <v>OK</v>
      </c>
      <c r="G65" s="2">
        <v>45626</v>
      </c>
      <c r="H65" s="2">
        <v>45626</v>
      </c>
      <c r="I65" s="2" t="str">
        <f t="shared" si="1"/>
        <v>OK</v>
      </c>
      <c r="J65">
        <f t="shared" si="2"/>
        <v>0</v>
      </c>
      <c r="K65" s="2">
        <v>45951</v>
      </c>
      <c r="L65" s="2">
        <v>45951</v>
      </c>
      <c r="M65" s="2" t="str">
        <f t="shared" si="3"/>
        <v>OK</v>
      </c>
      <c r="N65" t="s">
        <v>137</v>
      </c>
      <c r="O65" t="s">
        <v>532</v>
      </c>
    </row>
    <row r="66" spans="1:15" hidden="1" x14ac:dyDescent="0.25">
      <c r="A66" t="str">
        <f>VLOOKUP(B66,'[1]Report Detail KPB'!$A$2:$F$264,6,0)</f>
        <v>16451-251107_1714</v>
      </c>
      <c r="B66" t="s">
        <v>138</v>
      </c>
      <c r="C66" t="s">
        <v>8</v>
      </c>
      <c r="D66">
        <v>3273</v>
      </c>
      <c r="E66">
        <v>3273</v>
      </c>
      <c r="F66" s="2" t="str">
        <f t="shared" ref="F66:F129" si="4">IF(D66=E66,"OK","Not")</f>
        <v>OK</v>
      </c>
      <c r="G66" s="2">
        <v>45824</v>
      </c>
      <c r="H66" s="2">
        <v>45822</v>
      </c>
      <c r="I66" s="2" t="str">
        <f t="shared" ref="I66:I129" si="5">IF(G66=H66,"OK","Not")</f>
        <v>Not</v>
      </c>
      <c r="J66">
        <f t="shared" ref="J66:J129" si="6">H66-G66</f>
        <v>-2</v>
      </c>
      <c r="K66" s="2">
        <v>45960</v>
      </c>
      <c r="L66" s="2">
        <v>45960</v>
      </c>
      <c r="M66" s="2" t="str">
        <f t="shared" ref="M66:M129" si="7">IF(K66=L66,"OK","Not")</f>
        <v>OK</v>
      </c>
      <c r="N66" t="s">
        <v>139</v>
      </c>
      <c r="O66" t="s">
        <v>532</v>
      </c>
    </row>
    <row r="67" spans="1:15" hidden="1" x14ac:dyDescent="0.25">
      <c r="A67" t="str">
        <f>VLOOKUP(B67,'[1]Report Detail KPB'!$A$2:$F$264,6,0)</f>
        <v>16451-251107_1714</v>
      </c>
      <c r="B67" t="s">
        <v>140</v>
      </c>
      <c r="C67" t="s">
        <v>17</v>
      </c>
      <c r="D67">
        <v>3682</v>
      </c>
      <c r="E67">
        <v>3682</v>
      </c>
      <c r="F67" s="2" t="str">
        <f t="shared" si="4"/>
        <v>OK</v>
      </c>
      <c r="G67" s="2">
        <v>45723</v>
      </c>
      <c r="H67" s="2">
        <v>45723</v>
      </c>
      <c r="I67" s="2" t="str">
        <f t="shared" si="5"/>
        <v>OK</v>
      </c>
      <c r="J67">
        <f t="shared" si="6"/>
        <v>0</v>
      </c>
      <c r="K67" s="2">
        <v>45961</v>
      </c>
      <c r="L67" s="2">
        <v>45961</v>
      </c>
      <c r="M67" s="2" t="str">
        <f t="shared" si="7"/>
        <v>OK</v>
      </c>
      <c r="N67" t="s">
        <v>141</v>
      </c>
      <c r="O67" t="s">
        <v>532</v>
      </c>
    </row>
    <row r="68" spans="1:15" hidden="1" x14ac:dyDescent="0.25">
      <c r="A68" t="str">
        <f>VLOOKUP(B68,'[1]Report Detail KPB'!$A$2:$F$264,6,0)</f>
        <v>16451-251029_0955</v>
      </c>
      <c r="B68" t="s">
        <v>142</v>
      </c>
      <c r="C68" t="s">
        <v>8</v>
      </c>
      <c r="D68">
        <v>9672</v>
      </c>
      <c r="E68">
        <v>9672</v>
      </c>
      <c r="F68" s="2" t="str">
        <f t="shared" si="4"/>
        <v>OK</v>
      </c>
      <c r="G68" s="2">
        <v>45731</v>
      </c>
      <c r="H68" s="2">
        <v>45731</v>
      </c>
      <c r="I68" s="2" t="str">
        <f t="shared" si="5"/>
        <v>OK</v>
      </c>
      <c r="J68">
        <f t="shared" si="6"/>
        <v>0</v>
      </c>
      <c r="K68" s="2">
        <v>45936</v>
      </c>
      <c r="L68" s="2">
        <v>45936</v>
      </c>
      <c r="M68" s="2" t="str">
        <f t="shared" si="7"/>
        <v>OK</v>
      </c>
      <c r="N68" t="s">
        <v>143</v>
      </c>
      <c r="O68" t="s">
        <v>532</v>
      </c>
    </row>
    <row r="69" spans="1:15" hidden="1" x14ac:dyDescent="0.25">
      <c r="A69" t="str">
        <f>VLOOKUP(B69,'[1]Report Detail KPB'!$A$2:$F$264,6,0)</f>
        <v>16451-251107_1714</v>
      </c>
      <c r="B69" t="s">
        <v>144</v>
      </c>
      <c r="C69" t="s">
        <v>17</v>
      </c>
      <c r="D69">
        <v>3015</v>
      </c>
      <c r="E69">
        <v>3015</v>
      </c>
      <c r="F69" s="2" t="str">
        <f t="shared" si="4"/>
        <v>OK</v>
      </c>
      <c r="G69" s="2">
        <v>45777</v>
      </c>
      <c r="H69" s="2">
        <v>45780</v>
      </c>
      <c r="I69" s="2" t="str">
        <f t="shared" si="5"/>
        <v>Not</v>
      </c>
      <c r="J69">
        <f t="shared" si="6"/>
        <v>3</v>
      </c>
      <c r="K69" s="2">
        <v>45955</v>
      </c>
      <c r="L69" s="2">
        <v>45955</v>
      </c>
      <c r="M69" s="2" t="str">
        <f t="shared" si="7"/>
        <v>OK</v>
      </c>
      <c r="N69" t="s">
        <v>145</v>
      </c>
      <c r="O69" t="s">
        <v>532</v>
      </c>
    </row>
    <row r="70" spans="1:15" hidden="1" x14ac:dyDescent="0.25">
      <c r="A70" t="str">
        <f>VLOOKUP(B70,'[1]Report Detail KPB'!$A$2:$F$264,6,0)</f>
        <v>16451-251029_0955</v>
      </c>
      <c r="B70" t="s">
        <v>146</v>
      </c>
      <c r="C70" t="s">
        <v>8</v>
      </c>
      <c r="D70">
        <v>4604</v>
      </c>
      <c r="E70">
        <v>4604</v>
      </c>
      <c r="F70" s="2" t="str">
        <f t="shared" si="4"/>
        <v>OK</v>
      </c>
      <c r="G70" s="2">
        <v>45796</v>
      </c>
      <c r="H70" s="2">
        <v>45796</v>
      </c>
      <c r="I70" s="2" t="str">
        <f t="shared" si="5"/>
        <v>OK</v>
      </c>
      <c r="J70">
        <f t="shared" si="6"/>
        <v>0</v>
      </c>
      <c r="K70" s="2">
        <v>45938</v>
      </c>
      <c r="L70" s="2">
        <v>45938</v>
      </c>
      <c r="M70" s="2" t="str">
        <f t="shared" si="7"/>
        <v>OK</v>
      </c>
      <c r="N70" t="s">
        <v>147</v>
      </c>
      <c r="O70" t="s">
        <v>532</v>
      </c>
    </row>
    <row r="71" spans="1:15" hidden="1" x14ac:dyDescent="0.25">
      <c r="A71" t="str">
        <f>VLOOKUP(B71,'[1]Report Detail KPB'!$A$2:$F$264,6,0)</f>
        <v>16451-251029_0955</v>
      </c>
      <c r="B71" t="s">
        <v>148</v>
      </c>
      <c r="C71" t="s">
        <v>29</v>
      </c>
      <c r="D71">
        <v>1480</v>
      </c>
      <c r="E71">
        <v>1480</v>
      </c>
      <c r="F71" s="2" t="str">
        <f t="shared" si="4"/>
        <v>OK</v>
      </c>
      <c r="G71" s="2">
        <v>45834</v>
      </c>
      <c r="H71" s="2">
        <v>45834</v>
      </c>
      <c r="I71" s="2" t="str">
        <f t="shared" si="5"/>
        <v>OK</v>
      </c>
      <c r="J71">
        <f t="shared" si="6"/>
        <v>0</v>
      </c>
      <c r="K71" s="2">
        <v>45934</v>
      </c>
      <c r="L71" s="2">
        <v>45934</v>
      </c>
      <c r="M71" s="2" t="str">
        <f t="shared" si="7"/>
        <v>OK</v>
      </c>
      <c r="N71" t="s">
        <v>149</v>
      </c>
      <c r="O71" t="s">
        <v>532</v>
      </c>
    </row>
    <row r="72" spans="1:15" hidden="1" x14ac:dyDescent="0.25">
      <c r="A72" t="str">
        <f>VLOOKUP(B72,'[1]Report Detail KPB'!$A$2:$F$264,6,0)</f>
        <v>16451-251029_0955</v>
      </c>
      <c r="B72" t="s">
        <v>150</v>
      </c>
      <c r="C72" t="s">
        <v>29</v>
      </c>
      <c r="D72">
        <v>1033</v>
      </c>
      <c r="E72">
        <v>1033</v>
      </c>
      <c r="F72" s="2" t="str">
        <f t="shared" si="4"/>
        <v>OK</v>
      </c>
      <c r="G72" s="2">
        <v>45845</v>
      </c>
      <c r="H72" s="2">
        <v>45843</v>
      </c>
      <c r="I72" s="2" t="str">
        <f t="shared" si="5"/>
        <v>Not</v>
      </c>
      <c r="J72">
        <f t="shared" si="6"/>
        <v>-2</v>
      </c>
      <c r="K72" s="2">
        <v>45931</v>
      </c>
      <c r="L72" s="2">
        <v>45931</v>
      </c>
      <c r="M72" s="2" t="str">
        <f t="shared" si="7"/>
        <v>OK</v>
      </c>
      <c r="N72" t="s">
        <v>151</v>
      </c>
      <c r="O72" t="s">
        <v>532</v>
      </c>
    </row>
    <row r="73" spans="1:15" hidden="1" x14ac:dyDescent="0.25">
      <c r="A73" t="s">
        <v>530</v>
      </c>
      <c r="B73" t="s">
        <v>150</v>
      </c>
      <c r="C73" t="s">
        <v>17</v>
      </c>
      <c r="D73">
        <v>1286</v>
      </c>
      <c r="E73">
        <v>1286</v>
      </c>
      <c r="F73" s="2" t="str">
        <f t="shared" si="4"/>
        <v>OK</v>
      </c>
      <c r="G73" s="2">
        <v>45845</v>
      </c>
      <c r="H73" s="2">
        <v>45843</v>
      </c>
      <c r="I73" s="2" t="str">
        <f t="shared" si="5"/>
        <v>Not</v>
      </c>
      <c r="J73">
        <f t="shared" si="6"/>
        <v>-2</v>
      </c>
      <c r="K73" s="2">
        <v>45955</v>
      </c>
      <c r="L73" s="2">
        <v>45955</v>
      </c>
      <c r="M73" s="2" t="str">
        <f t="shared" si="7"/>
        <v>OK</v>
      </c>
      <c r="N73" t="s">
        <v>152</v>
      </c>
      <c r="O73" t="s">
        <v>532</v>
      </c>
    </row>
    <row r="74" spans="1:15" hidden="1" x14ac:dyDescent="0.25">
      <c r="A74" t="str">
        <f>VLOOKUP(B74,'[1]Report Detail KPB'!$A$2:$F$264,6,0)</f>
        <v>16451-251029_0955</v>
      </c>
      <c r="B74" t="s">
        <v>153</v>
      </c>
      <c r="C74" t="s">
        <v>29</v>
      </c>
      <c r="D74">
        <v>1844</v>
      </c>
      <c r="E74">
        <v>1844</v>
      </c>
      <c r="F74" s="2" t="str">
        <f t="shared" si="4"/>
        <v>OK</v>
      </c>
      <c r="G74" s="2">
        <v>45845</v>
      </c>
      <c r="H74" s="2">
        <v>45845</v>
      </c>
      <c r="I74" s="2" t="str">
        <f t="shared" si="5"/>
        <v>OK</v>
      </c>
      <c r="J74">
        <f t="shared" si="6"/>
        <v>0</v>
      </c>
      <c r="K74" s="2">
        <v>45932</v>
      </c>
      <c r="L74" s="2">
        <v>45932</v>
      </c>
      <c r="M74" s="2" t="str">
        <f t="shared" si="7"/>
        <v>OK</v>
      </c>
      <c r="N74" t="s">
        <v>154</v>
      </c>
      <c r="O74" t="s">
        <v>532</v>
      </c>
    </row>
    <row r="75" spans="1:15" hidden="1" x14ac:dyDescent="0.25">
      <c r="A75" t="str">
        <f>VLOOKUP(B75,'[1]Report Detail KPB'!$A$2:$F$264,6,0)</f>
        <v>16451-251029_0955</v>
      </c>
      <c r="B75" t="s">
        <v>155</v>
      </c>
      <c r="C75" t="s">
        <v>17</v>
      </c>
      <c r="D75">
        <v>3207</v>
      </c>
      <c r="E75">
        <v>3207</v>
      </c>
      <c r="F75" s="2" t="str">
        <f t="shared" si="4"/>
        <v>OK</v>
      </c>
      <c r="G75" s="2">
        <v>45846</v>
      </c>
      <c r="H75" s="2">
        <v>45846</v>
      </c>
      <c r="I75" s="2" t="str">
        <f t="shared" si="5"/>
        <v>OK</v>
      </c>
      <c r="J75">
        <f t="shared" si="6"/>
        <v>0</v>
      </c>
      <c r="K75" s="2">
        <v>45936</v>
      </c>
      <c r="L75" s="2">
        <v>45936</v>
      </c>
      <c r="M75" s="2" t="str">
        <f t="shared" si="7"/>
        <v>OK</v>
      </c>
      <c r="N75" t="s">
        <v>156</v>
      </c>
      <c r="O75" t="s">
        <v>532</v>
      </c>
    </row>
    <row r="76" spans="1:15" hidden="1" x14ac:dyDescent="0.25">
      <c r="A76" t="str">
        <f>VLOOKUP(B76,'[1]Report Detail KPB'!$A$2:$F$264,6,0)</f>
        <v>16451-251107_1714</v>
      </c>
      <c r="B76" t="s">
        <v>157</v>
      </c>
      <c r="C76" t="s">
        <v>17</v>
      </c>
      <c r="D76">
        <v>1653</v>
      </c>
      <c r="E76">
        <v>1653</v>
      </c>
      <c r="F76" s="2" t="str">
        <f t="shared" si="4"/>
        <v>OK</v>
      </c>
      <c r="G76" s="2">
        <v>45859</v>
      </c>
      <c r="H76" s="2">
        <v>45859</v>
      </c>
      <c r="I76" s="2" t="str">
        <f t="shared" si="5"/>
        <v>OK</v>
      </c>
      <c r="J76">
        <f t="shared" si="6"/>
        <v>0</v>
      </c>
      <c r="K76" s="2">
        <v>45956</v>
      </c>
      <c r="L76" s="2">
        <v>45956</v>
      </c>
      <c r="M76" s="2" t="str">
        <f t="shared" si="7"/>
        <v>OK</v>
      </c>
      <c r="N76" t="s">
        <v>158</v>
      </c>
      <c r="O76" t="s">
        <v>532</v>
      </c>
    </row>
    <row r="77" spans="1:15" hidden="1" x14ac:dyDescent="0.25">
      <c r="A77" t="str">
        <f>VLOOKUP(B77,'[1]Report Detail KPB'!$A$2:$F$264,6,0)</f>
        <v>16451-251029_0955</v>
      </c>
      <c r="B77" t="s">
        <v>159</v>
      </c>
      <c r="C77" t="s">
        <v>29</v>
      </c>
      <c r="D77">
        <v>1234</v>
      </c>
      <c r="E77">
        <v>1234</v>
      </c>
      <c r="F77" s="2" t="str">
        <f t="shared" si="4"/>
        <v>OK</v>
      </c>
      <c r="G77" s="2">
        <v>45869</v>
      </c>
      <c r="H77" s="2">
        <v>45869</v>
      </c>
      <c r="I77" s="2" t="str">
        <f t="shared" si="5"/>
        <v>OK</v>
      </c>
      <c r="J77">
        <f t="shared" si="6"/>
        <v>0</v>
      </c>
      <c r="K77" s="2">
        <v>45939</v>
      </c>
      <c r="L77" s="2">
        <v>45939</v>
      </c>
      <c r="M77" s="2" t="str">
        <f t="shared" si="7"/>
        <v>OK</v>
      </c>
      <c r="N77" t="s">
        <v>160</v>
      </c>
      <c r="O77" t="s">
        <v>532</v>
      </c>
    </row>
    <row r="78" spans="1:15" hidden="1" x14ac:dyDescent="0.25">
      <c r="A78" t="str">
        <f>VLOOKUP(B78,'[1]Report Detail KPB'!$A$2:$F$264,6,0)</f>
        <v>16451-251107_1714</v>
      </c>
      <c r="B78" t="s">
        <v>161</v>
      </c>
      <c r="C78" t="s">
        <v>29</v>
      </c>
      <c r="D78">
        <v>1983</v>
      </c>
      <c r="E78">
        <v>1983</v>
      </c>
      <c r="F78" s="2" t="str">
        <f t="shared" si="4"/>
        <v>OK</v>
      </c>
      <c r="G78" s="2">
        <v>45885</v>
      </c>
      <c r="H78" s="2">
        <v>45885</v>
      </c>
      <c r="I78" s="2" t="str">
        <f t="shared" si="5"/>
        <v>OK</v>
      </c>
      <c r="J78">
        <f t="shared" si="6"/>
        <v>0</v>
      </c>
      <c r="K78" s="2">
        <v>45960</v>
      </c>
      <c r="L78" s="2">
        <v>45960</v>
      </c>
      <c r="M78" s="2" t="str">
        <f t="shared" si="7"/>
        <v>OK</v>
      </c>
      <c r="N78" t="s">
        <v>162</v>
      </c>
      <c r="O78" t="s">
        <v>532</v>
      </c>
    </row>
    <row r="79" spans="1:15" hidden="1" x14ac:dyDescent="0.25">
      <c r="A79" t="str">
        <f>VLOOKUP(B79,'[1]Report Detail KPB'!$A$2:$F$264,6,0)</f>
        <v>16451-251029_0955</v>
      </c>
      <c r="B79" t="s">
        <v>163</v>
      </c>
      <c r="C79" t="s">
        <v>29</v>
      </c>
      <c r="D79">
        <v>1504</v>
      </c>
      <c r="E79">
        <v>1504</v>
      </c>
      <c r="F79" s="2" t="str">
        <f t="shared" si="4"/>
        <v>OK</v>
      </c>
      <c r="G79" s="2">
        <v>45885</v>
      </c>
      <c r="H79" s="2">
        <v>45885</v>
      </c>
      <c r="I79" s="2" t="str">
        <f t="shared" si="5"/>
        <v>OK</v>
      </c>
      <c r="J79">
        <f t="shared" si="6"/>
        <v>0</v>
      </c>
      <c r="K79" s="2">
        <v>45932</v>
      </c>
      <c r="L79" s="2">
        <v>45932</v>
      </c>
      <c r="M79" s="2" t="str">
        <f t="shared" si="7"/>
        <v>OK</v>
      </c>
      <c r="N79" t="s">
        <v>164</v>
      </c>
      <c r="O79" t="s">
        <v>532</v>
      </c>
    </row>
    <row r="80" spans="1:15" hidden="1" x14ac:dyDescent="0.25">
      <c r="A80" t="s">
        <v>530</v>
      </c>
      <c r="B80" t="s">
        <v>163</v>
      </c>
      <c r="C80" t="s">
        <v>17</v>
      </c>
      <c r="D80">
        <v>3600</v>
      </c>
      <c r="E80">
        <v>3600</v>
      </c>
      <c r="F80" s="2" t="str">
        <f t="shared" si="4"/>
        <v>OK</v>
      </c>
      <c r="G80" s="2">
        <v>45885</v>
      </c>
      <c r="H80" s="2">
        <v>45885</v>
      </c>
      <c r="I80" s="2" t="str">
        <f t="shared" si="5"/>
        <v>OK</v>
      </c>
      <c r="J80">
        <f t="shared" si="6"/>
        <v>0</v>
      </c>
      <c r="K80" s="2">
        <v>45945</v>
      </c>
      <c r="L80" s="2">
        <v>45945</v>
      </c>
      <c r="M80" s="2" t="str">
        <f t="shared" si="7"/>
        <v>OK</v>
      </c>
      <c r="N80" t="s">
        <v>165</v>
      </c>
      <c r="O80" t="s">
        <v>532</v>
      </c>
    </row>
    <row r="81" spans="1:15" hidden="1" x14ac:dyDescent="0.25">
      <c r="A81" t="str">
        <f>VLOOKUP(B81,'[1]Report Detail KPB'!$A$2:$F$264,6,0)</f>
        <v>16451-251107_1714</v>
      </c>
      <c r="B81" t="s">
        <v>166</v>
      </c>
      <c r="C81" t="s">
        <v>29</v>
      </c>
      <c r="D81">
        <v>2003</v>
      </c>
      <c r="E81">
        <v>2003</v>
      </c>
      <c r="F81" s="2" t="str">
        <f t="shared" si="4"/>
        <v>OK</v>
      </c>
      <c r="G81" s="2">
        <v>45891</v>
      </c>
      <c r="H81" s="2">
        <v>45891</v>
      </c>
      <c r="I81" s="2" t="str">
        <f t="shared" si="5"/>
        <v>OK</v>
      </c>
      <c r="J81">
        <f t="shared" si="6"/>
        <v>0</v>
      </c>
      <c r="K81" s="2">
        <v>45960</v>
      </c>
      <c r="L81" s="2">
        <v>45960</v>
      </c>
      <c r="M81" s="2" t="str">
        <f t="shared" si="7"/>
        <v>OK</v>
      </c>
      <c r="N81" t="s">
        <v>167</v>
      </c>
      <c r="O81" t="s">
        <v>532</v>
      </c>
    </row>
    <row r="82" spans="1:15" x14ac:dyDescent="0.25">
      <c r="A82" t="str">
        <f>VLOOKUP(B82,'[1]Report Detail KPB'!$A$2:$F$264,6,0)</f>
        <v>16451-251029_0955</v>
      </c>
      <c r="B82" s="6" t="s">
        <v>353</v>
      </c>
      <c r="C82" t="s">
        <v>17</v>
      </c>
      <c r="D82">
        <v>883</v>
      </c>
      <c r="E82">
        <v>883</v>
      </c>
      <c r="F82" s="2" t="str">
        <f t="shared" si="4"/>
        <v>OK</v>
      </c>
      <c r="G82" s="2">
        <v>45707</v>
      </c>
      <c r="H82" s="2">
        <v>45707</v>
      </c>
      <c r="I82" s="2" t="str">
        <f t="shared" si="5"/>
        <v>OK</v>
      </c>
      <c r="J82">
        <f t="shared" si="6"/>
        <v>0</v>
      </c>
      <c r="K82" s="2">
        <v>45936</v>
      </c>
      <c r="L82" s="2">
        <v>45936</v>
      </c>
      <c r="M82" s="2" t="str">
        <f t="shared" si="7"/>
        <v>OK</v>
      </c>
      <c r="N82" t="s">
        <v>354</v>
      </c>
      <c r="O82" t="s">
        <v>533</v>
      </c>
    </row>
    <row r="83" spans="1:15" hidden="1" x14ac:dyDescent="0.25">
      <c r="A83" t="str">
        <f>VLOOKUP(B83,'[1]Report Detail KPB'!$A$2:$F$264,6,0)</f>
        <v>16451-251107_1714</v>
      </c>
      <c r="B83" t="s">
        <v>168</v>
      </c>
      <c r="C83" t="s">
        <v>29</v>
      </c>
      <c r="D83">
        <v>3016</v>
      </c>
      <c r="E83">
        <v>3016</v>
      </c>
      <c r="F83" s="2" t="str">
        <f t="shared" si="4"/>
        <v>OK</v>
      </c>
      <c r="G83" s="2">
        <v>45897</v>
      </c>
      <c r="H83" s="2">
        <v>45897</v>
      </c>
      <c r="I83" s="2" t="str">
        <f t="shared" si="5"/>
        <v>OK</v>
      </c>
      <c r="J83">
        <f t="shared" si="6"/>
        <v>0</v>
      </c>
      <c r="K83" s="2">
        <v>45958</v>
      </c>
      <c r="L83" s="2">
        <v>45958</v>
      </c>
      <c r="M83" s="2" t="str">
        <f t="shared" si="7"/>
        <v>OK</v>
      </c>
      <c r="N83" t="s">
        <v>169</v>
      </c>
      <c r="O83" t="s">
        <v>532</v>
      </c>
    </row>
    <row r="84" spans="1:15" hidden="1" x14ac:dyDescent="0.25">
      <c r="A84" t="str">
        <f>VLOOKUP(B84,'[1]Report Detail KPB'!$A$2:$F$264,6,0)</f>
        <v>16451-251029_0955</v>
      </c>
      <c r="B84" t="s">
        <v>170</v>
      </c>
      <c r="C84" t="s">
        <v>36</v>
      </c>
      <c r="D84">
        <v>808</v>
      </c>
      <c r="E84">
        <v>808</v>
      </c>
      <c r="F84" s="2" t="str">
        <f t="shared" si="4"/>
        <v>OK</v>
      </c>
      <c r="G84" s="2">
        <v>45904</v>
      </c>
      <c r="H84" s="2">
        <v>45904</v>
      </c>
      <c r="I84" s="2" t="str">
        <f t="shared" si="5"/>
        <v>OK</v>
      </c>
      <c r="J84">
        <f t="shared" si="6"/>
        <v>0</v>
      </c>
      <c r="K84" s="2">
        <v>45936</v>
      </c>
      <c r="L84" s="2">
        <v>45936</v>
      </c>
      <c r="M84" s="2" t="str">
        <f t="shared" si="7"/>
        <v>OK</v>
      </c>
      <c r="N84" t="s">
        <v>171</v>
      </c>
      <c r="O84" t="s">
        <v>532</v>
      </c>
    </row>
    <row r="85" spans="1:15" hidden="1" x14ac:dyDescent="0.25">
      <c r="A85" t="str">
        <f>VLOOKUP(B85,'[1]Report Detail KPB'!$A$2:$F$264,6,0)</f>
        <v>16451-251029_0955</v>
      </c>
      <c r="B85" t="s">
        <v>172</v>
      </c>
      <c r="C85" t="s">
        <v>36</v>
      </c>
      <c r="D85">
        <v>712</v>
      </c>
      <c r="E85">
        <v>712</v>
      </c>
      <c r="F85" s="2" t="str">
        <f t="shared" si="4"/>
        <v>OK</v>
      </c>
      <c r="G85" s="2">
        <v>45906</v>
      </c>
      <c r="H85" s="2">
        <v>45905</v>
      </c>
      <c r="I85" s="2" t="str">
        <f t="shared" si="5"/>
        <v>Not</v>
      </c>
      <c r="J85">
        <f t="shared" si="6"/>
        <v>-1</v>
      </c>
      <c r="K85" s="2">
        <v>45940</v>
      </c>
      <c r="L85" s="2">
        <v>45940</v>
      </c>
      <c r="M85" s="2" t="str">
        <f t="shared" si="7"/>
        <v>OK</v>
      </c>
      <c r="N85" t="s">
        <v>173</v>
      </c>
      <c r="O85" t="s">
        <v>532</v>
      </c>
    </row>
    <row r="86" spans="1:15" hidden="1" x14ac:dyDescent="0.25">
      <c r="A86" t="str">
        <f>VLOOKUP(B86,'[1]Report Detail KPB'!$A$2:$F$264,6,0)</f>
        <v>16451-251029_0955</v>
      </c>
      <c r="B86" t="s">
        <v>174</v>
      </c>
      <c r="C86" t="s">
        <v>36</v>
      </c>
      <c r="D86">
        <v>868</v>
      </c>
      <c r="E86">
        <v>868</v>
      </c>
      <c r="F86" s="2" t="str">
        <f t="shared" si="4"/>
        <v>OK</v>
      </c>
      <c r="G86" s="2">
        <v>45916</v>
      </c>
      <c r="H86" s="2">
        <v>45916</v>
      </c>
      <c r="I86" s="2" t="str">
        <f t="shared" si="5"/>
        <v>OK</v>
      </c>
      <c r="J86">
        <f t="shared" si="6"/>
        <v>0</v>
      </c>
      <c r="K86" s="2">
        <v>45940</v>
      </c>
      <c r="L86" s="2">
        <v>45940</v>
      </c>
      <c r="M86" s="2" t="str">
        <f t="shared" si="7"/>
        <v>OK</v>
      </c>
      <c r="N86" t="s">
        <v>175</v>
      </c>
      <c r="O86" t="s">
        <v>532</v>
      </c>
    </row>
    <row r="87" spans="1:15" hidden="1" x14ac:dyDescent="0.25">
      <c r="A87" t="s">
        <v>530</v>
      </c>
      <c r="B87" t="s">
        <v>174</v>
      </c>
      <c r="C87" t="s">
        <v>29</v>
      </c>
      <c r="D87">
        <v>1653</v>
      </c>
      <c r="E87">
        <v>1653</v>
      </c>
      <c r="F87" s="2" t="str">
        <f t="shared" si="4"/>
        <v>OK</v>
      </c>
      <c r="G87" s="2">
        <v>45916</v>
      </c>
      <c r="H87" s="2">
        <v>45916</v>
      </c>
      <c r="I87" s="2" t="str">
        <f t="shared" si="5"/>
        <v>OK</v>
      </c>
      <c r="J87">
        <f t="shared" si="6"/>
        <v>0</v>
      </c>
      <c r="K87" s="2">
        <v>45955</v>
      </c>
      <c r="L87" s="2">
        <v>45955</v>
      </c>
      <c r="M87" s="2" t="str">
        <f t="shared" si="7"/>
        <v>OK</v>
      </c>
      <c r="N87" t="s">
        <v>176</v>
      </c>
      <c r="O87" t="s">
        <v>532</v>
      </c>
    </row>
    <row r="88" spans="1:15" hidden="1" x14ac:dyDescent="0.25">
      <c r="A88" t="str">
        <f>VLOOKUP(B88,'[1]Report Detail KPB'!$A$2:$F$264,6,0)</f>
        <v>16451-251107_1714</v>
      </c>
      <c r="B88" t="s">
        <v>177</v>
      </c>
      <c r="C88" t="s">
        <v>36</v>
      </c>
      <c r="D88">
        <v>384</v>
      </c>
      <c r="E88">
        <v>384</v>
      </c>
      <c r="F88" s="2" t="str">
        <f t="shared" si="4"/>
        <v>OK</v>
      </c>
      <c r="G88" s="2">
        <v>45927</v>
      </c>
      <c r="H88" s="2">
        <v>45927</v>
      </c>
      <c r="I88" s="2" t="str">
        <f t="shared" si="5"/>
        <v>OK</v>
      </c>
      <c r="J88">
        <f t="shared" si="6"/>
        <v>0</v>
      </c>
      <c r="K88" s="2">
        <v>45948</v>
      </c>
      <c r="L88" s="2">
        <v>45948</v>
      </c>
      <c r="M88" s="2" t="str">
        <f t="shared" si="7"/>
        <v>OK</v>
      </c>
      <c r="N88" t="s">
        <v>178</v>
      </c>
      <c r="O88" t="s">
        <v>532</v>
      </c>
    </row>
    <row r="89" spans="1:15" hidden="1" x14ac:dyDescent="0.25">
      <c r="A89" t="str">
        <f>VLOOKUP(B89,'[1]Report Detail KPB'!$A$2:$F$264,6,0)</f>
        <v>16451-251107_1714</v>
      </c>
      <c r="B89" t="s">
        <v>179</v>
      </c>
      <c r="C89" t="s">
        <v>36</v>
      </c>
      <c r="D89">
        <v>785</v>
      </c>
      <c r="E89">
        <v>785</v>
      </c>
      <c r="F89" s="2" t="str">
        <f t="shared" si="4"/>
        <v>OK</v>
      </c>
      <c r="G89" s="2">
        <v>45926</v>
      </c>
      <c r="H89" s="2">
        <v>45925</v>
      </c>
      <c r="I89" s="2" t="str">
        <f t="shared" si="5"/>
        <v>Not</v>
      </c>
      <c r="J89">
        <f t="shared" si="6"/>
        <v>-1</v>
      </c>
      <c r="K89" s="2">
        <v>45951</v>
      </c>
      <c r="L89" s="2">
        <v>45951</v>
      </c>
      <c r="M89" s="2" t="str">
        <f t="shared" si="7"/>
        <v>OK</v>
      </c>
      <c r="N89" t="s">
        <v>180</v>
      </c>
      <c r="O89" t="s">
        <v>532</v>
      </c>
    </row>
    <row r="90" spans="1:15" hidden="1" x14ac:dyDescent="0.25">
      <c r="A90" t="str">
        <f>VLOOKUP(B90,'[1]Report Detail KPB'!$A$2:$F$264,6,0)</f>
        <v>16451-251107_1714</v>
      </c>
      <c r="B90" t="s">
        <v>181</v>
      </c>
      <c r="C90" t="s">
        <v>17</v>
      </c>
      <c r="D90">
        <v>1740</v>
      </c>
      <c r="E90">
        <v>1740</v>
      </c>
      <c r="F90" s="2" t="str">
        <f t="shared" si="4"/>
        <v>OK</v>
      </c>
      <c r="G90" s="2">
        <v>45779</v>
      </c>
      <c r="H90" s="2">
        <v>45779</v>
      </c>
      <c r="I90" s="2" t="str">
        <f t="shared" si="5"/>
        <v>OK</v>
      </c>
      <c r="J90">
        <f t="shared" si="6"/>
        <v>0</v>
      </c>
      <c r="K90" s="2">
        <v>45960</v>
      </c>
      <c r="L90" s="2">
        <v>45960</v>
      </c>
      <c r="M90" s="2" t="str">
        <f t="shared" si="7"/>
        <v>OK</v>
      </c>
      <c r="N90" t="s">
        <v>182</v>
      </c>
      <c r="O90" t="s">
        <v>532</v>
      </c>
    </row>
    <row r="91" spans="1:15" hidden="1" x14ac:dyDescent="0.25">
      <c r="A91" t="str">
        <f>VLOOKUP(B91,'[1]Report Detail KPB'!$A$2:$F$264,6,0)</f>
        <v>16451-251029_0955</v>
      </c>
      <c r="B91" t="s">
        <v>183</v>
      </c>
      <c r="C91" t="s">
        <v>8</v>
      </c>
      <c r="D91">
        <v>2597</v>
      </c>
      <c r="E91">
        <v>2597</v>
      </c>
      <c r="F91" s="2" t="str">
        <f t="shared" si="4"/>
        <v>OK</v>
      </c>
      <c r="G91" s="2">
        <v>45804</v>
      </c>
      <c r="H91" s="2">
        <v>45804</v>
      </c>
      <c r="I91" s="2" t="str">
        <f t="shared" si="5"/>
        <v>OK</v>
      </c>
      <c r="J91">
        <f t="shared" si="6"/>
        <v>0</v>
      </c>
      <c r="K91" s="2">
        <v>45934</v>
      </c>
      <c r="L91" s="2">
        <v>45934</v>
      </c>
      <c r="M91" s="2" t="str">
        <f t="shared" si="7"/>
        <v>OK</v>
      </c>
      <c r="N91" t="s">
        <v>184</v>
      </c>
      <c r="O91" t="s">
        <v>532</v>
      </c>
    </row>
    <row r="92" spans="1:15" hidden="1" x14ac:dyDescent="0.25">
      <c r="A92" t="str">
        <f>VLOOKUP(B92,'[1]Report Detail KPB'!$A$2:$F$264,6,0)</f>
        <v>16451-251029_0955</v>
      </c>
      <c r="B92" t="s">
        <v>185</v>
      </c>
      <c r="C92" t="s">
        <v>29</v>
      </c>
      <c r="D92">
        <v>1269</v>
      </c>
      <c r="E92">
        <v>1269</v>
      </c>
      <c r="F92" s="2" t="str">
        <f t="shared" si="4"/>
        <v>OK</v>
      </c>
      <c r="G92" s="2">
        <v>45876</v>
      </c>
      <c r="H92" s="2">
        <v>45876</v>
      </c>
      <c r="I92" s="2" t="str">
        <f t="shared" si="5"/>
        <v>OK</v>
      </c>
      <c r="J92">
        <f t="shared" si="6"/>
        <v>0</v>
      </c>
      <c r="K92" s="2">
        <v>45938</v>
      </c>
      <c r="L92" s="2">
        <v>45938</v>
      </c>
      <c r="M92" s="2" t="str">
        <f t="shared" si="7"/>
        <v>OK</v>
      </c>
      <c r="N92" t="s">
        <v>186</v>
      </c>
      <c r="O92" t="s">
        <v>532</v>
      </c>
    </row>
    <row r="93" spans="1:15" hidden="1" x14ac:dyDescent="0.25">
      <c r="A93" t="str">
        <f>VLOOKUP(B93,'[1]Report Detail KPB'!$A$2:$F$264,6,0)</f>
        <v>16451-251029_0955</v>
      </c>
      <c r="B93" t="s">
        <v>187</v>
      </c>
      <c r="C93" t="s">
        <v>17</v>
      </c>
      <c r="D93">
        <v>3200</v>
      </c>
      <c r="E93">
        <v>3200</v>
      </c>
      <c r="F93" s="2" t="str">
        <f t="shared" si="4"/>
        <v>OK</v>
      </c>
      <c r="G93" s="2">
        <v>45840</v>
      </c>
      <c r="H93" s="2">
        <v>45840</v>
      </c>
      <c r="I93" s="2" t="str">
        <f t="shared" si="5"/>
        <v>OK</v>
      </c>
      <c r="J93">
        <f t="shared" si="6"/>
        <v>0</v>
      </c>
      <c r="K93" s="2">
        <v>45934</v>
      </c>
      <c r="L93" s="2">
        <v>45934</v>
      </c>
      <c r="M93" s="2" t="str">
        <f t="shared" si="7"/>
        <v>OK</v>
      </c>
      <c r="N93" t="s">
        <v>188</v>
      </c>
      <c r="O93" t="s">
        <v>532</v>
      </c>
    </row>
    <row r="94" spans="1:15" hidden="1" x14ac:dyDescent="0.25">
      <c r="A94" t="str">
        <f>VLOOKUP(B94,'[1]Report Detail KPB'!$A$2:$F$264,6,0)</f>
        <v>16451-251029_0955</v>
      </c>
      <c r="B94" t="s">
        <v>189</v>
      </c>
      <c r="C94" t="s">
        <v>17</v>
      </c>
      <c r="D94">
        <v>2716</v>
      </c>
      <c r="E94">
        <v>2716</v>
      </c>
      <c r="F94" s="2" t="str">
        <f t="shared" si="4"/>
        <v>OK</v>
      </c>
      <c r="G94" s="2">
        <v>45841</v>
      </c>
      <c r="H94" s="2">
        <v>45840</v>
      </c>
      <c r="I94" s="2" t="str">
        <f t="shared" si="5"/>
        <v>Not</v>
      </c>
      <c r="J94">
        <f t="shared" si="6"/>
        <v>-1</v>
      </c>
      <c r="K94" s="2">
        <v>45938</v>
      </c>
      <c r="L94" s="2">
        <v>45938</v>
      </c>
      <c r="M94" s="2" t="str">
        <f t="shared" si="7"/>
        <v>OK</v>
      </c>
      <c r="N94" t="s">
        <v>190</v>
      </c>
      <c r="O94" t="s">
        <v>532</v>
      </c>
    </row>
    <row r="95" spans="1:15" hidden="1" x14ac:dyDescent="0.25">
      <c r="A95" t="str">
        <f>VLOOKUP(B95,'[1]Report Detail KPB'!$A$2:$F$264,6,0)</f>
        <v>16451-251107_1714</v>
      </c>
      <c r="B95" t="s">
        <v>191</v>
      </c>
      <c r="C95" t="s">
        <v>17</v>
      </c>
      <c r="D95">
        <v>4110</v>
      </c>
      <c r="E95">
        <v>4110</v>
      </c>
      <c r="F95" s="2" t="str">
        <f t="shared" si="4"/>
        <v>OK</v>
      </c>
      <c r="G95" s="2">
        <v>45847</v>
      </c>
      <c r="H95" s="2">
        <v>45847</v>
      </c>
      <c r="I95" s="2" t="str">
        <f t="shared" si="5"/>
        <v>OK</v>
      </c>
      <c r="J95">
        <f t="shared" si="6"/>
        <v>0</v>
      </c>
      <c r="K95" s="2">
        <v>45961</v>
      </c>
      <c r="L95" s="2">
        <v>45961</v>
      </c>
      <c r="M95" s="2" t="str">
        <f t="shared" si="7"/>
        <v>OK</v>
      </c>
      <c r="N95" t="s">
        <v>192</v>
      </c>
      <c r="O95" t="s">
        <v>532</v>
      </c>
    </row>
    <row r="96" spans="1:15" hidden="1" x14ac:dyDescent="0.25">
      <c r="A96" t="str">
        <f>VLOOKUP(B96,'[1]Report Detail KPB'!$A$2:$F$264,6,0)</f>
        <v>16451-251029_0955</v>
      </c>
      <c r="B96" t="s">
        <v>193</v>
      </c>
      <c r="C96" t="s">
        <v>29</v>
      </c>
      <c r="D96">
        <v>2098</v>
      </c>
      <c r="E96">
        <v>2098</v>
      </c>
      <c r="F96" s="2" t="str">
        <f t="shared" si="4"/>
        <v>OK</v>
      </c>
      <c r="G96" s="2">
        <v>45867</v>
      </c>
      <c r="H96" s="2">
        <v>45867</v>
      </c>
      <c r="I96" s="2" t="str">
        <f t="shared" si="5"/>
        <v>OK</v>
      </c>
      <c r="J96">
        <f t="shared" si="6"/>
        <v>0</v>
      </c>
      <c r="K96" s="2">
        <v>45932</v>
      </c>
      <c r="L96" s="2">
        <v>45932</v>
      </c>
      <c r="M96" s="2" t="str">
        <f t="shared" si="7"/>
        <v>OK</v>
      </c>
      <c r="N96" t="s">
        <v>194</v>
      </c>
      <c r="O96" t="s">
        <v>532</v>
      </c>
    </row>
    <row r="97" spans="1:15" hidden="1" x14ac:dyDescent="0.25">
      <c r="A97" t="str">
        <f>VLOOKUP(B97,'[1]Report Detail KPB'!$A$2:$F$264,6,0)</f>
        <v>16451-251107_1714</v>
      </c>
      <c r="B97" t="s">
        <v>195</v>
      </c>
      <c r="C97" t="s">
        <v>29</v>
      </c>
      <c r="D97">
        <v>725</v>
      </c>
      <c r="E97">
        <v>725</v>
      </c>
      <c r="F97" s="2" t="str">
        <f t="shared" si="4"/>
        <v>OK</v>
      </c>
      <c r="G97" s="2">
        <v>45884</v>
      </c>
      <c r="H97" s="2">
        <v>45884</v>
      </c>
      <c r="I97" s="2" t="str">
        <f t="shared" si="5"/>
        <v>OK</v>
      </c>
      <c r="J97">
        <f t="shared" si="6"/>
        <v>0</v>
      </c>
      <c r="K97" s="2">
        <v>45944</v>
      </c>
      <c r="L97" s="2">
        <v>45944</v>
      </c>
      <c r="M97" s="2" t="str">
        <f t="shared" si="7"/>
        <v>OK</v>
      </c>
      <c r="N97" t="s">
        <v>196</v>
      </c>
      <c r="O97" t="s">
        <v>532</v>
      </c>
    </row>
    <row r="98" spans="1:15" hidden="1" x14ac:dyDescent="0.25">
      <c r="A98" t="str">
        <f>VLOOKUP(B98,'[1]Report Detail KPB'!$A$2:$F$264,6,0)</f>
        <v>16451-251029_0955</v>
      </c>
      <c r="B98" t="s">
        <v>197</v>
      </c>
      <c r="C98" t="s">
        <v>29</v>
      </c>
      <c r="D98">
        <v>831</v>
      </c>
      <c r="E98">
        <v>831</v>
      </c>
      <c r="F98" s="2" t="str">
        <f t="shared" si="4"/>
        <v>OK</v>
      </c>
      <c r="G98" s="2">
        <v>45878</v>
      </c>
      <c r="H98" s="2">
        <v>45878</v>
      </c>
      <c r="I98" s="2" t="str">
        <f t="shared" si="5"/>
        <v>OK</v>
      </c>
      <c r="J98">
        <f t="shared" si="6"/>
        <v>0</v>
      </c>
      <c r="K98" s="2">
        <v>45938</v>
      </c>
      <c r="L98" s="2">
        <v>45938</v>
      </c>
      <c r="M98" s="2" t="str">
        <f t="shared" si="7"/>
        <v>OK</v>
      </c>
      <c r="N98" t="s">
        <v>198</v>
      </c>
      <c r="O98" t="s">
        <v>532</v>
      </c>
    </row>
    <row r="99" spans="1:15" hidden="1" x14ac:dyDescent="0.25">
      <c r="A99" t="str">
        <f>VLOOKUP(B99,'[1]Report Detail KPB'!$A$2:$F$264,6,0)</f>
        <v>16451-251029_0955</v>
      </c>
      <c r="B99" s="7" t="s">
        <v>199</v>
      </c>
      <c r="C99" t="s">
        <v>29</v>
      </c>
      <c r="D99">
        <v>1115</v>
      </c>
      <c r="E99">
        <v>1115</v>
      </c>
      <c r="F99" s="2" t="str">
        <f t="shared" si="4"/>
        <v>OK</v>
      </c>
      <c r="G99" s="2">
        <v>45883</v>
      </c>
      <c r="H99" s="2">
        <v>45883</v>
      </c>
      <c r="I99" s="2" t="str">
        <f t="shared" si="5"/>
        <v>OK</v>
      </c>
      <c r="J99">
        <f t="shared" si="6"/>
        <v>0</v>
      </c>
      <c r="K99" s="2">
        <v>45932</v>
      </c>
      <c r="L99" s="2">
        <v>45932</v>
      </c>
      <c r="M99" s="2" t="str">
        <f t="shared" si="7"/>
        <v>OK</v>
      </c>
      <c r="N99" t="s">
        <v>200</v>
      </c>
      <c r="O99" t="s">
        <v>532</v>
      </c>
    </row>
    <row r="100" spans="1:15" hidden="1" x14ac:dyDescent="0.25">
      <c r="A100" t="str">
        <f>VLOOKUP(B100,'[1]Report Detail KPB'!$A$2:$F$264,6,0)</f>
        <v>16451-251029_0955</v>
      </c>
      <c r="B100" t="s">
        <v>201</v>
      </c>
      <c r="C100" t="s">
        <v>36</v>
      </c>
      <c r="D100">
        <v>779</v>
      </c>
      <c r="E100">
        <v>779</v>
      </c>
      <c r="F100" s="2" t="str">
        <f t="shared" si="4"/>
        <v>OK</v>
      </c>
      <c r="G100" s="2">
        <v>45902</v>
      </c>
      <c r="H100" s="2">
        <v>45902</v>
      </c>
      <c r="I100" s="2" t="str">
        <f t="shared" si="5"/>
        <v>OK</v>
      </c>
      <c r="J100">
        <f t="shared" si="6"/>
        <v>0</v>
      </c>
      <c r="K100" s="2">
        <v>45938</v>
      </c>
      <c r="L100" s="2">
        <v>45938</v>
      </c>
      <c r="M100" s="2" t="str">
        <f t="shared" si="7"/>
        <v>OK</v>
      </c>
      <c r="N100" t="s">
        <v>202</v>
      </c>
      <c r="O100" t="s">
        <v>532</v>
      </c>
    </row>
    <row r="101" spans="1:15" hidden="1" x14ac:dyDescent="0.25">
      <c r="A101" t="str">
        <f>VLOOKUP(B101,'[1]Report Detail KPB'!$A$2:$F$264,6,0)</f>
        <v>16451-251029_0955</v>
      </c>
      <c r="B101" t="s">
        <v>203</v>
      </c>
      <c r="C101" t="s">
        <v>36</v>
      </c>
      <c r="D101">
        <v>886</v>
      </c>
      <c r="E101">
        <v>886</v>
      </c>
      <c r="F101" s="2" t="str">
        <f t="shared" si="4"/>
        <v>OK</v>
      </c>
      <c r="G101" s="2">
        <v>45909</v>
      </c>
      <c r="H101" s="2">
        <v>45909</v>
      </c>
      <c r="I101" s="2" t="str">
        <f t="shared" si="5"/>
        <v>OK</v>
      </c>
      <c r="J101">
        <f t="shared" si="6"/>
        <v>0</v>
      </c>
      <c r="K101" s="2">
        <v>45940</v>
      </c>
      <c r="L101" s="2">
        <v>45940</v>
      </c>
      <c r="M101" s="2" t="str">
        <f t="shared" si="7"/>
        <v>OK</v>
      </c>
      <c r="N101" t="s">
        <v>204</v>
      </c>
      <c r="O101" t="s">
        <v>532</v>
      </c>
    </row>
    <row r="102" spans="1:15" hidden="1" x14ac:dyDescent="0.25">
      <c r="A102" t="str">
        <f>VLOOKUP(B102,'[1]Report Detail KPB'!$A$2:$F$264,6,0)</f>
        <v>16451-251029_0955</v>
      </c>
      <c r="B102" t="s">
        <v>205</v>
      </c>
      <c r="C102" t="s">
        <v>36</v>
      </c>
      <c r="D102">
        <v>510</v>
      </c>
      <c r="E102">
        <v>510</v>
      </c>
      <c r="F102" s="2" t="str">
        <f t="shared" si="4"/>
        <v>OK</v>
      </c>
      <c r="G102" s="2">
        <v>45910</v>
      </c>
      <c r="H102" s="2">
        <v>45910</v>
      </c>
      <c r="I102" s="2" t="str">
        <f t="shared" si="5"/>
        <v>OK</v>
      </c>
      <c r="J102">
        <f t="shared" si="6"/>
        <v>0</v>
      </c>
      <c r="K102" s="2">
        <v>45940</v>
      </c>
      <c r="L102" s="2">
        <v>45940</v>
      </c>
      <c r="M102" s="2" t="str">
        <f t="shared" si="7"/>
        <v>OK</v>
      </c>
      <c r="N102" t="s">
        <v>206</v>
      </c>
      <c r="O102" t="s">
        <v>532</v>
      </c>
    </row>
    <row r="103" spans="1:15" hidden="1" x14ac:dyDescent="0.25">
      <c r="A103" t="str">
        <f>VLOOKUP(B103,'[1]Report Detail KPB'!$A$2:$F$264,6,0)</f>
        <v>16451-251029_0955</v>
      </c>
      <c r="B103" t="s">
        <v>207</v>
      </c>
      <c r="C103" t="s">
        <v>36</v>
      </c>
      <c r="D103">
        <v>660</v>
      </c>
      <c r="E103">
        <v>660</v>
      </c>
      <c r="F103" s="2" t="str">
        <f t="shared" si="4"/>
        <v>OK</v>
      </c>
      <c r="G103" s="2">
        <v>45920</v>
      </c>
      <c r="H103" s="2">
        <v>45920</v>
      </c>
      <c r="I103" s="2" t="str">
        <f t="shared" si="5"/>
        <v>OK</v>
      </c>
      <c r="J103">
        <f t="shared" si="6"/>
        <v>0</v>
      </c>
      <c r="K103" s="2">
        <v>45937</v>
      </c>
      <c r="L103" s="2">
        <v>45937</v>
      </c>
      <c r="M103" s="2" t="str">
        <f t="shared" si="7"/>
        <v>OK</v>
      </c>
      <c r="N103" t="s">
        <v>208</v>
      </c>
      <c r="O103" t="s">
        <v>532</v>
      </c>
    </row>
    <row r="104" spans="1:15" hidden="1" x14ac:dyDescent="0.25">
      <c r="A104" t="str">
        <f>VLOOKUP(B104,'[1]Report Detail KPB'!$A$2:$F$264,6,0)</f>
        <v>16451-251107_1714</v>
      </c>
      <c r="B104" t="s">
        <v>209</v>
      </c>
      <c r="C104" t="s">
        <v>29</v>
      </c>
      <c r="D104">
        <v>1501</v>
      </c>
      <c r="E104">
        <v>1501</v>
      </c>
      <c r="F104" s="2" t="str">
        <f t="shared" si="4"/>
        <v>OK</v>
      </c>
      <c r="G104" s="2">
        <v>45863</v>
      </c>
      <c r="H104" s="2">
        <v>45862</v>
      </c>
      <c r="I104" s="2" t="str">
        <f t="shared" si="5"/>
        <v>Not</v>
      </c>
      <c r="J104">
        <f t="shared" si="6"/>
        <v>-1</v>
      </c>
      <c r="K104" s="2">
        <v>45960</v>
      </c>
      <c r="L104" s="2">
        <v>45960</v>
      </c>
      <c r="M104" s="2" t="str">
        <f t="shared" si="7"/>
        <v>OK</v>
      </c>
      <c r="N104" t="s">
        <v>210</v>
      </c>
      <c r="O104" t="s">
        <v>532</v>
      </c>
    </row>
    <row r="105" spans="1:15" hidden="1" x14ac:dyDescent="0.25">
      <c r="A105" t="str">
        <f>VLOOKUP(B105,'[1]Report Detail KPB'!$A$2:$F$264,6,0)</f>
        <v>16451-251107_1714</v>
      </c>
      <c r="B105" t="s">
        <v>211</v>
      </c>
      <c r="C105" t="s">
        <v>8</v>
      </c>
      <c r="D105">
        <v>5010</v>
      </c>
      <c r="E105">
        <v>5010</v>
      </c>
      <c r="F105" s="2" t="str">
        <f t="shared" si="4"/>
        <v>OK</v>
      </c>
      <c r="G105" s="2">
        <v>45793</v>
      </c>
      <c r="H105" s="2">
        <v>45793</v>
      </c>
      <c r="I105" s="2" t="str">
        <f t="shared" si="5"/>
        <v>OK</v>
      </c>
      <c r="J105">
        <f t="shared" si="6"/>
        <v>0</v>
      </c>
      <c r="K105" s="2">
        <v>45956</v>
      </c>
      <c r="L105" s="2">
        <v>45956</v>
      </c>
      <c r="M105" s="2" t="str">
        <f t="shared" si="7"/>
        <v>OK</v>
      </c>
      <c r="N105" t="s">
        <v>212</v>
      </c>
      <c r="O105" t="s">
        <v>532</v>
      </c>
    </row>
    <row r="106" spans="1:15" hidden="1" x14ac:dyDescent="0.25">
      <c r="A106" t="str">
        <f>VLOOKUP(B106,'[1]Report Detail KPB'!$A$2:$F$264,6,0)</f>
        <v>16451-251107_1714</v>
      </c>
      <c r="B106" t="s">
        <v>213</v>
      </c>
      <c r="C106" t="s">
        <v>29</v>
      </c>
      <c r="D106">
        <v>2199</v>
      </c>
      <c r="E106">
        <v>2199</v>
      </c>
      <c r="F106" s="2" t="str">
        <f t="shared" si="4"/>
        <v>OK</v>
      </c>
      <c r="G106" s="2">
        <v>45853</v>
      </c>
      <c r="H106" s="2">
        <v>45853</v>
      </c>
      <c r="I106" s="2" t="str">
        <f t="shared" si="5"/>
        <v>OK</v>
      </c>
      <c r="J106">
        <f t="shared" si="6"/>
        <v>0</v>
      </c>
      <c r="K106" s="2">
        <v>45948</v>
      </c>
      <c r="L106" s="2">
        <v>45948</v>
      </c>
      <c r="M106" s="2" t="str">
        <f t="shared" si="7"/>
        <v>OK</v>
      </c>
      <c r="N106" t="s">
        <v>214</v>
      </c>
      <c r="O106" t="s">
        <v>532</v>
      </c>
    </row>
    <row r="107" spans="1:15" hidden="1" x14ac:dyDescent="0.25">
      <c r="A107" t="str">
        <f>VLOOKUP(B107,'[1]Report Detail KPB'!$A$2:$F$264,6,0)</f>
        <v>16451-251107_1714</v>
      </c>
      <c r="B107" t="s">
        <v>215</v>
      </c>
      <c r="C107" t="s">
        <v>29</v>
      </c>
      <c r="D107">
        <v>1147</v>
      </c>
      <c r="E107">
        <v>1147</v>
      </c>
      <c r="F107" s="2" t="str">
        <f t="shared" si="4"/>
        <v>OK</v>
      </c>
      <c r="G107" s="2">
        <v>45840</v>
      </c>
      <c r="H107" s="2">
        <v>45840</v>
      </c>
      <c r="I107" s="2" t="str">
        <f t="shared" si="5"/>
        <v>OK</v>
      </c>
      <c r="J107">
        <f t="shared" si="6"/>
        <v>0</v>
      </c>
      <c r="K107" s="2">
        <v>45960</v>
      </c>
      <c r="L107" s="2">
        <v>45960</v>
      </c>
      <c r="M107" s="2" t="str">
        <f t="shared" si="7"/>
        <v>OK</v>
      </c>
      <c r="N107" t="s">
        <v>216</v>
      </c>
      <c r="O107" t="s">
        <v>532</v>
      </c>
    </row>
    <row r="108" spans="1:15" hidden="1" x14ac:dyDescent="0.25">
      <c r="A108" t="str">
        <f>VLOOKUP(B108,'[1]Report Detail KPB'!$A$2:$F$264,6,0)</f>
        <v>16451-251107_1714</v>
      </c>
      <c r="B108" t="s">
        <v>217</v>
      </c>
      <c r="C108" t="s">
        <v>36</v>
      </c>
      <c r="D108">
        <v>582</v>
      </c>
      <c r="E108">
        <v>582</v>
      </c>
      <c r="F108" s="2" t="str">
        <f t="shared" si="4"/>
        <v>OK</v>
      </c>
      <c r="G108" s="2">
        <v>45906</v>
      </c>
      <c r="H108" s="2">
        <v>45906</v>
      </c>
      <c r="I108" s="2" t="str">
        <f t="shared" si="5"/>
        <v>OK</v>
      </c>
      <c r="J108">
        <f t="shared" si="6"/>
        <v>0</v>
      </c>
      <c r="K108" s="2">
        <v>45959</v>
      </c>
      <c r="L108" s="2">
        <v>45959</v>
      </c>
      <c r="M108" s="2" t="str">
        <f t="shared" si="7"/>
        <v>OK</v>
      </c>
      <c r="N108" t="s">
        <v>218</v>
      </c>
      <c r="O108" t="s">
        <v>532</v>
      </c>
    </row>
    <row r="109" spans="1:15" hidden="1" x14ac:dyDescent="0.25">
      <c r="A109" t="str">
        <f>VLOOKUP(B109,'[1]Report Detail KPB'!$A$2:$F$264,6,0)</f>
        <v>16451-251107_1714</v>
      </c>
      <c r="B109" t="s">
        <v>219</v>
      </c>
      <c r="C109" t="s">
        <v>17</v>
      </c>
      <c r="D109">
        <v>2282</v>
      </c>
      <c r="E109">
        <v>2282</v>
      </c>
      <c r="F109" s="2" t="str">
        <f t="shared" si="4"/>
        <v>OK</v>
      </c>
      <c r="G109" s="2">
        <v>45864</v>
      </c>
      <c r="H109" s="2">
        <v>45864</v>
      </c>
      <c r="I109" s="2" t="str">
        <f t="shared" si="5"/>
        <v>OK</v>
      </c>
      <c r="J109">
        <f t="shared" si="6"/>
        <v>0</v>
      </c>
      <c r="K109" s="2">
        <v>45946</v>
      </c>
      <c r="L109" s="2">
        <v>45946</v>
      </c>
      <c r="M109" s="2" t="str">
        <f t="shared" si="7"/>
        <v>OK</v>
      </c>
      <c r="N109" t="s">
        <v>220</v>
      </c>
      <c r="O109" t="s">
        <v>532</v>
      </c>
    </row>
    <row r="110" spans="1:15" hidden="1" x14ac:dyDescent="0.25">
      <c r="A110" t="str">
        <f>VLOOKUP(B110,'[1]Report Detail KPB'!$A$2:$F$264,6,0)</f>
        <v>16451-251107_1714</v>
      </c>
      <c r="B110" t="s">
        <v>221</v>
      </c>
      <c r="C110" t="s">
        <v>17</v>
      </c>
      <c r="D110">
        <v>3139</v>
      </c>
      <c r="E110">
        <v>3139</v>
      </c>
      <c r="F110" s="2" t="str">
        <f t="shared" si="4"/>
        <v>OK</v>
      </c>
      <c r="G110" s="2">
        <v>45836</v>
      </c>
      <c r="H110" s="2">
        <v>45836</v>
      </c>
      <c r="I110" s="2" t="str">
        <f t="shared" si="5"/>
        <v>OK</v>
      </c>
      <c r="J110">
        <f t="shared" si="6"/>
        <v>0</v>
      </c>
      <c r="K110" s="2">
        <v>45946</v>
      </c>
      <c r="L110" s="2">
        <v>45946</v>
      </c>
      <c r="M110" s="2" t="str">
        <f t="shared" si="7"/>
        <v>OK</v>
      </c>
      <c r="N110" t="s">
        <v>222</v>
      </c>
      <c r="O110" t="s">
        <v>532</v>
      </c>
    </row>
    <row r="111" spans="1:15" hidden="1" x14ac:dyDescent="0.25">
      <c r="A111" t="str">
        <f>VLOOKUP(B111,'[1]Report Detail KPB'!$A$2:$F$264,6,0)</f>
        <v>16451-251107_1714</v>
      </c>
      <c r="B111" t="s">
        <v>221</v>
      </c>
      <c r="C111" t="s">
        <v>8</v>
      </c>
      <c r="D111">
        <v>4867</v>
      </c>
      <c r="E111">
        <v>4867</v>
      </c>
      <c r="F111" s="2" t="str">
        <f t="shared" si="4"/>
        <v>OK</v>
      </c>
      <c r="G111" s="2">
        <v>45836</v>
      </c>
      <c r="H111" s="2">
        <v>45836</v>
      </c>
      <c r="I111" s="2" t="str">
        <f t="shared" si="5"/>
        <v>OK</v>
      </c>
      <c r="J111">
        <f t="shared" si="6"/>
        <v>0</v>
      </c>
      <c r="K111" s="2">
        <v>45961</v>
      </c>
      <c r="L111" s="2">
        <v>45961</v>
      </c>
      <c r="M111" s="2" t="str">
        <f t="shared" si="7"/>
        <v>OK</v>
      </c>
      <c r="N111" t="s">
        <v>223</v>
      </c>
      <c r="O111" t="s">
        <v>532</v>
      </c>
    </row>
    <row r="112" spans="1:15" hidden="1" x14ac:dyDescent="0.25">
      <c r="A112" t="str">
        <f>VLOOKUP(B112,'[1]Report Detail KPB'!$A$2:$F$264,6,0)</f>
        <v>16451-251107_1714</v>
      </c>
      <c r="B112" t="s">
        <v>224</v>
      </c>
      <c r="C112" t="s">
        <v>29</v>
      </c>
      <c r="D112">
        <v>2061</v>
      </c>
      <c r="E112">
        <v>2061</v>
      </c>
      <c r="F112" s="2" t="str">
        <f t="shared" si="4"/>
        <v>OK</v>
      </c>
      <c r="G112" s="2">
        <v>45875</v>
      </c>
      <c r="H112" s="2">
        <v>45875</v>
      </c>
      <c r="I112" s="2" t="str">
        <f t="shared" si="5"/>
        <v>OK</v>
      </c>
      <c r="J112">
        <f t="shared" si="6"/>
        <v>0</v>
      </c>
      <c r="K112" s="2">
        <v>45948</v>
      </c>
      <c r="L112" s="2">
        <v>45948</v>
      </c>
      <c r="M112" s="2" t="str">
        <f t="shared" si="7"/>
        <v>OK</v>
      </c>
      <c r="N112" t="s">
        <v>225</v>
      </c>
      <c r="O112" t="s">
        <v>532</v>
      </c>
    </row>
    <row r="113" spans="1:15" hidden="1" x14ac:dyDescent="0.25">
      <c r="A113" t="str">
        <f>VLOOKUP(B113,'[1]Report Detail KPB'!$A$2:$F$264,6,0)</f>
        <v>16451-251107_1714</v>
      </c>
      <c r="B113" t="s">
        <v>226</v>
      </c>
      <c r="C113" t="s">
        <v>17</v>
      </c>
      <c r="D113">
        <v>2734</v>
      </c>
      <c r="E113">
        <v>2734</v>
      </c>
      <c r="F113" s="2" t="str">
        <f t="shared" si="4"/>
        <v>OK</v>
      </c>
      <c r="G113" s="2">
        <v>45880</v>
      </c>
      <c r="H113" s="2">
        <v>45880</v>
      </c>
      <c r="I113" s="2" t="str">
        <f t="shared" si="5"/>
        <v>OK</v>
      </c>
      <c r="J113">
        <f t="shared" si="6"/>
        <v>0</v>
      </c>
      <c r="K113" s="2">
        <v>45951</v>
      </c>
      <c r="L113" s="2">
        <v>45951</v>
      </c>
      <c r="M113" s="2" t="str">
        <f t="shared" si="7"/>
        <v>OK</v>
      </c>
      <c r="N113" t="s">
        <v>227</v>
      </c>
      <c r="O113" t="s">
        <v>532</v>
      </c>
    </row>
    <row r="114" spans="1:15" hidden="1" x14ac:dyDescent="0.25">
      <c r="A114" t="str">
        <f>VLOOKUP(B114,'[1]Report Detail KPB'!$A$2:$F$264,6,0)</f>
        <v>16451-251107_1714</v>
      </c>
      <c r="B114" t="s">
        <v>228</v>
      </c>
      <c r="C114" t="s">
        <v>29</v>
      </c>
      <c r="D114">
        <v>1140</v>
      </c>
      <c r="E114">
        <v>1140</v>
      </c>
      <c r="F114" s="2" t="str">
        <f t="shared" si="4"/>
        <v>OK</v>
      </c>
      <c r="G114" s="2">
        <v>45852</v>
      </c>
      <c r="H114" s="2">
        <v>45851</v>
      </c>
      <c r="I114" s="2" t="str">
        <f t="shared" si="5"/>
        <v>Not</v>
      </c>
      <c r="J114">
        <f t="shared" si="6"/>
        <v>-1</v>
      </c>
      <c r="K114" s="2">
        <v>45960</v>
      </c>
      <c r="L114" s="2">
        <v>45960</v>
      </c>
      <c r="M114" s="2" t="str">
        <f t="shared" si="7"/>
        <v>OK</v>
      </c>
      <c r="N114" t="s">
        <v>229</v>
      </c>
      <c r="O114" t="s">
        <v>532</v>
      </c>
    </row>
    <row r="115" spans="1:15" hidden="1" x14ac:dyDescent="0.25">
      <c r="A115" t="str">
        <f>VLOOKUP(B115,'[1]Report Detail KPB'!$A$2:$F$264,6,0)</f>
        <v>16451-251107_1714</v>
      </c>
      <c r="B115" t="s">
        <v>230</v>
      </c>
      <c r="C115" t="s">
        <v>17</v>
      </c>
      <c r="D115">
        <v>2915</v>
      </c>
      <c r="E115">
        <v>2915</v>
      </c>
      <c r="F115" s="2" t="str">
        <f t="shared" si="4"/>
        <v>OK</v>
      </c>
      <c r="G115" s="2">
        <v>45841</v>
      </c>
      <c r="H115" s="2">
        <v>45841</v>
      </c>
      <c r="I115" s="2" t="str">
        <f t="shared" si="5"/>
        <v>OK</v>
      </c>
      <c r="J115">
        <f t="shared" si="6"/>
        <v>0</v>
      </c>
      <c r="K115" s="2">
        <v>45951</v>
      </c>
      <c r="L115" s="2">
        <v>45951</v>
      </c>
      <c r="M115" s="2" t="str">
        <f t="shared" si="7"/>
        <v>OK</v>
      </c>
      <c r="N115" t="s">
        <v>231</v>
      </c>
      <c r="O115" t="s">
        <v>532</v>
      </c>
    </row>
    <row r="116" spans="1:15" hidden="1" x14ac:dyDescent="0.25">
      <c r="A116" t="str">
        <f>VLOOKUP(B116,'[1]Report Detail KPB'!$A$2:$F$264,6,0)</f>
        <v>16451-251107_1714</v>
      </c>
      <c r="B116" t="s">
        <v>232</v>
      </c>
      <c r="C116" t="s">
        <v>29</v>
      </c>
      <c r="D116">
        <v>1143</v>
      </c>
      <c r="E116">
        <v>1143</v>
      </c>
      <c r="F116" s="2" t="str">
        <f t="shared" si="4"/>
        <v>OK</v>
      </c>
      <c r="G116" s="2">
        <v>45878</v>
      </c>
      <c r="H116" s="2">
        <v>45877</v>
      </c>
      <c r="I116" s="2" t="str">
        <f t="shared" si="5"/>
        <v>Not</v>
      </c>
      <c r="J116">
        <f t="shared" si="6"/>
        <v>-1</v>
      </c>
      <c r="K116" s="2">
        <v>45948</v>
      </c>
      <c r="L116" s="2">
        <v>45948</v>
      </c>
      <c r="M116" s="2" t="str">
        <f t="shared" si="7"/>
        <v>OK</v>
      </c>
      <c r="N116" t="s">
        <v>233</v>
      </c>
      <c r="O116" t="s">
        <v>532</v>
      </c>
    </row>
    <row r="117" spans="1:15" hidden="1" x14ac:dyDescent="0.25">
      <c r="A117" t="str">
        <f>VLOOKUP(B117,'[1]Report Detail KPB'!$A$2:$F$264,6,0)</f>
        <v>16451-251107_1714</v>
      </c>
      <c r="B117" t="s">
        <v>234</v>
      </c>
      <c r="C117" t="s">
        <v>29</v>
      </c>
      <c r="D117">
        <v>1231</v>
      </c>
      <c r="E117">
        <v>1231</v>
      </c>
      <c r="F117" s="2" t="str">
        <f t="shared" si="4"/>
        <v>OK</v>
      </c>
      <c r="G117" s="2">
        <v>45892</v>
      </c>
      <c r="H117" s="2">
        <v>45892</v>
      </c>
      <c r="I117" s="2" t="str">
        <f t="shared" si="5"/>
        <v>OK</v>
      </c>
      <c r="J117">
        <f t="shared" si="6"/>
        <v>0</v>
      </c>
      <c r="K117" s="2">
        <v>45946</v>
      </c>
      <c r="L117" s="2">
        <v>45946</v>
      </c>
      <c r="M117" s="2" t="str">
        <f t="shared" si="7"/>
        <v>OK</v>
      </c>
      <c r="N117" t="s">
        <v>235</v>
      </c>
      <c r="O117" t="s">
        <v>532</v>
      </c>
    </row>
    <row r="118" spans="1:15" hidden="1" x14ac:dyDescent="0.25">
      <c r="A118" t="str">
        <f>VLOOKUP(B118,'[1]Report Detail KPB'!$A$2:$F$264,6,0)</f>
        <v>16451-251107_1714</v>
      </c>
      <c r="B118" t="s">
        <v>234</v>
      </c>
      <c r="C118" t="s">
        <v>17</v>
      </c>
      <c r="D118">
        <v>2556</v>
      </c>
      <c r="E118">
        <v>2556</v>
      </c>
      <c r="F118" s="2" t="str">
        <f t="shared" si="4"/>
        <v>OK</v>
      </c>
      <c r="G118" s="2">
        <v>45892</v>
      </c>
      <c r="H118" s="2">
        <v>45892</v>
      </c>
      <c r="I118" s="2" t="str">
        <f t="shared" si="5"/>
        <v>OK</v>
      </c>
      <c r="J118">
        <f t="shared" si="6"/>
        <v>0</v>
      </c>
      <c r="K118" s="2">
        <v>45956</v>
      </c>
      <c r="L118" s="2">
        <v>45956</v>
      </c>
      <c r="M118" s="2" t="str">
        <f t="shared" si="7"/>
        <v>OK</v>
      </c>
      <c r="N118" t="s">
        <v>236</v>
      </c>
      <c r="O118" t="s">
        <v>532</v>
      </c>
    </row>
    <row r="119" spans="1:15" hidden="1" x14ac:dyDescent="0.25">
      <c r="A119" t="str">
        <f>VLOOKUP(B119,'[1]Report Detail KPB'!$A$2:$F$264,6,0)</f>
        <v>16451-251107_1714</v>
      </c>
      <c r="B119" t="s">
        <v>237</v>
      </c>
      <c r="C119" t="s">
        <v>29</v>
      </c>
      <c r="D119">
        <v>966</v>
      </c>
      <c r="E119">
        <v>966</v>
      </c>
      <c r="F119" s="2" t="str">
        <f t="shared" si="4"/>
        <v>OK</v>
      </c>
      <c r="G119" s="2">
        <v>45896</v>
      </c>
      <c r="H119" s="2">
        <v>45896</v>
      </c>
      <c r="I119" s="2" t="str">
        <f t="shared" si="5"/>
        <v>OK</v>
      </c>
      <c r="J119">
        <f t="shared" si="6"/>
        <v>0</v>
      </c>
      <c r="K119" s="2">
        <v>45960</v>
      </c>
      <c r="L119" s="2">
        <v>45960</v>
      </c>
      <c r="M119" s="2" t="str">
        <f t="shared" si="7"/>
        <v>OK</v>
      </c>
      <c r="N119" t="s">
        <v>238</v>
      </c>
      <c r="O119" t="s">
        <v>532</v>
      </c>
    </row>
    <row r="120" spans="1:15" hidden="1" x14ac:dyDescent="0.25">
      <c r="A120" t="str">
        <f>VLOOKUP(B120,'[1]Report Detail KPB'!$A$2:$F$264,6,0)</f>
        <v>16451-251107_1714</v>
      </c>
      <c r="B120" t="s">
        <v>239</v>
      </c>
      <c r="C120" t="s">
        <v>29</v>
      </c>
      <c r="D120">
        <v>1588</v>
      </c>
      <c r="E120">
        <v>1588</v>
      </c>
      <c r="F120" s="2" t="str">
        <f t="shared" si="4"/>
        <v>OK</v>
      </c>
      <c r="G120" s="2">
        <v>45896</v>
      </c>
      <c r="H120" s="2">
        <v>45896</v>
      </c>
      <c r="I120" s="2" t="str">
        <f t="shared" si="5"/>
        <v>OK</v>
      </c>
      <c r="J120">
        <f t="shared" si="6"/>
        <v>0</v>
      </c>
      <c r="K120" s="2">
        <v>45960</v>
      </c>
      <c r="L120" s="2">
        <v>45960</v>
      </c>
      <c r="M120" s="2" t="str">
        <f t="shared" si="7"/>
        <v>OK</v>
      </c>
      <c r="N120" t="s">
        <v>240</v>
      </c>
      <c r="O120" t="s">
        <v>532</v>
      </c>
    </row>
    <row r="121" spans="1:15" hidden="1" x14ac:dyDescent="0.25">
      <c r="A121" t="str">
        <f>VLOOKUP(B121,'[1]Report Detail KPB'!$A$2:$F$264,6,0)</f>
        <v>16451-251107_1714</v>
      </c>
      <c r="B121" t="s">
        <v>241</v>
      </c>
      <c r="C121" t="s">
        <v>29</v>
      </c>
      <c r="D121">
        <v>1338</v>
      </c>
      <c r="E121">
        <v>1338</v>
      </c>
      <c r="F121" s="2" t="str">
        <f t="shared" si="4"/>
        <v>OK</v>
      </c>
      <c r="G121" s="2">
        <v>45890</v>
      </c>
      <c r="H121" s="2">
        <v>45890</v>
      </c>
      <c r="I121" s="2" t="str">
        <f t="shared" si="5"/>
        <v>OK</v>
      </c>
      <c r="J121">
        <f t="shared" si="6"/>
        <v>0</v>
      </c>
      <c r="K121" s="2">
        <v>45951</v>
      </c>
      <c r="L121" s="2">
        <v>45951</v>
      </c>
      <c r="M121" s="2" t="str">
        <f t="shared" si="7"/>
        <v>OK</v>
      </c>
      <c r="N121" t="s">
        <v>242</v>
      </c>
      <c r="O121" t="s">
        <v>532</v>
      </c>
    </row>
    <row r="122" spans="1:15" hidden="1" x14ac:dyDescent="0.25">
      <c r="A122" t="str">
        <f>VLOOKUP(B122,'[1]Report Detail KPB'!$A$2:$F$264,6,0)</f>
        <v>16451-251107_1714</v>
      </c>
      <c r="B122" s="5" t="s">
        <v>243</v>
      </c>
      <c r="C122" t="s">
        <v>36</v>
      </c>
      <c r="D122">
        <v>928</v>
      </c>
      <c r="E122">
        <v>928</v>
      </c>
      <c r="F122" s="2" t="str">
        <f t="shared" si="4"/>
        <v>OK</v>
      </c>
      <c r="G122" s="2">
        <v>45904</v>
      </c>
      <c r="H122" s="2">
        <v>45904</v>
      </c>
      <c r="I122" s="2" t="str">
        <f t="shared" si="5"/>
        <v>OK</v>
      </c>
      <c r="J122">
        <f t="shared" si="6"/>
        <v>0</v>
      </c>
      <c r="K122" s="2">
        <v>45959</v>
      </c>
      <c r="L122" s="2">
        <v>45959</v>
      </c>
      <c r="M122" s="2" t="str">
        <f t="shared" si="7"/>
        <v>OK</v>
      </c>
      <c r="N122" t="s">
        <v>244</v>
      </c>
      <c r="O122" t="s">
        <v>532</v>
      </c>
    </row>
    <row r="123" spans="1:15" hidden="1" x14ac:dyDescent="0.25">
      <c r="A123" t="str">
        <f>VLOOKUP(B123,'[1]Report Detail KPB'!$A$2:$F$264,6,0)</f>
        <v>16451-251107_1714</v>
      </c>
      <c r="B123" t="s">
        <v>245</v>
      </c>
      <c r="C123" t="s">
        <v>29</v>
      </c>
      <c r="D123">
        <v>452</v>
      </c>
      <c r="E123">
        <v>452</v>
      </c>
      <c r="F123" s="2" t="str">
        <f t="shared" si="4"/>
        <v>OK</v>
      </c>
      <c r="G123" s="2">
        <v>45876</v>
      </c>
      <c r="H123" s="2">
        <v>45875</v>
      </c>
      <c r="I123" s="2" t="str">
        <f t="shared" si="5"/>
        <v>Not</v>
      </c>
      <c r="J123">
        <f t="shared" si="6"/>
        <v>-1</v>
      </c>
      <c r="K123" s="2">
        <v>45958</v>
      </c>
      <c r="L123" s="2">
        <v>45958</v>
      </c>
      <c r="M123" s="2" t="str">
        <f t="shared" si="7"/>
        <v>OK</v>
      </c>
      <c r="N123" t="s">
        <v>246</v>
      </c>
      <c r="O123" t="s">
        <v>532</v>
      </c>
    </row>
    <row r="124" spans="1:15" hidden="1" x14ac:dyDescent="0.25">
      <c r="A124" t="str">
        <f>VLOOKUP(B124,'[1]Report Detail KPB'!$A$2:$F$264,6,0)</f>
        <v>16451-251107_1714</v>
      </c>
      <c r="B124" t="s">
        <v>247</v>
      </c>
      <c r="C124" t="s">
        <v>17</v>
      </c>
      <c r="D124">
        <v>918</v>
      </c>
      <c r="E124">
        <v>918</v>
      </c>
      <c r="F124" s="2" t="str">
        <f t="shared" si="4"/>
        <v>OK</v>
      </c>
      <c r="G124" s="2">
        <v>45849</v>
      </c>
      <c r="H124" s="2">
        <v>45849</v>
      </c>
      <c r="I124" s="2" t="str">
        <f t="shared" si="5"/>
        <v>OK</v>
      </c>
      <c r="J124">
        <f t="shared" si="6"/>
        <v>0</v>
      </c>
      <c r="K124" s="2">
        <v>45946</v>
      </c>
      <c r="L124" s="2">
        <v>45946</v>
      </c>
      <c r="M124" s="2" t="str">
        <f t="shared" si="7"/>
        <v>OK</v>
      </c>
      <c r="N124" t="s">
        <v>248</v>
      </c>
      <c r="O124" t="s">
        <v>532</v>
      </c>
    </row>
    <row r="125" spans="1:15" hidden="1" x14ac:dyDescent="0.25">
      <c r="A125" t="str">
        <f>VLOOKUP(B125,'[1]Report Detail KPB'!$A$2:$F$264,6,0)</f>
        <v>16451-251107_1714</v>
      </c>
      <c r="B125" t="s">
        <v>249</v>
      </c>
      <c r="C125" t="s">
        <v>29</v>
      </c>
      <c r="D125">
        <v>2358</v>
      </c>
      <c r="E125">
        <v>2358</v>
      </c>
      <c r="F125" s="2" t="str">
        <f t="shared" si="4"/>
        <v>OK</v>
      </c>
      <c r="G125" s="2">
        <v>45864</v>
      </c>
      <c r="H125" s="2">
        <v>45864</v>
      </c>
      <c r="I125" s="2" t="str">
        <f t="shared" si="5"/>
        <v>OK</v>
      </c>
      <c r="J125">
        <f t="shared" si="6"/>
        <v>0</v>
      </c>
      <c r="K125" s="2">
        <v>45946</v>
      </c>
      <c r="L125" s="2">
        <v>45946</v>
      </c>
      <c r="M125" s="2" t="str">
        <f t="shared" si="7"/>
        <v>OK</v>
      </c>
      <c r="N125" t="s">
        <v>250</v>
      </c>
      <c r="O125" t="s">
        <v>532</v>
      </c>
    </row>
    <row r="126" spans="1:15" x14ac:dyDescent="0.25">
      <c r="A126" t="str">
        <f>VLOOKUP(B126,'[1]Report Detail KPB'!$A$2:$F$264,6,0)</f>
        <v>16451-251107_1714</v>
      </c>
      <c r="B126" s="6" t="s">
        <v>251</v>
      </c>
      <c r="C126" t="s">
        <v>29</v>
      </c>
      <c r="D126">
        <v>2338</v>
      </c>
      <c r="E126">
        <v>2388</v>
      </c>
      <c r="F126" s="2" t="str">
        <f t="shared" si="4"/>
        <v>Not</v>
      </c>
      <c r="G126" s="2">
        <v>45877</v>
      </c>
      <c r="H126" s="2">
        <v>45875</v>
      </c>
      <c r="I126" s="2" t="str">
        <f t="shared" si="5"/>
        <v>Not</v>
      </c>
      <c r="J126">
        <f t="shared" si="6"/>
        <v>-2</v>
      </c>
      <c r="K126" s="2">
        <v>45948</v>
      </c>
      <c r="L126" s="2">
        <v>45948</v>
      </c>
      <c r="M126" s="2" t="str">
        <f t="shared" si="7"/>
        <v>OK</v>
      </c>
      <c r="N126" t="s">
        <v>252</v>
      </c>
      <c r="O126" t="s">
        <v>531</v>
      </c>
    </row>
    <row r="127" spans="1:15" hidden="1" x14ac:dyDescent="0.25">
      <c r="A127" t="str">
        <f>VLOOKUP(B127,'[1]Report Detail KPB'!$A$2:$F$264,6,0)</f>
        <v>16451-251107_1714</v>
      </c>
      <c r="B127" t="s">
        <v>253</v>
      </c>
      <c r="C127" t="s">
        <v>29</v>
      </c>
      <c r="D127">
        <v>1502</v>
      </c>
      <c r="E127">
        <v>1502</v>
      </c>
      <c r="F127" s="2" t="str">
        <f t="shared" si="4"/>
        <v>OK</v>
      </c>
      <c r="G127" s="2">
        <v>45876</v>
      </c>
      <c r="H127" s="2">
        <v>45876</v>
      </c>
      <c r="I127" s="2" t="str">
        <f t="shared" si="5"/>
        <v>OK</v>
      </c>
      <c r="J127">
        <f t="shared" si="6"/>
        <v>0</v>
      </c>
      <c r="K127" s="2">
        <v>45948</v>
      </c>
      <c r="L127" s="2">
        <v>45948</v>
      </c>
      <c r="M127" s="2" t="str">
        <f t="shared" si="7"/>
        <v>OK</v>
      </c>
      <c r="N127" t="s">
        <v>254</v>
      </c>
      <c r="O127" t="s">
        <v>532</v>
      </c>
    </row>
    <row r="128" spans="1:15" hidden="1" x14ac:dyDescent="0.25">
      <c r="A128" t="str">
        <f>VLOOKUP(B128,'[1]Report Detail KPB'!$A$2:$F$264,6,0)</f>
        <v>16451-251107_1714</v>
      </c>
      <c r="B128" t="s">
        <v>255</v>
      </c>
      <c r="C128" t="s">
        <v>36</v>
      </c>
      <c r="D128">
        <v>346</v>
      </c>
      <c r="E128">
        <v>346</v>
      </c>
      <c r="F128" s="2" t="str">
        <f t="shared" si="4"/>
        <v>OK</v>
      </c>
      <c r="G128" s="2">
        <v>45912</v>
      </c>
      <c r="H128" s="2">
        <v>45912</v>
      </c>
      <c r="I128" s="2" t="str">
        <f t="shared" si="5"/>
        <v>OK</v>
      </c>
      <c r="J128">
        <f t="shared" si="6"/>
        <v>0</v>
      </c>
      <c r="K128" s="2">
        <v>45959</v>
      </c>
      <c r="L128" s="2">
        <v>45959</v>
      </c>
      <c r="M128" s="2" t="str">
        <f t="shared" si="7"/>
        <v>OK</v>
      </c>
      <c r="N128" t="s">
        <v>256</v>
      </c>
      <c r="O128" t="s">
        <v>532</v>
      </c>
    </row>
    <row r="129" spans="1:15" hidden="1" x14ac:dyDescent="0.25">
      <c r="A129" t="str">
        <f>VLOOKUP(B129,'[1]Report Detail KPB'!$A$2:$F$264,6,0)</f>
        <v>16451-251107_1714</v>
      </c>
      <c r="B129" t="s">
        <v>257</v>
      </c>
      <c r="C129" t="s">
        <v>29</v>
      </c>
      <c r="D129">
        <v>2310</v>
      </c>
      <c r="E129">
        <v>2310</v>
      </c>
      <c r="F129" s="2" t="str">
        <f t="shared" si="4"/>
        <v>OK</v>
      </c>
      <c r="G129" s="2">
        <v>45819</v>
      </c>
      <c r="H129" s="2">
        <v>45819</v>
      </c>
      <c r="I129" s="2" t="str">
        <f t="shared" si="5"/>
        <v>OK</v>
      </c>
      <c r="J129">
        <f t="shared" si="6"/>
        <v>0</v>
      </c>
      <c r="K129" s="2">
        <v>45946</v>
      </c>
      <c r="L129" s="2">
        <v>45946</v>
      </c>
      <c r="M129" s="2" t="str">
        <f t="shared" si="7"/>
        <v>OK</v>
      </c>
      <c r="N129" t="s">
        <v>258</v>
      </c>
      <c r="O129" t="s">
        <v>532</v>
      </c>
    </row>
    <row r="130" spans="1:15" hidden="1" x14ac:dyDescent="0.25">
      <c r="A130" t="str">
        <f>VLOOKUP(B130,'[1]Report Detail KPB'!$A$2:$F$264,6,0)</f>
        <v>16451-251107_1714</v>
      </c>
      <c r="B130" t="s">
        <v>259</v>
      </c>
      <c r="C130" t="s">
        <v>29</v>
      </c>
      <c r="D130">
        <v>2639</v>
      </c>
      <c r="E130">
        <v>2639</v>
      </c>
      <c r="F130" s="2" t="str">
        <f t="shared" ref="F130:F193" si="8">IF(D130=E130,"OK","Not")</f>
        <v>OK</v>
      </c>
      <c r="G130" s="2">
        <v>45855</v>
      </c>
      <c r="H130" s="2">
        <v>45854</v>
      </c>
      <c r="I130" s="2" t="str">
        <f t="shared" ref="I130:I193" si="9">IF(G130=H130,"OK","Not")</f>
        <v>Not</v>
      </c>
      <c r="J130">
        <f t="shared" ref="J130:J193" si="10">H130-G130</f>
        <v>-1</v>
      </c>
      <c r="K130" s="2">
        <v>45960</v>
      </c>
      <c r="L130" s="2">
        <v>45960</v>
      </c>
      <c r="M130" s="2" t="str">
        <f t="shared" ref="M130:M193" si="11">IF(K130=L130,"OK","Not")</f>
        <v>OK</v>
      </c>
      <c r="N130" t="s">
        <v>260</v>
      </c>
      <c r="O130" t="s">
        <v>532</v>
      </c>
    </row>
    <row r="131" spans="1:15" hidden="1" x14ac:dyDescent="0.25">
      <c r="A131" t="str">
        <f>VLOOKUP(B131,'[1]Report Detail KPB'!$A$2:$F$264,6,0)</f>
        <v>16451-251107_1714</v>
      </c>
      <c r="B131" t="s">
        <v>261</v>
      </c>
      <c r="C131" t="s">
        <v>29</v>
      </c>
      <c r="D131">
        <v>1511</v>
      </c>
      <c r="E131">
        <v>1511</v>
      </c>
      <c r="F131" s="2" t="str">
        <f t="shared" si="8"/>
        <v>OK</v>
      </c>
      <c r="G131" s="2">
        <v>45877</v>
      </c>
      <c r="H131" s="2">
        <v>45877</v>
      </c>
      <c r="I131" s="2" t="str">
        <f t="shared" si="9"/>
        <v>OK</v>
      </c>
      <c r="J131">
        <f t="shared" si="10"/>
        <v>0</v>
      </c>
      <c r="K131" s="2">
        <v>45946</v>
      </c>
      <c r="L131" s="2">
        <v>45946</v>
      </c>
      <c r="M131" s="2" t="str">
        <f t="shared" si="11"/>
        <v>OK</v>
      </c>
      <c r="N131" t="s">
        <v>262</v>
      </c>
      <c r="O131" t="s">
        <v>532</v>
      </c>
    </row>
    <row r="132" spans="1:15" hidden="1" x14ac:dyDescent="0.25">
      <c r="A132" t="str">
        <f>VLOOKUP(B132,'[1]Report Detail KPB'!$A$2:$F$264,6,0)</f>
        <v>16451-251107_1714</v>
      </c>
      <c r="B132" t="s">
        <v>263</v>
      </c>
      <c r="C132" t="s">
        <v>29</v>
      </c>
      <c r="D132">
        <v>1164</v>
      </c>
      <c r="E132">
        <v>1164</v>
      </c>
      <c r="F132" s="2" t="str">
        <f t="shared" si="8"/>
        <v>OK</v>
      </c>
      <c r="G132" s="2">
        <v>45885</v>
      </c>
      <c r="H132" s="2">
        <v>45885</v>
      </c>
      <c r="I132" s="2" t="str">
        <f t="shared" si="9"/>
        <v>OK</v>
      </c>
      <c r="J132">
        <f t="shared" si="10"/>
        <v>0</v>
      </c>
      <c r="K132" s="2">
        <v>45948</v>
      </c>
      <c r="L132" s="2">
        <v>45948</v>
      </c>
      <c r="M132" s="2" t="str">
        <f t="shared" si="11"/>
        <v>OK</v>
      </c>
      <c r="N132" t="s">
        <v>264</v>
      </c>
      <c r="O132" t="s">
        <v>532</v>
      </c>
    </row>
    <row r="133" spans="1:15" x14ac:dyDescent="0.25">
      <c r="A133" t="str">
        <f>VLOOKUP(B133,'[1]Report Detail KPB'!$A$2:$F$264,6,0)</f>
        <v>16451-251107_1714</v>
      </c>
      <c r="B133" s="6" t="s">
        <v>265</v>
      </c>
      <c r="C133" t="s">
        <v>17</v>
      </c>
      <c r="D133">
        <v>3414</v>
      </c>
      <c r="E133">
        <v>3413</v>
      </c>
      <c r="F133" s="2" t="str">
        <f t="shared" si="8"/>
        <v>Not</v>
      </c>
      <c r="G133" s="2">
        <v>45864</v>
      </c>
      <c r="H133" s="2">
        <v>45864</v>
      </c>
      <c r="I133" s="2" t="str">
        <f t="shared" si="9"/>
        <v>OK</v>
      </c>
      <c r="J133">
        <f t="shared" si="10"/>
        <v>0</v>
      </c>
      <c r="K133" s="2">
        <v>45960</v>
      </c>
      <c r="L133" s="2">
        <v>45960</v>
      </c>
      <c r="M133" s="2" t="str">
        <f t="shared" si="11"/>
        <v>OK</v>
      </c>
      <c r="N133" t="s">
        <v>266</v>
      </c>
      <c r="O133" t="s">
        <v>531</v>
      </c>
    </row>
    <row r="134" spans="1:15" hidden="1" x14ac:dyDescent="0.25">
      <c r="A134" t="str">
        <f>VLOOKUP(B134,'[1]Report Detail KPB'!$A$2:$F$264,6,0)</f>
        <v>16451-251107_1714</v>
      </c>
      <c r="B134" t="s">
        <v>267</v>
      </c>
      <c r="C134" t="s">
        <v>8</v>
      </c>
      <c r="D134">
        <v>4397</v>
      </c>
      <c r="E134">
        <v>4397</v>
      </c>
      <c r="F134" s="2" t="str">
        <f t="shared" si="8"/>
        <v>OK</v>
      </c>
      <c r="G134" s="2">
        <v>45734</v>
      </c>
      <c r="H134" s="2">
        <v>45734</v>
      </c>
      <c r="I134" s="2" t="str">
        <f t="shared" si="9"/>
        <v>OK</v>
      </c>
      <c r="J134">
        <f t="shared" si="10"/>
        <v>0</v>
      </c>
      <c r="K134" s="2">
        <v>45961</v>
      </c>
      <c r="L134" s="2">
        <v>45961</v>
      </c>
      <c r="M134" s="2" t="str">
        <f t="shared" si="11"/>
        <v>OK</v>
      </c>
      <c r="N134" t="s">
        <v>268</v>
      </c>
      <c r="O134" t="s">
        <v>532</v>
      </c>
    </row>
    <row r="135" spans="1:15" hidden="1" x14ac:dyDescent="0.25">
      <c r="A135" t="str">
        <f>VLOOKUP(B135,'[1]Report Detail KPB'!$A$2:$F$264,6,0)</f>
        <v>16451-251107_1714</v>
      </c>
      <c r="B135" t="s">
        <v>269</v>
      </c>
      <c r="C135" t="s">
        <v>17</v>
      </c>
      <c r="D135">
        <v>3823</v>
      </c>
      <c r="E135">
        <v>3823</v>
      </c>
      <c r="F135" s="2" t="str">
        <f t="shared" si="8"/>
        <v>OK</v>
      </c>
      <c r="G135" s="2">
        <v>45783</v>
      </c>
      <c r="H135" s="2">
        <v>45780</v>
      </c>
      <c r="I135" s="2" t="str">
        <f t="shared" si="9"/>
        <v>Not</v>
      </c>
      <c r="J135">
        <f t="shared" si="10"/>
        <v>-3</v>
      </c>
      <c r="K135" s="2">
        <v>45951</v>
      </c>
      <c r="L135" s="2">
        <v>45951</v>
      </c>
      <c r="M135" s="2" t="str">
        <f t="shared" si="11"/>
        <v>OK</v>
      </c>
      <c r="N135" t="s">
        <v>270</v>
      </c>
      <c r="O135" t="s">
        <v>532</v>
      </c>
    </row>
    <row r="136" spans="1:15" hidden="1" x14ac:dyDescent="0.25">
      <c r="A136" t="str">
        <f>VLOOKUP(B136,'[1]Report Detail KPB'!$A$2:$F$264,6,0)</f>
        <v>16451-251107_1714</v>
      </c>
      <c r="B136" t="s">
        <v>271</v>
      </c>
      <c r="C136" t="s">
        <v>17</v>
      </c>
      <c r="D136">
        <v>4541</v>
      </c>
      <c r="E136">
        <v>4541</v>
      </c>
      <c r="F136" s="2" t="str">
        <f t="shared" si="8"/>
        <v>OK</v>
      </c>
      <c r="G136" s="2">
        <v>45796</v>
      </c>
      <c r="H136" s="2">
        <v>45796</v>
      </c>
      <c r="I136" s="2" t="str">
        <f t="shared" si="9"/>
        <v>OK</v>
      </c>
      <c r="J136">
        <f t="shared" si="10"/>
        <v>0</v>
      </c>
      <c r="K136" s="2">
        <v>45951</v>
      </c>
      <c r="L136" s="2">
        <v>45951</v>
      </c>
      <c r="M136" s="2" t="str">
        <f t="shared" si="11"/>
        <v>OK</v>
      </c>
      <c r="N136" t="s">
        <v>272</v>
      </c>
      <c r="O136" t="s">
        <v>532</v>
      </c>
    </row>
    <row r="137" spans="1:15" hidden="1" x14ac:dyDescent="0.25">
      <c r="A137" t="str">
        <f>VLOOKUP(B137,'[1]Report Detail KPB'!$A$2:$F$264,6,0)</f>
        <v>16451-251107_1714</v>
      </c>
      <c r="B137" t="s">
        <v>273</v>
      </c>
      <c r="C137" t="s">
        <v>8</v>
      </c>
      <c r="D137">
        <v>2699</v>
      </c>
      <c r="E137">
        <v>2699</v>
      </c>
      <c r="F137" s="2" t="str">
        <f t="shared" si="8"/>
        <v>OK</v>
      </c>
      <c r="G137" s="2">
        <v>45800</v>
      </c>
      <c r="H137" s="2">
        <v>45800</v>
      </c>
      <c r="I137" s="2" t="str">
        <f t="shared" si="9"/>
        <v>OK</v>
      </c>
      <c r="J137">
        <f t="shared" si="10"/>
        <v>0</v>
      </c>
      <c r="K137" s="2">
        <v>45960</v>
      </c>
      <c r="L137" s="2">
        <v>45960</v>
      </c>
      <c r="M137" s="2" t="str">
        <f t="shared" si="11"/>
        <v>OK</v>
      </c>
      <c r="N137" t="s">
        <v>274</v>
      </c>
      <c r="O137" t="s">
        <v>532</v>
      </c>
    </row>
    <row r="138" spans="1:15" hidden="1" x14ac:dyDescent="0.25">
      <c r="A138" t="str">
        <f>VLOOKUP(B138,'[1]Report Detail KPB'!$A$2:$F$264,6,0)</f>
        <v>16451-251107_1714</v>
      </c>
      <c r="B138" t="s">
        <v>275</v>
      </c>
      <c r="C138" t="s">
        <v>29</v>
      </c>
      <c r="D138">
        <v>855</v>
      </c>
      <c r="E138">
        <v>855</v>
      </c>
      <c r="F138" s="2" t="str">
        <f t="shared" si="8"/>
        <v>OK</v>
      </c>
      <c r="G138" s="2">
        <v>45880</v>
      </c>
      <c r="H138" s="2">
        <v>45879</v>
      </c>
      <c r="I138" s="2" t="str">
        <f t="shared" si="9"/>
        <v>Not</v>
      </c>
      <c r="J138">
        <f t="shared" si="10"/>
        <v>-1</v>
      </c>
      <c r="K138" s="2">
        <v>45946</v>
      </c>
      <c r="L138" s="2">
        <v>45946</v>
      </c>
      <c r="M138" s="2" t="str">
        <f t="shared" si="11"/>
        <v>OK</v>
      </c>
      <c r="N138" t="s">
        <v>276</v>
      </c>
      <c r="O138" t="s">
        <v>532</v>
      </c>
    </row>
    <row r="139" spans="1:15" x14ac:dyDescent="0.25">
      <c r="A139" t="str">
        <f>VLOOKUP(B139,'[1]Report Detail KPB'!$A$2:$F$264,6,0)</f>
        <v>16451-251107_1714</v>
      </c>
      <c r="B139" s="6" t="s">
        <v>277</v>
      </c>
      <c r="C139" t="s">
        <v>17</v>
      </c>
      <c r="D139">
        <v>1601</v>
      </c>
      <c r="E139">
        <v>1601</v>
      </c>
      <c r="F139" s="2" t="str">
        <f t="shared" si="8"/>
        <v>OK</v>
      </c>
      <c r="G139" s="2">
        <v>45857</v>
      </c>
      <c r="H139" s="2">
        <v>45857</v>
      </c>
      <c r="I139" s="2" t="str">
        <f t="shared" si="9"/>
        <v>OK</v>
      </c>
      <c r="J139">
        <f t="shared" si="10"/>
        <v>0</v>
      </c>
      <c r="K139" s="2">
        <v>45960</v>
      </c>
      <c r="L139" s="2">
        <v>45960</v>
      </c>
      <c r="M139" s="2" t="str">
        <f t="shared" si="11"/>
        <v>OK</v>
      </c>
      <c r="N139" t="s">
        <v>278</v>
      </c>
      <c r="O139" t="s">
        <v>534</v>
      </c>
    </row>
    <row r="140" spans="1:15" hidden="1" x14ac:dyDescent="0.25">
      <c r="A140" t="str">
        <f>VLOOKUP(B140,'[1]Report Detail KPB'!$A$2:$F$264,6,0)</f>
        <v>16451-251107_1714</v>
      </c>
      <c r="B140" t="s">
        <v>279</v>
      </c>
      <c r="C140" t="s">
        <v>29</v>
      </c>
      <c r="D140">
        <v>583</v>
      </c>
      <c r="E140">
        <v>583</v>
      </c>
      <c r="F140" s="2" t="str">
        <f t="shared" si="8"/>
        <v>OK</v>
      </c>
      <c r="G140" s="2">
        <v>45847</v>
      </c>
      <c r="H140" s="2">
        <v>45847</v>
      </c>
      <c r="I140" s="2" t="str">
        <f t="shared" si="9"/>
        <v>OK</v>
      </c>
      <c r="J140">
        <f t="shared" si="10"/>
        <v>0</v>
      </c>
      <c r="K140" s="2">
        <v>45960</v>
      </c>
      <c r="L140" s="2">
        <v>45960</v>
      </c>
      <c r="M140" s="2" t="str">
        <f t="shared" si="11"/>
        <v>OK</v>
      </c>
      <c r="N140" t="s">
        <v>280</v>
      </c>
      <c r="O140" t="s">
        <v>532</v>
      </c>
    </row>
    <row r="141" spans="1:15" hidden="1" x14ac:dyDescent="0.25">
      <c r="A141" t="str">
        <f>VLOOKUP(B141,'[1]Report Detail KPB'!$A$2:$F$264,6,0)</f>
        <v>16451-251107_1714</v>
      </c>
      <c r="B141" t="s">
        <v>281</v>
      </c>
      <c r="C141" t="s">
        <v>29</v>
      </c>
      <c r="D141">
        <v>3342</v>
      </c>
      <c r="E141">
        <v>3342</v>
      </c>
      <c r="F141" s="2" t="str">
        <f t="shared" si="8"/>
        <v>OK</v>
      </c>
      <c r="G141" s="2">
        <v>45868</v>
      </c>
      <c r="H141" s="2">
        <v>45868</v>
      </c>
      <c r="I141" s="2" t="str">
        <f t="shared" si="9"/>
        <v>OK</v>
      </c>
      <c r="J141">
        <f t="shared" si="10"/>
        <v>0</v>
      </c>
      <c r="K141" s="2">
        <v>45948</v>
      </c>
      <c r="L141" s="2">
        <v>45948</v>
      </c>
      <c r="M141" s="2" t="str">
        <f t="shared" si="11"/>
        <v>OK</v>
      </c>
      <c r="N141" t="s">
        <v>282</v>
      </c>
      <c r="O141" t="s">
        <v>532</v>
      </c>
    </row>
    <row r="142" spans="1:15" hidden="1" x14ac:dyDescent="0.25">
      <c r="A142" t="str">
        <f>VLOOKUP(B142,'[1]Report Detail KPB'!$A$2:$F$264,6,0)</f>
        <v>16451-251107_1714</v>
      </c>
      <c r="B142" t="s">
        <v>283</v>
      </c>
      <c r="C142" t="s">
        <v>8</v>
      </c>
      <c r="D142">
        <v>3488</v>
      </c>
      <c r="E142">
        <v>3488</v>
      </c>
      <c r="F142" s="2" t="str">
        <f t="shared" si="8"/>
        <v>OK</v>
      </c>
      <c r="G142" s="2">
        <v>45848</v>
      </c>
      <c r="H142" s="2">
        <v>45848</v>
      </c>
      <c r="I142" s="2" t="str">
        <f t="shared" si="9"/>
        <v>OK</v>
      </c>
      <c r="J142">
        <f t="shared" si="10"/>
        <v>0</v>
      </c>
      <c r="K142" s="2">
        <v>45951</v>
      </c>
      <c r="L142" s="2">
        <v>45951</v>
      </c>
      <c r="M142" s="2" t="str">
        <f t="shared" si="11"/>
        <v>OK</v>
      </c>
      <c r="N142" t="s">
        <v>284</v>
      </c>
      <c r="O142" t="s">
        <v>532</v>
      </c>
    </row>
    <row r="143" spans="1:15" hidden="1" x14ac:dyDescent="0.25">
      <c r="A143" t="str">
        <f>VLOOKUP(B143,'[1]Report Detail KPB'!$A$2:$F$264,6,0)</f>
        <v>16451-251107_1714</v>
      </c>
      <c r="B143" t="s">
        <v>285</v>
      </c>
      <c r="C143" t="s">
        <v>17</v>
      </c>
      <c r="D143">
        <v>1317</v>
      </c>
      <c r="E143">
        <v>1317</v>
      </c>
      <c r="F143" s="2" t="str">
        <f t="shared" si="8"/>
        <v>OK</v>
      </c>
      <c r="G143" s="2">
        <v>45855</v>
      </c>
      <c r="H143" s="2">
        <v>45855</v>
      </c>
      <c r="I143" s="2" t="str">
        <f t="shared" si="9"/>
        <v>OK</v>
      </c>
      <c r="J143">
        <f t="shared" si="10"/>
        <v>0</v>
      </c>
      <c r="K143" s="2">
        <v>45960</v>
      </c>
      <c r="L143" s="2">
        <v>45960</v>
      </c>
      <c r="M143" s="2" t="str">
        <f t="shared" si="11"/>
        <v>OK</v>
      </c>
      <c r="N143" t="s">
        <v>286</v>
      </c>
      <c r="O143" t="s">
        <v>532</v>
      </c>
    </row>
    <row r="144" spans="1:15" hidden="1" x14ac:dyDescent="0.25">
      <c r="A144" t="str">
        <f>VLOOKUP(B144,'[1]Report Detail KPB'!$A$2:$F$264,6,0)</f>
        <v>16451-251107_1714</v>
      </c>
      <c r="B144" t="s">
        <v>287</v>
      </c>
      <c r="C144" t="s">
        <v>29</v>
      </c>
      <c r="D144">
        <v>595</v>
      </c>
      <c r="E144">
        <v>595</v>
      </c>
      <c r="F144" s="2" t="str">
        <f t="shared" si="8"/>
        <v>OK</v>
      </c>
      <c r="G144" s="2">
        <v>45881</v>
      </c>
      <c r="H144" s="2">
        <v>45880</v>
      </c>
      <c r="I144" s="2" t="str">
        <f t="shared" si="9"/>
        <v>Not</v>
      </c>
      <c r="J144">
        <f t="shared" si="10"/>
        <v>-1</v>
      </c>
      <c r="K144" s="2">
        <v>45960</v>
      </c>
      <c r="L144" s="2">
        <v>45960</v>
      </c>
      <c r="M144" s="2" t="str">
        <f t="shared" si="11"/>
        <v>OK</v>
      </c>
      <c r="N144" t="s">
        <v>288</v>
      </c>
      <c r="O144" t="s">
        <v>532</v>
      </c>
    </row>
    <row r="145" spans="1:15" hidden="1" x14ac:dyDescent="0.25">
      <c r="A145" t="str">
        <f>VLOOKUP(B145,'[1]Report Detail KPB'!$A$2:$F$264,6,0)</f>
        <v>16451-251107_1714</v>
      </c>
      <c r="B145" t="s">
        <v>289</v>
      </c>
      <c r="C145" t="s">
        <v>29</v>
      </c>
      <c r="D145">
        <v>1814</v>
      </c>
      <c r="E145">
        <v>1814</v>
      </c>
      <c r="F145" s="2" t="str">
        <f t="shared" si="8"/>
        <v>OK</v>
      </c>
      <c r="G145" s="2">
        <v>45877</v>
      </c>
      <c r="H145" s="2">
        <v>45877</v>
      </c>
      <c r="I145" s="2" t="str">
        <f t="shared" si="9"/>
        <v>OK</v>
      </c>
      <c r="J145">
        <f t="shared" si="10"/>
        <v>0</v>
      </c>
      <c r="K145" s="2">
        <v>45948</v>
      </c>
      <c r="L145" s="2">
        <v>45948</v>
      </c>
      <c r="M145" s="2" t="str">
        <f t="shared" si="11"/>
        <v>OK</v>
      </c>
      <c r="N145" t="s">
        <v>290</v>
      </c>
      <c r="O145" t="s">
        <v>532</v>
      </c>
    </row>
    <row r="146" spans="1:15" hidden="1" x14ac:dyDescent="0.25">
      <c r="A146" t="str">
        <f>VLOOKUP(B146,'[1]Report Detail KPB'!$A$2:$F$264,6,0)</f>
        <v>16451-251107_1714</v>
      </c>
      <c r="B146" t="s">
        <v>289</v>
      </c>
      <c r="C146" t="s">
        <v>17</v>
      </c>
      <c r="D146">
        <v>2208</v>
      </c>
      <c r="E146">
        <v>2208</v>
      </c>
      <c r="F146" s="2" t="str">
        <f t="shared" si="8"/>
        <v>OK</v>
      </c>
      <c r="G146" s="2">
        <v>45877</v>
      </c>
      <c r="H146" s="2">
        <v>45877</v>
      </c>
      <c r="I146" s="2" t="str">
        <f t="shared" si="9"/>
        <v>OK</v>
      </c>
      <c r="J146">
        <f t="shared" si="10"/>
        <v>0</v>
      </c>
      <c r="K146" s="2">
        <v>45960</v>
      </c>
      <c r="L146" s="2">
        <v>45960</v>
      </c>
      <c r="M146" s="2" t="str">
        <f t="shared" si="11"/>
        <v>OK</v>
      </c>
      <c r="N146" t="s">
        <v>291</v>
      </c>
      <c r="O146" t="s">
        <v>532</v>
      </c>
    </row>
    <row r="147" spans="1:15" hidden="1" x14ac:dyDescent="0.25">
      <c r="A147" t="str">
        <f>VLOOKUP(B147,'[1]Report Detail KPB'!$A$2:$F$264,6,0)</f>
        <v>16451-251107_1714</v>
      </c>
      <c r="B147" t="s">
        <v>292</v>
      </c>
      <c r="C147" t="s">
        <v>29</v>
      </c>
      <c r="D147">
        <v>3198</v>
      </c>
      <c r="E147">
        <v>3198</v>
      </c>
      <c r="F147" s="2" t="str">
        <f t="shared" si="8"/>
        <v>OK</v>
      </c>
      <c r="G147" s="2">
        <v>45854</v>
      </c>
      <c r="H147" s="2">
        <v>45853</v>
      </c>
      <c r="I147" s="2" t="str">
        <f t="shared" si="9"/>
        <v>Not</v>
      </c>
      <c r="J147">
        <f t="shared" si="10"/>
        <v>-1</v>
      </c>
      <c r="K147" s="2">
        <v>45948</v>
      </c>
      <c r="L147" s="2">
        <v>45948</v>
      </c>
      <c r="M147" s="2" t="str">
        <f t="shared" si="11"/>
        <v>OK</v>
      </c>
      <c r="N147" t="s">
        <v>293</v>
      </c>
      <c r="O147" t="s">
        <v>532</v>
      </c>
    </row>
    <row r="148" spans="1:15" hidden="1" x14ac:dyDescent="0.25">
      <c r="A148" t="str">
        <f>VLOOKUP(B148,'[1]Report Detail KPB'!$A$2:$F$264,6,0)</f>
        <v>16451-251107_1714</v>
      </c>
      <c r="B148" t="s">
        <v>294</v>
      </c>
      <c r="C148" t="s">
        <v>17</v>
      </c>
      <c r="D148">
        <v>2358</v>
      </c>
      <c r="E148">
        <v>2358</v>
      </c>
      <c r="F148" s="2" t="str">
        <f t="shared" si="8"/>
        <v>OK</v>
      </c>
      <c r="G148" s="2">
        <v>45862</v>
      </c>
      <c r="H148" s="2">
        <v>45862</v>
      </c>
      <c r="I148" s="2" t="str">
        <f t="shared" si="9"/>
        <v>OK</v>
      </c>
      <c r="J148">
        <f t="shared" si="10"/>
        <v>0</v>
      </c>
      <c r="K148" s="2">
        <v>45946</v>
      </c>
      <c r="L148" s="2">
        <v>45946</v>
      </c>
      <c r="M148" s="2" t="str">
        <f t="shared" si="11"/>
        <v>OK</v>
      </c>
      <c r="N148" t="s">
        <v>295</v>
      </c>
      <c r="O148" t="s">
        <v>532</v>
      </c>
    </row>
    <row r="149" spans="1:15" hidden="1" x14ac:dyDescent="0.25">
      <c r="A149" t="str">
        <f>VLOOKUP(B149,'[1]Report Detail KPB'!$A$2:$F$264,6,0)</f>
        <v>16451-251107_1714</v>
      </c>
      <c r="B149" t="s">
        <v>296</v>
      </c>
      <c r="C149" t="s">
        <v>29</v>
      </c>
      <c r="D149">
        <v>612</v>
      </c>
      <c r="E149">
        <v>612</v>
      </c>
      <c r="F149" s="2" t="str">
        <f t="shared" si="8"/>
        <v>OK</v>
      </c>
      <c r="G149" s="2">
        <v>45862</v>
      </c>
      <c r="H149" s="2">
        <v>45862</v>
      </c>
      <c r="I149" s="2" t="str">
        <f t="shared" si="9"/>
        <v>OK</v>
      </c>
      <c r="J149">
        <f t="shared" si="10"/>
        <v>0</v>
      </c>
      <c r="K149" s="2">
        <v>45960</v>
      </c>
      <c r="L149" s="2">
        <v>45960</v>
      </c>
      <c r="M149" s="2" t="str">
        <f t="shared" si="11"/>
        <v>OK</v>
      </c>
      <c r="N149" t="s">
        <v>297</v>
      </c>
      <c r="O149" t="s">
        <v>532</v>
      </c>
    </row>
    <row r="150" spans="1:15" hidden="1" x14ac:dyDescent="0.25">
      <c r="A150" t="str">
        <f>VLOOKUP(B150,'[1]Report Detail KPB'!$A$2:$F$264,6,0)</f>
        <v>16451-251107_1714</v>
      </c>
      <c r="B150" t="s">
        <v>298</v>
      </c>
      <c r="C150" t="s">
        <v>29</v>
      </c>
      <c r="D150">
        <v>1327</v>
      </c>
      <c r="E150">
        <v>1327</v>
      </c>
      <c r="F150" s="2" t="str">
        <f t="shared" si="8"/>
        <v>OK</v>
      </c>
      <c r="G150" s="2">
        <v>45841</v>
      </c>
      <c r="H150" s="2">
        <v>45841</v>
      </c>
      <c r="I150" s="2" t="str">
        <f t="shared" si="9"/>
        <v>OK</v>
      </c>
      <c r="J150">
        <f t="shared" si="10"/>
        <v>0</v>
      </c>
      <c r="K150" s="2">
        <v>45960</v>
      </c>
      <c r="L150" s="2">
        <v>45960</v>
      </c>
      <c r="M150" s="2" t="str">
        <f t="shared" si="11"/>
        <v>OK</v>
      </c>
      <c r="N150" t="s">
        <v>299</v>
      </c>
      <c r="O150" t="s">
        <v>532</v>
      </c>
    </row>
    <row r="151" spans="1:15" hidden="1" x14ac:dyDescent="0.25">
      <c r="A151" t="str">
        <f>VLOOKUP(B151,'[1]Report Detail KPB'!$A$2:$F$264,6,0)</f>
        <v>16451-251107_1714</v>
      </c>
      <c r="B151" t="s">
        <v>300</v>
      </c>
      <c r="C151" t="s">
        <v>17</v>
      </c>
      <c r="D151">
        <v>1893</v>
      </c>
      <c r="E151">
        <v>1893</v>
      </c>
      <c r="F151" s="2" t="str">
        <f t="shared" si="8"/>
        <v>OK</v>
      </c>
      <c r="G151" s="2">
        <v>45786</v>
      </c>
      <c r="H151" s="2">
        <v>45786</v>
      </c>
      <c r="I151" s="2" t="str">
        <f t="shared" si="9"/>
        <v>OK</v>
      </c>
      <c r="J151">
        <f t="shared" si="10"/>
        <v>0</v>
      </c>
      <c r="K151" s="2">
        <v>45960</v>
      </c>
      <c r="L151" s="2">
        <v>45960</v>
      </c>
      <c r="M151" s="2" t="str">
        <f t="shared" si="11"/>
        <v>OK</v>
      </c>
      <c r="N151" t="s">
        <v>301</v>
      </c>
      <c r="O151" t="s">
        <v>532</v>
      </c>
    </row>
    <row r="152" spans="1:15" hidden="1" x14ac:dyDescent="0.25">
      <c r="A152" t="str">
        <f>VLOOKUP(B152,'[1]Report Detail KPB'!$A$2:$F$264,6,0)</f>
        <v>16451-251107_1714</v>
      </c>
      <c r="B152" t="s">
        <v>302</v>
      </c>
      <c r="C152" t="s">
        <v>8</v>
      </c>
      <c r="D152">
        <v>4201</v>
      </c>
      <c r="E152">
        <v>4201</v>
      </c>
      <c r="F152" s="2" t="str">
        <f t="shared" si="8"/>
        <v>OK</v>
      </c>
      <c r="G152" s="2">
        <v>45785</v>
      </c>
      <c r="H152" s="2">
        <v>45784</v>
      </c>
      <c r="I152" s="2" t="str">
        <f t="shared" si="9"/>
        <v>Not</v>
      </c>
      <c r="J152">
        <f t="shared" si="10"/>
        <v>-1</v>
      </c>
      <c r="K152" s="2">
        <v>45952</v>
      </c>
      <c r="L152" s="2">
        <v>45952</v>
      </c>
      <c r="M152" s="2" t="str">
        <f t="shared" si="11"/>
        <v>OK</v>
      </c>
      <c r="N152" t="s">
        <v>303</v>
      </c>
      <c r="O152" t="s">
        <v>532</v>
      </c>
    </row>
    <row r="153" spans="1:15" hidden="1" x14ac:dyDescent="0.25">
      <c r="A153" t="str">
        <f>VLOOKUP(B153,'[1]Report Detail KPB'!$A$2:$F$264,6,0)</f>
        <v>16451-251107_1714</v>
      </c>
      <c r="B153" t="s">
        <v>304</v>
      </c>
      <c r="C153" t="s">
        <v>29</v>
      </c>
      <c r="D153">
        <v>1806</v>
      </c>
      <c r="E153">
        <v>1806</v>
      </c>
      <c r="F153" s="2" t="str">
        <f t="shared" si="8"/>
        <v>OK</v>
      </c>
      <c r="G153" s="2">
        <v>45867</v>
      </c>
      <c r="H153" s="2">
        <v>45867</v>
      </c>
      <c r="I153" s="2" t="str">
        <f t="shared" si="9"/>
        <v>OK</v>
      </c>
      <c r="J153">
        <f t="shared" si="10"/>
        <v>0</v>
      </c>
      <c r="K153" s="2">
        <v>45948</v>
      </c>
      <c r="L153" s="2">
        <v>45948</v>
      </c>
      <c r="M153" s="2" t="str">
        <f t="shared" si="11"/>
        <v>OK</v>
      </c>
      <c r="N153" t="s">
        <v>305</v>
      </c>
      <c r="O153" t="s">
        <v>532</v>
      </c>
    </row>
    <row r="154" spans="1:15" hidden="1" x14ac:dyDescent="0.25">
      <c r="A154" t="str">
        <f>VLOOKUP(B154,'[1]Report Detail KPB'!$A$2:$F$264,6,0)</f>
        <v>16451-251107_1714</v>
      </c>
      <c r="B154" t="s">
        <v>306</v>
      </c>
      <c r="C154" t="s">
        <v>17</v>
      </c>
      <c r="D154">
        <v>4053</v>
      </c>
      <c r="E154">
        <v>4053</v>
      </c>
      <c r="F154" s="2" t="str">
        <f t="shared" si="8"/>
        <v>OK</v>
      </c>
      <c r="G154" s="2">
        <v>45812</v>
      </c>
      <c r="H154" s="2">
        <v>45811</v>
      </c>
      <c r="I154" s="2" t="str">
        <f t="shared" si="9"/>
        <v>Not</v>
      </c>
      <c r="J154">
        <f t="shared" si="10"/>
        <v>-1</v>
      </c>
      <c r="K154" s="2">
        <v>45960</v>
      </c>
      <c r="L154" s="2">
        <v>45960</v>
      </c>
      <c r="M154" s="2" t="str">
        <f t="shared" si="11"/>
        <v>OK</v>
      </c>
      <c r="N154" t="s">
        <v>307</v>
      </c>
      <c r="O154" t="s">
        <v>532</v>
      </c>
    </row>
    <row r="155" spans="1:15" hidden="1" x14ac:dyDescent="0.25">
      <c r="A155" t="str">
        <f>VLOOKUP(B155,'[1]Report Detail KPB'!$A$2:$F$264,6,0)</f>
        <v>16451-251107_1714</v>
      </c>
      <c r="B155" t="s">
        <v>308</v>
      </c>
      <c r="C155" t="s">
        <v>36</v>
      </c>
      <c r="D155">
        <v>930</v>
      </c>
      <c r="E155">
        <v>930</v>
      </c>
      <c r="F155" s="2" t="str">
        <f t="shared" si="8"/>
        <v>OK</v>
      </c>
      <c r="G155" s="2">
        <v>45908</v>
      </c>
      <c r="H155" s="2">
        <v>45908</v>
      </c>
      <c r="I155" s="2" t="str">
        <f t="shared" si="9"/>
        <v>OK</v>
      </c>
      <c r="J155">
        <f t="shared" si="10"/>
        <v>0</v>
      </c>
      <c r="K155" s="2">
        <v>45959</v>
      </c>
      <c r="L155" s="2">
        <v>45959</v>
      </c>
      <c r="M155" s="2" t="str">
        <f t="shared" si="11"/>
        <v>OK</v>
      </c>
      <c r="N155" t="s">
        <v>309</v>
      </c>
      <c r="O155" t="s">
        <v>532</v>
      </c>
    </row>
    <row r="156" spans="1:15" hidden="1" x14ac:dyDescent="0.25">
      <c r="A156" t="str">
        <f>VLOOKUP(B156,'[1]Report Detail KPB'!$A$2:$F$264,6,0)</f>
        <v>16451-251107_1714</v>
      </c>
      <c r="B156" t="s">
        <v>310</v>
      </c>
      <c r="C156" t="s">
        <v>29</v>
      </c>
      <c r="D156">
        <v>2226</v>
      </c>
      <c r="E156">
        <v>2226</v>
      </c>
      <c r="F156" s="2" t="str">
        <f t="shared" si="8"/>
        <v>OK</v>
      </c>
      <c r="G156" s="2">
        <v>45906</v>
      </c>
      <c r="H156" s="2">
        <v>45906</v>
      </c>
      <c r="I156" s="2" t="str">
        <f t="shared" si="9"/>
        <v>OK</v>
      </c>
      <c r="J156">
        <f t="shared" si="10"/>
        <v>0</v>
      </c>
      <c r="K156" s="2">
        <v>45948</v>
      </c>
      <c r="L156" s="2">
        <v>45948</v>
      </c>
      <c r="M156" s="2" t="str">
        <f t="shared" si="11"/>
        <v>OK</v>
      </c>
      <c r="N156" t="s">
        <v>311</v>
      </c>
      <c r="O156" t="s">
        <v>532</v>
      </c>
    </row>
    <row r="157" spans="1:15" hidden="1" x14ac:dyDescent="0.25">
      <c r="A157" t="str">
        <f>VLOOKUP(B157,'[1]Report Detail KPB'!$A$2:$F$264,6,0)</f>
        <v>16451-251107_1714</v>
      </c>
      <c r="B157" t="s">
        <v>312</v>
      </c>
      <c r="C157" t="s">
        <v>29</v>
      </c>
      <c r="D157">
        <v>1412</v>
      </c>
      <c r="E157">
        <v>1412</v>
      </c>
      <c r="F157" s="2" t="str">
        <f t="shared" si="8"/>
        <v>OK</v>
      </c>
      <c r="G157" s="2">
        <v>45855</v>
      </c>
      <c r="H157" s="2">
        <v>45855</v>
      </c>
      <c r="I157" s="2" t="str">
        <f t="shared" si="9"/>
        <v>OK</v>
      </c>
      <c r="J157">
        <f t="shared" si="10"/>
        <v>0</v>
      </c>
      <c r="K157" s="2">
        <v>45960</v>
      </c>
      <c r="L157" s="2">
        <v>45960</v>
      </c>
      <c r="M157" s="2" t="str">
        <f t="shared" si="11"/>
        <v>OK</v>
      </c>
      <c r="N157" t="s">
        <v>313</v>
      </c>
      <c r="O157" t="s">
        <v>532</v>
      </c>
    </row>
    <row r="158" spans="1:15" hidden="1" x14ac:dyDescent="0.25">
      <c r="A158" t="str">
        <f>VLOOKUP(B158,'[1]Report Detail KPB'!$A$2:$F$264,6,0)</f>
        <v>16451-251107_1714</v>
      </c>
      <c r="B158" t="s">
        <v>314</v>
      </c>
      <c r="C158" t="s">
        <v>29</v>
      </c>
      <c r="D158">
        <v>1276</v>
      </c>
      <c r="E158">
        <v>1276</v>
      </c>
      <c r="F158" s="2" t="str">
        <f t="shared" si="8"/>
        <v>OK</v>
      </c>
      <c r="G158" s="2">
        <v>45853</v>
      </c>
      <c r="H158" s="2">
        <v>45852</v>
      </c>
      <c r="I158" s="2" t="str">
        <f t="shared" si="9"/>
        <v>Not</v>
      </c>
      <c r="J158">
        <f t="shared" si="10"/>
        <v>-1</v>
      </c>
      <c r="K158" s="2">
        <v>45960</v>
      </c>
      <c r="L158" s="2">
        <v>45960</v>
      </c>
      <c r="M158" s="2" t="str">
        <f t="shared" si="11"/>
        <v>OK</v>
      </c>
      <c r="N158" t="s">
        <v>315</v>
      </c>
      <c r="O158" t="s">
        <v>532</v>
      </c>
    </row>
    <row r="159" spans="1:15" hidden="1" x14ac:dyDescent="0.25">
      <c r="A159" t="str">
        <f>VLOOKUP(B159,'[1]Report Detail KPB'!$A$2:$F$264,6,0)</f>
        <v>16451-251107_1714</v>
      </c>
      <c r="B159" t="s">
        <v>316</v>
      </c>
      <c r="C159" t="s">
        <v>29</v>
      </c>
      <c r="D159">
        <v>501</v>
      </c>
      <c r="E159">
        <v>501</v>
      </c>
      <c r="F159" s="2" t="str">
        <f t="shared" si="8"/>
        <v>OK</v>
      </c>
      <c r="G159" s="2">
        <v>45875</v>
      </c>
      <c r="H159" s="2">
        <v>45873</v>
      </c>
      <c r="I159" s="2" t="str">
        <f t="shared" si="9"/>
        <v>Not</v>
      </c>
      <c r="J159">
        <f t="shared" si="10"/>
        <v>-2</v>
      </c>
      <c r="K159" s="2">
        <v>45960</v>
      </c>
      <c r="L159" s="2">
        <v>45960</v>
      </c>
      <c r="M159" s="2" t="str">
        <f t="shared" si="11"/>
        <v>OK</v>
      </c>
      <c r="N159" t="s">
        <v>317</v>
      </c>
      <c r="O159" t="s">
        <v>532</v>
      </c>
    </row>
    <row r="160" spans="1:15" hidden="1" x14ac:dyDescent="0.25">
      <c r="A160" t="str">
        <f>VLOOKUP(B160,'[1]Report Detail KPB'!$A$2:$F$264,6,0)</f>
        <v>16451-251107_1714</v>
      </c>
      <c r="B160" t="s">
        <v>318</v>
      </c>
      <c r="C160" t="s">
        <v>17</v>
      </c>
      <c r="D160">
        <v>6649</v>
      </c>
      <c r="E160">
        <v>6649</v>
      </c>
      <c r="F160" s="2" t="str">
        <f t="shared" si="8"/>
        <v>OK</v>
      </c>
      <c r="G160" s="2">
        <v>45863</v>
      </c>
      <c r="H160" s="2">
        <v>45863</v>
      </c>
      <c r="I160" s="2" t="str">
        <f t="shared" si="9"/>
        <v>OK</v>
      </c>
      <c r="J160">
        <f t="shared" si="10"/>
        <v>0</v>
      </c>
      <c r="K160" s="2">
        <v>45958</v>
      </c>
      <c r="L160" s="2">
        <v>45958</v>
      </c>
      <c r="M160" s="2" t="str">
        <f t="shared" si="11"/>
        <v>OK</v>
      </c>
      <c r="N160" t="s">
        <v>319</v>
      </c>
      <c r="O160" t="s">
        <v>532</v>
      </c>
    </row>
    <row r="161" spans="1:15" hidden="1" x14ac:dyDescent="0.25">
      <c r="A161" t="str">
        <f>VLOOKUP(B161,'[1]Report Detail KPB'!$A$2:$F$264,6,0)</f>
        <v>16451-251107_1714</v>
      </c>
      <c r="B161" t="s">
        <v>320</v>
      </c>
      <c r="C161" t="s">
        <v>36</v>
      </c>
      <c r="D161">
        <v>747</v>
      </c>
      <c r="E161">
        <v>747</v>
      </c>
      <c r="F161" s="2" t="str">
        <f t="shared" si="8"/>
        <v>OK</v>
      </c>
      <c r="G161" s="2">
        <v>45904</v>
      </c>
      <c r="H161" s="2">
        <v>45903</v>
      </c>
      <c r="I161" s="2" t="str">
        <f t="shared" si="9"/>
        <v>Not</v>
      </c>
      <c r="J161">
        <f t="shared" si="10"/>
        <v>-1</v>
      </c>
      <c r="K161" s="2">
        <v>45959</v>
      </c>
      <c r="L161" s="2">
        <v>45959</v>
      </c>
      <c r="M161" s="2" t="str">
        <f t="shared" si="11"/>
        <v>OK</v>
      </c>
      <c r="N161" t="s">
        <v>321</v>
      </c>
      <c r="O161" t="s">
        <v>532</v>
      </c>
    </row>
    <row r="162" spans="1:15" hidden="1" x14ac:dyDescent="0.25">
      <c r="A162" t="str">
        <f>VLOOKUP(B162,'[1]Report Detail KPB'!$A$2:$F$264,6,0)</f>
        <v>16451-251107_1714</v>
      </c>
      <c r="B162" t="s">
        <v>322</v>
      </c>
      <c r="C162" t="s">
        <v>36</v>
      </c>
      <c r="D162">
        <v>694</v>
      </c>
      <c r="E162">
        <v>694</v>
      </c>
      <c r="F162" s="2" t="str">
        <f t="shared" si="8"/>
        <v>OK</v>
      </c>
      <c r="G162" s="2">
        <v>45919</v>
      </c>
      <c r="H162" s="2">
        <v>45917</v>
      </c>
      <c r="I162" s="2" t="str">
        <f t="shared" si="9"/>
        <v>Not</v>
      </c>
      <c r="J162">
        <f t="shared" si="10"/>
        <v>-2</v>
      </c>
      <c r="K162" s="2">
        <v>45959</v>
      </c>
      <c r="L162" s="2">
        <v>45959</v>
      </c>
      <c r="M162" s="2" t="str">
        <f t="shared" si="11"/>
        <v>OK</v>
      </c>
      <c r="N162" t="s">
        <v>323</v>
      </c>
      <c r="O162" t="s">
        <v>532</v>
      </c>
    </row>
    <row r="163" spans="1:15" hidden="1" x14ac:dyDescent="0.25">
      <c r="A163" t="str">
        <f>VLOOKUP(B163,'[1]Report Detail KPB'!$A$2:$F$264,6,0)</f>
        <v>16451-251107_1714</v>
      </c>
      <c r="B163" t="s">
        <v>324</v>
      </c>
      <c r="C163" t="s">
        <v>17</v>
      </c>
      <c r="D163">
        <v>1925</v>
      </c>
      <c r="E163">
        <v>1925</v>
      </c>
      <c r="F163" s="2" t="str">
        <f t="shared" si="8"/>
        <v>OK</v>
      </c>
      <c r="G163" s="2">
        <v>45880</v>
      </c>
      <c r="H163" s="2">
        <v>45879</v>
      </c>
      <c r="I163" s="2" t="str">
        <f t="shared" si="9"/>
        <v>Not</v>
      </c>
      <c r="J163">
        <f t="shared" si="10"/>
        <v>-1</v>
      </c>
      <c r="K163" s="2">
        <v>45946</v>
      </c>
      <c r="L163" s="2">
        <v>45946</v>
      </c>
      <c r="M163" s="2" t="str">
        <f t="shared" si="11"/>
        <v>OK</v>
      </c>
      <c r="N163" t="s">
        <v>325</v>
      </c>
      <c r="O163" t="s">
        <v>532</v>
      </c>
    </row>
    <row r="164" spans="1:15" hidden="1" x14ac:dyDescent="0.25">
      <c r="A164" t="str">
        <f>VLOOKUP(B164,'[1]Report Detail KPB'!$A$2:$F$264,6,0)</f>
        <v>16451-251107_1714</v>
      </c>
      <c r="B164" t="s">
        <v>326</v>
      </c>
      <c r="C164" t="s">
        <v>29</v>
      </c>
      <c r="D164">
        <v>1390</v>
      </c>
      <c r="E164">
        <v>1390</v>
      </c>
      <c r="F164" s="2" t="str">
        <f t="shared" si="8"/>
        <v>OK</v>
      </c>
      <c r="G164" s="2">
        <v>45904</v>
      </c>
      <c r="H164" s="2">
        <v>45904</v>
      </c>
      <c r="I164" s="2" t="str">
        <f t="shared" si="9"/>
        <v>OK</v>
      </c>
      <c r="J164">
        <f t="shared" si="10"/>
        <v>0</v>
      </c>
      <c r="K164" s="2">
        <v>45948</v>
      </c>
      <c r="L164" s="2">
        <v>45948</v>
      </c>
      <c r="M164" s="2" t="str">
        <f t="shared" si="11"/>
        <v>OK</v>
      </c>
      <c r="N164" t="s">
        <v>327</v>
      </c>
      <c r="O164" t="s">
        <v>532</v>
      </c>
    </row>
    <row r="165" spans="1:15" hidden="1" x14ac:dyDescent="0.25">
      <c r="A165" t="str">
        <f>VLOOKUP(B165,'[1]Report Detail KPB'!$A$2:$F$264,6,0)</f>
        <v>16451-251107_1714</v>
      </c>
      <c r="B165" t="s">
        <v>328</v>
      </c>
      <c r="C165" t="s">
        <v>17</v>
      </c>
      <c r="D165">
        <v>1806</v>
      </c>
      <c r="E165">
        <v>1806</v>
      </c>
      <c r="F165" s="2" t="str">
        <f t="shared" si="8"/>
        <v>OK</v>
      </c>
      <c r="G165" s="2">
        <v>45906</v>
      </c>
      <c r="H165" s="2">
        <v>45906</v>
      </c>
      <c r="I165" s="2" t="str">
        <f t="shared" si="9"/>
        <v>OK</v>
      </c>
      <c r="J165">
        <f t="shared" si="10"/>
        <v>0</v>
      </c>
      <c r="K165" s="2">
        <v>45951</v>
      </c>
      <c r="L165" s="2">
        <v>45951</v>
      </c>
      <c r="M165" s="2" t="str">
        <f t="shared" si="11"/>
        <v>OK</v>
      </c>
      <c r="N165" t="s">
        <v>329</v>
      </c>
      <c r="O165" t="s">
        <v>532</v>
      </c>
    </row>
    <row r="166" spans="1:15" hidden="1" x14ac:dyDescent="0.25">
      <c r="A166" t="str">
        <f>VLOOKUP(B166,'[1]Report Detail KPB'!$A$2:$F$264,6,0)</f>
        <v>16451-251107_1714</v>
      </c>
      <c r="B166" t="s">
        <v>330</v>
      </c>
      <c r="C166" t="s">
        <v>36</v>
      </c>
      <c r="D166">
        <v>803</v>
      </c>
      <c r="E166">
        <v>803</v>
      </c>
      <c r="F166" s="2" t="str">
        <f t="shared" si="8"/>
        <v>OK</v>
      </c>
      <c r="G166" s="2">
        <v>45904</v>
      </c>
      <c r="H166" s="2">
        <v>45903</v>
      </c>
      <c r="I166" s="2" t="str">
        <f t="shared" si="9"/>
        <v>Not</v>
      </c>
      <c r="J166">
        <f t="shared" si="10"/>
        <v>-1</v>
      </c>
      <c r="K166" s="2">
        <v>45959</v>
      </c>
      <c r="L166" s="2">
        <v>45959</v>
      </c>
      <c r="M166" s="2" t="str">
        <f t="shared" si="11"/>
        <v>OK</v>
      </c>
      <c r="N166" t="s">
        <v>331</v>
      </c>
      <c r="O166" t="s">
        <v>532</v>
      </c>
    </row>
    <row r="167" spans="1:15" hidden="1" x14ac:dyDescent="0.25">
      <c r="A167" t="str">
        <f>VLOOKUP(B167,'[1]Report Detail KPB'!$A$2:$F$264,6,0)</f>
        <v>16451-251107_1714</v>
      </c>
      <c r="B167" t="s">
        <v>332</v>
      </c>
      <c r="C167" t="s">
        <v>36</v>
      </c>
      <c r="D167">
        <v>755</v>
      </c>
      <c r="E167">
        <v>755</v>
      </c>
      <c r="F167" s="2" t="str">
        <f t="shared" si="8"/>
        <v>OK</v>
      </c>
      <c r="G167" s="2">
        <v>45917</v>
      </c>
      <c r="H167" s="2">
        <v>45917</v>
      </c>
      <c r="I167" s="2" t="str">
        <f t="shared" si="9"/>
        <v>OK</v>
      </c>
      <c r="J167">
        <f t="shared" si="10"/>
        <v>0</v>
      </c>
      <c r="K167" s="2">
        <v>45960</v>
      </c>
      <c r="L167" s="2">
        <v>45960</v>
      </c>
      <c r="M167" s="2" t="str">
        <f t="shared" si="11"/>
        <v>OK</v>
      </c>
      <c r="N167" t="s">
        <v>333</v>
      </c>
      <c r="O167" t="s">
        <v>532</v>
      </c>
    </row>
    <row r="168" spans="1:15" hidden="1" x14ac:dyDescent="0.25">
      <c r="A168" t="str">
        <f>VLOOKUP(B168,'[1]Report Detail KPB'!$A$2:$F$264,6,0)</f>
        <v>16451-251107_1714</v>
      </c>
      <c r="B168" t="s">
        <v>334</v>
      </c>
      <c r="C168" t="s">
        <v>36</v>
      </c>
      <c r="D168">
        <v>265</v>
      </c>
      <c r="E168">
        <v>265</v>
      </c>
      <c r="F168" s="2" t="str">
        <f t="shared" si="8"/>
        <v>OK</v>
      </c>
      <c r="G168" s="2">
        <v>45922</v>
      </c>
      <c r="H168" s="2">
        <v>45922</v>
      </c>
      <c r="I168" s="2" t="str">
        <f t="shared" si="9"/>
        <v>OK</v>
      </c>
      <c r="J168">
        <f t="shared" si="10"/>
        <v>0</v>
      </c>
      <c r="K168" s="2">
        <v>45959</v>
      </c>
      <c r="L168" s="2">
        <v>45959</v>
      </c>
      <c r="M168" s="2" t="str">
        <f t="shared" si="11"/>
        <v>OK</v>
      </c>
      <c r="N168" t="s">
        <v>335</v>
      </c>
      <c r="O168" t="s">
        <v>532</v>
      </c>
    </row>
    <row r="169" spans="1:15" hidden="1" x14ac:dyDescent="0.25">
      <c r="A169" t="str">
        <f>VLOOKUP(B169,'[1]Report Detail KPB'!$A$2:$F$264,6,0)</f>
        <v>16451-251107_1714</v>
      </c>
      <c r="B169" t="s">
        <v>336</v>
      </c>
      <c r="C169" t="s">
        <v>36</v>
      </c>
      <c r="D169">
        <v>874</v>
      </c>
      <c r="E169">
        <v>874</v>
      </c>
      <c r="F169" s="2" t="str">
        <f t="shared" si="8"/>
        <v>OK</v>
      </c>
      <c r="G169" s="2">
        <v>45929</v>
      </c>
      <c r="H169" s="2">
        <v>45929</v>
      </c>
      <c r="I169" s="2" t="str">
        <f t="shared" si="9"/>
        <v>OK</v>
      </c>
      <c r="J169">
        <f t="shared" si="10"/>
        <v>0</v>
      </c>
      <c r="K169" s="2">
        <v>45959</v>
      </c>
      <c r="L169" s="2">
        <v>45959</v>
      </c>
      <c r="M169" s="2" t="str">
        <f t="shared" si="11"/>
        <v>OK</v>
      </c>
      <c r="N169" t="s">
        <v>337</v>
      </c>
      <c r="O169" t="s">
        <v>532</v>
      </c>
    </row>
    <row r="170" spans="1:15" hidden="1" x14ac:dyDescent="0.25">
      <c r="A170" t="str">
        <f>VLOOKUP(B170,'[1]Report Detail KPB'!$A$2:$F$264,6,0)</f>
        <v>16451-251107_1714</v>
      </c>
      <c r="B170" t="s">
        <v>338</v>
      </c>
      <c r="C170" t="s">
        <v>36</v>
      </c>
      <c r="D170">
        <v>251</v>
      </c>
      <c r="E170">
        <v>251</v>
      </c>
      <c r="F170" s="2" t="str">
        <f t="shared" si="8"/>
        <v>OK</v>
      </c>
      <c r="G170" s="2">
        <v>45922</v>
      </c>
      <c r="H170" s="2">
        <v>45922</v>
      </c>
      <c r="I170" s="2" t="str">
        <f t="shared" si="9"/>
        <v>OK</v>
      </c>
      <c r="J170">
        <f t="shared" si="10"/>
        <v>0</v>
      </c>
      <c r="K170" s="2">
        <v>45959</v>
      </c>
      <c r="L170" s="2">
        <v>45959</v>
      </c>
      <c r="M170" s="2" t="str">
        <f t="shared" si="11"/>
        <v>OK</v>
      </c>
      <c r="N170" t="s">
        <v>339</v>
      </c>
      <c r="O170" t="s">
        <v>532</v>
      </c>
    </row>
    <row r="171" spans="1:15" hidden="1" x14ac:dyDescent="0.25">
      <c r="A171" t="str">
        <f>VLOOKUP(B171,'[1]Report Detail KPB'!$A$2:$F$264,6,0)</f>
        <v>16451-251107_1714</v>
      </c>
      <c r="B171" t="s">
        <v>340</v>
      </c>
      <c r="C171" t="s">
        <v>36</v>
      </c>
      <c r="D171">
        <v>69</v>
      </c>
      <c r="E171">
        <v>69</v>
      </c>
      <c r="F171" s="2" t="str">
        <f t="shared" si="8"/>
        <v>OK</v>
      </c>
      <c r="G171" s="2">
        <v>45927</v>
      </c>
      <c r="H171" s="2">
        <v>45927</v>
      </c>
      <c r="I171" s="2" t="str">
        <f t="shared" si="9"/>
        <v>OK</v>
      </c>
      <c r="J171">
        <f t="shared" si="10"/>
        <v>0</v>
      </c>
      <c r="K171" s="2">
        <v>45960</v>
      </c>
      <c r="L171" s="2">
        <v>45960</v>
      </c>
      <c r="M171" s="2" t="str">
        <f t="shared" si="11"/>
        <v>OK</v>
      </c>
      <c r="N171" t="s">
        <v>341</v>
      </c>
      <c r="O171" t="s">
        <v>532</v>
      </c>
    </row>
    <row r="172" spans="1:15" hidden="1" x14ac:dyDescent="0.25">
      <c r="A172" t="str">
        <f>VLOOKUP(B172,'[1]Report Detail KPB'!$A$2:$F$264,6,0)</f>
        <v>16451-251029_0955</v>
      </c>
      <c r="B172" t="s">
        <v>342</v>
      </c>
      <c r="C172" t="s">
        <v>17</v>
      </c>
      <c r="D172">
        <v>4388</v>
      </c>
      <c r="E172">
        <v>4388</v>
      </c>
      <c r="F172" s="2" t="str">
        <f t="shared" si="8"/>
        <v>OK</v>
      </c>
      <c r="G172" s="2">
        <v>45667</v>
      </c>
      <c r="H172" s="2">
        <v>45667</v>
      </c>
      <c r="I172" s="2" t="str">
        <f t="shared" si="9"/>
        <v>OK</v>
      </c>
      <c r="J172">
        <f t="shared" si="10"/>
        <v>0</v>
      </c>
      <c r="K172" s="2">
        <v>45938</v>
      </c>
      <c r="L172" s="2">
        <v>45938</v>
      </c>
      <c r="M172" s="2" t="str">
        <f t="shared" si="11"/>
        <v>OK</v>
      </c>
      <c r="N172" t="s">
        <v>343</v>
      </c>
      <c r="O172" t="s">
        <v>532</v>
      </c>
    </row>
    <row r="173" spans="1:15" hidden="1" x14ac:dyDescent="0.25">
      <c r="A173" t="str">
        <f>VLOOKUP(B173,'[1]Report Detail KPB'!$A$2:$F$264,6,0)</f>
        <v>16451-251029_0955</v>
      </c>
      <c r="B173" t="s">
        <v>344</v>
      </c>
      <c r="C173" t="s">
        <v>17</v>
      </c>
      <c r="D173">
        <v>2046</v>
      </c>
      <c r="E173">
        <v>2046</v>
      </c>
      <c r="F173" s="2" t="str">
        <f t="shared" si="8"/>
        <v>OK</v>
      </c>
      <c r="G173" s="2">
        <v>45791</v>
      </c>
      <c r="H173" s="2">
        <v>45791</v>
      </c>
      <c r="I173" s="2" t="str">
        <f t="shared" si="9"/>
        <v>OK</v>
      </c>
      <c r="J173">
        <f t="shared" si="10"/>
        <v>0</v>
      </c>
      <c r="K173" s="2">
        <v>45938</v>
      </c>
      <c r="L173" s="2">
        <v>45938</v>
      </c>
      <c r="M173" s="2" t="str">
        <f t="shared" si="11"/>
        <v>OK</v>
      </c>
      <c r="N173" t="s">
        <v>345</v>
      </c>
      <c r="O173" t="s">
        <v>532</v>
      </c>
    </row>
    <row r="174" spans="1:15" hidden="1" x14ac:dyDescent="0.25">
      <c r="A174" t="str">
        <f>VLOOKUP(B174,'[1]Report Detail KPB'!$A$2:$F$264,6,0)</f>
        <v>16451-251107_1714</v>
      </c>
      <c r="B174" t="s">
        <v>346</v>
      </c>
      <c r="C174" t="s">
        <v>36</v>
      </c>
      <c r="D174">
        <v>690</v>
      </c>
      <c r="E174">
        <v>690</v>
      </c>
      <c r="F174" s="2" t="str">
        <f t="shared" si="8"/>
        <v>OK</v>
      </c>
      <c r="G174" s="2">
        <v>45883</v>
      </c>
      <c r="H174" s="2">
        <v>45883</v>
      </c>
      <c r="I174" s="2" t="str">
        <f t="shared" si="9"/>
        <v>OK</v>
      </c>
      <c r="J174">
        <f t="shared" si="10"/>
        <v>0</v>
      </c>
      <c r="K174" s="2">
        <v>45945</v>
      </c>
      <c r="L174" s="2">
        <v>45945</v>
      </c>
      <c r="M174" s="2" t="str">
        <f t="shared" si="11"/>
        <v>OK</v>
      </c>
      <c r="N174" t="s">
        <v>347</v>
      </c>
      <c r="O174" t="s">
        <v>532</v>
      </c>
    </row>
    <row r="175" spans="1:15" hidden="1" x14ac:dyDescent="0.25">
      <c r="A175" t="str">
        <f>VLOOKUP(B175,'[1]Report Detail KPB'!$A$2:$F$264,6,0)</f>
        <v>16451-251029_0955</v>
      </c>
      <c r="B175" t="s">
        <v>348</v>
      </c>
      <c r="C175" t="s">
        <v>36</v>
      </c>
      <c r="D175">
        <v>1032</v>
      </c>
      <c r="E175">
        <v>1032</v>
      </c>
      <c r="F175" s="2" t="str">
        <f t="shared" si="8"/>
        <v>OK</v>
      </c>
      <c r="G175" s="2">
        <v>45906</v>
      </c>
      <c r="H175" s="2">
        <v>45906</v>
      </c>
      <c r="I175" s="2" t="str">
        <f t="shared" si="9"/>
        <v>OK</v>
      </c>
      <c r="J175">
        <f t="shared" si="10"/>
        <v>0</v>
      </c>
      <c r="K175" s="2">
        <v>45940</v>
      </c>
      <c r="L175" s="2">
        <v>45940</v>
      </c>
      <c r="M175" s="2" t="str">
        <f t="shared" si="11"/>
        <v>OK</v>
      </c>
      <c r="N175" t="s">
        <v>349</v>
      </c>
      <c r="O175" t="s">
        <v>532</v>
      </c>
    </row>
    <row r="176" spans="1:15" hidden="1" x14ac:dyDescent="0.25">
      <c r="A176" t="s">
        <v>530</v>
      </c>
      <c r="B176" t="s">
        <v>348</v>
      </c>
      <c r="C176" t="s">
        <v>29</v>
      </c>
      <c r="D176">
        <v>1170</v>
      </c>
      <c r="E176">
        <v>1170</v>
      </c>
      <c r="F176" s="2" t="str">
        <f t="shared" si="8"/>
        <v>OK</v>
      </c>
      <c r="G176" s="2">
        <v>45906</v>
      </c>
      <c r="H176" s="2">
        <v>45906</v>
      </c>
      <c r="I176" s="2" t="str">
        <f t="shared" si="9"/>
        <v>OK</v>
      </c>
      <c r="J176">
        <f t="shared" si="10"/>
        <v>0</v>
      </c>
      <c r="K176" s="2">
        <v>45958</v>
      </c>
      <c r="L176" s="2">
        <v>45958</v>
      </c>
      <c r="M176" s="2" t="str">
        <f t="shared" si="11"/>
        <v>OK</v>
      </c>
      <c r="N176" t="s">
        <v>350</v>
      </c>
      <c r="O176" t="s">
        <v>532</v>
      </c>
    </row>
    <row r="177" spans="1:15" hidden="1" x14ac:dyDescent="0.25">
      <c r="A177" t="str">
        <f>VLOOKUP(B177,'[1]Report Detail KPB'!$A$2:$F$264,6,0)</f>
        <v>16451-251029_0955</v>
      </c>
      <c r="B177" t="s">
        <v>351</v>
      </c>
      <c r="C177" t="s">
        <v>8</v>
      </c>
      <c r="D177">
        <v>7321</v>
      </c>
      <c r="E177">
        <v>7321</v>
      </c>
      <c r="F177" s="2" t="str">
        <f t="shared" si="8"/>
        <v>OK</v>
      </c>
      <c r="G177" s="2">
        <v>45668</v>
      </c>
      <c r="H177" s="2">
        <v>45668</v>
      </c>
      <c r="I177" s="2" t="str">
        <f t="shared" si="9"/>
        <v>OK</v>
      </c>
      <c r="J177">
        <f t="shared" si="10"/>
        <v>0</v>
      </c>
      <c r="K177" s="2">
        <v>45936</v>
      </c>
      <c r="L177" s="2">
        <v>45936</v>
      </c>
      <c r="M177" s="2" t="str">
        <f t="shared" si="11"/>
        <v>OK</v>
      </c>
      <c r="N177" t="s">
        <v>352</v>
      </c>
      <c r="O177" t="s">
        <v>532</v>
      </c>
    </row>
    <row r="178" spans="1:15" hidden="1" x14ac:dyDescent="0.25">
      <c r="A178" t="str">
        <f>VLOOKUP(B178,'[1]Report Detail KPB'!$A$2:$F$264,6,0)</f>
        <v>16451-251107_1714</v>
      </c>
      <c r="B178" t="s">
        <v>355</v>
      </c>
      <c r="C178" t="s">
        <v>8</v>
      </c>
      <c r="D178">
        <v>2291</v>
      </c>
      <c r="E178">
        <v>2291</v>
      </c>
      <c r="F178" s="2" t="str">
        <f t="shared" si="8"/>
        <v>OK</v>
      </c>
      <c r="G178" s="2">
        <v>45821</v>
      </c>
      <c r="H178" s="2">
        <v>45821</v>
      </c>
      <c r="I178" s="2" t="str">
        <f t="shared" si="9"/>
        <v>OK</v>
      </c>
      <c r="J178">
        <f t="shared" si="10"/>
        <v>0</v>
      </c>
      <c r="K178" s="2">
        <v>45948</v>
      </c>
      <c r="L178" s="2">
        <v>45948</v>
      </c>
      <c r="M178" s="2" t="str">
        <f t="shared" si="11"/>
        <v>OK</v>
      </c>
      <c r="N178" t="s">
        <v>356</v>
      </c>
      <c r="O178" t="s">
        <v>532</v>
      </c>
    </row>
    <row r="179" spans="1:15" hidden="1" x14ac:dyDescent="0.25">
      <c r="A179" t="str">
        <f>VLOOKUP(B179,'[1]Report Detail KPB'!$A$2:$F$264,6,0)</f>
        <v>16451-251029_0955</v>
      </c>
      <c r="B179" t="s">
        <v>357</v>
      </c>
      <c r="C179" t="s">
        <v>36</v>
      </c>
      <c r="D179">
        <v>509</v>
      </c>
      <c r="E179">
        <v>509</v>
      </c>
      <c r="F179" s="2" t="str">
        <f t="shared" si="8"/>
        <v>OK</v>
      </c>
      <c r="G179" s="2">
        <v>45922</v>
      </c>
      <c r="H179" s="2">
        <v>45921</v>
      </c>
      <c r="I179" s="2" t="str">
        <f t="shared" si="9"/>
        <v>Not</v>
      </c>
      <c r="J179">
        <f t="shared" si="10"/>
        <v>-1</v>
      </c>
      <c r="K179" s="2">
        <v>45940</v>
      </c>
      <c r="L179" s="2">
        <v>45940</v>
      </c>
      <c r="M179" s="2" t="str">
        <f t="shared" si="11"/>
        <v>OK</v>
      </c>
      <c r="N179" t="s">
        <v>358</v>
      </c>
      <c r="O179" t="s">
        <v>532</v>
      </c>
    </row>
    <row r="180" spans="1:15" x14ac:dyDescent="0.25">
      <c r="A180" t="str">
        <f>VLOOKUP(B180,'[1]Report Detail KPB'!$A$2:$F$264,6,0)</f>
        <v>16451-251107_1714</v>
      </c>
      <c r="B180" s="6" t="s">
        <v>359</v>
      </c>
      <c r="C180" t="s">
        <v>36</v>
      </c>
      <c r="D180">
        <v>402</v>
      </c>
      <c r="E180">
        <v>402</v>
      </c>
      <c r="F180" s="2" t="str">
        <f t="shared" si="8"/>
        <v>OK</v>
      </c>
      <c r="G180" s="2">
        <v>45920</v>
      </c>
      <c r="H180" s="2">
        <v>45920</v>
      </c>
      <c r="I180" s="2" t="str">
        <f t="shared" si="9"/>
        <v>OK</v>
      </c>
      <c r="J180">
        <f t="shared" si="10"/>
        <v>0</v>
      </c>
      <c r="K180" s="2">
        <v>45954</v>
      </c>
      <c r="L180" s="2">
        <v>45954</v>
      </c>
      <c r="M180" s="2" t="str">
        <f t="shared" si="11"/>
        <v>OK</v>
      </c>
      <c r="N180" t="s">
        <v>360</v>
      </c>
      <c r="O180" t="s">
        <v>535</v>
      </c>
    </row>
    <row r="181" spans="1:15" x14ac:dyDescent="0.25">
      <c r="A181" t="str">
        <f>VLOOKUP(B181,'[1]Report Detail KPB'!$A$2:$F$264,6,0)</f>
        <v>16451-251029_0955</v>
      </c>
      <c r="B181" s="6" t="s">
        <v>361</v>
      </c>
      <c r="C181" t="s">
        <v>8</v>
      </c>
      <c r="D181">
        <v>1940</v>
      </c>
      <c r="E181">
        <v>1940</v>
      </c>
      <c r="F181" s="2" t="str">
        <f t="shared" si="8"/>
        <v>OK</v>
      </c>
      <c r="G181" s="2">
        <v>45779</v>
      </c>
      <c r="H181" s="2">
        <v>45779</v>
      </c>
      <c r="I181" s="2" t="str">
        <f t="shared" si="9"/>
        <v>OK</v>
      </c>
      <c r="J181">
        <f t="shared" si="10"/>
        <v>0</v>
      </c>
      <c r="K181" s="2">
        <v>45936</v>
      </c>
      <c r="L181" s="2">
        <v>45936</v>
      </c>
      <c r="M181" s="2" t="str">
        <f t="shared" si="11"/>
        <v>OK</v>
      </c>
      <c r="N181" t="s">
        <v>362</v>
      </c>
      <c r="O181" t="s">
        <v>536</v>
      </c>
    </row>
    <row r="182" spans="1:15" hidden="1" x14ac:dyDescent="0.25">
      <c r="A182" t="str">
        <f>VLOOKUP(B182,'[1]Report Detail KPB'!$A$2:$F$264,6,0)</f>
        <v>16451-251107_1714</v>
      </c>
      <c r="B182" t="s">
        <v>363</v>
      </c>
      <c r="C182" t="s">
        <v>17</v>
      </c>
      <c r="D182">
        <v>7061</v>
      </c>
      <c r="E182">
        <v>7061</v>
      </c>
      <c r="F182" s="2" t="str">
        <f t="shared" si="8"/>
        <v>OK</v>
      </c>
      <c r="G182" s="2">
        <v>45796</v>
      </c>
      <c r="H182" s="2">
        <v>45796</v>
      </c>
      <c r="I182" s="2" t="str">
        <f t="shared" si="9"/>
        <v>OK</v>
      </c>
      <c r="J182">
        <f t="shared" si="10"/>
        <v>0</v>
      </c>
      <c r="K182" s="2">
        <v>45944</v>
      </c>
      <c r="L182" s="2">
        <v>45944</v>
      </c>
      <c r="M182" s="2" t="str">
        <f t="shared" si="11"/>
        <v>OK</v>
      </c>
      <c r="N182" t="s">
        <v>364</v>
      </c>
      <c r="O182" t="s">
        <v>532</v>
      </c>
    </row>
    <row r="183" spans="1:15" hidden="1" x14ac:dyDescent="0.25">
      <c r="A183" t="str">
        <f>VLOOKUP(B183,'[1]Report Detail KPB'!$A$2:$F$264,6,0)</f>
        <v>16451-251029_0955</v>
      </c>
      <c r="B183" t="s">
        <v>365</v>
      </c>
      <c r="C183" t="s">
        <v>17</v>
      </c>
      <c r="D183">
        <v>3308</v>
      </c>
      <c r="E183">
        <v>3308</v>
      </c>
      <c r="F183" s="2" t="str">
        <f t="shared" si="8"/>
        <v>OK</v>
      </c>
      <c r="G183" s="2">
        <v>45815</v>
      </c>
      <c r="H183" s="2">
        <v>45814</v>
      </c>
      <c r="I183" s="2" t="str">
        <f t="shared" si="9"/>
        <v>Not</v>
      </c>
      <c r="J183">
        <f t="shared" si="10"/>
        <v>-1</v>
      </c>
      <c r="K183" s="2">
        <v>45936</v>
      </c>
      <c r="L183" s="2">
        <v>45936</v>
      </c>
      <c r="M183" s="2" t="str">
        <f t="shared" si="11"/>
        <v>OK</v>
      </c>
      <c r="N183" t="s">
        <v>366</v>
      </c>
      <c r="O183" t="s">
        <v>532</v>
      </c>
    </row>
    <row r="184" spans="1:15" hidden="1" x14ac:dyDescent="0.25">
      <c r="A184" t="s">
        <v>530</v>
      </c>
      <c r="B184" t="s">
        <v>365</v>
      </c>
      <c r="C184" t="s">
        <v>8</v>
      </c>
      <c r="D184">
        <v>3923</v>
      </c>
      <c r="E184">
        <v>3923</v>
      </c>
      <c r="F184" s="2" t="str">
        <f t="shared" si="8"/>
        <v>OK</v>
      </c>
      <c r="G184" s="2">
        <v>45815</v>
      </c>
      <c r="H184" s="2">
        <v>45814</v>
      </c>
      <c r="I184" s="2" t="str">
        <f t="shared" si="9"/>
        <v>Not</v>
      </c>
      <c r="J184">
        <f t="shared" si="10"/>
        <v>-1</v>
      </c>
      <c r="K184" s="2">
        <v>45953</v>
      </c>
      <c r="L184" s="2">
        <v>45953</v>
      </c>
      <c r="M184" s="2" t="str">
        <f t="shared" si="11"/>
        <v>OK</v>
      </c>
      <c r="N184" t="s">
        <v>367</v>
      </c>
      <c r="O184" t="s">
        <v>532</v>
      </c>
    </row>
    <row r="185" spans="1:15" hidden="1" x14ac:dyDescent="0.25">
      <c r="A185" t="str">
        <f>VLOOKUP(B185,'[1]Report Detail KPB'!$A$2:$F$264,6,0)</f>
        <v>16451-251107_1714</v>
      </c>
      <c r="B185" t="s">
        <v>368</v>
      </c>
      <c r="C185" t="s">
        <v>17</v>
      </c>
      <c r="D185">
        <v>3155</v>
      </c>
      <c r="E185">
        <v>3155</v>
      </c>
      <c r="F185" s="2" t="str">
        <f t="shared" si="8"/>
        <v>OK</v>
      </c>
      <c r="G185" s="2">
        <v>45801</v>
      </c>
      <c r="H185" s="2">
        <v>45801</v>
      </c>
      <c r="I185" s="2" t="str">
        <f t="shared" si="9"/>
        <v>OK</v>
      </c>
      <c r="J185">
        <f t="shared" si="10"/>
        <v>0</v>
      </c>
      <c r="K185" s="2">
        <v>45954</v>
      </c>
      <c r="L185" s="2">
        <v>45954</v>
      </c>
      <c r="M185" s="2" t="str">
        <f t="shared" si="11"/>
        <v>OK</v>
      </c>
      <c r="N185" t="s">
        <v>369</v>
      </c>
      <c r="O185" t="s">
        <v>532</v>
      </c>
    </row>
    <row r="186" spans="1:15" hidden="1" x14ac:dyDescent="0.25">
      <c r="A186" t="str">
        <f>VLOOKUP(B186,'[1]Report Detail KPB'!$A$2:$F$264,6,0)</f>
        <v>16451-251107_1714</v>
      </c>
      <c r="B186" t="s">
        <v>370</v>
      </c>
      <c r="C186" t="s">
        <v>8</v>
      </c>
      <c r="D186">
        <v>3341</v>
      </c>
      <c r="E186">
        <v>3341</v>
      </c>
      <c r="F186" s="2" t="str">
        <f t="shared" si="8"/>
        <v>OK</v>
      </c>
      <c r="G186" s="2">
        <v>45807</v>
      </c>
      <c r="H186" s="2">
        <v>45807</v>
      </c>
      <c r="I186" s="2" t="str">
        <f t="shared" si="9"/>
        <v>OK</v>
      </c>
      <c r="J186">
        <f t="shared" si="10"/>
        <v>0</v>
      </c>
      <c r="K186" s="2">
        <v>45951</v>
      </c>
      <c r="L186" s="2">
        <v>45951</v>
      </c>
      <c r="M186" s="2" t="str">
        <f t="shared" si="11"/>
        <v>OK</v>
      </c>
      <c r="N186" t="s">
        <v>371</v>
      </c>
      <c r="O186" t="s">
        <v>532</v>
      </c>
    </row>
    <row r="187" spans="1:15" hidden="1" x14ac:dyDescent="0.25">
      <c r="A187" t="str">
        <f>VLOOKUP(B187,'[1]Report Detail KPB'!$A$2:$F$264,6,0)</f>
        <v>16451-251029_0955</v>
      </c>
      <c r="B187" t="s">
        <v>372</v>
      </c>
      <c r="C187" t="s">
        <v>8</v>
      </c>
      <c r="D187">
        <v>2106</v>
      </c>
      <c r="E187">
        <v>2106</v>
      </c>
      <c r="F187" s="2" t="str">
        <f t="shared" si="8"/>
        <v>OK</v>
      </c>
      <c r="G187" s="2">
        <v>45804</v>
      </c>
      <c r="H187" s="2">
        <v>45803</v>
      </c>
      <c r="I187" s="2" t="str">
        <f t="shared" si="9"/>
        <v>Not</v>
      </c>
      <c r="J187">
        <f t="shared" si="10"/>
        <v>-1</v>
      </c>
      <c r="K187" s="2">
        <v>45938</v>
      </c>
      <c r="L187" s="2">
        <v>45938</v>
      </c>
      <c r="M187" s="2" t="str">
        <f t="shared" si="11"/>
        <v>OK</v>
      </c>
      <c r="N187" t="s">
        <v>373</v>
      </c>
      <c r="O187" t="s">
        <v>532</v>
      </c>
    </row>
    <row r="188" spans="1:15" hidden="1" x14ac:dyDescent="0.25">
      <c r="A188" t="str">
        <f>VLOOKUP(B188,'[1]Report Detail KPB'!$A$2:$F$264,6,0)</f>
        <v>16451-251107_1714</v>
      </c>
      <c r="B188" t="s">
        <v>374</v>
      </c>
      <c r="C188" t="s">
        <v>17</v>
      </c>
      <c r="D188">
        <v>2461</v>
      </c>
      <c r="E188">
        <v>2461</v>
      </c>
      <c r="F188" s="2" t="str">
        <f t="shared" si="8"/>
        <v>OK</v>
      </c>
      <c r="G188" s="2">
        <v>45826</v>
      </c>
      <c r="H188" s="2">
        <v>45826</v>
      </c>
      <c r="I188" s="2" t="str">
        <f t="shared" si="9"/>
        <v>OK</v>
      </c>
      <c r="J188">
        <f t="shared" si="10"/>
        <v>0</v>
      </c>
      <c r="K188" s="2">
        <v>45953</v>
      </c>
      <c r="L188" s="2">
        <v>45953</v>
      </c>
      <c r="M188" s="2" t="str">
        <f t="shared" si="11"/>
        <v>OK</v>
      </c>
      <c r="N188" t="s">
        <v>375</v>
      </c>
      <c r="O188" t="s">
        <v>532</v>
      </c>
    </row>
    <row r="189" spans="1:15" hidden="1" x14ac:dyDescent="0.25">
      <c r="A189" t="str">
        <f>VLOOKUP(B189,'[1]Report Detail KPB'!$A$2:$F$264,6,0)</f>
        <v>16451-251107_1714</v>
      </c>
      <c r="B189" t="s">
        <v>376</v>
      </c>
      <c r="C189" t="s">
        <v>8</v>
      </c>
      <c r="D189">
        <v>2999</v>
      </c>
      <c r="E189">
        <v>2999</v>
      </c>
      <c r="F189" s="2" t="str">
        <f t="shared" si="8"/>
        <v>OK</v>
      </c>
      <c r="G189" s="2">
        <v>45831</v>
      </c>
      <c r="H189" s="2">
        <v>45831</v>
      </c>
      <c r="I189" s="2" t="str">
        <f t="shared" si="9"/>
        <v>OK</v>
      </c>
      <c r="J189">
        <f t="shared" si="10"/>
        <v>0</v>
      </c>
      <c r="K189" s="2">
        <v>45948</v>
      </c>
      <c r="L189" s="2">
        <v>45948</v>
      </c>
      <c r="M189" s="2" t="str">
        <f t="shared" si="11"/>
        <v>OK</v>
      </c>
      <c r="N189" t="s">
        <v>377</v>
      </c>
      <c r="O189" t="s">
        <v>532</v>
      </c>
    </row>
    <row r="190" spans="1:15" x14ac:dyDescent="0.25">
      <c r="A190" t="s">
        <v>530</v>
      </c>
      <c r="B190" s="6" t="s">
        <v>25</v>
      </c>
      <c r="C190" t="s">
        <v>8</v>
      </c>
      <c r="D190">
        <v>2460</v>
      </c>
      <c r="E190">
        <v>2460</v>
      </c>
      <c r="F190" s="2" t="str">
        <f t="shared" si="8"/>
        <v>OK</v>
      </c>
      <c r="G190" s="2">
        <v>45852</v>
      </c>
      <c r="H190" s="2">
        <v>45851</v>
      </c>
      <c r="I190" s="2" t="str">
        <f t="shared" si="9"/>
        <v>Not</v>
      </c>
      <c r="J190">
        <f t="shared" si="10"/>
        <v>-1</v>
      </c>
      <c r="K190" s="2">
        <v>45955</v>
      </c>
      <c r="L190" s="2">
        <v>45955</v>
      </c>
      <c r="M190" s="2" t="str">
        <f t="shared" si="11"/>
        <v>OK</v>
      </c>
      <c r="N190" t="s">
        <v>27</v>
      </c>
      <c r="O190" t="s">
        <v>531</v>
      </c>
    </row>
    <row r="191" spans="1:15" hidden="1" x14ac:dyDescent="0.25">
      <c r="A191" t="str">
        <f>VLOOKUP(B191,'[1]Report Detail KPB'!$A$2:$F$264,6,0)</f>
        <v>16451-251029_0955</v>
      </c>
      <c r="B191" t="s">
        <v>378</v>
      </c>
      <c r="C191" t="s">
        <v>17</v>
      </c>
      <c r="D191">
        <v>2481</v>
      </c>
      <c r="E191">
        <v>2481</v>
      </c>
      <c r="F191" s="2" t="str">
        <f t="shared" si="8"/>
        <v>OK</v>
      </c>
      <c r="G191" s="2">
        <v>45831</v>
      </c>
      <c r="H191" s="2">
        <v>45830</v>
      </c>
      <c r="I191" s="2" t="str">
        <f t="shared" si="9"/>
        <v>Not</v>
      </c>
      <c r="J191">
        <f t="shared" si="10"/>
        <v>-1</v>
      </c>
      <c r="K191" s="2">
        <v>45931</v>
      </c>
      <c r="L191" s="2">
        <v>45931</v>
      </c>
      <c r="M191" s="2" t="str">
        <f t="shared" si="11"/>
        <v>OK</v>
      </c>
      <c r="N191" t="s">
        <v>379</v>
      </c>
      <c r="O191" t="s">
        <v>532</v>
      </c>
    </row>
    <row r="192" spans="1:15" hidden="1" x14ac:dyDescent="0.25">
      <c r="A192" t="str">
        <f>VLOOKUP(B192,'[1]Report Detail KPB'!$A$2:$F$264,6,0)</f>
        <v>16451-251107_1714</v>
      </c>
      <c r="B192" t="s">
        <v>380</v>
      </c>
      <c r="C192" t="s">
        <v>29</v>
      </c>
      <c r="D192">
        <v>1751</v>
      </c>
      <c r="E192">
        <v>1751</v>
      </c>
      <c r="F192" s="2" t="str">
        <f t="shared" si="8"/>
        <v>OK</v>
      </c>
      <c r="G192" s="2">
        <v>45845</v>
      </c>
      <c r="H192" s="2">
        <v>45845</v>
      </c>
      <c r="I192" s="2" t="str">
        <f t="shared" si="9"/>
        <v>OK</v>
      </c>
      <c r="J192">
        <f t="shared" si="10"/>
        <v>0</v>
      </c>
      <c r="K192" s="2">
        <v>45954</v>
      </c>
      <c r="L192" s="2">
        <v>45954</v>
      </c>
      <c r="M192" s="2" t="str">
        <f t="shared" si="11"/>
        <v>OK</v>
      </c>
      <c r="N192" t="s">
        <v>381</v>
      </c>
      <c r="O192" t="s">
        <v>532</v>
      </c>
    </row>
    <row r="193" spans="1:15" hidden="1" x14ac:dyDescent="0.25">
      <c r="A193" t="str">
        <f>VLOOKUP(B193,'[1]Report Detail KPB'!$A$2:$F$264,6,0)</f>
        <v>16451-251029_0955</v>
      </c>
      <c r="B193" t="s">
        <v>382</v>
      </c>
      <c r="C193" t="s">
        <v>29</v>
      </c>
      <c r="D193">
        <v>1108</v>
      </c>
      <c r="E193">
        <v>1108</v>
      </c>
      <c r="F193" s="2" t="str">
        <f t="shared" si="8"/>
        <v>OK</v>
      </c>
      <c r="G193" s="2">
        <v>45852</v>
      </c>
      <c r="H193" s="2">
        <v>45852</v>
      </c>
      <c r="I193" s="2" t="str">
        <f t="shared" si="9"/>
        <v>OK</v>
      </c>
      <c r="J193">
        <f t="shared" si="10"/>
        <v>0</v>
      </c>
      <c r="K193" s="2">
        <v>45931</v>
      </c>
      <c r="L193" s="2">
        <v>45931</v>
      </c>
      <c r="M193" s="2" t="str">
        <f t="shared" si="11"/>
        <v>OK</v>
      </c>
      <c r="N193" t="s">
        <v>383</v>
      </c>
      <c r="O193" t="s">
        <v>532</v>
      </c>
    </row>
    <row r="194" spans="1:15" hidden="1" x14ac:dyDescent="0.25">
      <c r="A194" t="str">
        <f>VLOOKUP(B194,'[1]Report Detail KPB'!$A$2:$F$264,6,0)</f>
        <v>16451-251029_0955</v>
      </c>
      <c r="B194" t="s">
        <v>384</v>
      </c>
      <c r="C194" t="s">
        <v>17</v>
      </c>
      <c r="D194">
        <v>1326</v>
      </c>
      <c r="E194">
        <v>1326</v>
      </c>
      <c r="F194" s="2" t="str">
        <f t="shared" ref="F194:F257" si="12">IF(D194=E194,"OK","Not")</f>
        <v>OK</v>
      </c>
      <c r="G194" s="2">
        <v>45860</v>
      </c>
      <c r="H194" s="2">
        <v>45860</v>
      </c>
      <c r="I194" s="2" t="str">
        <f t="shared" ref="I194:I257" si="13">IF(G194=H194,"OK","Not")</f>
        <v>OK</v>
      </c>
      <c r="J194">
        <f t="shared" ref="J194:J257" si="14">H194-G194</f>
        <v>0</v>
      </c>
      <c r="K194" s="2">
        <v>45936</v>
      </c>
      <c r="L194" s="2">
        <v>45936</v>
      </c>
      <c r="M194" s="2" t="str">
        <f t="shared" ref="M194:M257" si="15">IF(K194=L194,"OK","Not")</f>
        <v>OK</v>
      </c>
      <c r="N194" t="s">
        <v>385</v>
      </c>
      <c r="O194" t="s">
        <v>532</v>
      </c>
    </row>
    <row r="195" spans="1:15" hidden="1" x14ac:dyDescent="0.25">
      <c r="A195" t="str">
        <f>VLOOKUP(B195,'[1]Report Detail KPB'!$A$2:$F$264,6,0)</f>
        <v>16451-251029_0955</v>
      </c>
      <c r="B195" t="s">
        <v>386</v>
      </c>
      <c r="C195" t="s">
        <v>8</v>
      </c>
      <c r="D195">
        <v>2296</v>
      </c>
      <c r="E195">
        <v>2296</v>
      </c>
      <c r="F195" s="2" t="str">
        <f t="shared" si="12"/>
        <v>OK</v>
      </c>
      <c r="G195" s="2">
        <v>45856</v>
      </c>
      <c r="H195" s="2">
        <v>45856</v>
      </c>
      <c r="I195" s="2" t="str">
        <f t="shared" si="13"/>
        <v>OK</v>
      </c>
      <c r="J195">
        <f t="shared" si="14"/>
        <v>0</v>
      </c>
      <c r="K195" s="2">
        <v>45939</v>
      </c>
      <c r="L195" s="2">
        <v>45939</v>
      </c>
      <c r="M195" s="2" t="str">
        <f t="shared" si="15"/>
        <v>OK</v>
      </c>
      <c r="N195" t="s">
        <v>387</v>
      </c>
      <c r="O195" t="s">
        <v>532</v>
      </c>
    </row>
    <row r="196" spans="1:15" hidden="1" x14ac:dyDescent="0.25">
      <c r="A196" t="str">
        <f>VLOOKUP(B196,'[1]Report Detail KPB'!$A$2:$F$264,6,0)</f>
        <v>16451-251029_0955</v>
      </c>
      <c r="B196" t="s">
        <v>388</v>
      </c>
      <c r="C196" t="s">
        <v>29</v>
      </c>
      <c r="D196">
        <v>1692</v>
      </c>
      <c r="E196">
        <v>1692</v>
      </c>
      <c r="F196" s="2" t="str">
        <f t="shared" si="12"/>
        <v>OK</v>
      </c>
      <c r="G196" s="2">
        <v>45856</v>
      </c>
      <c r="H196" s="2">
        <v>45856</v>
      </c>
      <c r="I196" s="2" t="str">
        <f t="shared" si="13"/>
        <v>OK</v>
      </c>
      <c r="J196">
        <f t="shared" si="14"/>
        <v>0</v>
      </c>
      <c r="K196" s="2">
        <v>45932</v>
      </c>
      <c r="L196" s="2">
        <v>45932</v>
      </c>
      <c r="M196" s="2" t="str">
        <f t="shared" si="15"/>
        <v>OK</v>
      </c>
      <c r="N196" t="s">
        <v>389</v>
      </c>
      <c r="O196" t="s">
        <v>532</v>
      </c>
    </row>
    <row r="197" spans="1:15" hidden="1" x14ac:dyDescent="0.25">
      <c r="A197" t="s">
        <v>530</v>
      </c>
      <c r="B197" t="s">
        <v>388</v>
      </c>
      <c r="C197" t="s">
        <v>17</v>
      </c>
      <c r="D197">
        <v>2461</v>
      </c>
      <c r="E197">
        <v>2461</v>
      </c>
      <c r="F197" s="2" t="str">
        <f t="shared" si="12"/>
        <v>OK</v>
      </c>
      <c r="G197" s="2">
        <v>45856</v>
      </c>
      <c r="H197" s="2">
        <v>45856</v>
      </c>
      <c r="I197" s="2" t="str">
        <f t="shared" si="13"/>
        <v>OK</v>
      </c>
      <c r="J197">
        <f t="shared" si="14"/>
        <v>0</v>
      </c>
      <c r="K197" s="2">
        <v>45943</v>
      </c>
      <c r="L197" s="2">
        <v>45943</v>
      </c>
      <c r="M197" s="2" t="str">
        <f t="shared" si="15"/>
        <v>OK</v>
      </c>
      <c r="N197" t="s">
        <v>390</v>
      </c>
      <c r="O197" t="s">
        <v>532</v>
      </c>
    </row>
    <row r="198" spans="1:15" hidden="1" x14ac:dyDescent="0.25">
      <c r="A198" t="str">
        <f>VLOOKUP(B198,'[1]Report Detail KPB'!$A$2:$F$264,6,0)</f>
        <v>16451-251107_1714</v>
      </c>
      <c r="B198" t="s">
        <v>391</v>
      </c>
      <c r="C198" t="s">
        <v>17</v>
      </c>
      <c r="D198">
        <v>1601</v>
      </c>
      <c r="E198">
        <v>1601</v>
      </c>
      <c r="F198" s="2" t="str">
        <f t="shared" si="12"/>
        <v>OK</v>
      </c>
      <c r="G198" s="2">
        <v>45861</v>
      </c>
      <c r="H198" s="2">
        <v>45862</v>
      </c>
      <c r="I198" s="2" t="str">
        <f t="shared" si="13"/>
        <v>Not</v>
      </c>
      <c r="J198">
        <f t="shared" si="14"/>
        <v>1</v>
      </c>
      <c r="K198" s="2">
        <v>45941</v>
      </c>
      <c r="L198" s="2">
        <v>45941</v>
      </c>
      <c r="M198" s="2" t="str">
        <f t="shared" si="15"/>
        <v>OK</v>
      </c>
      <c r="N198" t="s">
        <v>392</v>
      </c>
      <c r="O198" t="s">
        <v>532</v>
      </c>
    </row>
    <row r="199" spans="1:15" hidden="1" x14ac:dyDescent="0.25">
      <c r="A199" t="str">
        <f>VLOOKUP(B199,'[1]Report Detail KPB'!$A$2:$F$264,6,0)</f>
        <v>16451-251029_0955</v>
      </c>
      <c r="B199" t="s">
        <v>393</v>
      </c>
      <c r="C199" t="s">
        <v>17</v>
      </c>
      <c r="D199">
        <v>2407</v>
      </c>
      <c r="E199">
        <v>2407</v>
      </c>
      <c r="F199" s="2" t="str">
        <f t="shared" si="12"/>
        <v>OK</v>
      </c>
      <c r="G199" s="2">
        <v>45860</v>
      </c>
      <c r="H199" s="2">
        <v>45860</v>
      </c>
      <c r="I199" s="2" t="str">
        <f t="shared" si="13"/>
        <v>OK</v>
      </c>
      <c r="J199">
        <f t="shared" si="14"/>
        <v>0</v>
      </c>
      <c r="K199" s="2">
        <v>45934</v>
      </c>
      <c r="L199" s="2">
        <v>45934</v>
      </c>
      <c r="M199" s="2" t="str">
        <f t="shared" si="15"/>
        <v>OK</v>
      </c>
      <c r="N199" t="s">
        <v>394</v>
      </c>
      <c r="O199" t="s">
        <v>532</v>
      </c>
    </row>
    <row r="200" spans="1:15" hidden="1" x14ac:dyDescent="0.25">
      <c r="A200" t="s">
        <v>530</v>
      </c>
      <c r="B200" t="s">
        <v>393</v>
      </c>
      <c r="C200" t="s">
        <v>8</v>
      </c>
      <c r="D200">
        <v>3049</v>
      </c>
      <c r="E200">
        <v>3049</v>
      </c>
      <c r="F200" s="2" t="str">
        <f t="shared" si="12"/>
        <v>OK</v>
      </c>
      <c r="G200" s="2">
        <v>45860</v>
      </c>
      <c r="H200" s="2">
        <v>45860</v>
      </c>
      <c r="I200" s="2" t="str">
        <f t="shared" si="13"/>
        <v>OK</v>
      </c>
      <c r="J200">
        <f t="shared" si="14"/>
        <v>0</v>
      </c>
      <c r="K200" s="2">
        <v>45961</v>
      </c>
      <c r="L200" s="2">
        <v>45961</v>
      </c>
      <c r="M200" s="2" t="str">
        <f t="shared" si="15"/>
        <v>OK</v>
      </c>
      <c r="N200" t="s">
        <v>395</v>
      </c>
      <c r="O200" t="s">
        <v>532</v>
      </c>
    </row>
    <row r="201" spans="1:15" x14ac:dyDescent="0.25">
      <c r="A201" t="str">
        <f>VLOOKUP(B201,'[1]Report Detail KPB'!$A$2:$F$264,6,0)</f>
        <v>16451-251029_0955</v>
      </c>
      <c r="B201" s="6" t="s">
        <v>396</v>
      </c>
      <c r="C201" t="s">
        <v>36</v>
      </c>
      <c r="D201">
        <v>392</v>
      </c>
      <c r="E201">
        <v>392</v>
      </c>
      <c r="F201" s="2" t="str">
        <f t="shared" si="12"/>
        <v>OK</v>
      </c>
      <c r="G201" s="2">
        <v>45867</v>
      </c>
      <c r="H201" s="2">
        <v>45866</v>
      </c>
      <c r="I201" s="2" t="str">
        <f t="shared" si="13"/>
        <v>Not</v>
      </c>
      <c r="J201">
        <f t="shared" si="14"/>
        <v>-1</v>
      </c>
      <c r="K201" s="2">
        <v>45940</v>
      </c>
      <c r="L201" s="2">
        <v>45940</v>
      </c>
      <c r="M201" s="2" t="str">
        <f t="shared" si="15"/>
        <v>OK</v>
      </c>
      <c r="N201" t="s">
        <v>397</v>
      </c>
      <c r="O201" t="s">
        <v>535</v>
      </c>
    </row>
    <row r="202" spans="1:15" hidden="1" x14ac:dyDescent="0.25">
      <c r="A202" t="str">
        <f>VLOOKUP(B202,'[1]Report Detail KPB'!$A$2:$F$264,6,0)</f>
        <v>16451-251107_1714</v>
      </c>
      <c r="B202" t="s">
        <v>398</v>
      </c>
      <c r="C202" t="s">
        <v>29</v>
      </c>
      <c r="D202">
        <v>2891</v>
      </c>
      <c r="E202">
        <v>2891</v>
      </c>
      <c r="F202" s="2" t="str">
        <f t="shared" si="12"/>
        <v>OK</v>
      </c>
      <c r="G202" s="2">
        <v>45864</v>
      </c>
      <c r="H202" s="2">
        <v>45864</v>
      </c>
      <c r="I202" s="2" t="str">
        <f t="shared" si="13"/>
        <v>OK</v>
      </c>
      <c r="J202">
        <f t="shared" si="14"/>
        <v>0</v>
      </c>
      <c r="K202" s="2">
        <v>45945</v>
      </c>
      <c r="L202" s="2">
        <v>45945</v>
      </c>
      <c r="M202" s="2" t="str">
        <f t="shared" si="15"/>
        <v>OK</v>
      </c>
      <c r="N202" t="s">
        <v>399</v>
      </c>
      <c r="O202" t="s">
        <v>532</v>
      </c>
    </row>
    <row r="203" spans="1:15" hidden="1" x14ac:dyDescent="0.25">
      <c r="A203" t="str">
        <f>VLOOKUP(B203,'[1]Report Detail KPB'!$A$2:$F$264,6,0)</f>
        <v>16451-251107_1714</v>
      </c>
      <c r="B203" t="s">
        <v>400</v>
      </c>
      <c r="C203" t="s">
        <v>17</v>
      </c>
      <c r="D203">
        <v>668</v>
      </c>
      <c r="E203">
        <v>668</v>
      </c>
      <c r="F203" s="2" t="str">
        <f t="shared" si="12"/>
        <v>OK</v>
      </c>
      <c r="G203" s="2">
        <v>45869</v>
      </c>
      <c r="H203" s="2">
        <v>45869</v>
      </c>
      <c r="I203" s="2" t="str">
        <f t="shared" si="13"/>
        <v>OK</v>
      </c>
      <c r="J203">
        <f t="shared" si="14"/>
        <v>0</v>
      </c>
      <c r="K203" s="2">
        <v>45941</v>
      </c>
      <c r="L203" s="2">
        <v>45941</v>
      </c>
      <c r="M203" s="2" t="str">
        <f t="shared" si="15"/>
        <v>OK</v>
      </c>
      <c r="N203" t="s">
        <v>401</v>
      </c>
      <c r="O203" t="s">
        <v>532</v>
      </c>
    </row>
    <row r="204" spans="1:15" hidden="1" x14ac:dyDescent="0.25">
      <c r="A204" t="str">
        <f>VLOOKUP(B204,'[1]Report Detail KPB'!$A$2:$F$264,6,0)</f>
        <v>16451-251029_0955</v>
      </c>
      <c r="B204" t="s">
        <v>402</v>
      </c>
      <c r="C204" t="s">
        <v>29</v>
      </c>
      <c r="D204">
        <v>1232</v>
      </c>
      <c r="E204">
        <v>1232</v>
      </c>
      <c r="F204" s="2" t="str">
        <f t="shared" si="12"/>
        <v>OK</v>
      </c>
      <c r="G204" s="2">
        <v>45873</v>
      </c>
      <c r="H204" s="2">
        <v>45873</v>
      </c>
      <c r="I204" s="2" t="str">
        <f t="shared" si="13"/>
        <v>OK</v>
      </c>
      <c r="J204">
        <f t="shared" si="14"/>
        <v>0</v>
      </c>
      <c r="K204" s="2">
        <v>45932</v>
      </c>
      <c r="L204" s="2">
        <v>45932</v>
      </c>
      <c r="M204" s="2" t="str">
        <f t="shared" si="15"/>
        <v>OK</v>
      </c>
      <c r="N204" t="s">
        <v>403</v>
      </c>
      <c r="O204" t="s">
        <v>532</v>
      </c>
    </row>
    <row r="205" spans="1:15" hidden="1" x14ac:dyDescent="0.25">
      <c r="A205" t="s">
        <v>530</v>
      </c>
      <c r="B205" t="s">
        <v>402</v>
      </c>
      <c r="C205" t="s">
        <v>17</v>
      </c>
      <c r="D205">
        <v>2181</v>
      </c>
      <c r="E205">
        <v>2181</v>
      </c>
      <c r="F205" s="2" t="str">
        <f t="shared" si="12"/>
        <v>OK</v>
      </c>
      <c r="G205" s="2">
        <v>45873</v>
      </c>
      <c r="H205" s="2">
        <v>45873</v>
      </c>
      <c r="I205" s="2" t="str">
        <f t="shared" si="13"/>
        <v>OK</v>
      </c>
      <c r="J205">
        <f t="shared" si="14"/>
        <v>0</v>
      </c>
      <c r="K205" s="2">
        <v>45956</v>
      </c>
      <c r="L205" s="2">
        <v>45956</v>
      </c>
      <c r="M205" s="2" t="str">
        <f t="shared" si="15"/>
        <v>OK</v>
      </c>
      <c r="N205" t="s">
        <v>404</v>
      </c>
      <c r="O205" t="s">
        <v>532</v>
      </c>
    </row>
    <row r="206" spans="1:15" hidden="1" x14ac:dyDescent="0.25">
      <c r="A206" t="str">
        <f>VLOOKUP(B206,'[1]Report Detail KPB'!$A$2:$F$264,6,0)</f>
        <v>16451-251107_1714</v>
      </c>
      <c r="B206" t="s">
        <v>405</v>
      </c>
      <c r="C206" t="s">
        <v>29</v>
      </c>
      <c r="D206">
        <v>1776</v>
      </c>
      <c r="E206">
        <v>1776</v>
      </c>
      <c r="F206" s="2" t="str">
        <f t="shared" si="12"/>
        <v>OK</v>
      </c>
      <c r="G206" s="2">
        <v>45876</v>
      </c>
      <c r="H206" s="2">
        <v>45875</v>
      </c>
      <c r="I206" s="2" t="str">
        <f t="shared" si="13"/>
        <v>Not</v>
      </c>
      <c r="J206">
        <f t="shared" si="14"/>
        <v>-1</v>
      </c>
      <c r="K206" s="2">
        <v>45953</v>
      </c>
      <c r="L206" s="2">
        <v>45953</v>
      </c>
      <c r="M206" s="2" t="str">
        <f t="shared" si="15"/>
        <v>OK</v>
      </c>
      <c r="N206" t="s">
        <v>406</v>
      </c>
      <c r="O206" t="s">
        <v>532</v>
      </c>
    </row>
    <row r="207" spans="1:15" hidden="1" x14ac:dyDescent="0.25">
      <c r="A207" t="str">
        <f>VLOOKUP(B207,'[1]Report Detail KPB'!$A$2:$F$264,6,0)</f>
        <v>16451-251107_1714</v>
      </c>
      <c r="B207" t="s">
        <v>407</v>
      </c>
      <c r="C207" t="s">
        <v>29</v>
      </c>
      <c r="D207">
        <v>550</v>
      </c>
      <c r="E207">
        <v>550</v>
      </c>
      <c r="F207" s="2" t="str">
        <f t="shared" si="12"/>
        <v>OK</v>
      </c>
      <c r="G207" s="2">
        <v>45884</v>
      </c>
      <c r="H207" s="2">
        <v>45883</v>
      </c>
      <c r="I207" s="2" t="str">
        <f t="shared" si="13"/>
        <v>Not</v>
      </c>
      <c r="J207">
        <f t="shared" si="14"/>
        <v>-1</v>
      </c>
      <c r="K207" s="2">
        <v>45941</v>
      </c>
      <c r="L207" s="2">
        <v>45941</v>
      </c>
      <c r="M207" s="2" t="str">
        <f t="shared" si="15"/>
        <v>OK</v>
      </c>
      <c r="N207" t="s">
        <v>408</v>
      </c>
      <c r="O207" t="s">
        <v>532</v>
      </c>
    </row>
    <row r="208" spans="1:15" hidden="1" x14ac:dyDescent="0.25">
      <c r="A208" t="str">
        <f>VLOOKUP(B208,'[1]Report Detail KPB'!$A$2:$F$264,6,0)</f>
        <v>16451-251107_1714</v>
      </c>
      <c r="B208" t="s">
        <v>409</v>
      </c>
      <c r="C208" t="s">
        <v>29</v>
      </c>
      <c r="D208">
        <v>1054</v>
      </c>
      <c r="E208">
        <v>1054</v>
      </c>
      <c r="F208" s="2" t="str">
        <f t="shared" si="12"/>
        <v>OK</v>
      </c>
      <c r="G208" s="2">
        <v>45883</v>
      </c>
      <c r="H208" s="2">
        <v>45883</v>
      </c>
      <c r="I208" s="2" t="str">
        <f t="shared" si="13"/>
        <v>OK</v>
      </c>
      <c r="J208">
        <f t="shared" si="14"/>
        <v>0</v>
      </c>
      <c r="K208" s="2">
        <v>45941</v>
      </c>
      <c r="L208" s="2">
        <v>45941</v>
      </c>
      <c r="M208" s="2" t="str">
        <f t="shared" si="15"/>
        <v>OK</v>
      </c>
      <c r="N208" t="s">
        <v>410</v>
      </c>
      <c r="O208" t="s">
        <v>532</v>
      </c>
    </row>
    <row r="209" spans="1:15" hidden="1" x14ac:dyDescent="0.25">
      <c r="A209" t="str">
        <f>VLOOKUP(B209,'[1]Report Detail KPB'!$A$2:$F$264,6,0)</f>
        <v>16451-251107_1714</v>
      </c>
      <c r="B209" t="s">
        <v>411</v>
      </c>
      <c r="C209" t="s">
        <v>29</v>
      </c>
      <c r="D209">
        <v>1605</v>
      </c>
      <c r="E209">
        <v>1605</v>
      </c>
      <c r="F209" s="2" t="str">
        <f t="shared" si="12"/>
        <v>OK</v>
      </c>
      <c r="G209" s="2">
        <v>45889</v>
      </c>
      <c r="H209" s="2">
        <v>45889</v>
      </c>
      <c r="I209" s="2" t="str">
        <f t="shared" si="13"/>
        <v>OK</v>
      </c>
      <c r="J209">
        <f t="shared" si="14"/>
        <v>0</v>
      </c>
      <c r="K209" s="2">
        <v>45941</v>
      </c>
      <c r="L209" s="2">
        <v>45941</v>
      </c>
      <c r="M209" s="2" t="str">
        <f t="shared" si="15"/>
        <v>OK</v>
      </c>
      <c r="N209" t="s">
        <v>412</v>
      </c>
      <c r="O209" t="s">
        <v>532</v>
      </c>
    </row>
    <row r="210" spans="1:15" hidden="1" x14ac:dyDescent="0.25">
      <c r="A210" t="str">
        <f>VLOOKUP(B210,'[1]Report Detail KPB'!$A$2:$F$264,6,0)</f>
        <v>16451-251029_0955</v>
      </c>
      <c r="B210" t="s">
        <v>413</v>
      </c>
      <c r="C210" t="s">
        <v>29</v>
      </c>
      <c r="D210">
        <v>1132</v>
      </c>
      <c r="E210">
        <v>1132</v>
      </c>
      <c r="F210" s="2" t="str">
        <f t="shared" si="12"/>
        <v>OK</v>
      </c>
      <c r="G210" s="2">
        <v>45887</v>
      </c>
      <c r="H210" s="2">
        <v>45887</v>
      </c>
      <c r="I210" s="2" t="str">
        <f t="shared" si="13"/>
        <v>OK</v>
      </c>
      <c r="J210">
        <f t="shared" si="14"/>
        <v>0</v>
      </c>
      <c r="K210" s="2">
        <v>45936</v>
      </c>
      <c r="L210" s="2">
        <v>45936</v>
      </c>
      <c r="M210" s="2" t="str">
        <f t="shared" si="15"/>
        <v>OK</v>
      </c>
      <c r="N210" t="s">
        <v>414</v>
      </c>
      <c r="O210" t="s">
        <v>532</v>
      </c>
    </row>
    <row r="211" spans="1:15" hidden="1" x14ac:dyDescent="0.25">
      <c r="A211" t="str">
        <f>VLOOKUP(B211,'[1]Report Detail KPB'!$A$2:$F$264,6,0)</f>
        <v>16451-251107_1714</v>
      </c>
      <c r="B211" t="s">
        <v>415</v>
      </c>
      <c r="C211" t="s">
        <v>29</v>
      </c>
      <c r="D211">
        <v>283</v>
      </c>
      <c r="E211">
        <v>283</v>
      </c>
      <c r="F211" s="2" t="str">
        <f t="shared" si="12"/>
        <v>OK</v>
      </c>
      <c r="G211" s="2">
        <v>45887</v>
      </c>
      <c r="H211" s="2">
        <v>45887</v>
      </c>
      <c r="I211" s="2" t="str">
        <f t="shared" si="13"/>
        <v>OK</v>
      </c>
      <c r="J211">
        <f t="shared" si="14"/>
        <v>0</v>
      </c>
      <c r="K211" s="2">
        <v>45946</v>
      </c>
      <c r="L211" s="2">
        <v>45946</v>
      </c>
      <c r="M211" s="2" t="str">
        <f t="shared" si="15"/>
        <v>OK</v>
      </c>
      <c r="N211" t="s">
        <v>416</v>
      </c>
      <c r="O211" t="s">
        <v>532</v>
      </c>
    </row>
    <row r="212" spans="1:15" hidden="1" x14ac:dyDescent="0.25">
      <c r="A212" t="str">
        <f>VLOOKUP(B212,'[1]Report Detail KPB'!$A$2:$F$264,6,0)</f>
        <v>16451-251029_0955</v>
      </c>
      <c r="B212" t="s">
        <v>417</v>
      </c>
      <c r="C212" t="s">
        <v>36</v>
      </c>
      <c r="D212">
        <v>953</v>
      </c>
      <c r="E212">
        <v>953</v>
      </c>
      <c r="F212" s="2" t="str">
        <f t="shared" si="12"/>
        <v>OK</v>
      </c>
      <c r="G212" s="2">
        <v>45897</v>
      </c>
      <c r="H212" s="2">
        <v>45897</v>
      </c>
      <c r="I212" s="2" t="str">
        <f t="shared" si="13"/>
        <v>OK</v>
      </c>
      <c r="J212">
        <f t="shared" si="14"/>
        <v>0</v>
      </c>
      <c r="K212" s="2">
        <v>45938</v>
      </c>
      <c r="L212" s="2">
        <v>45938</v>
      </c>
      <c r="M212" s="2" t="str">
        <f t="shared" si="15"/>
        <v>OK</v>
      </c>
      <c r="N212" t="s">
        <v>418</v>
      </c>
      <c r="O212" t="s">
        <v>532</v>
      </c>
    </row>
    <row r="213" spans="1:15" hidden="1" x14ac:dyDescent="0.25">
      <c r="A213" t="s">
        <v>530</v>
      </c>
      <c r="B213" t="s">
        <v>417</v>
      </c>
      <c r="C213" t="s">
        <v>29</v>
      </c>
      <c r="D213">
        <v>1467</v>
      </c>
      <c r="E213">
        <v>1467</v>
      </c>
      <c r="F213" s="2" t="str">
        <f t="shared" si="12"/>
        <v>OK</v>
      </c>
      <c r="G213" s="2">
        <v>45897</v>
      </c>
      <c r="H213" s="2">
        <v>45897</v>
      </c>
      <c r="I213" s="2" t="str">
        <f t="shared" si="13"/>
        <v>OK</v>
      </c>
      <c r="J213">
        <f t="shared" si="14"/>
        <v>0</v>
      </c>
      <c r="K213" s="2">
        <v>45955</v>
      </c>
      <c r="L213" s="2">
        <v>45955</v>
      </c>
      <c r="M213" s="2" t="str">
        <f t="shared" si="15"/>
        <v>OK</v>
      </c>
      <c r="N213" t="s">
        <v>419</v>
      </c>
      <c r="O213" t="s">
        <v>532</v>
      </c>
    </row>
    <row r="214" spans="1:15" hidden="1" x14ac:dyDescent="0.25">
      <c r="A214" t="str">
        <f>VLOOKUP(B214,'[1]Report Detail KPB'!$A$2:$F$264,6,0)</f>
        <v>16451-251029_0955</v>
      </c>
      <c r="B214" t="s">
        <v>420</v>
      </c>
      <c r="C214" t="s">
        <v>29</v>
      </c>
      <c r="D214">
        <v>482</v>
      </c>
      <c r="E214">
        <v>482</v>
      </c>
      <c r="F214" s="2" t="str">
        <f t="shared" si="12"/>
        <v>OK</v>
      </c>
      <c r="G214" s="2">
        <v>45896</v>
      </c>
      <c r="H214" s="2">
        <v>45896</v>
      </c>
      <c r="I214" s="2" t="str">
        <f t="shared" si="13"/>
        <v>OK</v>
      </c>
      <c r="J214">
        <f t="shared" si="14"/>
        <v>0</v>
      </c>
      <c r="K214" s="2">
        <v>45938</v>
      </c>
      <c r="L214" s="2">
        <v>45938</v>
      </c>
      <c r="M214" s="2" t="str">
        <f t="shared" si="15"/>
        <v>OK</v>
      </c>
      <c r="N214" t="s">
        <v>421</v>
      </c>
      <c r="O214" t="s">
        <v>532</v>
      </c>
    </row>
    <row r="215" spans="1:15" hidden="1" x14ac:dyDescent="0.25">
      <c r="A215" t="str">
        <f>VLOOKUP(B215,'[1]Report Detail KPB'!$A$2:$F$264,6,0)</f>
        <v>16451-251029_0955</v>
      </c>
      <c r="B215" t="s">
        <v>422</v>
      </c>
      <c r="C215" t="s">
        <v>17</v>
      </c>
      <c r="D215">
        <v>2662</v>
      </c>
      <c r="E215">
        <v>2662</v>
      </c>
      <c r="F215" s="2" t="str">
        <f t="shared" si="12"/>
        <v>OK</v>
      </c>
      <c r="G215" s="2">
        <v>45891</v>
      </c>
      <c r="H215" s="2">
        <v>45891</v>
      </c>
      <c r="I215" s="2" t="str">
        <f t="shared" si="13"/>
        <v>OK</v>
      </c>
      <c r="J215">
        <f t="shared" si="14"/>
        <v>0</v>
      </c>
      <c r="K215" s="2">
        <v>45937</v>
      </c>
      <c r="L215" s="2">
        <v>45937</v>
      </c>
      <c r="M215" s="2" t="str">
        <f t="shared" si="15"/>
        <v>OK</v>
      </c>
      <c r="N215" t="s">
        <v>423</v>
      </c>
      <c r="O215" t="s">
        <v>532</v>
      </c>
    </row>
    <row r="216" spans="1:15" hidden="1" x14ac:dyDescent="0.25">
      <c r="A216" t="str">
        <f>VLOOKUP(B216,'[1]Report Detail KPB'!$A$2:$F$264,6,0)</f>
        <v>16451-251107_1714</v>
      </c>
      <c r="B216" t="s">
        <v>424</v>
      </c>
      <c r="C216" t="s">
        <v>36</v>
      </c>
      <c r="D216">
        <v>504</v>
      </c>
      <c r="E216">
        <v>504</v>
      </c>
      <c r="F216" s="2" t="str">
        <f t="shared" si="12"/>
        <v>OK</v>
      </c>
      <c r="G216" s="2">
        <v>45908</v>
      </c>
      <c r="H216" s="2">
        <v>45908</v>
      </c>
      <c r="I216" s="2" t="str">
        <f t="shared" si="13"/>
        <v>OK</v>
      </c>
      <c r="J216">
        <f t="shared" si="14"/>
        <v>0</v>
      </c>
      <c r="K216" s="2">
        <v>45945</v>
      </c>
      <c r="L216" s="2">
        <v>45945</v>
      </c>
      <c r="M216" s="2" t="str">
        <f t="shared" si="15"/>
        <v>OK</v>
      </c>
      <c r="N216" t="s">
        <v>425</v>
      </c>
      <c r="O216" t="s">
        <v>532</v>
      </c>
    </row>
    <row r="217" spans="1:15" hidden="1" x14ac:dyDescent="0.25">
      <c r="A217" t="str">
        <f>VLOOKUP(B217,'[1]Report Detail KPB'!$A$2:$F$264,6,0)</f>
        <v>16451-251029_0955</v>
      </c>
      <c r="B217" t="s">
        <v>426</v>
      </c>
      <c r="C217" t="s">
        <v>36</v>
      </c>
      <c r="D217">
        <v>679</v>
      </c>
      <c r="E217">
        <v>679</v>
      </c>
      <c r="F217" s="2" t="str">
        <f t="shared" si="12"/>
        <v>OK</v>
      </c>
      <c r="G217" s="2">
        <v>45901</v>
      </c>
      <c r="H217" s="2">
        <v>45901</v>
      </c>
      <c r="I217" s="2" t="str">
        <f t="shared" si="13"/>
        <v>OK</v>
      </c>
      <c r="J217">
        <f t="shared" si="14"/>
        <v>0</v>
      </c>
      <c r="K217" s="2">
        <v>45938</v>
      </c>
      <c r="L217" s="2">
        <v>45938</v>
      </c>
      <c r="M217" s="2" t="str">
        <f t="shared" si="15"/>
        <v>OK</v>
      </c>
      <c r="N217" t="s">
        <v>427</v>
      </c>
      <c r="O217" t="s">
        <v>532</v>
      </c>
    </row>
    <row r="218" spans="1:15" hidden="1" x14ac:dyDescent="0.25">
      <c r="A218" t="str">
        <f>VLOOKUP(B218,'[1]Report Detail KPB'!$A$2:$F$264,6,0)</f>
        <v>16451-251107_1714</v>
      </c>
      <c r="B218" t="s">
        <v>428</v>
      </c>
      <c r="C218" t="s">
        <v>29</v>
      </c>
      <c r="D218">
        <v>1942</v>
      </c>
      <c r="E218">
        <v>1942</v>
      </c>
      <c r="F218" s="2" t="str">
        <f t="shared" si="12"/>
        <v>OK</v>
      </c>
      <c r="G218" s="2">
        <v>45898</v>
      </c>
      <c r="H218" s="2">
        <v>45898</v>
      </c>
      <c r="I218" s="2" t="str">
        <f t="shared" si="13"/>
        <v>OK</v>
      </c>
      <c r="J218">
        <f t="shared" si="14"/>
        <v>0</v>
      </c>
      <c r="K218" s="2">
        <v>45955</v>
      </c>
      <c r="L218" s="2">
        <v>45955</v>
      </c>
      <c r="M218" s="2" t="str">
        <f t="shared" si="15"/>
        <v>OK</v>
      </c>
      <c r="N218" t="s">
        <v>429</v>
      </c>
      <c r="O218" t="s">
        <v>532</v>
      </c>
    </row>
    <row r="219" spans="1:15" hidden="1" x14ac:dyDescent="0.25">
      <c r="A219" t="str">
        <f>VLOOKUP(B219,'[1]Report Detail KPB'!$A$2:$F$264,6,0)</f>
        <v>16451-251029_0955</v>
      </c>
      <c r="B219" t="s">
        <v>430</v>
      </c>
      <c r="C219" t="s">
        <v>36</v>
      </c>
      <c r="D219">
        <v>381</v>
      </c>
      <c r="E219">
        <v>381</v>
      </c>
      <c r="F219" s="2" t="str">
        <f t="shared" si="12"/>
        <v>OK</v>
      </c>
      <c r="G219" s="2">
        <v>45911</v>
      </c>
      <c r="H219" s="2">
        <v>45911</v>
      </c>
      <c r="I219" s="2" t="str">
        <f t="shared" si="13"/>
        <v>OK</v>
      </c>
      <c r="J219">
        <f t="shared" si="14"/>
        <v>0</v>
      </c>
      <c r="K219" s="2">
        <v>45940</v>
      </c>
      <c r="L219" s="2">
        <v>45940</v>
      </c>
      <c r="M219" s="2" t="str">
        <f t="shared" si="15"/>
        <v>OK</v>
      </c>
      <c r="N219" t="s">
        <v>431</v>
      </c>
      <c r="O219" t="s">
        <v>532</v>
      </c>
    </row>
    <row r="220" spans="1:15" hidden="1" x14ac:dyDescent="0.25">
      <c r="A220" t="str">
        <f>VLOOKUP(B220,'[1]Report Detail KPB'!$A$2:$F$264,6,0)</f>
        <v>16451-251029_0955</v>
      </c>
      <c r="B220" t="s">
        <v>432</v>
      </c>
      <c r="C220" t="s">
        <v>36</v>
      </c>
      <c r="D220">
        <v>908</v>
      </c>
      <c r="E220">
        <v>908</v>
      </c>
      <c r="F220" s="2" t="str">
        <f t="shared" si="12"/>
        <v>OK</v>
      </c>
      <c r="G220" s="2">
        <v>45906</v>
      </c>
      <c r="H220" s="2">
        <v>45908</v>
      </c>
      <c r="I220" s="2" t="str">
        <f t="shared" si="13"/>
        <v>Not</v>
      </c>
      <c r="J220">
        <f t="shared" si="14"/>
        <v>2</v>
      </c>
      <c r="K220" s="2">
        <v>45940</v>
      </c>
      <c r="L220" s="2">
        <v>45940</v>
      </c>
      <c r="M220" s="2" t="str">
        <f t="shared" si="15"/>
        <v>OK</v>
      </c>
      <c r="N220" t="s">
        <v>433</v>
      </c>
      <c r="O220" t="s">
        <v>532</v>
      </c>
    </row>
    <row r="221" spans="1:15" hidden="1" x14ac:dyDescent="0.25">
      <c r="A221" t="str">
        <f>VLOOKUP(B221,'[1]Report Detail KPB'!$A$2:$F$264,6,0)</f>
        <v>16451-251107_1714</v>
      </c>
      <c r="B221" t="s">
        <v>434</v>
      </c>
      <c r="C221" t="s">
        <v>29</v>
      </c>
      <c r="D221">
        <v>1551</v>
      </c>
      <c r="E221">
        <v>1551</v>
      </c>
      <c r="F221" s="2" t="str">
        <f t="shared" si="12"/>
        <v>OK</v>
      </c>
      <c r="G221" s="2">
        <v>45916</v>
      </c>
      <c r="H221" s="2">
        <v>45916</v>
      </c>
      <c r="I221" s="2" t="str">
        <f t="shared" si="13"/>
        <v>OK</v>
      </c>
      <c r="J221">
        <f t="shared" si="14"/>
        <v>0</v>
      </c>
      <c r="K221" s="2">
        <v>45960</v>
      </c>
      <c r="L221" s="2">
        <v>45960</v>
      </c>
      <c r="M221" s="2" t="str">
        <f t="shared" si="15"/>
        <v>OK</v>
      </c>
      <c r="N221" t="s">
        <v>435</v>
      </c>
      <c r="O221" t="s">
        <v>532</v>
      </c>
    </row>
    <row r="222" spans="1:15" hidden="1" x14ac:dyDescent="0.25">
      <c r="A222" t="str">
        <f>VLOOKUP(B222,'[1]Report Detail KPB'!$A$2:$F$264,6,0)</f>
        <v>16451-251107_1714</v>
      </c>
      <c r="B222" t="s">
        <v>436</v>
      </c>
      <c r="C222" t="s">
        <v>36</v>
      </c>
      <c r="D222">
        <v>313</v>
      </c>
      <c r="E222">
        <v>313</v>
      </c>
      <c r="F222" s="2" t="str">
        <f t="shared" si="12"/>
        <v>OK</v>
      </c>
      <c r="G222" s="2">
        <v>45919</v>
      </c>
      <c r="H222" s="2">
        <v>45919</v>
      </c>
      <c r="I222" s="2" t="str">
        <f t="shared" si="13"/>
        <v>OK</v>
      </c>
      <c r="J222">
        <f t="shared" si="14"/>
        <v>0</v>
      </c>
      <c r="K222" s="2">
        <v>45954</v>
      </c>
      <c r="L222" s="2">
        <v>45954</v>
      </c>
      <c r="M222" s="2" t="str">
        <f t="shared" si="15"/>
        <v>OK</v>
      </c>
      <c r="N222" t="s">
        <v>437</v>
      </c>
      <c r="O222" t="s">
        <v>532</v>
      </c>
    </row>
    <row r="223" spans="1:15" hidden="1" x14ac:dyDescent="0.25">
      <c r="A223" t="str">
        <f>VLOOKUP(B223,'[1]Report Detail KPB'!$A$2:$F$264,6,0)</f>
        <v>16451-251107_1714</v>
      </c>
      <c r="B223" t="s">
        <v>438</v>
      </c>
      <c r="C223" t="s">
        <v>36</v>
      </c>
      <c r="D223">
        <v>339</v>
      </c>
      <c r="E223">
        <v>339</v>
      </c>
      <c r="F223" s="2" t="str">
        <f t="shared" si="12"/>
        <v>OK</v>
      </c>
      <c r="G223" s="2">
        <v>45915</v>
      </c>
      <c r="H223" s="2">
        <v>45915</v>
      </c>
      <c r="I223" s="2" t="str">
        <f t="shared" si="13"/>
        <v>OK</v>
      </c>
      <c r="J223">
        <f t="shared" si="14"/>
        <v>0</v>
      </c>
      <c r="K223" s="2">
        <v>45959</v>
      </c>
      <c r="L223" s="2">
        <v>45959</v>
      </c>
      <c r="M223" s="2" t="str">
        <f t="shared" si="15"/>
        <v>OK</v>
      </c>
      <c r="N223" t="s">
        <v>439</v>
      </c>
      <c r="O223" t="s">
        <v>532</v>
      </c>
    </row>
    <row r="224" spans="1:15" x14ac:dyDescent="0.25">
      <c r="A224" t="str">
        <f>VLOOKUP(B224,'[1]Report Detail KPB'!$A$2:$F$264,6,0)</f>
        <v>16451-251107_1714</v>
      </c>
      <c r="B224" s="6" t="s">
        <v>440</v>
      </c>
      <c r="C224" t="s">
        <v>36</v>
      </c>
      <c r="D224">
        <v>515</v>
      </c>
      <c r="E224">
        <v>515</v>
      </c>
      <c r="F224" s="2" t="str">
        <f t="shared" si="12"/>
        <v>OK</v>
      </c>
      <c r="G224" s="2">
        <v>45922</v>
      </c>
      <c r="H224" s="2">
        <v>45921</v>
      </c>
      <c r="I224" s="2" t="str">
        <f t="shared" si="13"/>
        <v>Not</v>
      </c>
      <c r="J224">
        <f t="shared" si="14"/>
        <v>-1</v>
      </c>
      <c r="K224" s="2">
        <v>45954</v>
      </c>
      <c r="L224" s="2">
        <v>45954</v>
      </c>
      <c r="M224" s="2" t="str">
        <f t="shared" si="15"/>
        <v>OK</v>
      </c>
      <c r="N224" t="s">
        <v>441</v>
      </c>
      <c r="O224" t="s">
        <v>535</v>
      </c>
    </row>
    <row r="225" spans="1:15" hidden="1" x14ac:dyDescent="0.25">
      <c r="A225" t="str">
        <f>VLOOKUP(B225,'[1]Report Detail KPB'!$A$2:$F$264,6,0)</f>
        <v>16451-251107_1714</v>
      </c>
      <c r="B225" t="s">
        <v>442</v>
      </c>
      <c r="C225" t="s">
        <v>36</v>
      </c>
      <c r="D225">
        <v>759</v>
      </c>
      <c r="E225">
        <v>759</v>
      </c>
      <c r="F225" s="2" t="str">
        <f t="shared" si="12"/>
        <v>OK</v>
      </c>
      <c r="G225" s="2">
        <v>45922</v>
      </c>
      <c r="H225" s="2">
        <v>45922</v>
      </c>
      <c r="I225" s="2" t="str">
        <f t="shared" si="13"/>
        <v>OK</v>
      </c>
      <c r="J225">
        <f t="shared" si="14"/>
        <v>0</v>
      </c>
      <c r="K225" s="2">
        <v>45948</v>
      </c>
      <c r="L225" s="2">
        <v>45948</v>
      </c>
      <c r="M225" s="2" t="str">
        <f t="shared" si="15"/>
        <v>OK</v>
      </c>
      <c r="N225" t="s">
        <v>443</v>
      </c>
      <c r="O225" t="s">
        <v>532</v>
      </c>
    </row>
    <row r="226" spans="1:15" hidden="1" x14ac:dyDescent="0.25">
      <c r="A226" t="str">
        <f>VLOOKUP(B226,'[1]Report Detail KPB'!$A$2:$F$264,6,0)</f>
        <v>16451-251107_1714</v>
      </c>
      <c r="B226" t="s">
        <v>444</v>
      </c>
      <c r="C226" t="s">
        <v>36</v>
      </c>
      <c r="D226">
        <v>518</v>
      </c>
      <c r="E226">
        <v>518</v>
      </c>
      <c r="F226" s="2" t="str">
        <f t="shared" si="12"/>
        <v>OK</v>
      </c>
      <c r="G226" s="2">
        <v>45937</v>
      </c>
      <c r="H226" s="2">
        <v>45937</v>
      </c>
      <c r="I226" s="2" t="str">
        <f t="shared" si="13"/>
        <v>OK</v>
      </c>
      <c r="J226">
        <f t="shared" si="14"/>
        <v>0</v>
      </c>
      <c r="K226" s="2">
        <v>45944</v>
      </c>
      <c r="L226" s="2">
        <v>45944</v>
      </c>
      <c r="M226" s="2" t="str">
        <f t="shared" si="15"/>
        <v>OK</v>
      </c>
      <c r="N226" t="s">
        <v>445</v>
      </c>
      <c r="O226" t="s">
        <v>532</v>
      </c>
    </row>
    <row r="227" spans="1:15" hidden="1" x14ac:dyDescent="0.25">
      <c r="A227" t="str">
        <f>VLOOKUP(B227,'[1]Report Detail KPB'!$A$2:$F$264,6,0)</f>
        <v>16451-251029_0955</v>
      </c>
      <c r="B227" t="s">
        <v>446</v>
      </c>
      <c r="C227" t="s">
        <v>36</v>
      </c>
      <c r="D227">
        <v>12</v>
      </c>
      <c r="E227">
        <v>12</v>
      </c>
      <c r="F227" s="2" t="str">
        <f t="shared" si="12"/>
        <v>OK</v>
      </c>
      <c r="G227" s="2">
        <v>45926</v>
      </c>
      <c r="H227" s="2">
        <v>45926</v>
      </c>
      <c r="I227" s="2" t="str">
        <f t="shared" si="13"/>
        <v>OK</v>
      </c>
      <c r="J227">
        <f t="shared" si="14"/>
        <v>0</v>
      </c>
      <c r="K227" s="2">
        <v>45932</v>
      </c>
      <c r="L227" s="2">
        <v>45932</v>
      </c>
      <c r="M227" s="2" t="str">
        <f t="shared" si="15"/>
        <v>OK</v>
      </c>
      <c r="N227" t="s">
        <v>447</v>
      </c>
      <c r="O227" t="s">
        <v>532</v>
      </c>
    </row>
    <row r="228" spans="1:15" hidden="1" x14ac:dyDescent="0.25">
      <c r="A228" t="str">
        <f>VLOOKUP(B228,'[1]Report Detail KPB'!$A$2:$F$264,6,0)</f>
        <v>16451-251107_1714</v>
      </c>
      <c r="B228" t="s">
        <v>448</v>
      </c>
      <c r="C228" t="s">
        <v>36</v>
      </c>
      <c r="D228">
        <v>170</v>
      </c>
      <c r="E228">
        <v>170</v>
      </c>
      <c r="F228" s="2" t="str">
        <f t="shared" si="12"/>
        <v>OK</v>
      </c>
      <c r="G228" s="2">
        <v>45938</v>
      </c>
      <c r="H228" s="2">
        <v>45938</v>
      </c>
      <c r="I228" s="2" t="str">
        <f t="shared" si="13"/>
        <v>OK</v>
      </c>
      <c r="J228">
        <f t="shared" si="14"/>
        <v>0</v>
      </c>
      <c r="K228" s="2">
        <v>45946</v>
      </c>
      <c r="L228" s="2">
        <v>45946</v>
      </c>
      <c r="M228" s="2" t="str">
        <f t="shared" si="15"/>
        <v>OK</v>
      </c>
      <c r="N228" t="s">
        <v>449</v>
      </c>
      <c r="O228" t="s">
        <v>532</v>
      </c>
    </row>
    <row r="229" spans="1:15" hidden="1" x14ac:dyDescent="0.25">
      <c r="A229" t="str">
        <f>VLOOKUP(B229,'[1]Report Detail KPB'!$A$2:$F$264,6,0)</f>
        <v>16451-251029_0955</v>
      </c>
      <c r="B229" t="s">
        <v>450</v>
      </c>
      <c r="C229" t="s">
        <v>17</v>
      </c>
      <c r="D229">
        <v>4707</v>
      </c>
      <c r="E229">
        <v>4707</v>
      </c>
      <c r="F229" s="2" t="str">
        <f t="shared" si="12"/>
        <v>OK</v>
      </c>
      <c r="G229" s="2">
        <v>45801</v>
      </c>
      <c r="H229" s="2">
        <v>45803</v>
      </c>
      <c r="I229" s="2" t="str">
        <f t="shared" si="13"/>
        <v>Not</v>
      </c>
      <c r="J229">
        <f t="shared" si="14"/>
        <v>2</v>
      </c>
      <c r="K229" s="2">
        <v>45932</v>
      </c>
      <c r="L229" s="2">
        <v>45932</v>
      </c>
      <c r="M229" s="2" t="str">
        <f t="shared" si="15"/>
        <v>OK</v>
      </c>
      <c r="N229" t="s">
        <v>451</v>
      </c>
      <c r="O229" t="s">
        <v>532</v>
      </c>
    </row>
    <row r="230" spans="1:15" hidden="1" x14ac:dyDescent="0.25">
      <c r="A230" t="str">
        <f>VLOOKUP(B230,'[1]Report Detail KPB'!$A$2:$F$264,6,0)</f>
        <v>16451-251029_0955</v>
      </c>
      <c r="B230" t="s">
        <v>452</v>
      </c>
      <c r="C230" t="s">
        <v>8</v>
      </c>
      <c r="D230">
        <v>3321</v>
      </c>
      <c r="E230">
        <v>3321</v>
      </c>
      <c r="F230" s="2" t="str">
        <f t="shared" si="12"/>
        <v>OK</v>
      </c>
      <c r="G230" s="2">
        <v>45793</v>
      </c>
      <c r="H230" s="2">
        <v>45792</v>
      </c>
      <c r="I230" s="2" t="str">
        <f t="shared" si="13"/>
        <v>Not</v>
      </c>
      <c r="J230">
        <f t="shared" si="14"/>
        <v>-1</v>
      </c>
      <c r="K230" s="2">
        <v>45936</v>
      </c>
      <c r="L230" s="2">
        <v>45936</v>
      </c>
      <c r="M230" s="2" t="str">
        <f t="shared" si="15"/>
        <v>OK</v>
      </c>
      <c r="N230" t="s">
        <v>453</v>
      </c>
      <c r="O230" t="s">
        <v>532</v>
      </c>
    </row>
    <row r="231" spans="1:15" hidden="1" x14ac:dyDescent="0.25">
      <c r="A231" t="str">
        <f>VLOOKUP(B231,'[1]Report Detail KPB'!$A$2:$F$264,6,0)</f>
        <v>16451-251107_1714</v>
      </c>
      <c r="B231" s="5" t="s">
        <v>454</v>
      </c>
      <c r="C231" t="s">
        <v>17</v>
      </c>
      <c r="D231">
        <v>4579</v>
      </c>
      <c r="E231">
        <v>4579</v>
      </c>
      <c r="F231" s="2" t="str">
        <f t="shared" si="12"/>
        <v>OK</v>
      </c>
      <c r="G231" s="2">
        <v>45890</v>
      </c>
      <c r="H231" s="2">
        <v>45890</v>
      </c>
      <c r="I231" s="2" t="str">
        <f t="shared" si="13"/>
        <v>OK</v>
      </c>
      <c r="J231">
        <f t="shared" si="14"/>
        <v>0</v>
      </c>
      <c r="K231" s="2">
        <v>45956</v>
      </c>
      <c r="L231" s="2">
        <v>45956</v>
      </c>
      <c r="M231" s="2" t="str">
        <f t="shared" si="15"/>
        <v>OK</v>
      </c>
      <c r="N231" t="s">
        <v>455</v>
      </c>
      <c r="O231" t="s">
        <v>532</v>
      </c>
    </row>
    <row r="232" spans="1:15" hidden="1" x14ac:dyDescent="0.25">
      <c r="A232" t="str">
        <f>VLOOKUP(B232,'[1]Report Detail KPB'!$A$2:$F$264,6,0)</f>
        <v>16451-251029_0955</v>
      </c>
      <c r="B232" t="s">
        <v>456</v>
      </c>
      <c r="C232" t="s">
        <v>36</v>
      </c>
      <c r="D232">
        <v>599</v>
      </c>
      <c r="E232">
        <v>599</v>
      </c>
      <c r="F232" s="2" t="str">
        <f t="shared" si="12"/>
        <v>OK</v>
      </c>
      <c r="G232" s="2">
        <v>45894</v>
      </c>
      <c r="H232" s="2">
        <v>45894</v>
      </c>
      <c r="I232" s="2" t="str">
        <f t="shared" si="13"/>
        <v>OK</v>
      </c>
      <c r="J232">
        <f t="shared" si="14"/>
        <v>0</v>
      </c>
      <c r="K232" s="2">
        <v>45940</v>
      </c>
      <c r="L232" s="2">
        <v>45940</v>
      </c>
      <c r="M232" s="2" t="str">
        <f t="shared" si="15"/>
        <v>OK</v>
      </c>
      <c r="N232" t="s">
        <v>457</v>
      </c>
      <c r="O232" t="s">
        <v>532</v>
      </c>
    </row>
    <row r="233" spans="1:15" hidden="1" x14ac:dyDescent="0.25">
      <c r="A233" t="str">
        <f>VLOOKUP(B233,'[1]Report Detail KPB'!$A$2:$F$264,6,0)</f>
        <v>16451-251029_0955</v>
      </c>
      <c r="B233" t="s">
        <v>458</v>
      </c>
      <c r="C233" t="s">
        <v>29</v>
      </c>
      <c r="D233">
        <v>1604</v>
      </c>
      <c r="E233">
        <v>1604</v>
      </c>
      <c r="F233" s="2" t="str">
        <f t="shared" si="12"/>
        <v>OK</v>
      </c>
      <c r="G233" s="2">
        <v>45882</v>
      </c>
      <c r="H233" s="2">
        <v>45882</v>
      </c>
      <c r="I233" s="2" t="str">
        <f t="shared" si="13"/>
        <v>OK</v>
      </c>
      <c r="J233">
        <f t="shared" si="14"/>
        <v>0</v>
      </c>
      <c r="K233" s="2">
        <v>45940</v>
      </c>
      <c r="L233" s="2">
        <v>45940</v>
      </c>
      <c r="M233" s="2" t="str">
        <f t="shared" si="15"/>
        <v>OK</v>
      </c>
      <c r="N233" t="s">
        <v>459</v>
      </c>
      <c r="O233" t="s">
        <v>532</v>
      </c>
    </row>
    <row r="234" spans="1:15" hidden="1" x14ac:dyDescent="0.25">
      <c r="A234" t="str">
        <f>VLOOKUP(B234,'[1]Report Detail KPB'!$A$2:$F$264,6,0)</f>
        <v>16451-251029_0955</v>
      </c>
      <c r="B234" t="s">
        <v>460</v>
      </c>
      <c r="C234" t="s">
        <v>29</v>
      </c>
      <c r="D234">
        <v>704</v>
      </c>
      <c r="E234">
        <v>704</v>
      </c>
      <c r="F234" s="2" t="str">
        <f t="shared" si="12"/>
        <v>OK</v>
      </c>
      <c r="G234" s="2">
        <v>45916</v>
      </c>
      <c r="H234" s="2">
        <v>45916</v>
      </c>
      <c r="I234" s="2" t="str">
        <f t="shared" si="13"/>
        <v>OK</v>
      </c>
      <c r="J234">
        <f t="shared" si="14"/>
        <v>0</v>
      </c>
      <c r="K234" s="2">
        <v>45940</v>
      </c>
      <c r="L234" s="2">
        <v>45940</v>
      </c>
      <c r="M234" s="2" t="str">
        <f t="shared" si="15"/>
        <v>OK</v>
      </c>
      <c r="N234" t="s">
        <v>461</v>
      </c>
      <c r="O234" t="s">
        <v>532</v>
      </c>
    </row>
    <row r="235" spans="1:15" hidden="1" x14ac:dyDescent="0.25">
      <c r="A235" t="str">
        <f>VLOOKUP(B235,'[1]Report Detail KPB'!$A$2:$F$264,6,0)</f>
        <v>16451-251029_0955</v>
      </c>
      <c r="B235" t="s">
        <v>462</v>
      </c>
      <c r="C235" t="s">
        <v>17</v>
      </c>
      <c r="D235">
        <v>361</v>
      </c>
      <c r="E235">
        <v>361</v>
      </c>
      <c r="F235" s="2" t="str">
        <f t="shared" si="12"/>
        <v>OK</v>
      </c>
      <c r="G235" s="2">
        <v>45783</v>
      </c>
      <c r="H235" s="2">
        <v>45783</v>
      </c>
      <c r="I235" s="2" t="str">
        <f t="shared" si="13"/>
        <v>OK</v>
      </c>
      <c r="J235">
        <f t="shared" si="14"/>
        <v>0</v>
      </c>
      <c r="K235" s="2">
        <v>45936</v>
      </c>
      <c r="L235" s="2">
        <v>45936</v>
      </c>
      <c r="M235" s="2" t="str">
        <f t="shared" si="15"/>
        <v>OK</v>
      </c>
      <c r="N235" t="s">
        <v>463</v>
      </c>
      <c r="O235" t="s">
        <v>532</v>
      </c>
    </row>
    <row r="236" spans="1:15" hidden="1" x14ac:dyDescent="0.25">
      <c r="A236" t="str">
        <f>VLOOKUP(B236,'[1]Report Detail KPB'!$A$2:$F$264,6,0)</f>
        <v>16451-251107_1714</v>
      </c>
      <c r="B236" t="s">
        <v>464</v>
      </c>
      <c r="C236" t="s">
        <v>17</v>
      </c>
      <c r="D236">
        <v>2162</v>
      </c>
      <c r="E236">
        <v>2162</v>
      </c>
      <c r="F236" s="2" t="str">
        <f t="shared" si="12"/>
        <v>OK</v>
      </c>
      <c r="G236" s="2">
        <v>45801</v>
      </c>
      <c r="H236" s="2">
        <v>45801</v>
      </c>
      <c r="I236" s="2" t="str">
        <f t="shared" si="13"/>
        <v>OK</v>
      </c>
      <c r="J236">
        <f t="shared" si="14"/>
        <v>0</v>
      </c>
      <c r="K236" s="2">
        <v>45945</v>
      </c>
      <c r="L236" s="2">
        <v>45945</v>
      </c>
      <c r="M236" s="2" t="str">
        <f t="shared" si="15"/>
        <v>OK</v>
      </c>
      <c r="N236" t="s">
        <v>465</v>
      </c>
      <c r="O236" t="s">
        <v>532</v>
      </c>
    </row>
    <row r="237" spans="1:15" hidden="1" x14ac:dyDescent="0.25">
      <c r="A237" t="str">
        <f>VLOOKUP(B237,'[1]Report Detail KPB'!$A$2:$F$264,6,0)</f>
        <v>16451-251029_0955</v>
      </c>
      <c r="B237" t="s">
        <v>466</v>
      </c>
      <c r="C237" t="s">
        <v>29</v>
      </c>
      <c r="D237">
        <v>2898</v>
      </c>
      <c r="E237">
        <v>2898</v>
      </c>
      <c r="F237" s="2" t="str">
        <f t="shared" si="12"/>
        <v>OK</v>
      </c>
      <c r="G237" s="2">
        <v>45829</v>
      </c>
      <c r="H237" s="2">
        <v>45829</v>
      </c>
      <c r="I237" s="2" t="str">
        <f t="shared" si="13"/>
        <v>OK</v>
      </c>
      <c r="J237">
        <f t="shared" si="14"/>
        <v>0</v>
      </c>
      <c r="K237" s="2">
        <v>45931</v>
      </c>
      <c r="L237" s="2">
        <v>45931</v>
      </c>
      <c r="M237" s="2" t="str">
        <f t="shared" si="15"/>
        <v>OK</v>
      </c>
      <c r="N237" t="s">
        <v>467</v>
      </c>
      <c r="O237" t="s">
        <v>532</v>
      </c>
    </row>
    <row r="238" spans="1:15" hidden="1" x14ac:dyDescent="0.25">
      <c r="A238" t="str">
        <f>VLOOKUP(B238,'[1]Report Detail KPB'!$A$2:$F$264,6,0)</f>
        <v>16451-251029_0955</v>
      </c>
      <c r="B238" t="s">
        <v>468</v>
      </c>
      <c r="C238" t="s">
        <v>17</v>
      </c>
      <c r="D238">
        <v>4873</v>
      </c>
      <c r="E238">
        <v>4873</v>
      </c>
      <c r="F238" s="2" t="str">
        <f t="shared" si="12"/>
        <v>OK</v>
      </c>
      <c r="G238" s="2">
        <v>45801</v>
      </c>
      <c r="H238" s="2">
        <v>45801</v>
      </c>
      <c r="I238" s="2" t="str">
        <f t="shared" si="13"/>
        <v>OK</v>
      </c>
      <c r="J238">
        <f t="shared" si="14"/>
        <v>0</v>
      </c>
      <c r="K238" s="2">
        <v>45940</v>
      </c>
      <c r="L238" s="2">
        <v>45940</v>
      </c>
      <c r="M238" s="2" t="str">
        <f t="shared" si="15"/>
        <v>OK</v>
      </c>
      <c r="N238" t="s">
        <v>469</v>
      </c>
      <c r="O238" t="s">
        <v>532</v>
      </c>
    </row>
    <row r="239" spans="1:15" hidden="1" x14ac:dyDescent="0.25">
      <c r="A239" t="str">
        <f>VLOOKUP(B239,'[1]Report Detail KPB'!$A$2:$F$264,6,0)</f>
        <v>16451-251029_0955</v>
      </c>
      <c r="B239" t="s">
        <v>470</v>
      </c>
      <c r="C239" t="s">
        <v>17</v>
      </c>
      <c r="D239">
        <v>2890</v>
      </c>
      <c r="E239">
        <v>2890</v>
      </c>
      <c r="F239" s="2" t="str">
        <f t="shared" si="12"/>
        <v>OK</v>
      </c>
      <c r="G239" s="2">
        <v>45817</v>
      </c>
      <c r="H239" s="2">
        <v>45817</v>
      </c>
      <c r="I239" s="2" t="str">
        <f t="shared" si="13"/>
        <v>OK</v>
      </c>
      <c r="J239">
        <f t="shared" si="14"/>
        <v>0</v>
      </c>
      <c r="K239" s="2">
        <v>45936</v>
      </c>
      <c r="L239" s="2">
        <v>45936</v>
      </c>
      <c r="M239" s="2" t="str">
        <f t="shared" si="15"/>
        <v>OK</v>
      </c>
      <c r="N239" t="s">
        <v>471</v>
      </c>
      <c r="O239" t="s">
        <v>532</v>
      </c>
    </row>
    <row r="240" spans="1:15" hidden="1" x14ac:dyDescent="0.25">
      <c r="A240" t="str">
        <f>VLOOKUP(B240,'[1]Report Detail KPB'!$A$2:$F$264,6,0)</f>
        <v>16451-251107_1714</v>
      </c>
      <c r="B240" t="s">
        <v>472</v>
      </c>
      <c r="C240" t="s">
        <v>17</v>
      </c>
      <c r="D240">
        <v>2145</v>
      </c>
      <c r="E240">
        <v>2145</v>
      </c>
      <c r="F240" s="2" t="str">
        <f t="shared" si="12"/>
        <v>OK</v>
      </c>
      <c r="G240" s="2">
        <v>45888</v>
      </c>
      <c r="H240" s="2">
        <v>45888</v>
      </c>
      <c r="I240" s="2" t="str">
        <f t="shared" si="13"/>
        <v>OK</v>
      </c>
      <c r="J240">
        <f t="shared" si="14"/>
        <v>0</v>
      </c>
      <c r="K240" s="2">
        <v>45956</v>
      </c>
      <c r="L240" s="2">
        <v>45956</v>
      </c>
      <c r="M240" s="2" t="str">
        <f t="shared" si="15"/>
        <v>OK</v>
      </c>
      <c r="N240" t="s">
        <v>473</v>
      </c>
      <c r="O240" t="s">
        <v>532</v>
      </c>
    </row>
    <row r="241" spans="1:15" hidden="1" x14ac:dyDescent="0.25">
      <c r="A241" t="str">
        <f>VLOOKUP(B241,'[1]Report Detail KPB'!$A$2:$F$264,6,0)</f>
        <v>16451-251107_1714</v>
      </c>
      <c r="B241" t="s">
        <v>474</v>
      </c>
      <c r="C241" t="s">
        <v>29</v>
      </c>
      <c r="D241">
        <v>2154</v>
      </c>
      <c r="E241">
        <v>2154</v>
      </c>
      <c r="F241" s="2" t="str">
        <f t="shared" si="12"/>
        <v>OK</v>
      </c>
      <c r="G241" s="2">
        <v>45895</v>
      </c>
      <c r="H241" s="2">
        <v>45895</v>
      </c>
      <c r="I241" s="2" t="str">
        <f t="shared" si="13"/>
        <v>OK</v>
      </c>
      <c r="J241">
        <f t="shared" si="14"/>
        <v>0</v>
      </c>
      <c r="K241" s="2">
        <v>45960</v>
      </c>
      <c r="L241" s="2">
        <v>45960</v>
      </c>
      <c r="M241" s="2" t="str">
        <f t="shared" si="15"/>
        <v>OK</v>
      </c>
      <c r="N241" t="s">
        <v>475</v>
      </c>
      <c r="O241" t="s">
        <v>532</v>
      </c>
    </row>
    <row r="242" spans="1:15" hidden="1" x14ac:dyDescent="0.25">
      <c r="A242" t="str">
        <f>VLOOKUP(B242,'[1]Report Detail KPB'!$A$2:$F$264,6,0)</f>
        <v>16451-251029_0955</v>
      </c>
      <c r="B242" t="s">
        <v>476</v>
      </c>
      <c r="C242" t="s">
        <v>29</v>
      </c>
      <c r="D242">
        <v>2465</v>
      </c>
      <c r="E242">
        <v>2465</v>
      </c>
      <c r="F242" s="2" t="str">
        <f t="shared" si="12"/>
        <v>OK</v>
      </c>
      <c r="G242" s="2">
        <v>45841</v>
      </c>
      <c r="H242" s="2">
        <v>45841</v>
      </c>
      <c r="I242" s="2" t="str">
        <f t="shared" si="13"/>
        <v>OK</v>
      </c>
      <c r="J242">
        <f t="shared" si="14"/>
        <v>0</v>
      </c>
      <c r="K242" s="2">
        <v>45939</v>
      </c>
      <c r="L242" s="2">
        <v>45939</v>
      </c>
      <c r="M242" s="2" t="str">
        <f t="shared" si="15"/>
        <v>OK</v>
      </c>
      <c r="N242" t="s">
        <v>477</v>
      </c>
      <c r="O242" t="s">
        <v>532</v>
      </c>
    </row>
    <row r="243" spans="1:15" hidden="1" x14ac:dyDescent="0.25">
      <c r="A243" t="str">
        <f>VLOOKUP(B243,'[1]Report Detail KPB'!$A$2:$F$264,6,0)</f>
        <v>16451-251107_1714</v>
      </c>
      <c r="B243" t="s">
        <v>478</v>
      </c>
      <c r="C243" t="s">
        <v>29</v>
      </c>
      <c r="D243">
        <v>1208</v>
      </c>
      <c r="E243">
        <v>1208</v>
      </c>
      <c r="F243" s="2" t="str">
        <f t="shared" si="12"/>
        <v>OK</v>
      </c>
      <c r="G243" s="2">
        <v>45861</v>
      </c>
      <c r="H243" s="2">
        <v>45860</v>
      </c>
      <c r="I243" s="2" t="str">
        <f t="shared" si="13"/>
        <v>Not</v>
      </c>
      <c r="J243">
        <f t="shared" si="14"/>
        <v>-1</v>
      </c>
      <c r="K243" s="2">
        <v>45955</v>
      </c>
      <c r="L243" s="2">
        <v>45955</v>
      </c>
      <c r="M243" s="2" t="str">
        <f t="shared" si="15"/>
        <v>OK</v>
      </c>
      <c r="N243" t="s">
        <v>479</v>
      </c>
      <c r="O243" t="s">
        <v>532</v>
      </c>
    </row>
    <row r="244" spans="1:15" hidden="1" x14ac:dyDescent="0.25">
      <c r="A244" t="str">
        <f>VLOOKUP(B244,'[1]Report Detail KPB'!$A$2:$F$264,6,0)</f>
        <v>16451-251029_0955</v>
      </c>
      <c r="B244" t="s">
        <v>480</v>
      </c>
      <c r="C244" t="s">
        <v>29</v>
      </c>
      <c r="D244">
        <v>2796</v>
      </c>
      <c r="E244">
        <v>2796</v>
      </c>
      <c r="F244" s="2" t="str">
        <f t="shared" si="12"/>
        <v>OK</v>
      </c>
      <c r="G244" s="2">
        <v>45878</v>
      </c>
      <c r="H244" s="2">
        <v>45878</v>
      </c>
      <c r="I244" s="2" t="str">
        <f t="shared" si="13"/>
        <v>OK</v>
      </c>
      <c r="J244">
        <f t="shared" si="14"/>
        <v>0</v>
      </c>
      <c r="K244" s="2">
        <v>45940</v>
      </c>
      <c r="L244" s="2">
        <v>45940</v>
      </c>
      <c r="M244" s="2" t="str">
        <f t="shared" si="15"/>
        <v>OK</v>
      </c>
      <c r="N244" t="s">
        <v>481</v>
      </c>
      <c r="O244" t="s">
        <v>532</v>
      </c>
    </row>
    <row r="245" spans="1:15" hidden="1" x14ac:dyDescent="0.25">
      <c r="A245" t="str">
        <f>VLOOKUP(B245,'[1]Report Detail KPB'!$A$2:$F$264,6,0)</f>
        <v>16451-251029_0955</v>
      </c>
      <c r="B245" t="s">
        <v>482</v>
      </c>
      <c r="C245" t="s">
        <v>17</v>
      </c>
      <c r="D245">
        <v>584</v>
      </c>
      <c r="E245">
        <v>584</v>
      </c>
      <c r="F245" s="2" t="str">
        <f t="shared" si="12"/>
        <v>OK</v>
      </c>
      <c r="G245" s="2">
        <v>45883</v>
      </c>
      <c r="H245" s="2">
        <v>45883</v>
      </c>
      <c r="I245" s="2" t="str">
        <f t="shared" si="13"/>
        <v>OK</v>
      </c>
      <c r="J245">
        <f t="shared" si="14"/>
        <v>0</v>
      </c>
      <c r="K245" s="2">
        <v>45934</v>
      </c>
      <c r="L245" s="2">
        <v>45934</v>
      </c>
      <c r="M245" s="2" t="str">
        <f t="shared" si="15"/>
        <v>OK</v>
      </c>
      <c r="N245" t="s">
        <v>483</v>
      </c>
      <c r="O245" t="s">
        <v>532</v>
      </c>
    </row>
    <row r="246" spans="1:15" hidden="1" x14ac:dyDescent="0.25">
      <c r="A246" t="str">
        <f>VLOOKUP(B246,'[1]Report Detail KPB'!$A$2:$F$264,6,0)</f>
        <v>16451-251029_0955</v>
      </c>
      <c r="B246" t="s">
        <v>484</v>
      </c>
      <c r="C246" t="s">
        <v>29</v>
      </c>
      <c r="D246">
        <v>1838</v>
      </c>
      <c r="E246">
        <v>1838</v>
      </c>
      <c r="F246" s="2" t="str">
        <f t="shared" si="12"/>
        <v>OK</v>
      </c>
      <c r="G246" s="2">
        <v>45880</v>
      </c>
      <c r="H246" s="2">
        <v>45880</v>
      </c>
      <c r="I246" s="2" t="str">
        <f t="shared" si="13"/>
        <v>OK</v>
      </c>
      <c r="J246">
        <f t="shared" si="14"/>
        <v>0</v>
      </c>
      <c r="K246" s="2">
        <v>45938</v>
      </c>
      <c r="L246" s="2">
        <v>45938</v>
      </c>
      <c r="M246" s="2" t="str">
        <f t="shared" si="15"/>
        <v>OK</v>
      </c>
      <c r="N246" t="s">
        <v>485</v>
      </c>
      <c r="O246" t="s">
        <v>532</v>
      </c>
    </row>
    <row r="247" spans="1:15" hidden="1" x14ac:dyDescent="0.25">
      <c r="A247" t="str">
        <f>VLOOKUP(B247,'[1]Report Detail KPB'!$A$2:$F$264,6,0)</f>
        <v>16451-251107_1714</v>
      </c>
      <c r="B247" t="s">
        <v>486</v>
      </c>
      <c r="C247" t="s">
        <v>29</v>
      </c>
      <c r="D247">
        <v>1263</v>
      </c>
      <c r="E247">
        <v>1263</v>
      </c>
      <c r="F247" s="2" t="str">
        <f t="shared" si="12"/>
        <v>OK</v>
      </c>
      <c r="G247" s="2">
        <v>45889</v>
      </c>
      <c r="H247" s="2">
        <v>45889</v>
      </c>
      <c r="I247" s="2" t="str">
        <f t="shared" si="13"/>
        <v>OK</v>
      </c>
      <c r="J247">
        <f t="shared" si="14"/>
        <v>0</v>
      </c>
      <c r="K247" s="2">
        <v>45948</v>
      </c>
      <c r="L247" s="2">
        <v>45948</v>
      </c>
      <c r="M247" s="2" t="str">
        <f t="shared" si="15"/>
        <v>OK</v>
      </c>
      <c r="N247" t="s">
        <v>487</v>
      </c>
      <c r="O247" t="s">
        <v>532</v>
      </c>
    </row>
    <row r="248" spans="1:15" hidden="1" x14ac:dyDescent="0.25">
      <c r="A248" t="str">
        <f>VLOOKUP(B248,'[1]Report Detail KPB'!$A$2:$F$264,6,0)</f>
        <v>16451-251029_0955</v>
      </c>
      <c r="B248" t="s">
        <v>488</v>
      </c>
      <c r="C248" t="s">
        <v>29</v>
      </c>
      <c r="D248">
        <v>1255</v>
      </c>
      <c r="E248">
        <v>1255</v>
      </c>
      <c r="F248" s="2" t="str">
        <f t="shared" si="12"/>
        <v>OK</v>
      </c>
      <c r="G248" s="2">
        <v>45881</v>
      </c>
      <c r="H248" s="2">
        <v>45880</v>
      </c>
      <c r="I248" s="2" t="str">
        <f t="shared" si="13"/>
        <v>Not</v>
      </c>
      <c r="J248">
        <f t="shared" si="14"/>
        <v>-1</v>
      </c>
      <c r="K248" s="2">
        <v>45932</v>
      </c>
      <c r="L248" s="2">
        <v>45932</v>
      </c>
      <c r="M248" s="2" t="str">
        <f t="shared" si="15"/>
        <v>OK</v>
      </c>
      <c r="N248" t="s">
        <v>489</v>
      </c>
      <c r="O248" t="s">
        <v>532</v>
      </c>
    </row>
    <row r="249" spans="1:15" hidden="1" x14ac:dyDescent="0.25">
      <c r="A249" t="str">
        <f>VLOOKUP(B249,'[1]Report Detail KPB'!$A$2:$F$264,6,0)</f>
        <v>16451-251029_0955</v>
      </c>
      <c r="B249" t="s">
        <v>490</v>
      </c>
      <c r="C249" t="s">
        <v>29</v>
      </c>
      <c r="D249">
        <v>1257</v>
      </c>
      <c r="E249">
        <v>1257</v>
      </c>
      <c r="F249" s="2" t="str">
        <f t="shared" si="12"/>
        <v>OK</v>
      </c>
      <c r="G249" s="2">
        <v>45897</v>
      </c>
      <c r="H249" s="2">
        <v>45897</v>
      </c>
      <c r="I249" s="2" t="str">
        <f t="shared" si="13"/>
        <v>OK</v>
      </c>
      <c r="J249">
        <f t="shared" si="14"/>
        <v>0</v>
      </c>
      <c r="K249" s="2">
        <v>45934</v>
      </c>
      <c r="L249" s="2">
        <v>45934</v>
      </c>
      <c r="M249" s="2" t="str">
        <f t="shared" si="15"/>
        <v>OK</v>
      </c>
      <c r="N249" t="s">
        <v>491</v>
      </c>
      <c r="O249" t="s">
        <v>532</v>
      </c>
    </row>
    <row r="250" spans="1:15" hidden="1" x14ac:dyDescent="0.25">
      <c r="A250" t="str">
        <f>VLOOKUP(B250,'[1]Report Detail KPB'!$A$2:$F$264,6,0)</f>
        <v>16451-251029_0955</v>
      </c>
      <c r="B250" t="s">
        <v>492</v>
      </c>
      <c r="C250" t="s">
        <v>36</v>
      </c>
      <c r="D250">
        <v>674</v>
      </c>
      <c r="E250">
        <v>674</v>
      </c>
      <c r="F250" s="2" t="str">
        <f t="shared" si="12"/>
        <v>OK</v>
      </c>
      <c r="G250" s="2">
        <v>45915</v>
      </c>
      <c r="H250" s="2">
        <v>45915</v>
      </c>
      <c r="I250" s="2" t="str">
        <f t="shared" si="13"/>
        <v>OK</v>
      </c>
      <c r="J250">
        <f t="shared" si="14"/>
        <v>0</v>
      </c>
      <c r="K250" s="2">
        <v>45931</v>
      </c>
      <c r="L250" s="2">
        <v>45931</v>
      </c>
      <c r="M250" s="2" t="str">
        <f t="shared" si="15"/>
        <v>OK</v>
      </c>
      <c r="N250" t="s">
        <v>493</v>
      </c>
      <c r="O250" t="s">
        <v>532</v>
      </c>
    </row>
    <row r="251" spans="1:15" hidden="1" x14ac:dyDescent="0.25">
      <c r="A251" t="str">
        <f>VLOOKUP(B251,'[1]Report Detail KPB'!$A$2:$F$264,6,0)</f>
        <v>16451-251107_1714</v>
      </c>
      <c r="B251" t="s">
        <v>494</v>
      </c>
      <c r="C251" t="s">
        <v>29</v>
      </c>
      <c r="D251">
        <v>1325</v>
      </c>
      <c r="E251">
        <v>1325</v>
      </c>
      <c r="F251" s="2" t="str">
        <f t="shared" si="12"/>
        <v>OK</v>
      </c>
      <c r="G251" s="2">
        <v>45887</v>
      </c>
      <c r="H251" s="2">
        <v>45887</v>
      </c>
      <c r="I251" s="2" t="str">
        <f t="shared" si="13"/>
        <v>OK</v>
      </c>
      <c r="J251">
        <f t="shared" si="14"/>
        <v>0</v>
      </c>
      <c r="K251" s="2">
        <v>45960</v>
      </c>
      <c r="L251" s="2">
        <v>45960</v>
      </c>
      <c r="M251" s="2" t="str">
        <f t="shared" si="15"/>
        <v>OK</v>
      </c>
      <c r="N251" t="s">
        <v>495</v>
      </c>
      <c r="O251" t="s">
        <v>532</v>
      </c>
    </row>
    <row r="252" spans="1:15" hidden="1" x14ac:dyDescent="0.25">
      <c r="A252" t="str">
        <f>VLOOKUP(B252,'[1]Report Detail KPB'!$A$2:$F$264,6,0)</f>
        <v>16451-251107_1714</v>
      </c>
      <c r="B252" t="s">
        <v>496</v>
      </c>
      <c r="C252" t="s">
        <v>29</v>
      </c>
      <c r="D252">
        <v>972</v>
      </c>
      <c r="E252">
        <v>972</v>
      </c>
      <c r="F252" s="2" t="str">
        <f t="shared" si="12"/>
        <v>OK</v>
      </c>
      <c r="G252" s="2">
        <v>45889</v>
      </c>
      <c r="H252" s="2">
        <v>45889</v>
      </c>
      <c r="I252" s="2" t="str">
        <f t="shared" si="13"/>
        <v>OK</v>
      </c>
      <c r="J252">
        <f t="shared" si="14"/>
        <v>0</v>
      </c>
      <c r="K252" s="2">
        <v>45951</v>
      </c>
      <c r="L252" s="2">
        <v>45951</v>
      </c>
      <c r="M252" s="2" t="str">
        <f t="shared" si="15"/>
        <v>OK</v>
      </c>
      <c r="N252" t="s">
        <v>497</v>
      </c>
      <c r="O252" t="s">
        <v>532</v>
      </c>
    </row>
    <row r="253" spans="1:15" hidden="1" x14ac:dyDescent="0.25">
      <c r="A253" t="str">
        <f>VLOOKUP(B253,'[1]Report Detail KPB'!$A$2:$F$264,6,0)</f>
        <v>16451-251029_0955</v>
      </c>
      <c r="B253" t="s">
        <v>498</v>
      </c>
      <c r="C253" t="s">
        <v>36</v>
      </c>
      <c r="D253">
        <v>522</v>
      </c>
      <c r="E253">
        <v>522</v>
      </c>
      <c r="F253" s="2" t="str">
        <f t="shared" si="12"/>
        <v>OK</v>
      </c>
      <c r="G253" s="2">
        <v>45924</v>
      </c>
      <c r="H253" s="2">
        <v>45924</v>
      </c>
      <c r="I253" s="2" t="str">
        <f t="shared" si="13"/>
        <v>OK</v>
      </c>
      <c r="J253">
        <f t="shared" si="14"/>
        <v>0</v>
      </c>
      <c r="K253" s="2">
        <v>45934</v>
      </c>
      <c r="L253" s="2">
        <v>45934</v>
      </c>
      <c r="M253" s="2" t="str">
        <f t="shared" si="15"/>
        <v>OK</v>
      </c>
      <c r="N253" t="s">
        <v>499</v>
      </c>
      <c r="O253" t="s">
        <v>532</v>
      </c>
    </row>
    <row r="254" spans="1:15" hidden="1" x14ac:dyDescent="0.25">
      <c r="A254" t="str">
        <f>VLOOKUP(B254,'[1]Report Detail KPB'!$A$2:$F$264,6,0)</f>
        <v>16451-251029_0955</v>
      </c>
      <c r="B254" t="s">
        <v>500</v>
      </c>
      <c r="C254" t="s">
        <v>17</v>
      </c>
      <c r="D254">
        <v>4289</v>
      </c>
      <c r="E254">
        <v>4289</v>
      </c>
      <c r="F254" s="2" t="str">
        <f t="shared" si="12"/>
        <v>OK</v>
      </c>
      <c r="G254" s="2">
        <v>45852</v>
      </c>
      <c r="H254" s="2">
        <v>45852</v>
      </c>
      <c r="I254" s="2" t="str">
        <f t="shared" si="13"/>
        <v>OK</v>
      </c>
      <c r="J254">
        <f t="shared" si="14"/>
        <v>0</v>
      </c>
      <c r="K254" s="2">
        <v>45937</v>
      </c>
      <c r="L254" s="2">
        <v>45937</v>
      </c>
      <c r="M254" s="2" t="str">
        <f t="shared" si="15"/>
        <v>OK</v>
      </c>
      <c r="N254" t="s">
        <v>501</v>
      </c>
      <c r="O254" t="s">
        <v>532</v>
      </c>
    </row>
    <row r="255" spans="1:15" hidden="1" x14ac:dyDescent="0.25">
      <c r="A255" t="str">
        <f>VLOOKUP(B255,'[1]Report Detail KPB'!$A$2:$F$264,6,0)</f>
        <v>16451-251107_1714</v>
      </c>
      <c r="B255" t="s">
        <v>502</v>
      </c>
      <c r="C255" t="s">
        <v>17</v>
      </c>
      <c r="D255">
        <v>2082</v>
      </c>
      <c r="E255">
        <v>2082</v>
      </c>
      <c r="F255" s="2" t="str">
        <f t="shared" si="12"/>
        <v>OK</v>
      </c>
      <c r="G255" s="2">
        <v>45797</v>
      </c>
      <c r="H255" s="2">
        <v>45797</v>
      </c>
      <c r="I255" s="2" t="str">
        <f t="shared" si="13"/>
        <v>OK</v>
      </c>
      <c r="J255">
        <f t="shared" si="14"/>
        <v>0</v>
      </c>
      <c r="K255" s="2">
        <v>45946</v>
      </c>
      <c r="L255" s="2">
        <v>45946</v>
      </c>
      <c r="M255" s="2" t="str">
        <f t="shared" si="15"/>
        <v>OK</v>
      </c>
      <c r="N255" t="s">
        <v>503</v>
      </c>
      <c r="O255" t="s">
        <v>532</v>
      </c>
    </row>
    <row r="256" spans="1:15" hidden="1" x14ac:dyDescent="0.25">
      <c r="A256" t="str">
        <f>VLOOKUP(B256,'[1]Report Detail KPB'!$A$2:$F$264,6,0)</f>
        <v>16451-251029_0955</v>
      </c>
      <c r="B256" t="s">
        <v>504</v>
      </c>
      <c r="C256" t="s">
        <v>29</v>
      </c>
      <c r="D256">
        <v>1313</v>
      </c>
      <c r="E256">
        <v>1313</v>
      </c>
      <c r="F256" s="2" t="str">
        <f t="shared" si="12"/>
        <v>OK</v>
      </c>
      <c r="G256" s="2">
        <v>45894</v>
      </c>
      <c r="H256" s="2">
        <v>45894</v>
      </c>
      <c r="I256" s="2" t="str">
        <f t="shared" si="13"/>
        <v>OK</v>
      </c>
      <c r="J256">
        <f t="shared" si="14"/>
        <v>0</v>
      </c>
      <c r="K256" s="2">
        <v>45938</v>
      </c>
      <c r="L256" s="2">
        <v>45938</v>
      </c>
      <c r="M256" s="2" t="str">
        <f t="shared" si="15"/>
        <v>OK</v>
      </c>
      <c r="N256" t="s">
        <v>505</v>
      </c>
      <c r="O256" t="s">
        <v>532</v>
      </c>
    </row>
    <row r="257" spans="1:15" hidden="1" x14ac:dyDescent="0.25">
      <c r="A257" t="str">
        <f>VLOOKUP(B257,'[1]Report Detail KPB'!$A$2:$F$264,6,0)</f>
        <v>16451-251029_0955</v>
      </c>
      <c r="B257" t="s">
        <v>506</v>
      </c>
      <c r="C257" t="s">
        <v>17</v>
      </c>
      <c r="D257">
        <v>2468</v>
      </c>
      <c r="E257">
        <v>2468</v>
      </c>
      <c r="F257" s="2" t="str">
        <f t="shared" si="12"/>
        <v>OK</v>
      </c>
      <c r="G257" s="2">
        <v>45845</v>
      </c>
      <c r="H257" s="2">
        <v>45845</v>
      </c>
      <c r="I257" s="2" t="str">
        <f t="shared" si="13"/>
        <v>OK</v>
      </c>
      <c r="J257">
        <f t="shared" si="14"/>
        <v>0</v>
      </c>
      <c r="K257" s="2">
        <v>45937</v>
      </c>
      <c r="L257" s="2">
        <v>45937</v>
      </c>
      <c r="M257" s="2" t="str">
        <f t="shared" si="15"/>
        <v>OK</v>
      </c>
      <c r="N257" t="s">
        <v>507</v>
      </c>
      <c r="O257" t="s">
        <v>532</v>
      </c>
    </row>
    <row r="258" spans="1:15" hidden="1" x14ac:dyDescent="0.25">
      <c r="A258" t="str">
        <f>VLOOKUP(B258,'[1]Report Detail KPB'!$A$2:$F$264,6,0)</f>
        <v>16451-251107_1714</v>
      </c>
      <c r="B258" t="s">
        <v>508</v>
      </c>
      <c r="C258" t="s">
        <v>29</v>
      </c>
      <c r="D258">
        <v>1256</v>
      </c>
      <c r="E258">
        <v>1256</v>
      </c>
      <c r="F258" s="2" t="str">
        <f t="shared" ref="F258:F321" si="16">IF(D258=E258,"OK","Not")</f>
        <v>OK</v>
      </c>
      <c r="G258" s="2">
        <v>45908</v>
      </c>
      <c r="H258" s="2">
        <v>45906</v>
      </c>
      <c r="I258" s="2" t="str">
        <f t="shared" ref="I258:I321" si="17">IF(G258=H258,"OK","Not")</f>
        <v>Not</v>
      </c>
      <c r="J258">
        <f t="shared" ref="J258:J264" si="18">H258-G258</f>
        <v>-2</v>
      </c>
      <c r="K258" s="2">
        <v>45960</v>
      </c>
      <c r="L258" s="2">
        <v>45960</v>
      </c>
      <c r="M258" s="2" t="str">
        <f t="shared" ref="M258:M321" si="19">IF(K258=L258,"OK","Not")</f>
        <v>OK</v>
      </c>
      <c r="N258" t="s">
        <v>509</v>
      </c>
      <c r="O258" t="s">
        <v>532</v>
      </c>
    </row>
    <row r="259" spans="1:15" hidden="1" x14ac:dyDescent="0.25">
      <c r="A259" t="str">
        <f>VLOOKUP(B259,'[1]Report Detail KPB'!$A$2:$F$264,6,0)</f>
        <v>16451-251029_0955</v>
      </c>
      <c r="B259" t="s">
        <v>510</v>
      </c>
      <c r="C259" t="s">
        <v>29</v>
      </c>
      <c r="D259">
        <v>1415</v>
      </c>
      <c r="E259">
        <v>1415</v>
      </c>
      <c r="F259" s="2" t="str">
        <f t="shared" si="16"/>
        <v>OK</v>
      </c>
      <c r="G259" s="2">
        <v>45836</v>
      </c>
      <c r="H259" s="2">
        <v>45836</v>
      </c>
      <c r="I259" s="2" t="str">
        <f t="shared" si="17"/>
        <v>OK</v>
      </c>
      <c r="J259">
        <f t="shared" si="18"/>
        <v>0</v>
      </c>
      <c r="K259" s="2">
        <v>45938</v>
      </c>
      <c r="L259" s="2">
        <v>45938</v>
      </c>
      <c r="M259" s="2" t="str">
        <f t="shared" si="19"/>
        <v>OK</v>
      </c>
      <c r="N259" t="s">
        <v>511</v>
      </c>
      <c r="O259" t="s">
        <v>532</v>
      </c>
    </row>
    <row r="260" spans="1:15" hidden="1" x14ac:dyDescent="0.25">
      <c r="A260" t="str">
        <f>VLOOKUP(B260,'[1]Report Detail KPB'!$A$2:$F$264,6,0)</f>
        <v>16451-251107_1714</v>
      </c>
      <c r="B260" t="s">
        <v>512</v>
      </c>
      <c r="C260" t="s">
        <v>36</v>
      </c>
      <c r="D260">
        <v>395</v>
      </c>
      <c r="E260">
        <v>395</v>
      </c>
      <c r="F260" s="2" t="str">
        <f t="shared" si="16"/>
        <v>OK</v>
      </c>
      <c r="G260" s="2">
        <v>45888</v>
      </c>
      <c r="H260" s="2">
        <v>45888</v>
      </c>
      <c r="I260" s="2" t="str">
        <f t="shared" si="17"/>
        <v>OK</v>
      </c>
      <c r="J260">
        <f t="shared" si="18"/>
        <v>0</v>
      </c>
      <c r="K260" s="2">
        <v>45944</v>
      </c>
      <c r="L260" s="2">
        <v>45944</v>
      </c>
      <c r="M260" s="2" t="str">
        <f t="shared" si="19"/>
        <v>OK</v>
      </c>
      <c r="N260" t="s">
        <v>513</v>
      </c>
      <c r="O260" t="s">
        <v>532</v>
      </c>
    </row>
    <row r="261" spans="1:15" hidden="1" x14ac:dyDescent="0.25">
      <c r="A261" t="str">
        <f>VLOOKUP(B261,'[1]Report Detail KPB'!$A$2:$F$264,6,0)</f>
        <v>16451-251107_1714</v>
      </c>
      <c r="B261" t="s">
        <v>514</v>
      </c>
      <c r="C261" t="s">
        <v>29</v>
      </c>
      <c r="D261">
        <v>2164</v>
      </c>
      <c r="E261">
        <v>2164</v>
      </c>
      <c r="F261" s="2" t="str">
        <f t="shared" si="16"/>
        <v>OK</v>
      </c>
      <c r="G261" s="2">
        <v>45869</v>
      </c>
      <c r="H261" s="2">
        <v>45869</v>
      </c>
      <c r="I261" s="2" t="str">
        <f t="shared" si="17"/>
        <v>OK</v>
      </c>
      <c r="J261">
        <f t="shared" si="18"/>
        <v>0</v>
      </c>
      <c r="K261" s="2">
        <v>45945</v>
      </c>
      <c r="L261" s="2">
        <v>45945</v>
      </c>
      <c r="M261" s="2" t="str">
        <f t="shared" si="19"/>
        <v>OK</v>
      </c>
      <c r="N261" t="s">
        <v>515</v>
      </c>
      <c r="O261" t="s">
        <v>532</v>
      </c>
    </row>
    <row r="262" spans="1:15" hidden="1" x14ac:dyDescent="0.25">
      <c r="A262" t="str">
        <f>VLOOKUP(B262,'[1]Report Detail KPB'!$A$2:$F$264,6,0)</f>
        <v>16451-251029_0955</v>
      </c>
      <c r="B262" t="s">
        <v>516</v>
      </c>
      <c r="C262" t="s">
        <v>36</v>
      </c>
      <c r="D262">
        <v>30</v>
      </c>
      <c r="E262">
        <v>30</v>
      </c>
      <c r="F262" s="2" t="str">
        <f t="shared" si="16"/>
        <v>OK</v>
      </c>
      <c r="G262" s="2">
        <v>45931</v>
      </c>
      <c r="H262" s="2">
        <v>45931</v>
      </c>
      <c r="I262" s="2" t="str">
        <f t="shared" si="17"/>
        <v>OK</v>
      </c>
      <c r="J262">
        <f t="shared" si="18"/>
        <v>0</v>
      </c>
      <c r="K262" s="2">
        <v>45937</v>
      </c>
      <c r="L262" s="2">
        <v>45937</v>
      </c>
      <c r="M262" s="2" t="str">
        <f t="shared" si="19"/>
        <v>OK</v>
      </c>
      <c r="N262" t="s">
        <v>517</v>
      </c>
      <c r="O262" t="s">
        <v>532</v>
      </c>
    </row>
    <row r="263" spans="1:15" hidden="1" x14ac:dyDescent="0.25">
      <c r="A263" t="str">
        <f>VLOOKUP(B263,'[1]Report Detail KPB'!$A$2:$F$264,6,0)</f>
        <v>16451-251107_1714</v>
      </c>
      <c r="B263" t="s">
        <v>518</v>
      </c>
      <c r="C263" t="s">
        <v>36</v>
      </c>
      <c r="D263">
        <v>557</v>
      </c>
      <c r="E263">
        <v>557</v>
      </c>
      <c r="F263" s="2" t="str">
        <f t="shared" si="16"/>
        <v>OK</v>
      </c>
      <c r="G263" s="2">
        <v>45930</v>
      </c>
      <c r="H263" s="2">
        <v>45930</v>
      </c>
      <c r="I263" s="2" t="str">
        <f t="shared" si="17"/>
        <v>OK</v>
      </c>
      <c r="J263">
        <f t="shared" si="18"/>
        <v>0</v>
      </c>
      <c r="K263" s="2">
        <v>45945</v>
      </c>
      <c r="L263" s="2">
        <v>45945</v>
      </c>
      <c r="M263" s="2" t="str">
        <f t="shared" si="19"/>
        <v>OK</v>
      </c>
      <c r="N263" t="s">
        <v>519</v>
      </c>
      <c r="O263" t="s">
        <v>532</v>
      </c>
    </row>
    <row r="264" spans="1:15" hidden="1" x14ac:dyDescent="0.25">
      <c r="A264" t="str">
        <f>VLOOKUP(B264,'[1]Report Detail KPB'!$A$2:$F$264,6,0)</f>
        <v>16451-251029_0955</v>
      </c>
      <c r="B264" t="s">
        <v>520</v>
      </c>
      <c r="C264" t="s">
        <v>36</v>
      </c>
      <c r="D264">
        <v>822</v>
      </c>
      <c r="E264">
        <v>822</v>
      </c>
      <c r="F264" s="2" t="str">
        <f t="shared" si="16"/>
        <v>OK</v>
      </c>
      <c r="G264" s="2">
        <v>45904</v>
      </c>
      <c r="H264" s="2">
        <v>45903</v>
      </c>
      <c r="I264" s="2" t="str">
        <f t="shared" si="17"/>
        <v>Not</v>
      </c>
      <c r="J264">
        <f t="shared" si="18"/>
        <v>-1</v>
      </c>
      <c r="K264" s="2">
        <v>45931</v>
      </c>
      <c r="L264" s="2">
        <v>45931</v>
      </c>
      <c r="M264" s="2" t="str">
        <f t="shared" si="19"/>
        <v>OK</v>
      </c>
      <c r="N264" t="s">
        <v>521</v>
      </c>
      <c r="O264" t="s">
        <v>532</v>
      </c>
    </row>
  </sheetData>
  <autoFilter ref="A1:O264" xr:uid="{1701EE3F-236F-44AF-A578-F91180E80775}">
    <filterColumn colId="14">
      <filters>
        <filter val="Salah KM di WEBC"/>
        <filter val="Speedo sama dgn KPB Sept 2025"/>
        <filter val="Speedo terpotong"/>
        <filter val="Speedo tidak sesuai tipe"/>
        <filter val="Tgl di foto speedo tidak sesuai dengan tgl servis"/>
      </filters>
    </filterColumn>
    <sortState xmlns:xlrd2="http://schemas.microsoft.com/office/spreadsheetml/2017/richdata2" ref="A2:O264">
      <sortCondition ref="B1:B264"/>
    </sortState>
  </autoFilter>
  <conditionalFormatting sqref="F2:F264">
    <cfRule type="containsText" dxfId="5" priority="3" operator="containsText" text="Not">
      <formula>NOT(ISERROR(SEARCH("Not",F2)))</formula>
    </cfRule>
    <cfRule type="containsText" dxfId="4" priority="4" operator="containsText" text="OK">
      <formula>NOT(ISERROR(SEARCH("OK",F2)))</formula>
    </cfRule>
  </conditionalFormatting>
  <conditionalFormatting sqref="I2:I264">
    <cfRule type="containsText" dxfId="3" priority="5" operator="containsText" text="Not">
      <formula>NOT(ISERROR(SEARCH("Not",I2)))</formula>
    </cfRule>
    <cfRule type="containsText" dxfId="2" priority="6" operator="containsText" text="OK">
      <formula>NOT(ISERROR(SEARCH("OK",I2)))</formula>
    </cfRule>
  </conditionalFormatting>
  <conditionalFormatting sqref="M1:M1048576">
    <cfRule type="containsText" dxfId="1" priority="7" operator="containsText" text="Not">
      <formula>NOT(ISERROR(SEARCH("Not",M1)))</formula>
    </cfRule>
    <cfRule type="containsText" dxfId="0" priority="8" operator="containsText" text="OK">
      <formula>NOT(ISERROR(SEARCH("OK",M1)))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Meiliana Kristina</dc:creator>
  <cp:lastModifiedBy>Meiliana Kristina</cp:lastModifiedBy>
  <dcterms:created xsi:type="dcterms:W3CDTF">2025-11-21T10:05:51Z</dcterms:created>
  <dcterms:modified xsi:type="dcterms:W3CDTF">2025-11-22T05:29:52Z</dcterms:modified>
</cp:coreProperties>
</file>