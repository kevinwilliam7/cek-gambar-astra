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BACKUP DESKTOP MEI (24.09.2025)\KPB DIGITAL SO\2026\Jan 2026\"/>
    </mc:Choice>
  </mc:AlternateContent>
  <xr:revisionPtr revIDLastSave="0" documentId="13_ncr:1_{16D67A33-CD1A-42E5-BA5B-8FC8BD76861F}" xr6:coauthVersionLast="47" xr6:coauthVersionMax="47" xr10:uidLastSave="{00000000-0000-0000-0000-000000000000}"/>
  <bookViews>
    <workbookView xWindow="-120" yWindow="-120" windowWidth="20730" windowHeight="11040" activeTab="3" xr2:uid="{765DFD1F-27D7-4A86-B599-13E7808C0013}"/>
  </bookViews>
  <sheets>
    <sheet name="1-5 Jan" sheetId="1" r:id="rId1"/>
    <sheet name="11-15 Jan" sheetId="2" r:id="rId2"/>
    <sheet name="16-20 Jan" sheetId="3" r:id="rId3"/>
    <sheet name="21-25 Jan" sheetId="4" r:id="rId4"/>
  </sheets>
  <definedNames>
    <definedName name="_xlnm._FilterDatabase" localSheetId="1" hidden="1">'11-15 Jan'!$A$1:$O$4</definedName>
    <definedName name="_xlnm._FilterDatabase" localSheetId="0" hidden="1">'1-5 Jan'!$A$1:$O$5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4" l="1"/>
  <c r="J2" i="4"/>
  <c r="I2" i="4"/>
  <c r="F2" i="4"/>
  <c r="F2" i="3"/>
  <c r="I2" i="3"/>
  <c r="J2" i="3"/>
  <c r="M2" i="3"/>
  <c r="I3" i="2"/>
  <c r="I4" i="2"/>
  <c r="I2" i="2"/>
  <c r="J2" i="2"/>
  <c r="J3" i="2"/>
  <c r="J4" i="2"/>
  <c r="M3" i="2"/>
  <c r="M4" i="2"/>
  <c r="M2" i="2"/>
  <c r="F2" i="2"/>
  <c r="F3" i="2"/>
  <c r="F4" i="2"/>
  <c r="I3" i="1"/>
  <c r="I4" i="1"/>
  <c r="I5" i="1"/>
  <c r="I2" i="1"/>
  <c r="J5" i="1"/>
  <c r="M2" i="1"/>
  <c r="M3" i="1"/>
  <c r="M5" i="1"/>
  <c r="M4" i="1"/>
  <c r="J2" i="1"/>
  <c r="J3" i="1"/>
  <c r="J4" i="1"/>
  <c r="F5" i="1"/>
  <c r="F3" i="1"/>
  <c r="F2" i="1"/>
  <c r="F4" i="1"/>
</calcChain>
</file>

<file path=xl/sharedStrings.xml><?xml version="1.0" encoding="utf-8"?>
<sst xmlns="http://schemas.openxmlformats.org/spreadsheetml/2006/main" count="105" uniqueCount="42">
  <si>
    <t>no_mesin</t>
  </si>
  <si>
    <t>kpb_type</t>
  </si>
  <si>
    <t>km</t>
  </si>
  <si>
    <t>tanggal_beli</t>
  </si>
  <si>
    <t>tanggal_claim</t>
  </si>
  <si>
    <t>photo_url</t>
  </si>
  <si>
    <t>noted</t>
  </si>
  <si>
    <t>KPB3</t>
  </si>
  <si>
    <t>KPB2</t>
  </si>
  <si>
    <t>JMF1E1332939</t>
  </si>
  <si>
    <t>https://squarix.modakita.com//m2tf6l//avatar/2143513442026010514200740GQAT.jpg</t>
  </si>
  <si>
    <t>JMG1E1538310</t>
  </si>
  <si>
    <t>https://squarix.modakita.com//m2tf6l//avatar/21020590120260105142829YTLNO5.jpg</t>
  </si>
  <si>
    <t>JMH1E1275074</t>
  </si>
  <si>
    <t>https://squarix.modakita.com//m2tf6l//avatar/21421912320260102131336QR0B1E.jpg</t>
  </si>
  <si>
    <t>KFA1E1333188</t>
  </si>
  <si>
    <t>https://squarix.modakita.com//m2tf6l//avatar/21461233520260102132006NPXBVY.jpg</t>
  </si>
  <si>
    <t>No. Surat Klaim</t>
  </si>
  <si>
    <t>00010-260106_1405</t>
  </si>
  <si>
    <t>Tglb STAR</t>
  </si>
  <si>
    <t>Cek Tglb</t>
  </si>
  <si>
    <t>Tgls STAR</t>
  </si>
  <si>
    <t>Cek Tgls</t>
  </si>
  <si>
    <t>KM STAR</t>
  </si>
  <si>
    <t>Cek KM</t>
  </si>
  <si>
    <t>Ok (tidak ada fisik)</t>
  </si>
  <si>
    <t>Selisih</t>
  </si>
  <si>
    <t>KPB4</t>
  </si>
  <si>
    <t>KPB1</t>
  </si>
  <si>
    <t>JBK3E1593447</t>
  </si>
  <si>
    <t>KC04E1033541</t>
  </si>
  <si>
    <t>KFE1E1369092</t>
  </si>
  <si>
    <t>https://squarix.modakita.com//m2tf6l//avatar/24265989202601141500545XUSJX.jpg</t>
  </si>
  <si>
    <t>https://squarix.modakita.com//m2tf6l//avatar/2426598920260113111427XEF5K5.jpg</t>
  </si>
  <si>
    <t>https://squarix.modakita.com//m2tf6l//avatar/2426598920260112145102OM92RP.jpg</t>
  </si>
  <si>
    <t>00010-260117_1417</t>
  </si>
  <si>
    <t>KFC1E1203690</t>
  </si>
  <si>
    <t>00010-260121_1133</t>
  </si>
  <si>
    <t>https://squarix.modakita.com//m2tf6l//avatar/214245921202601191222108TMALY.jpg</t>
  </si>
  <si>
    <t>JMJ1E1008200</t>
  </si>
  <si>
    <t>https://squarix.modakita.com//m2tf6l//avatar/21482579720260121124829B2NX3O.jpg</t>
  </si>
  <si>
    <t>00010-260126_1346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</si>
</sst>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2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EEFFB-22AA-42AF-9F9D-4A39AE7EACD4}">
  <dimension ref="A1:O5"/>
  <sheetViews>
    <sheetView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1" width="19.42578125" bestFit="1" customWidth="1"/>
    <col min="2" max="2" width="13.85546875" bestFit="1" customWidth="1"/>
    <col min="3" max="3" width="9.28515625" bestFit="1" customWidth="1"/>
    <col min="4" max="4" width="6" bestFit="1" customWidth="1"/>
    <col min="5" max="6" width="6" customWidth="1"/>
    <col min="7" max="10" width="11.85546875" customWidth="1"/>
    <col min="11" max="13" width="13.28515625" customWidth="1"/>
    <col min="14" max="14" width="79.140625" hidden="1" customWidth="1"/>
    <col min="15" max="15" width="6.28515625" bestFit="1" customWidth="1"/>
  </cols>
  <sheetData>
    <row r="1" spans="1:15" x14ac:dyDescent="0.25">
      <c r="A1" s="3" t="s">
        <v>17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24</v>
      </c>
      <c r="G1" s="1" t="s">
        <v>3</v>
      </c>
      <c r="H1" s="1" t="s">
        <v>19</v>
      </c>
      <c r="I1" s="4" t="s">
        <v>26</v>
      </c>
      <c r="J1" s="1" t="s">
        <v>20</v>
      </c>
      <c r="K1" s="1" t="s">
        <v>4</v>
      </c>
      <c r="L1" s="1" t="s">
        <v>21</v>
      </c>
      <c r="M1" s="1" t="s">
        <v>22</v>
      </c>
      <c r="N1" s="1" t="s">
        <v>5</v>
      </c>
      <c r="O1" s="1" t="s">
        <v>6</v>
      </c>
    </row>
    <row r="2" spans="1:15" x14ac:dyDescent="0.25">
      <c r="A2" t="s">
        <v>18</v>
      </c>
      <c r="B2" t="s">
        <v>15</v>
      </c>
      <c r="C2" t="s">
        <v>8</v>
      </c>
      <c r="D2">
        <v>1127</v>
      </c>
      <c r="E2">
        <v>1127</v>
      </c>
      <c r="F2" t="str">
        <f>IF(D2=E2,"OK","Not")</f>
        <v>OK</v>
      </c>
      <c r="G2" s="2">
        <v>46002</v>
      </c>
      <c r="H2" s="2">
        <v>46002</v>
      </c>
      <c r="I2">
        <f>H2-G2</f>
        <v>0</v>
      </c>
      <c r="J2" t="str">
        <f>IF(G2=H2,"OK","Not")</f>
        <v>OK</v>
      </c>
      <c r="K2" s="2">
        <v>46024</v>
      </c>
      <c r="L2" s="2">
        <v>46024</v>
      </c>
      <c r="M2" t="str">
        <f>IF(K2=L2,"OK","Not")</f>
        <v>OK</v>
      </c>
      <c r="N2" t="s">
        <v>16</v>
      </c>
      <c r="O2" t="s">
        <v>25</v>
      </c>
    </row>
    <row r="3" spans="1:15" x14ac:dyDescent="0.25">
      <c r="A3" t="s">
        <v>18</v>
      </c>
      <c r="B3" t="s">
        <v>13</v>
      </c>
      <c r="C3" t="s">
        <v>8</v>
      </c>
      <c r="D3">
        <v>1405</v>
      </c>
      <c r="E3">
        <v>1405</v>
      </c>
      <c r="F3" t="str">
        <f>IF(D3=E3,"OK","Not")</f>
        <v>OK</v>
      </c>
      <c r="G3" s="2">
        <v>45946</v>
      </c>
      <c r="H3" s="2">
        <v>45946</v>
      </c>
      <c r="I3">
        <f t="shared" ref="I3:I5" si="0">H3-G3</f>
        <v>0</v>
      </c>
      <c r="J3" t="str">
        <f>IF(G3=H3,"OK","Not")</f>
        <v>OK</v>
      </c>
      <c r="K3" s="2">
        <v>46024</v>
      </c>
      <c r="L3" s="2">
        <v>46024</v>
      </c>
      <c r="M3" t="str">
        <f>IF(K3=L3,"OK","Not")</f>
        <v>OK</v>
      </c>
      <c r="N3" t="s">
        <v>14</v>
      </c>
      <c r="O3" t="s">
        <v>25</v>
      </c>
    </row>
    <row r="4" spans="1:15" x14ac:dyDescent="0.25">
      <c r="A4" t="s">
        <v>18</v>
      </c>
      <c r="B4" t="s">
        <v>9</v>
      </c>
      <c r="C4" t="s">
        <v>8</v>
      </c>
      <c r="D4">
        <v>3069</v>
      </c>
      <c r="E4">
        <v>3069</v>
      </c>
      <c r="F4" t="str">
        <f>IF(D4=E4,"OK","Not")</f>
        <v>OK</v>
      </c>
      <c r="G4" s="2">
        <v>45965</v>
      </c>
      <c r="H4" s="2">
        <v>45965</v>
      </c>
      <c r="I4">
        <f t="shared" si="0"/>
        <v>0</v>
      </c>
      <c r="J4" t="str">
        <f>IF(G4=H4,"OK","Not")</f>
        <v>OK</v>
      </c>
      <c r="K4" s="2">
        <v>46027</v>
      </c>
      <c r="L4" s="2">
        <v>46027</v>
      </c>
      <c r="M4" t="str">
        <f>IF(K4=L4,"OK","Not")</f>
        <v>OK</v>
      </c>
      <c r="N4" t="s">
        <v>10</v>
      </c>
      <c r="O4" t="s">
        <v>25</v>
      </c>
    </row>
    <row r="5" spans="1:15" x14ac:dyDescent="0.25">
      <c r="A5" t="s">
        <v>18</v>
      </c>
      <c r="B5" t="s">
        <v>11</v>
      </c>
      <c r="C5" t="s">
        <v>7</v>
      </c>
      <c r="D5">
        <v>7971</v>
      </c>
      <c r="E5">
        <v>7971</v>
      </c>
      <c r="F5" t="str">
        <f>IF(D5=E5,"OK","Not")</f>
        <v>OK</v>
      </c>
      <c r="G5" s="2">
        <v>45940</v>
      </c>
      <c r="H5" s="2">
        <v>45940</v>
      </c>
      <c r="I5">
        <f t="shared" si="0"/>
        <v>0</v>
      </c>
      <c r="J5" t="str">
        <f>IF(G5=H5,"OK","Not")</f>
        <v>OK</v>
      </c>
      <c r="K5" s="2">
        <v>46027</v>
      </c>
      <c r="L5" s="2">
        <v>46027</v>
      </c>
      <c r="M5" t="str">
        <f>IF(K5=L5,"OK","Not")</f>
        <v>OK</v>
      </c>
      <c r="N5" t="s">
        <v>12</v>
      </c>
      <c r="O5" t="s">
        <v>25</v>
      </c>
    </row>
  </sheetData>
  <autoFilter ref="A1:O5" xr:uid="{C5CEEFFB-22AA-42AF-9F9D-4A39AE7EACD4}">
    <sortState xmlns:xlrd2="http://schemas.microsoft.com/office/spreadsheetml/2017/richdata2" ref="A2:O5">
      <sortCondition ref="D1:D5"/>
    </sortState>
  </autoFilter>
  <conditionalFormatting sqref="B1:B1048576">
    <cfRule type="duplicateValues" dxfId="26" priority="2"/>
    <cfRule type="duplicateValues" dxfId="25" priority="6"/>
  </conditionalFormatting>
  <conditionalFormatting sqref="D1:D1048576">
    <cfRule type="duplicateValues" dxfId="24" priority="1"/>
  </conditionalFormatting>
  <conditionalFormatting sqref="F1:F1048576">
    <cfRule type="containsText" dxfId="23" priority="5" operator="containsText" text="OK">
      <formula>NOT(ISERROR(SEARCH("OK",F1)))</formula>
    </cfRule>
  </conditionalFormatting>
  <conditionalFormatting sqref="J2:J5">
    <cfRule type="containsText" dxfId="22" priority="4" operator="containsText" text="OK">
      <formula>NOT(ISERROR(SEARCH("OK",J2)))</formula>
    </cfRule>
  </conditionalFormatting>
  <conditionalFormatting sqref="M2:M5">
    <cfRule type="containsText" dxfId="21" priority="3" operator="containsText" text="OK">
      <formula>NOT(ISERROR(SEARCH("OK",M2)))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6D939-AFBD-43C6-AC93-19D6DFFB002F}">
  <dimension ref="A1:O4"/>
  <sheetViews>
    <sheetView workbookViewId="0">
      <pane ySplit="1" topLeftCell="A2" activePane="bottomLeft" state="frozen"/>
      <selection pane="bottomLeft" activeCell="O2" sqref="A1:O2"/>
    </sheetView>
  </sheetViews>
  <sheetFormatPr defaultRowHeight="15" x14ac:dyDescent="0.25"/>
  <cols>
    <col min="1" max="1" width="17.85546875" bestFit="1" customWidth="1"/>
    <col min="2" max="2" width="13.7109375" bestFit="1" customWidth="1"/>
    <col min="3" max="3" width="9.28515625" bestFit="1" customWidth="1"/>
    <col min="4" max="4" width="5" bestFit="1" customWidth="1"/>
    <col min="5" max="5" width="8.85546875" customWidth="1"/>
    <col min="6" max="6" width="7.7109375" customWidth="1"/>
    <col min="7" max="7" width="11.85546875" customWidth="1"/>
    <col min="8" max="8" width="10.42578125" customWidth="1"/>
    <col min="9" max="9" width="6.85546875" customWidth="1"/>
    <col min="10" max="10" width="8.42578125" customWidth="1"/>
    <col min="11" max="11" width="13.28515625" customWidth="1"/>
    <col min="12" max="12" width="10.42578125" customWidth="1"/>
    <col min="13" max="13" width="8.140625" customWidth="1"/>
    <col min="14" max="14" width="77.5703125" hidden="1" customWidth="1"/>
    <col min="15" max="15" width="18" bestFit="1" customWidth="1"/>
  </cols>
  <sheetData>
    <row r="1" spans="1:15" x14ac:dyDescent="0.25">
      <c r="A1" s="3" t="s">
        <v>17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24</v>
      </c>
      <c r="G1" s="1" t="s">
        <v>3</v>
      </c>
      <c r="H1" s="1" t="s">
        <v>19</v>
      </c>
      <c r="I1" s="4" t="s">
        <v>26</v>
      </c>
      <c r="J1" s="1" t="s">
        <v>20</v>
      </c>
      <c r="K1" s="1" t="s">
        <v>4</v>
      </c>
      <c r="L1" s="1" t="s">
        <v>21</v>
      </c>
      <c r="M1" s="1" t="s">
        <v>22</v>
      </c>
      <c r="N1" s="1" t="s">
        <v>5</v>
      </c>
      <c r="O1" s="1" t="s">
        <v>6</v>
      </c>
    </row>
    <row r="2" spans="1:15" x14ac:dyDescent="0.25">
      <c r="A2" t="s">
        <v>35</v>
      </c>
      <c r="B2" t="s">
        <v>29</v>
      </c>
      <c r="C2" t="s">
        <v>27</v>
      </c>
      <c r="D2">
        <v>6991</v>
      </c>
      <c r="E2">
        <v>6991</v>
      </c>
      <c r="F2" t="str">
        <f>IF(D2=E2,"OK","Not")</f>
        <v>OK</v>
      </c>
      <c r="G2" s="2">
        <v>45932</v>
      </c>
      <c r="H2" s="2">
        <v>45932</v>
      </c>
      <c r="I2">
        <f>H2-G2</f>
        <v>0</v>
      </c>
      <c r="J2" t="str">
        <f>IF(H2=G2,"OK","Not")</f>
        <v>OK</v>
      </c>
      <c r="K2" s="2">
        <v>46036</v>
      </c>
      <c r="L2" s="2">
        <v>46036</v>
      </c>
      <c r="M2" t="str">
        <f>IF(K2=L2,"OK","Not")</f>
        <v>OK</v>
      </c>
      <c r="N2" t="s">
        <v>32</v>
      </c>
      <c r="O2" t="s">
        <v>25</v>
      </c>
    </row>
    <row r="3" spans="1:15" x14ac:dyDescent="0.25">
      <c r="A3" t="s">
        <v>35</v>
      </c>
      <c r="B3" t="s">
        <v>30</v>
      </c>
      <c r="C3" t="s">
        <v>28</v>
      </c>
      <c r="D3">
        <v>1068</v>
      </c>
      <c r="E3">
        <v>1068</v>
      </c>
      <c r="F3" t="str">
        <f>IF(D3=E3,"OK","Not")</f>
        <v>OK</v>
      </c>
      <c r="G3" s="2">
        <v>46025</v>
      </c>
      <c r="H3" s="2">
        <v>46025</v>
      </c>
      <c r="I3">
        <f>H3-G3</f>
        <v>0</v>
      </c>
      <c r="J3" t="str">
        <f>IF(H3=G3,"OK","Not")</f>
        <v>OK</v>
      </c>
      <c r="K3" s="2">
        <v>46035</v>
      </c>
      <c r="L3" s="2">
        <v>46035</v>
      </c>
      <c r="M3" t="str">
        <f>IF(K3=L3,"OK","Not")</f>
        <v>OK</v>
      </c>
      <c r="N3" t="s">
        <v>33</v>
      </c>
      <c r="O3" t="s">
        <v>25</v>
      </c>
    </row>
    <row r="4" spans="1:15" x14ac:dyDescent="0.25">
      <c r="A4" t="s">
        <v>35</v>
      </c>
      <c r="B4" t="s">
        <v>31</v>
      </c>
      <c r="C4" t="s">
        <v>28</v>
      </c>
      <c r="D4">
        <v>675</v>
      </c>
      <c r="E4">
        <v>675</v>
      </c>
      <c r="F4" t="str">
        <f>IF(D4=E4,"OK","Not")</f>
        <v>OK</v>
      </c>
      <c r="G4" s="2">
        <v>46006</v>
      </c>
      <c r="H4" s="2">
        <v>46006</v>
      </c>
      <c r="I4">
        <f>H4-G4</f>
        <v>0</v>
      </c>
      <c r="J4" t="str">
        <f>IF(H4=G4,"OK","Not")</f>
        <v>OK</v>
      </c>
      <c r="K4" s="2">
        <v>46034</v>
      </c>
      <c r="L4" s="2">
        <v>46034</v>
      </c>
      <c r="M4" t="str">
        <f>IF(K4=L4,"OK","Not")</f>
        <v>OK</v>
      </c>
      <c r="N4" t="s">
        <v>34</v>
      </c>
      <c r="O4" t="s">
        <v>25</v>
      </c>
    </row>
  </sheetData>
  <autoFilter ref="A1:O4" xr:uid="{5BF6D939-AFBD-43C6-AC93-19D6DFFB002F}">
    <sortState xmlns:xlrd2="http://schemas.microsoft.com/office/spreadsheetml/2017/richdata2" ref="A2:O4">
      <sortCondition ref="B1:B4"/>
    </sortState>
  </autoFilter>
  <conditionalFormatting sqref="B1">
    <cfRule type="duplicateValues" dxfId="20" priority="11"/>
    <cfRule type="duplicateValues" dxfId="19" priority="12"/>
  </conditionalFormatting>
  <conditionalFormatting sqref="B1:B1048576">
    <cfRule type="duplicateValues" dxfId="18" priority="1"/>
  </conditionalFormatting>
  <conditionalFormatting sqref="D1">
    <cfRule type="duplicateValues" dxfId="17" priority="13"/>
  </conditionalFormatting>
  <conditionalFormatting sqref="F1:F4">
    <cfRule type="containsText" dxfId="16" priority="4" operator="containsText" text="OK">
      <formula>NOT(ISERROR(SEARCH("OK",F1)))</formula>
    </cfRule>
  </conditionalFormatting>
  <conditionalFormatting sqref="J2:J4">
    <cfRule type="containsText" dxfId="15" priority="2" operator="containsText" text="OK">
      <formula>NOT(ISERROR(SEARCH("OK",J2)))</formula>
    </cfRule>
  </conditionalFormatting>
  <conditionalFormatting sqref="M2:M4">
    <cfRule type="containsText" dxfId="14" priority="3" operator="containsText" text="OK">
      <formula>NOT(ISERROR(SEARCH("OK",M2)))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8031A-1CB5-4A5A-96C5-4BFC40C6CD53}">
  <dimension ref="A1:O2"/>
  <sheetViews>
    <sheetView workbookViewId="0">
      <pane ySplit="1" topLeftCell="A2" activePane="bottomLeft" state="frozen"/>
      <selection pane="bottomLeft" activeCell="L12" sqref="L12"/>
    </sheetView>
  </sheetViews>
  <sheetFormatPr defaultRowHeight="15" x14ac:dyDescent="0.25"/>
  <cols>
    <col min="1" max="1" width="17.85546875" bestFit="1" customWidth="1"/>
    <col min="2" max="2" width="13.140625" bestFit="1" customWidth="1"/>
    <col min="3" max="3" width="9.28515625" bestFit="1" customWidth="1"/>
    <col min="4" max="4" width="5" bestFit="1" customWidth="1"/>
    <col min="5" max="5" width="8.85546875" customWidth="1"/>
    <col min="6" max="6" width="7.7109375" customWidth="1"/>
    <col min="7" max="7" width="11.85546875" customWidth="1"/>
    <col min="8" max="8" width="10.42578125" customWidth="1"/>
    <col min="9" max="9" width="6.85546875" customWidth="1"/>
    <col min="10" max="10" width="8.42578125" customWidth="1"/>
    <col min="11" max="11" width="13.28515625" customWidth="1"/>
    <col min="12" max="12" width="10.42578125" customWidth="1"/>
    <col min="13" max="13" width="8.140625" customWidth="1"/>
    <col min="14" max="14" width="75.85546875" hidden="1" customWidth="1"/>
    <col min="15" max="15" width="18" bestFit="1" customWidth="1"/>
  </cols>
  <sheetData>
    <row r="1" spans="1:15" x14ac:dyDescent="0.25">
      <c r="A1" s="3" t="s">
        <v>17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24</v>
      </c>
      <c r="G1" s="1" t="s">
        <v>3</v>
      </c>
      <c r="H1" s="1" t="s">
        <v>19</v>
      </c>
      <c r="I1" s="4" t="s">
        <v>26</v>
      </c>
      <c r="J1" s="1" t="s">
        <v>20</v>
      </c>
      <c r="K1" s="1" t="s">
        <v>4</v>
      </c>
      <c r="L1" s="1" t="s">
        <v>21</v>
      </c>
      <c r="M1" s="1" t="s">
        <v>22</v>
      </c>
      <c r="N1" s="1" t="s">
        <v>5</v>
      </c>
      <c r="O1" s="1" t="s">
        <v>6</v>
      </c>
    </row>
    <row r="2" spans="1:15" x14ac:dyDescent="0.25">
      <c r="A2" t="s">
        <v>37</v>
      </c>
      <c r="B2" t="s">
        <v>36</v>
      </c>
      <c r="C2" t="s">
        <v>7</v>
      </c>
      <c r="D2">
        <v>6930</v>
      </c>
      <c r="E2">
        <v>6930</v>
      </c>
      <c r="F2" t="str">
        <f>IF(D2=E2,"OK","Not")</f>
        <v>OK</v>
      </c>
      <c r="G2" s="2">
        <v>45950</v>
      </c>
      <c r="H2" s="2">
        <v>45950</v>
      </c>
      <c r="I2">
        <f>H2-G2</f>
        <v>0</v>
      </c>
      <c r="J2" t="str">
        <f>IF(H2=G2,"OK","Not")</f>
        <v>OK</v>
      </c>
      <c r="K2" s="2">
        <v>46041</v>
      </c>
      <c r="L2" s="2">
        <v>46041</v>
      </c>
      <c r="M2" t="str">
        <f>IF(K2=L2,"OK","Not")</f>
        <v>OK</v>
      </c>
      <c r="N2" t="s">
        <v>38</v>
      </c>
      <c r="O2" t="s">
        <v>25</v>
      </c>
    </row>
  </sheetData>
  <conditionalFormatting sqref="B1">
    <cfRule type="duplicateValues" dxfId="13" priority="5"/>
    <cfRule type="duplicateValues" dxfId="12" priority="6"/>
  </conditionalFormatting>
  <conditionalFormatting sqref="B1:B2">
    <cfRule type="duplicateValues" dxfId="11" priority="1"/>
  </conditionalFormatting>
  <conditionalFormatting sqref="D1">
    <cfRule type="duplicateValues" dxfId="10" priority="7"/>
  </conditionalFormatting>
  <conditionalFormatting sqref="F1:F2">
    <cfRule type="containsText" dxfId="9" priority="4" operator="containsText" text="OK">
      <formula>NOT(ISERROR(SEARCH("OK",F1)))</formula>
    </cfRule>
  </conditionalFormatting>
  <conditionalFormatting sqref="J2">
    <cfRule type="containsText" dxfId="8" priority="2" operator="containsText" text="OK">
      <formula>NOT(ISERROR(SEARCH("OK",J2)))</formula>
    </cfRule>
  </conditionalFormatting>
  <conditionalFormatting sqref="M2">
    <cfRule type="containsText" dxfId="7" priority="3" operator="containsText" text="OK">
      <formula>NOT(ISERROR(SEARCH("OK",M2)))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9E496-7DAC-4A21-8175-8CC8BDE04960}">
  <dimension ref="A1:O2"/>
  <sheetViews>
    <sheetView tabSelected="1" workbookViewId="0">
      <pane ySplit="1" topLeftCell="A2" activePane="bottomLeft" state="frozen"/>
      <selection pane="bottomLeft" activeCell="E7" sqref="E7"/>
    </sheetView>
  </sheetViews>
  <sheetFormatPr defaultRowHeight="15" x14ac:dyDescent="0.25"/>
  <cols>
    <col min="1" max="1" width="17.85546875" bestFit="1" customWidth="1"/>
    <col min="2" max="2" width="13.140625" bestFit="1" customWidth="1"/>
    <col min="3" max="3" width="9.28515625" bestFit="1" customWidth="1"/>
    <col min="4" max="4" width="5" bestFit="1" customWidth="1"/>
    <col min="5" max="5" width="8.85546875" customWidth="1"/>
    <col min="6" max="6" width="7.7109375" customWidth="1"/>
    <col min="7" max="7" width="11.85546875" customWidth="1"/>
    <col min="8" max="8" width="10.42578125" customWidth="1"/>
    <col min="9" max="9" width="6.85546875" customWidth="1"/>
    <col min="10" max="10" width="8.42578125" customWidth="1"/>
    <col min="11" max="11" width="13.28515625" customWidth="1"/>
    <col min="12" max="12" width="10.42578125" customWidth="1"/>
    <col min="13" max="13" width="8.140625" customWidth="1"/>
    <col min="14" max="14" width="75.85546875" hidden="1" customWidth="1"/>
    <col min="15" max="15" width="18" bestFit="1" customWidth="1"/>
  </cols>
  <sheetData>
    <row r="1" spans="1:15" x14ac:dyDescent="0.25">
      <c r="A1" s="3" t="s">
        <v>17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24</v>
      </c>
      <c r="G1" s="1" t="s">
        <v>3</v>
      </c>
      <c r="H1" s="1" t="s">
        <v>19</v>
      </c>
      <c r="I1" s="4" t="s">
        <v>26</v>
      </c>
      <c r="J1" s="1" t="s">
        <v>20</v>
      </c>
      <c r="K1" s="1" t="s">
        <v>4</v>
      </c>
      <c r="L1" s="1" t="s">
        <v>21</v>
      </c>
      <c r="M1" s="1" t="s">
        <v>22</v>
      </c>
      <c r="N1" s="1" t="s">
        <v>5</v>
      </c>
      <c r="O1" s="1" t="s">
        <v>6</v>
      </c>
    </row>
    <row r="2" spans="1:15" x14ac:dyDescent="0.25">
      <c r="A2" t="s">
        <v>41</v>
      </c>
      <c r="B2" t="s">
        <v>39</v>
      </c>
      <c r="C2" t="s">
        <v>28</v>
      </c>
      <c r="D2">
        <v>1068</v>
      </c>
      <c r="E2">
        <v>1068</v>
      </c>
      <c r="F2" t="str">
        <f>IF(D2=E2,"OK","Not")</f>
        <v>OK</v>
      </c>
      <c r="G2" s="2">
        <v>46028</v>
      </c>
      <c r="H2" s="2">
        <v>46028</v>
      </c>
      <c r="I2">
        <f>H2-G2</f>
        <v>0</v>
      </c>
      <c r="J2" t="str">
        <f>IF(H2=G2,"OK","Not")</f>
        <v>OK</v>
      </c>
      <c r="K2" s="2">
        <v>46043</v>
      </c>
      <c r="L2" s="2">
        <v>46043</v>
      </c>
      <c r="M2" t="str">
        <f>IF(K2=L2,"OK","Not")</f>
        <v>OK</v>
      </c>
      <c r="N2" t="s">
        <v>40</v>
      </c>
      <c r="O2" t="s">
        <v>25</v>
      </c>
    </row>
  </sheetData>
  <conditionalFormatting sqref="B1">
    <cfRule type="duplicateValues" dxfId="6" priority="5"/>
    <cfRule type="duplicateValues" dxfId="5" priority="6"/>
  </conditionalFormatting>
  <conditionalFormatting sqref="B1:B2">
    <cfRule type="duplicateValues" dxfId="4" priority="1"/>
  </conditionalFormatting>
  <conditionalFormatting sqref="D1">
    <cfRule type="duplicateValues" dxfId="3" priority="7"/>
  </conditionalFormatting>
  <conditionalFormatting sqref="F1:F2">
    <cfRule type="containsText" dxfId="2" priority="4" operator="containsText" text="OK">
      <formula>NOT(ISERROR(SEARCH("OK",F1)))</formula>
    </cfRule>
  </conditionalFormatting>
  <conditionalFormatting sqref="J2">
    <cfRule type="containsText" dxfId="1" priority="2" operator="containsText" text="OK">
      <formula>NOT(ISERROR(SEARCH("OK",J2)))</formula>
    </cfRule>
  </conditionalFormatting>
  <conditionalFormatting sqref="M2">
    <cfRule type="containsText" dxfId="0" priority="3" operator="containsText" text="OK">
      <formula>NOT(ISERROR(SEARCH("OK",M2)))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1-5 Jan</vt:lpstr>
      <vt:lpstr>11-15 Jan</vt:lpstr>
      <vt:lpstr>16-20 Jan</vt:lpstr>
      <vt:lpstr>21-25 Jan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2026-01-13T04:10:35Z</dcterms:created>
  <dcterms:modified xsi:type="dcterms:W3CDTF">2026-01-27T09:41:33Z</dcterms:modified>
</cp:coreProperties>
</file>