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cek_kpb\kpb_08_2025\fisik2\"/>
    </mc:Choice>
  </mc:AlternateContent>
  <xr:revisionPtr revIDLastSave="0" documentId="13_ncr:1_{7704DF4B-2CFA-4BB7-9790-FEA041C946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KPB'!$A$1:$P$67</definedName>
    <definedName name="_xlnm.Print_Area" localSheetId="1">'Report Detail KPB'!$A$1:$E$67</definedName>
    <definedName name="_xlnm.Print_Area" localSheetId="0">'Report Rekap KPB'!$A$1:$L$14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H2" i="2"/>
  <c r="I2" i="2"/>
  <c r="J2" i="2"/>
  <c r="K2" i="2"/>
  <c r="L2" i="2"/>
  <c r="O2" i="2" s="1"/>
  <c r="P2" i="2" s="1"/>
  <c r="M2" i="2"/>
  <c r="N2" i="2"/>
  <c r="G7" i="2"/>
  <c r="G20" i="2"/>
  <c r="G62" i="2"/>
  <c r="G3" i="2"/>
  <c r="H3" i="2"/>
  <c r="I3" i="2"/>
  <c r="J3" i="2"/>
  <c r="L3" i="2"/>
  <c r="M3" i="2"/>
  <c r="N3" i="2"/>
  <c r="G4" i="2"/>
  <c r="H4" i="2"/>
  <c r="I4" i="2"/>
  <c r="J4" i="2"/>
  <c r="L4" i="2"/>
  <c r="M4" i="2"/>
  <c r="N4" i="2"/>
  <c r="G5" i="2"/>
  <c r="H5" i="2"/>
  <c r="I5" i="2"/>
  <c r="J5" i="2"/>
  <c r="L5" i="2"/>
  <c r="M5" i="2"/>
  <c r="N5" i="2"/>
  <c r="G6" i="2"/>
  <c r="H6" i="2"/>
  <c r="I6" i="2"/>
  <c r="J6" i="2"/>
  <c r="L6" i="2"/>
  <c r="M6" i="2"/>
  <c r="N6" i="2"/>
  <c r="H7" i="2"/>
  <c r="I7" i="2"/>
  <c r="J7" i="2"/>
  <c r="L7" i="2"/>
  <c r="M7" i="2"/>
  <c r="N7" i="2"/>
  <c r="G8" i="2"/>
  <c r="H8" i="2"/>
  <c r="I8" i="2"/>
  <c r="J8" i="2"/>
  <c r="L8" i="2"/>
  <c r="M8" i="2"/>
  <c r="N8" i="2"/>
  <c r="G9" i="2"/>
  <c r="H9" i="2"/>
  <c r="I9" i="2"/>
  <c r="J9" i="2"/>
  <c r="L9" i="2"/>
  <c r="M9" i="2"/>
  <c r="N9" i="2"/>
  <c r="G10" i="2"/>
  <c r="H10" i="2"/>
  <c r="I10" i="2"/>
  <c r="J10" i="2"/>
  <c r="L10" i="2"/>
  <c r="M10" i="2"/>
  <c r="N10" i="2"/>
  <c r="G11" i="2"/>
  <c r="H11" i="2"/>
  <c r="I11" i="2"/>
  <c r="J11" i="2"/>
  <c r="L11" i="2"/>
  <c r="M11" i="2"/>
  <c r="N11" i="2"/>
  <c r="G12" i="2"/>
  <c r="H12" i="2"/>
  <c r="I12" i="2"/>
  <c r="J12" i="2"/>
  <c r="L12" i="2"/>
  <c r="M12" i="2"/>
  <c r="N12" i="2"/>
  <c r="G13" i="2"/>
  <c r="H13" i="2"/>
  <c r="I13" i="2"/>
  <c r="J13" i="2"/>
  <c r="L13" i="2"/>
  <c r="M13" i="2"/>
  <c r="N13" i="2"/>
  <c r="G14" i="2"/>
  <c r="H14" i="2"/>
  <c r="I14" i="2"/>
  <c r="J14" i="2"/>
  <c r="L14" i="2"/>
  <c r="M14" i="2"/>
  <c r="N14" i="2"/>
  <c r="G15" i="2"/>
  <c r="H15" i="2"/>
  <c r="I15" i="2"/>
  <c r="J15" i="2"/>
  <c r="L15" i="2"/>
  <c r="M15" i="2"/>
  <c r="N15" i="2"/>
  <c r="G16" i="2"/>
  <c r="H16" i="2"/>
  <c r="I16" i="2"/>
  <c r="J16" i="2"/>
  <c r="L16" i="2"/>
  <c r="M16" i="2"/>
  <c r="N16" i="2"/>
  <c r="G17" i="2"/>
  <c r="H17" i="2"/>
  <c r="I17" i="2"/>
  <c r="J17" i="2"/>
  <c r="L17" i="2"/>
  <c r="M17" i="2"/>
  <c r="N17" i="2"/>
  <c r="G18" i="2"/>
  <c r="H18" i="2"/>
  <c r="I18" i="2"/>
  <c r="J18" i="2"/>
  <c r="L18" i="2"/>
  <c r="M18" i="2"/>
  <c r="N18" i="2"/>
  <c r="G19" i="2"/>
  <c r="H19" i="2"/>
  <c r="I19" i="2"/>
  <c r="J19" i="2"/>
  <c r="L19" i="2"/>
  <c r="M19" i="2"/>
  <c r="N19" i="2"/>
  <c r="H20" i="2"/>
  <c r="I20" i="2"/>
  <c r="J20" i="2"/>
  <c r="L20" i="2"/>
  <c r="M20" i="2"/>
  <c r="N20" i="2"/>
  <c r="G21" i="2"/>
  <c r="H21" i="2"/>
  <c r="I21" i="2"/>
  <c r="J21" i="2"/>
  <c r="L21" i="2"/>
  <c r="M21" i="2"/>
  <c r="N21" i="2"/>
  <c r="G22" i="2"/>
  <c r="H22" i="2"/>
  <c r="I22" i="2"/>
  <c r="J22" i="2"/>
  <c r="L22" i="2"/>
  <c r="M22" i="2"/>
  <c r="N22" i="2"/>
  <c r="G23" i="2"/>
  <c r="H23" i="2"/>
  <c r="I23" i="2"/>
  <c r="J23" i="2"/>
  <c r="L23" i="2"/>
  <c r="M23" i="2"/>
  <c r="N23" i="2"/>
  <c r="G24" i="2"/>
  <c r="H24" i="2"/>
  <c r="I24" i="2"/>
  <c r="J24" i="2"/>
  <c r="L24" i="2"/>
  <c r="M24" i="2"/>
  <c r="N24" i="2"/>
  <c r="G25" i="2"/>
  <c r="H25" i="2"/>
  <c r="I25" i="2"/>
  <c r="J25" i="2"/>
  <c r="L25" i="2"/>
  <c r="M25" i="2"/>
  <c r="N25" i="2"/>
  <c r="G26" i="2"/>
  <c r="H26" i="2"/>
  <c r="I26" i="2"/>
  <c r="J26" i="2"/>
  <c r="L26" i="2"/>
  <c r="M26" i="2"/>
  <c r="N26" i="2"/>
  <c r="G27" i="2"/>
  <c r="H27" i="2"/>
  <c r="I27" i="2"/>
  <c r="J27" i="2"/>
  <c r="L27" i="2"/>
  <c r="M27" i="2"/>
  <c r="N27" i="2"/>
  <c r="G28" i="2"/>
  <c r="H28" i="2"/>
  <c r="I28" i="2"/>
  <c r="J28" i="2"/>
  <c r="L28" i="2"/>
  <c r="M28" i="2"/>
  <c r="N28" i="2"/>
  <c r="G29" i="2"/>
  <c r="H29" i="2"/>
  <c r="I29" i="2"/>
  <c r="J29" i="2"/>
  <c r="L29" i="2"/>
  <c r="M29" i="2"/>
  <c r="N29" i="2"/>
  <c r="G30" i="2"/>
  <c r="H30" i="2"/>
  <c r="I30" i="2"/>
  <c r="J30" i="2"/>
  <c r="L30" i="2"/>
  <c r="M30" i="2"/>
  <c r="N30" i="2"/>
  <c r="G31" i="2"/>
  <c r="H31" i="2"/>
  <c r="I31" i="2"/>
  <c r="J31" i="2"/>
  <c r="L31" i="2"/>
  <c r="M31" i="2"/>
  <c r="N31" i="2"/>
  <c r="G32" i="2"/>
  <c r="H32" i="2"/>
  <c r="I32" i="2"/>
  <c r="J32" i="2"/>
  <c r="L32" i="2"/>
  <c r="M32" i="2"/>
  <c r="N32" i="2"/>
  <c r="G33" i="2"/>
  <c r="H33" i="2"/>
  <c r="I33" i="2"/>
  <c r="J33" i="2"/>
  <c r="L33" i="2"/>
  <c r="M33" i="2"/>
  <c r="N33" i="2"/>
  <c r="G34" i="2"/>
  <c r="H34" i="2"/>
  <c r="I34" i="2"/>
  <c r="J34" i="2"/>
  <c r="L34" i="2"/>
  <c r="M34" i="2"/>
  <c r="N34" i="2"/>
  <c r="G35" i="2"/>
  <c r="H35" i="2"/>
  <c r="I35" i="2"/>
  <c r="J35" i="2"/>
  <c r="L35" i="2"/>
  <c r="M35" i="2"/>
  <c r="N35" i="2"/>
  <c r="G36" i="2"/>
  <c r="H36" i="2"/>
  <c r="I36" i="2"/>
  <c r="J36" i="2"/>
  <c r="L36" i="2"/>
  <c r="M36" i="2"/>
  <c r="N36" i="2"/>
  <c r="G37" i="2"/>
  <c r="H37" i="2"/>
  <c r="I37" i="2"/>
  <c r="J37" i="2"/>
  <c r="L37" i="2"/>
  <c r="M37" i="2"/>
  <c r="N37" i="2"/>
  <c r="G38" i="2"/>
  <c r="H38" i="2"/>
  <c r="I38" i="2"/>
  <c r="J38" i="2"/>
  <c r="L38" i="2"/>
  <c r="M38" i="2"/>
  <c r="N38" i="2"/>
  <c r="G39" i="2"/>
  <c r="H39" i="2"/>
  <c r="I39" i="2"/>
  <c r="J39" i="2"/>
  <c r="L39" i="2"/>
  <c r="M39" i="2"/>
  <c r="N39" i="2"/>
  <c r="G40" i="2"/>
  <c r="H40" i="2"/>
  <c r="I40" i="2"/>
  <c r="J40" i="2"/>
  <c r="L40" i="2"/>
  <c r="M40" i="2"/>
  <c r="N40" i="2"/>
  <c r="G41" i="2"/>
  <c r="H41" i="2"/>
  <c r="I41" i="2"/>
  <c r="J41" i="2"/>
  <c r="L41" i="2"/>
  <c r="M41" i="2"/>
  <c r="N41" i="2"/>
  <c r="G42" i="2"/>
  <c r="H42" i="2"/>
  <c r="I42" i="2"/>
  <c r="J42" i="2"/>
  <c r="L42" i="2"/>
  <c r="M42" i="2"/>
  <c r="N42" i="2"/>
  <c r="G43" i="2"/>
  <c r="H43" i="2"/>
  <c r="I43" i="2"/>
  <c r="J43" i="2"/>
  <c r="L43" i="2"/>
  <c r="M43" i="2"/>
  <c r="N43" i="2"/>
  <c r="G44" i="2"/>
  <c r="H44" i="2"/>
  <c r="I44" i="2"/>
  <c r="J44" i="2"/>
  <c r="L44" i="2"/>
  <c r="M44" i="2"/>
  <c r="N44" i="2"/>
  <c r="G45" i="2"/>
  <c r="H45" i="2"/>
  <c r="I45" i="2"/>
  <c r="J45" i="2"/>
  <c r="L45" i="2"/>
  <c r="M45" i="2"/>
  <c r="N45" i="2"/>
  <c r="G46" i="2"/>
  <c r="H46" i="2"/>
  <c r="I46" i="2"/>
  <c r="J46" i="2"/>
  <c r="L46" i="2"/>
  <c r="M46" i="2"/>
  <c r="N46" i="2"/>
  <c r="G47" i="2"/>
  <c r="H47" i="2"/>
  <c r="I47" i="2"/>
  <c r="J47" i="2"/>
  <c r="L47" i="2"/>
  <c r="M47" i="2"/>
  <c r="N47" i="2"/>
  <c r="G48" i="2"/>
  <c r="H48" i="2"/>
  <c r="I48" i="2"/>
  <c r="J48" i="2"/>
  <c r="L48" i="2"/>
  <c r="M48" i="2"/>
  <c r="N48" i="2"/>
  <c r="G49" i="2"/>
  <c r="H49" i="2"/>
  <c r="I49" i="2"/>
  <c r="J49" i="2"/>
  <c r="L49" i="2"/>
  <c r="M49" i="2"/>
  <c r="N49" i="2"/>
  <c r="G50" i="2"/>
  <c r="H50" i="2"/>
  <c r="I50" i="2"/>
  <c r="J50" i="2"/>
  <c r="L50" i="2"/>
  <c r="M50" i="2"/>
  <c r="N50" i="2"/>
  <c r="G51" i="2"/>
  <c r="H51" i="2"/>
  <c r="I51" i="2"/>
  <c r="J51" i="2"/>
  <c r="L51" i="2"/>
  <c r="M51" i="2"/>
  <c r="N51" i="2"/>
  <c r="G52" i="2"/>
  <c r="H52" i="2"/>
  <c r="I52" i="2"/>
  <c r="J52" i="2"/>
  <c r="L52" i="2"/>
  <c r="M52" i="2"/>
  <c r="N52" i="2"/>
  <c r="G53" i="2"/>
  <c r="H53" i="2"/>
  <c r="I53" i="2"/>
  <c r="J53" i="2"/>
  <c r="L53" i="2"/>
  <c r="M53" i="2"/>
  <c r="N53" i="2"/>
  <c r="G54" i="2"/>
  <c r="H54" i="2"/>
  <c r="I54" i="2"/>
  <c r="J54" i="2"/>
  <c r="L54" i="2"/>
  <c r="M54" i="2"/>
  <c r="N54" i="2"/>
  <c r="G55" i="2"/>
  <c r="H55" i="2"/>
  <c r="I55" i="2"/>
  <c r="J55" i="2"/>
  <c r="L55" i="2"/>
  <c r="M55" i="2"/>
  <c r="N55" i="2"/>
  <c r="G56" i="2"/>
  <c r="H56" i="2"/>
  <c r="I56" i="2"/>
  <c r="J56" i="2"/>
  <c r="L56" i="2"/>
  <c r="M56" i="2"/>
  <c r="N56" i="2"/>
  <c r="G57" i="2"/>
  <c r="H57" i="2"/>
  <c r="I57" i="2"/>
  <c r="J57" i="2"/>
  <c r="L57" i="2"/>
  <c r="M57" i="2"/>
  <c r="N57" i="2"/>
  <c r="G58" i="2"/>
  <c r="H58" i="2"/>
  <c r="I58" i="2"/>
  <c r="J58" i="2"/>
  <c r="L58" i="2"/>
  <c r="M58" i="2"/>
  <c r="N58" i="2"/>
  <c r="G59" i="2"/>
  <c r="H59" i="2"/>
  <c r="I59" i="2"/>
  <c r="J59" i="2"/>
  <c r="L59" i="2"/>
  <c r="M59" i="2"/>
  <c r="N59" i="2"/>
  <c r="G60" i="2"/>
  <c r="H60" i="2"/>
  <c r="I60" i="2"/>
  <c r="J60" i="2"/>
  <c r="L60" i="2"/>
  <c r="M60" i="2"/>
  <c r="N60" i="2"/>
  <c r="G61" i="2"/>
  <c r="H61" i="2"/>
  <c r="I61" i="2"/>
  <c r="J61" i="2"/>
  <c r="L61" i="2"/>
  <c r="M61" i="2"/>
  <c r="N61" i="2"/>
  <c r="H62" i="2"/>
  <c r="I62" i="2"/>
  <c r="J62" i="2"/>
  <c r="L62" i="2"/>
  <c r="M62" i="2"/>
  <c r="N62" i="2"/>
  <c r="G63" i="2"/>
  <c r="H63" i="2"/>
  <c r="I63" i="2"/>
  <c r="J63" i="2"/>
  <c r="L63" i="2"/>
  <c r="M63" i="2"/>
  <c r="N63" i="2"/>
  <c r="G64" i="2"/>
  <c r="H64" i="2"/>
  <c r="I64" i="2"/>
  <c r="J64" i="2"/>
  <c r="L64" i="2"/>
  <c r="M64" i="2"/>
  <c r="N64" i="2"/>
  <c r="G65" i="2"/>
  <c r="H65" i="2"/>
  <c r="I65" i="2"/>
  <c r="J65" i="2"/>
  <c r="L65" i="2"/>
  <c r="M65" i="2"/>
  <c r="N65" i="2"/>
  <c r="G66" i="2"/>
  <c r="H66" i="2"/>
  <c r="I66" i="2"/>
  <c r="J66" i="2"/>
  <c r="L66" i="2"/>
  <c r="M66" i="2"/>
  <c r="N66" i="2"/>
  <c r="G67" i="2"/>
  <c r="H67" i="2"/>
  <c r="I67" i="2"/>
  <c r="J67" i="2"/>
  <c r="L67" i="2"/>
  <c r="M67" i="2"/>
  <c r="N67" i="2"/>
  <c r="K51" i="2" l="1"/>
  <c r="O48" i="2"/>
  <c r="O14" i="2"/>
  <c r="K11" i="2"/>
  <c r="K21" i="2"/>
  <c r="O16" i="2"/>
  <c r="O25" i="2"/>
  <c r="O27" i="2"/>
  <c r="K34" i="2"/>
  <c r="K8" i="2"/>
  <c r="O3" i="2"/>
  <c r="K53" i="2"/>
  <c r="K19" i="2"/>
  <c r="O35" i="2"/>
  <c r="K27" i="2"/>
  <c r="O33" i="2"/>
  <c r="O24" i="2"/>
  <c r="K59" i="2"/>
  <c r="K48" i="2"/>
  <c r="P48" i="2" s="1"/>
  <c r="O54" i="2"/>
  <c r="K61" i="2"/>
  <c r="O56" i="2"/>
  <c r="K29" i="2"/>
  <c r="K35" i="2"/>
  <c r="K37" i="2"/>
  <c r="K13" i="2"/>
  <c r="K20" i="2"/>
  <c r="O19" i="2"/>
  <c r="O41" i="2"/>
  <c r="O65" i="2"/>
  <c r="K5" i="2"/>
  <c r="K50" i="2"/>
  <c r="O30" i="2"/>
  <c r="K43" i="2"/>
  <c r="O17" i="2"/>
  <c r="K30" i="2"/>
  <c r="O43" i="2"/>
  <c r="K66" i="2"/>
  <c r="O62" i="2"/>
  <c r="K3" i="2"/>
  <c r="O38" i="2"/>
  <c r="O64" i="2"/>
  <c r="O51" i="2"/>
  <c r="K16" i="2"/>
  <c r="O9" i="2"/>
  <c r="K45" i="2"/>
  <c r="K18" i="2"/>
  <c r="O11" i="2"/>
  <c r="O40" i="2"/>
  <c r="K32" i="2"/>
  <c r="O57" i="2"/>
  <c r="O46" i="2"/>
  <c r="O22" i="2"/>
  <c r="O6" i="2"/>
  <c r="O8" i="2"/>
  <c r="K67" i="2"/>
  <c r="K10" i="2"/>
  <c r="O67" i="2"/>
  <c r="K52" i="2"/>
  <c r="O28" i="2"/>
  <c r="O26" i="2"/>
  <c r="K42" i="2"/>
  <c r="K64" i="2"/>
  <c r="O59" i="2"/>
  <c r="K40" i="2"/>
  <c r="O63" i="2"/>
  <c r="K56" i="2"/>
  <c r="K24" i="2"/>
  <c r="K58" i="2"/>
  <c r="O49" i="2"/>
  <c r="O32" i="2"/>
  <c r="K26" i="2"/>
  <c r="O20" i="2"/>
  <c r="O18" i="2"/>
  <c r="K46" i="2"/>
  <c r="K36" i="2"/>
  <c r="O12" i="2"/>
  <c r="K54" i="2"/>
  <c r="K44" i="2"/>
  <c r="O10" i="2"/>
  <c r="O61" i="2"/>
  <c r="K38" i="2"/>
  <c r="K28" i="2"/>
  <c r="O4" i="2"/>
  <c r="O47" i="2"/>
  <c r="K14" i="2"/>
  <c r="O31" i="2"/>
  <c r="O66" i="2"/>
  <c r="O23" i="2"/>
  <c r="O13" i="2"/>
  <c r="P13" i="2" s="1"/>
  <c r="K6" i="2"/>
  <c r="K55" i="2"/>
  <c r="O45" i="2"/>
  <c r="K4" i="2"/>
  <c r="O60" i="2"/>
  <c r="K39" i="2"/>
  <c r="K33" i="2"/>
  <c r="O15" i="2"/>
  <c r="O5" i="2"/>
  <c r="O58" i="2"/>
  <c r="K31" i="2"/>
  <c r="K25" i="2"/>
  <c r="P25" i="2" s="1"/>
  <c r="O7" i="2"/>
  <c r="K22" i="2"/>
  <c r="O53" i="2"/>
  <c r="K12" i="2"/>
  <c r="K65" i="2"/>
  <c r="K63" i="2"/>
  <c r="O37" i="2"/>
  <c r="K57" i="2"/>
  <c r="O39" i="2"/>
  <c r="O29" i="2"/>
  <c r="K49" i="2"/>
  <c r="K47" i="2"/>
  <c r="K41" i="2"/>
  <c r="O52" i="2"/>
  <c r="K17" i="2"/>
  <c r="O55" i="2"/>
  <c r="O21" i="2"/>
  <c r="O50" i="2"/>
  <c r="K23" i="2"/>
  <c r="K60" i="2"/>
  <c r="O44" i="2"/>
  <c r="O42" i="2"/>
  <c r="K15" i="2"/>
  <c r="K9" i="2"/>
  <c r="K62" i="2"/>
  <c r="O36" i="2"/>
  <c r="O34" i="2"/>
  <c r="K7" i="2"/>
  <c r="P21" i="2" l="1"/>
  <c r="P7" i="2"/>
  <c r="P16" i="2"/>
  <c r="P20" i="2"/>
  <c r="P62" i="2"/>
  <c r="P22" i="2"/>
  <c r="P27" i="2"/>
  <c r="P52" i="2"/>
  <c r="P66" i="2"/>
  <c r="P51" i="2"/>
  <c r="P14" i="2"/>
  <c r="P11" i="2"/>
  <c r="P34" i="2"/>
  <c r="P19" i="2"/>
  <c r="P53" i="2"/>
  <c r="P3" i="2"/>
  <c r="P8" i="2"/>
  <c r="P24" i="2"/>
  <c r="P17" i="2"/>
  <c r="P43" i="2"/>
  <c r="P30" i="2"/>
  <c r="P50" i="2"/>
  <c r="P33" i="2"/>
  <c r="P4" i="2"/>
  <c r="P59" i="2"/>
  <c r="P32" i="2"/>
  <c r="P42" i="2"/>
  <c r="P45" i="2"/>
  <c r="P35" i="2"/>
  <c r="P65" i="2"/>
  <c r="P61" i="2"/>
  <c r="P55" i="2"/>
  <c r="P56" i="2"/>
  <c r="P63" i="2"/>
  <c r="P36" i="2"/>
  <c r="P9" i="2"/>
  <c r="P58" i="2"/>
  <c r="P5" i="2"/>
  <c r="P29" i="2"/>
  <c r="P60" i="2"/>
  <c r="P54" i="2"/>
  <c r="P41" i="2"/>
  <c r="P38" i="2"/>
  <c r="P37" i="2"/>
  <c r="P47" i="2"/>
  <c r="P64" i="2"/>
  <c r="P40" i="2"/>
  <c r="P57" i="2"/>
  <c r="P44" i="2"/>
  <c r="P26" i="2"/>
  <c r="P46" i="2"/>
  <c r="P18" i="2"/>
  <c r="P67" i="2"/>
  <c r="P31" i="2"/>
  <c r="P10" i="2"/>
  <c r="P49" i="2"/>
  <c r="P12" i="2"/>
  <c r="P28" i="2"/>
  <c r="P6" i="2"/>
  <c r="P15" i="2"/>
  <c r="P39" i="2"/>
  <c r="P23" i="2"/>
</calcChain>
</file>

<file path=xl/sharedStrings.xml><?xml version="1.0" encoding="utf-8"?>
<sst xmlns="http://schemas.openxmlformats.org/spreadsheetml/2006/main" count="478" uniqueCount="270">
  <si>
    <t>13222 - PT. DAYA ANUGRAH MANDIRI</t>
  </si>
  <si>
    <t>REKAP KPB
13222-250808_0844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</si>
  <si>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</si>
  <si>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</si>
  <si>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</si>
  <si>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</si>
  <si>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</si>
  <si>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</si>
  <si>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</si>
  <si>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</si>
  <si>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</si>
  <si>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</si>
  <si>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</si>
  <si>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</si>
  <si>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</si>
  <si>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</si>
  <si>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BEAT SERIES</t>
  </si>
  <si>
    <t>13222-250808_0844</t>
  </si>
  <si>
    <t>3</t>
  </si>
  <si>
    <t>0</t>
  </si>
  <si>
    <t>54,000</t>
  </si>
  <si>
    <t>111,870</t>
  </si>
  <si>
    <t>165,870</t>
  </si>
  <si>
    <t>Tidak</t>
  </si>
  <si>
    <t>2</t>
  </si>
  <si>
    <t>CB 150 SERIES</t>
  </si>
  <si>
    <t>14,400</t>
  </si>
  <si>
    <t>35,620</t>
  </si>
  <si>
    <t>50,020</t>
  </si>
  <si>
    <t>CRF 150 SERIES</t>
  </si>
  <si>
    <t>44,800</t>
  </si>
  <si>
    <t>80,420</t>
  </si>
  <si>
    <t>4</t>
  </si>
  <si>
    <t>REVO SERIES</t>
  </si>
  <si>
    <t>11</t>
  </si>
  <si>
    <t>26</t>
  </si>
  <si>
    <t>41</t>
  </si>
  <si>
    <t>738,000</t>
  </si>
  <si>
    <t>275,000</t>
  </si>
  <si>
    <t>1,013,000</t>
  </si>
  <si>
    <t>5</t>
  </si>
  <si>
    <t>SCOOPY SERIES</t>
  </si>
  <si>
    <t>7</t>
  </si>
  <si>
    <t>122,480</t>
  </si>
  <si>
    <t>149,160</t>
  </si>
  <si>
    <t>271,640</t>
  </si>
  <si>
    <t>6</t>
  </si>
  <si>
    <t>SUPRA 125 SERIES</t>
  </si>
  <si>
    <t>23,500</t>
  </si>
  <si>
    <t>77,500</t>
  </si>
  <si>
    <t>SUPRA GTR SERIES</t>
  </si>
  <si>
    <t>45,000</t>
  </si>
  <si>
    <t>47,140</t>
  </si>
  <si>
    <t>92,140</t>
  </si>
  <si>
    <t>8</t>
  </si>
  <si>
    <t>VARIO 125 SERIES</t>
  </si>
  <si>
    <t>95,200</t>
  </si>
  <si>
    <t>27,500</t>
  </si>
  <si>
    <t>122,700</t>
  </si>
  <si>
    <t>9</t>
  </si>
  <si>
    <t>VARIO 160 SERIES</t>
  </si>
  <si>
    <t>41,280</t>
  </si>
  <si>
    <t>38,500</t>
  </si>
  <si>
    <t>79,780</t>
  </si>
  <si>
    <t>10</t>
  </si>
  <si>
    <t>VERZA SERIES</t>
  </si>
  <si>
    <t>59,120</t>
  </si>
  <si>
    <t>No Engine</t>
  </si>
  <si>
    <t>Service Ke-</t>
  </si>
  <si>
    <t>Tgl Beli</t>
  </si>
  <si>
    <t>Tgl Service</t>
  </si>
  <si>
    <t>Km</t>
  </si>
  <si>
    <t>JME1E1429871</t>
  </si>
  <si>
    <t>21/03/2025</t>
  </si>
  <si>
    <t>09/05/2025</t>
  </si>
  <si>
    <t>993</t>
  </si>
  <si>
    <t>JMF1E1218712</t>
  </si>
  <si>
    <t>23/04/2025</t>
  </si>
  <si>
    <t>10/05/2025</t>
  </si>
  <si>
    <t>635</t>
  </si>
  <si>
    <t>JME1E1456233</t>
  </si>
  <si>
    <t>11/04/2025</t>
  </si>
  <si>
    <t>13/05/2025</t>
  </si>
  <si>
    <t>797</t>
  </si>
  <si>
    <t>KC02E1294174</t>
  </si>
  <si>
    <t>22/03/2025</t>
  </si>
  <si>
    <t>1057</t>
  </si>
  <si>
    <t>KD11E1595843</t>
  </si>
  <si>
    <t>527</t>
  </si>
  <si>
    <t>KD11E1580878</t>
  </si>
  <si>
    <t>30/01/2025</t>
  </si>
  <si>
    <t>20/05/2025</t>
  </si>
  <si>
    <t>1238</t>
  </si>
  <si>
    <t>JBK1E2092309</t>
  </si>
  <si>
    <t>24/03/2025</t>
  </si>
  <si>
    <t>02/05/2025</t>
  </si>
  <si>
    <t>841</t>
  </si>
  <si>
    <t>JBK3E1569543</t>
  </si>
  <si>
    <t>27/03/2025</t>
  </si>
  <si>
    <t>05/05/2025</t>
  </si>
  <si>
    <t>672</t>
  </si>
  <si>
    <t>JBK3E1569957</t>
  </si>
  <si>
    <t>09/04/2025</t>
  </si>
  <si>
    <t>74</t>
  </si>
  <si>
    <t>JBK3E1564963</t>
  </si>
  <si>
    <t>06/03/2025</t>
  </si>
  <si>
    <t>913</t>
  </si>
  <si>
    <t>JBK1E2097241</t>
  </si>
  <si>
    <t>24/04/2025</t>
  </si>
  <si>
    <t>296</t>
  </si>
  <si>
    <t>JBK1E2088774</t>
  </si>
  <si>
    <t>471</t>
  </si>
  <si>
    <t>JBK3E1569640</t>
  </si>
  <si>
    <t>10/04/2025</t>
  </si>
  <si>
    <t>900</t>
  </si>
  <si>
    <t>JBK3E1569932</t>
  </si>
  <si>
    <t>976</t>
  </si>
  <si>
    <t>JBK1E2092106</t>
  </si>
  <si>
    <t>14/05/2025</t>
  </si>
  <si>
    <t>782</t>
  </si>
  <si>
    <t>JBK1E2100684</t>
  </si>
  <si>
    <t>28/05/2025</t>
  </si>
  <si>
    <t>453</t>
  </si>
  <si>
    <t>JBK1E2094534</t>
  </si>
  <si>
    <t>28/03/2025</t>
  </si>
  <si>
    <t>707</t>
  </si>
  <si>
    <t>JBK1E2082581</t>
  </si>
  <si>
    <t>11/02/2025</t>
  </si>
  <si>
    <t>2422</t>
  </si>
  <si>
    <t>JBK1E2080873</t>
  </si>
  <si>
    <t>18/04/2025</t>
  </si>
  <si>
    <t>1285</t>
  </si>
  <si>
    <t>JBK1E2079855</t>
  </si>
  <si>
    <t>21/02/2025</t>
  </si>
  <si>
    <t>1372</t>
  </si>
  <si>
    <t>JBK1E2083885</t>
  </si>
  <si>
    <t>12/02/2025</t>
  </si>
  <si>
    <t>2184</t>
  </si>
  <si>
    <t>JBK1E2085879</t>
  </si>
  <si>
    <t>1397</t>
  </si>
  <si>
    <t>JBK1E2081473</t>
  </si>
  <si>
    <t>04/02/2025</t>
  </si>
  <si>
    <t>1265</t>
  </si>
  <si>
    <t>JBK1E2085202</t>
  </si>
  <si>
    <t>17/02/2025</t>
  </si>
  <si>
    <t>JBK1E2079384</t>
  </si>
  <si>
    <t>1345</t>
  </si>
  <si>
    <t>JBK3E1562834</t>
  </si>
  <si>
    <t>24/02/2025</t>
  </si>
  <si>
    <t>1465</t>
  </si>
  <si>
    <t>JBK1E2080837</t>
  </si>
  <si>
    <t>2122</t>
  </si>
  <si>
    <t>JBK3E1563410</t>
  </si>
  <si>
    <t>28/02/2025</t>
  </si>
  <si>
    <t>960</t>
  </si>
  <si>
    <t>JBK3E1560876</t>
  </si>
  <si>
    <t>1060</t>
  </si>
  <si>
    <t>JBK1E2081274</t>
  </si>
  <si>
    <t>20/02/2025</t>
  </si>
  <si>
    <t>1387</t>
  </si>
  <si>
    <t>JBK1E2079018</t>
  </si>
  <si>
    <t>1786</t>
  </si>
  <si>
    <t>JBK3E1560516</t>
  </si>
  <si>
    <t>05/02/2025</t>
  </si>
  <si>
    <t>1001</t>
  </si>
  <si>
    <t>JBK1E2081956</t>
  </si>
  <si>
    <t>2442</t>
  </si>
  <si>
    <t>JBK1E2090523</t>
  </si>
  <si>
    <t>20/03/2025</t>
  </si>
  <si>
    <t>2025</t>
  </si>
  <si>
    <t>JBK1E2084074</t>
  </si>
  <si>
    <t>05/03/2025</t>
  </si>
  <si>
    <t>23/05/2025</t>
  </si>
  <si>
    <t>JBK1E2090481</t>
  </si>
  <si>
    <t>10/03/2025</t>
  </si>
  <si>
    <t>1116</t>
  </si>
  <si>
    <t>JBK1E2090098</t>
  </si>
  <si>
    <t>12/03/2025</t>
  </si>
  <si>
    <t>24/05/2025</t>
  </si>
  <si>
    <t>1112</t>
  </si>
  <si>
    <t>JBK1E2085154</t>
  </si>
  <si>
    <t>03/03/2025</t>
  </si>
  <si>
    <t>1189</t>
  </si>
  <si>
    <t>JBK1E2086316</t>
  </si>
  <si>
    <t>1193</t>
  </si>
  <si>
    <t>JBK1E2086314</t>
  </si>
  <si>
    <t>1338</t>
  </si>
  <si>
    <t>JBK3E1565909</t>
  </si>
  <si>
    <t>11/03/2025</t>
  </si>
  <si>
    <t>1282</t>
  </si>
  <si>
    <t>JBK1E2087863</t>
  </si>
  <si>
    <t>08/03/2025</t>
  </si>
  <si>
    <t>1202</t>
  </si>
  <si>
    <t>JBK3E1566054</t>
  </si>
  <si>
    <t>JBK3E1553184</t>
  </si>
  <si>
    <t>18/12/2024</t>
  </si>
  <si>
    <t>4575</t>
  </si>
  <si>
    <t>JBK1E2052282</t>
  </si>
  <si>
    <t>21/10/2024</t>
  </si>
  <si>
    <t>5356</t>
  </si>
  <si>
    <t>JBK1E2040284</t>
  </si>
  <si>
    <t>05/10/2024</t>
  </si>
  <si>
    <t>15/05/2025</t>
  </si>
  <si>
    <t>5141</t>
  </si>
  <si>
    <t>JM04E2304173</t>
  </si>
  <si>
    <t>15/11/2024</t>
  </si>
  <si>
    <t>31/05/2025</t>
  </si>
  <si>
    <t>2902</t>
  </si>
  <si>
    <t>JMH1E1094158</t>
  </si>
  <si>
    <t>03/04/2025</t>
  </si>
  <si>
    <t>469</t>
  </si>
  <si>
    <t>JMH2E1164637</t>
  </si>
  <si>
    <t>04/03/2025</t>
  </si>
  <si>
    <t>736</t>
  </si>
  <si>
    <t>JMH1E1111514</t>
  </si>
  <si>
    <t>28/04/2025</t>
  </si>
  <si>
    <t>17/05/2025</t>
  </si>
  <si>
    <t>213</t>
  </si>
  <si>
    <t>JMC1E1599564</t>
  </si>
  <si>
    <t>21/05/2025</t>
  </si>
  <si>
    <t>JMH1E1082586</t>
  </si>
  <si>
    <t>15/03/2025</t>
  </si>
  <si>
    <t>1918</t>
  </si>
  <si>
    <t>JMH2E1109588</t>
  </si>
  <si>
    <t>22/01/2025</t>
  </si>
  <si>
    <t>07/05/2025</t>
  </si>
  <si>
    <t>1408</t>
  </si>
  <si>
    <t>JM04E2282563</t>
  </si>
  <si>
    <t>05/11/2024</t>
  </si>
  <si>
    <t>9945</t>
  </si>
  <si>
    <t>JBP1E2101251</t>
  </si>
  <si>
    <t>30/04/2025</t>
  </si>
  <si>
    <t>478</t>
  </si>
  <si>
    <t>JBP1E2090462</t>
  </si>
  <si>
    <t>1216</t>
  </si>
  <si>
    <t>JBP1E2049420</t>
  </si>
  <si>
    <t>26/07/2024</t>
  </si>
  <si>
    <t>7465</t>
  </si>
  <si>
    <t>KB22E1057302</t>
  </si>
  <si>
    <t>757</t>
  </si>
  <si>
    <t>KB22E1054039</t>
  </si>
  <si>
    <t>06/12/2024</t>
  </si>
  <si>
    <t>3304</t>
  </si>
  <si>
    <t>JMD1E1867556</t>
  </si>
  <si>
    <t>03/05/2025</t>
  </si>
  <si>
    <t>101</t>
  </si>
  <si>
    <t>JMC1E1599545</t>
  </si>
  <si>
    <t>16/04/2025</t>
  </si>
  <si>
    <t>697</t>
  </si>
  <si>
    <t>JMD1E1627706</t>
  </si>
  <si>
    <t>06/08/2024</t>
  </si>
  <si>
    <t>4885</t>
  </si>
  <si>
    <t>JMC1E1387635</t>
  </si>
  <si>
    <t>18/05/2024</t>
  </si>
  <si>
    <t>26/05/2025</t>
  </si>
  <si>
    <t>2288</t>
  </si>
  <si>
    <t>KFA1E1300808</t>
  </si>
  <si>
    <t>22/05/2025</t>
  </si>
  <si>
    <t>690</t>
  </si>
  <si>
    <t>KF01E1804391</t>
  </si>
  <si>
    <t>09/02/2025</t>
  </si>
  <si>
    <t>2195</t>
  </si>
  <si>
    <t>KC02E1295133</t>
  </si>
  <si>
    <t>929</t>
  </si>
  <si>
    <t>KET</t>
  </si>
  <si>
    <t>SALAH INPUT TGL BELI</t>
  </si>
  <si>
    <t>SERVICE ID</t>
  </si>
  <si>
    <t>Type</t>
  </si>
  <si>
    <t>Bulan Beli</t>
  </si>
  <si>
    <t>Tahun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</si>
</sst>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/>
    <xf numFmtId="14" fontId="0" fillId="0" borderId="0" xfId="0" applyNumberFormat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workbookViewId="0"/>
  </sheetViews>
  <sheetFormatPr defaultRowHeight="13.2" x14ac:dyDescent="0.25"/>
  <cols>
    <col min="1" max="1" width="6.109375" customWidth="1"/>
    <col min="2" max="3" width="26.5546875" customWidth="1"/>
    <col min="4" max="6" width="6.109375" customWidth="1"/>
    <col min="7" max="7" width="6.21875" customWidth="1"/>
    <col min="8" max="8" width="11.109375" customWidth="1"/>
    <col min="9" max="9" width="19.44140625" customWidth="1"/>
    <col min="10" max="10" width="19.33203125" customWidth="1"/>
    <col min="11" max="11" width="19.44140625" customWidth="1"/>
    <col min="12" max="12" width="15.33203125" customWidth="1"/>
  </cols>
  <sheetData>
    <row r="1" spans="1:12" ht="22.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40.6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ht="16.649999999999999" customHeight="1" x14ac:dyDescent="0.25">
      <c r="A3" s="20" t="s">
        <v>2</v>
      </c>
      <c r="B3" s="20" t="s">
        <v>3</v>
      </c>
      <c r="C3" s="20" t="s">
        <v>4</v>
      </c>
      <c r="D3" s="20" t="s">
        <v>5</v>
      </c>
      <c r="E3" s="22"/>
      <c r="F3" s="22"/>
      <c r="G3" s="23"/>
      <c r="H3" s="20" t="s">
        <v>6</v>
      </c>
      <c r="I3" s="20" t="s">
        <v>7</v>
      </c>
      <c r="J3" s="20" t="s">
        <v>8</v>
      </c>
      <c r="K3" s="20" t="s">
        <v>9</v>
      </c>
      <c r="L3" s="20" t="s">
        <v>10</v>
      </c>
    </row>
    <row r="4" spans="1:12" ht="17.399999999999999" customHeight="1" x14ac:dyDescent="0.25">
      <c r="A4" s="21"/>
      <c r="B4" s="21"/>
      <c r="C4" s="21"/>
      <c r="D4" s="1" t="s">
        <v>11</v>
      </c>
      <c r="E4" s="1" t="s">
        <v>12</v>
      </c>
      <c r="F4" s="1" t="s">
        <v>13</v>
      </c>
      <c r="G4" s="1" t="s">
        <v>14</v>
      </c>
      <c r="H4" s="21"/>
      <c r="I4" s="21"/>
      <c r="J4" s="21"/>
      <c r="K4" s="21"/>
      <c r="L4" s="21"/>
    </row>
    <row r="5" spans="1:12" ht="16.649999999999999" customHeight="1" x14ac:dyDescent="0.25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19</v>
      </c>
      <c r="G5" s="2" t="s">
        <v>19</v>
      </c>
      <c r="H5" s="2" t="s">
        <v>18</v>
      </c>
      <c r="I5" s="4" t="s">
        <v>20</v>
      </c>
      <c r="J5" s="4" t="s">
        <v>21</v>
      </c>
      <c r="K5" s="4" t="s">
        <v>22</v>
      </c>
      <c r="L5" s="4" t="s">
        <v>23</v>
      </c>
    </row>
    <row r="6" spans="1:12" ht="17.399999999999999" customHeight="1" x14ac:dyDescent="0.25">
      <c r="A6" s="2" t="s">
        <v>24</v>
      </c>
      <c r="B6" s="3" t="s">
        <v>25</v>
      </c>
      <c r="C6" s="2" t="s">
        <v>17</v>
      </c>
      <c r="D6" s="2" t="s">
        <v>15</v>
      </c>
      <c r="E6" s="2" t="s">
        <v>19</v>
      </c>
      <c r="F6" s="2" t="s">
        <v>19</v>
      </c>
      <c r="G6" s="2" t="s">
        <v>19</v>
      </c>
      <c r="H6" s="2" t="s">
        <v>15</v>
      </c>
      <c r="I6" s="4" t="s">
        <v>26</v>
      </c>
      <c r="J6" s="4" t="s">
        <v>27</v>
      </c>
      <c r="K6" s="4" t="s">
        <v>28</v>
      </c>
      <c r="L6" s="4" t="s">
        <v>23</v>
      </c>
    </row>
    <row r="7" spans="1:12" ht="17.399999999999999" customHeight="1" x14ac:dyDescent="0.25">
      <c r="A7" s="2" t="s">
        <v>18</v>
      </c>
      <c r="B7" s="3" t="s">
        <v>29</v>
      </c>
      <c r="C7" s="2" t="s">
        <v>17</v>
      </c>
      <c r="D7" s="2" t="s">
        <v>15</v>
      </c>
      <c r="E7" s="2" t="s">
        <v>15</v>
      </c>
      <c r="F7" s="2" t="s">
        <v>19</v>
      </c>
      <c r="G7" s="2" t="s">
        <v>19</v>
      </c>
      <c r="H7" s="2" t="s">
        <v>24</v>
      </c>
      <c r="I7" s="4" t="s">
        <v>30</v>
      </c>
      <c r="J7" s="4" t="s">
        <v>27</v>
      </c>
      <c r="K7" s="4" t="s">
        <v>31</v>
      </c>
      <c r="L7" s="4" t="s">
        <v>23</v>
      </c>
    </row>
    <row r="8" spans="1:12" ht="16.649999999999999" customHeight="1" x14ac:dyDescent="0.25">
      <c r="A8" s="2" t="s">
        <v>32</v>
      </c>
      <c r="B8" s="3" t="s">
        <v>33</v>
      </c>
      <c r="C8" s="2" t="s">
        <v>17</v>
      </c>
      <c r="D8" s="2" t="s">
        <v>34</v>
      </c>
      <c r="E8" s="2" t="s">
        <v>35</v>
      </c>
      <c r="F8" s="2" t="s">
        <v>32</v>
      </c>
      <c r="G8" s="2" t="s">
        <v>19</v>
      </c>
      <c r="H8" s="2" t="s">
        <v>36</v>
      </c>
      <c r="I8" s="4" t="s">
        <v>37</v>
      </c>
      <c r="J8" s="4" t="s">
        <v>38</v>
      </c>
      <c r="K8" s="4" t="s">
        <v>39</v>
      </c>
      <c r="L8" s="4" t="s">
        <v>23</v>
      </c>
    </row>
    <row r="9" spans="1:12" ht="17.399999999999999" customHeight="1" x14ac:dyDescent="0.25">
      <c r="A9" s="2" t="s">
        <v>40</v>
      </c>
      <c r="B9" s="3" t="s">
        <v>41</v>
      </c>
      <c r="C9" s="2" t="s">
        <v>17</v>
      </c>
      <c r="D9" s="2" t="s">
        <v>32</v>
      </c>
      <c r="E9" s="2" t="s">
        <v>15</v>
      </c>
      <c r="F9" s="2" t="s">
        <v>15</v>
      </c>
      <c r="G9" s="2" t="s">
        <v>15</v>
      </c>
      <c r="H9" s="2" t="s">
        <v>42</v>
      </c>
      <c r="I9" s="4" t="s">
        <v>43</v>
      </c>
      <c r="J9" s="4" t="s">
        <v>44</v>
      </c>
      <c r="K9" s="4" t="s">
        <v>45</v>
      </c>
      <c r="L9" s="4" t="s">
        <v>23</v>
      </c>
    </row>
    <row r="10" spans="1:12" ht="17.399999999999999" customHeight="1" x14ac:dyDescent="0.25">
      <c r="A10" s="2" t="s">
        <v>46</v>
      </c>
      <c r="B10" s="3" t="s">
        <v>47</v>
      </c>
      <c r="C10" s="2" t="s">
        <v>17</v>
      </c>
      <c r="D10" s="2" t="s">
        <v>15</v>
      </c>
      <c r="E10" s="2" t="s">
        <v>15</v>
      </c>
      <c r="F10" s="2" t="s">
        <v>19</v>
      </c>
      <c r="G10" s="2" t="s">
        <v>15</v>
      </c>
      <c r="H10" s="2" t="s">
        <v>18</v>
      </c>
      <c r="I10" s="4" t="s">
        <v>20</v>
      </c>
      <c r="J10" s="4" t="s">
        <v>48</v>
      </c>
      <c r="K10" s="4" t="s">
        <v>49</v>
      </c>
      <c r="L10" s="4" t="s">
        <v>23</v>
      </c>
    </row>
    <row r="11" spans="1:12" ht="16.649999999999999" customHeight="1" x14ac:dyDescent="0.25">
      <c r="A11" s="2" t="s">
        <v>42</v>
      </c>
      <c r="B11" s="3" t="s">
        <v>50</v>
      </c>
      <c r="C11" s="2" t="s">
        <v>17</v>
      </c>
      <c r="D11" s="2" t="s">
        <v>15</v>
      </c>
      <c r="E11" s="2" t="s">
        <v>15</v>
      </c>
      <c r="F11" s="2" t="s">
        <v>19</v>
      </c>
      <c r="G11" s="2" t="s">
        <v>19</v>
      </c>
      <c r="H11" s="2" t="s">
        <v>24</v>
      </c>
      <c r="I11" s="4" t="s">
        <v>51</v>
      </c>
      <c r="J11" s="4" t="s">
        <v>52</v>
      </c>
      <c r="K11" s="4" t="s">
        <v>53</v>
      </c>
      <c r="L11" s="4" t="s">
        <v>23</v>
      </c>
    </row>
    <row r="12" spans="1:12" ht="17.399999999999999" customHeight="1" x14ac:dyDescent="0.25">
      <c r="A12" s="2" t="s">
        <v>54</v>
      </c>
      <c r="B12" s="3" t="s">
        <v>55</v>
      </c>
      <c r="C12" s="2" t="s">
        <v>17</v>
      </c>
      <c r="D12" s="2" t="s">
        <v>15</v>
      </c>
      <c r="E12" s="2" t="s">
        <v>15</v>
      </c>
      <c r="F12" s="2" t="s">
        <v>19</v>
      </c>
      <c r="G12" s="2" t="s">
        <v>24</v>
      </c>
      <c r="H12" s="2" t="s">
        <v>32</v>
      </c>
      <c r="I12" s="4" t="s">
        <v>56</v>
      </c>
      <c r="J12" s="4" t="s">
        <v>57</v>
      </c>
      <c r="K12" s="4" t="s">
        <v>58</v>
      </c>
      <c r="L12" s="4" t="s">
        <v>23</v>
      </c>
    </row>
    <row r="13" spans="1:12" ht="16.649999999999999" customHeight="1" x14ac:dyDescent="0.25">
      <c r="A13" s="2" t="s">
        <v>59</v>
      </c>
      <c r="B13" s="3" t="s">
        <v>60</v>
      </c>
      <c r="C13" s="2" t="s">
        <v>17</v>
      </c>
      <c r="D13" s="2" t="s">
        <v>15</v>
      </c>
      <c r="E13" s="2" t="s">
        <v>15</v>
      </c>
      <c r="F13" s="2" t="s">
        <v>19</v>
      </c>
      <c r="G13" s="2" t="s">
        <v>19</v>
      </c>
      <c r="H13" s="2" t="s">
        <v>24</v>
      </c>
      <c r="I13" s="4" t="s">
        <v>61</v>
      </c>
      <c r="J13" s="4" t="s">
        <v>62</v>
      </c>
      <c r="K13" s="4" t="s">
        <v>63</v>
      </c>
      <c r="L13" s="4" t="s">
        <v>23</v>
      </c>
    </row>
    <row r="14" spans="1:12" ht="17.399999999999999" customHeight="1" x14ac:dyDescent="0.25">
      <c r="A14" s="2" t="s">
        <v>64</v>
      </c>
      <c r="B14" s="3" t="s">
        <v>65</v>
      </c>
      <c r="C14" s="2" t="s">
        <v>17</v>
      </c>
      <c r="D14" s="2" t="s">
        <v>15</v>
      </c>
      <c r="E14" s="2" t="s">
        <v>19</v>
      </c>
      <c r="F14" s="2" t="s">
        <v>19</v>
      </c>
      <c r="G14" s="2" t="s">
        <v>19</v>
      </c>
      <c r="H14" s="2" t="s">
        <v>15</v>
      </c>
      <c r="I14" s="4" t="s">
        <v>48</v>
      </c>
      <c r="J14" s="4" t="s">
        <v>27</v>
      </c>
      <c r="K14" s="4" t="s">
        <v>66</v>
      </c>
      <c r="L14" s="4" t="s">
        <v>23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P67"/>
  <sheetViews>
    <sheetView tabSelected="1" zoomScale="160" zoomScaleNormal="160" workbookViewId="0">
      <selection activeCell="G1" sqref="G1"/>
    </sheetView>
  </sheetViews>
  <sheetFormatPr defaultRowHeight="13.2" x14ac:dyDescent="0.25"/>
  <cols>
    <col min="1" max="1" width="13.44140625" bestFit="1" customWidth="1"/>
    <col min="2" max="2" width="10.5546875" bestFit="1" customWidth="1"/>
    <col min="3" max="3" width="10.21875" bestFit="1" customWidth="1"/>
    <col min="4" max="4" width="5" bestFit="1" customWidth="1"/>
    <col min="5" max="5" width="10.6640625" bestFit="1" customWidth="1"/>
    <col min="8" max="9" width="3" bestFit="1" customWidth="1"/>
    <col min="10" max="10" width="5" bestFit="1" customWidth="1"/>
    <col min="11" max="11" width="10.21875" bestFit="1" customWidth="1"/>
    <col min="12" max="13" width="3" bestFit="1" customWidth="1"/>
    <col min="14" max="14" width="5" bestFit="1" customWidth="1"/>
    <col min="15" max="15" width="10.21875" bestFit="1" customWidth="1"/>
  </cols>
  <sheetData>
    <row r="1" spans="1:16" ht="15.6" x14ac:dyDescent="0.25">
      <c r="A1" s="5" t="s">
        <v>67</v>
      </c>
      <c r="B1" s="6" t="s">
        <v>69</v>
      </c>
      <c r="C1" s="6" t="s">
        <v>68</v>
      </c>
      <c r="D1" s="5" t="s">
        <v>71</v>
      </c>
      <c r="E1" s="6" t="s">
        <v>70</v>
      </c>
      <c r="F1" t="s">
        <v>264</v>
      </c>
      <c r="G1" s="24" t="s">
        <v>267</v>
      </c>
      <c r="H1" s="25" t="s">
        <v>69</v>
      </c>
      <c r="I1" s="24" t="s">
        <v>268</v>
      </c>
      <c r="J1" s="25" t="s">
        <v>269</v>
      </c>
    </row>
    <row r="2" spans="1:16" ht="13.8" hidden="1" x14ac:dyDescent="0.25">
      <c r="A2" s="11" t="s">
        <v>72</v>
      </c>
      <c r="B2" s="7" t="s">
        <v>73</v>
      </c>
      <c r="C2" s="7" t="s">
        <v>15</v>
      </c>
      <c r="D2" s="7" t="s">
        <v>75</v>
      </c>
      <c r="E2" s="7" t="s">
        <v>74</v>
      </c>
      <c r="F2" s="8"/>
      <c r="G2" s="9" t="str">
        <f t="shared" ref="G2" si="0">LEFT(A2,5)</f>
        <v>JME1E</v>
      </c>
      <c r="H2" s="9" t="str">
        <f t="shared" ref="H2" si="1">LEFT(B2,2)</f>
        <v>21</v>
      </c>
      <c r="I2" s="9" t="str">
        <f t="shared" ref="I2" si="2">MID(B2,4,2)</f>
        <v>03</v>
      </c>
      <c r="J2" s="9" t="str">
        <f t="shared" ref="J2" si="3">RIGHT(B2,4)</f>
        <v>2025</v>
      </c>
      <c r="K2" s="10" t="str">
        <f t="shared" ref="K2" si="4">H2&amp;"/"&amp;I2&amp;"/"&amp;J2</f>
        <v>21/03/2025</v>
      </c>
      <c r="L2" s="9" t="str">
        <f t="shared" ref="L2" si="5">LEFT(E2,2)</f>
        <v>09</v>
      </c>
      <c r="M2" s="9" t="str">
        <f t="shared" ref="M2" si="6">MID(E2,4,2)</f>
        <v>05</v>
      </c>
      <c r="N2" s="9" t="str">
        <f t="shared" ref="N2" si="7">RIGHT(E2,4)</f>
        <v>2025</v>
      </c>
      <c r="O2" s="10" t="str">
        <f t="shared" ref="O2" si="8">L2&amp;"/"&amp;M2&amp;"/"&amp;N2</f>
        <v>09/05/2025</v>
      </c>
      <c r="P2" s="9">
        <f t="shared" ref="P2" si="9">O2-K2</f>
        <v>49</v>
      </c>
    </row>
    <row r="3" spans="1:16" ht="13.8" hidden="1" x14ac:dyDescent="0.25">
      <c r="A3" s="11" t="s">
        <v>76</v>
      </c>
      <c r="B3" s="7" t="s">
        <v>77</v>
      </c>
      <c r="C3" s="7" t="s">
        <v>15</v>
      </c>
      <c r="D3" s="7" t="s">
        <v>79</v>
      </c>
      <c r="E3" s="7" t="s">
        <v>78</v>
      </c>
      <c r="F3" s="8"/>
      <c r="G3" s="9" t="str">
        <f t="shared" ref="G3:G66" si="10">LEFT(A3,5)</f>
        <v>JMF1E</v>
      </c>
      <c r="H3" s="9" t="str">
        <f t="shared" ref="H3:H66" si="11">LEFT(B3,2)</f>
        <v>23</v>
      </c>
      <c r="I3" s="9" t="str">
        <f t="shared" ref="I3:I66" si="12">MID(B3,4,2)</f>
        <v>04</v>
      </c>
      <c r="J3" s="9" t="str">
        <f t="shared" ref="J3:J66" si="13">RIGHT(B3,4)</f>
        <v>2025</v>
      </c>
      <c r="K3" s="10" t="str">
        <f t="shared" ref="K3:K66" si="14">H3&amp;"/"&amp;I3&amp;"/"&amp;J3</f>
        <v>23/04/2025</v>
      </c>
      <c r="L3" s="9" t="str">
        <f t="shared" ref="L3:L66" si="15">LEFT(E3,2)</f>
        <v>10</v>
      </c>
      <c r="M3" s="9" t="str">
        <f t="shared" ref="M3:M66" si="16">MID(E3,4,2)</f>
        <v>05</v>
      </c>
      <c r="N3" s="9" t="str">
        <f t="shared" ref="N3:N66" si="17">RIGHT(E3,4)</f>
        <v>2025</v>
      </c>
      <c r="O3" s="10" t="str">
        <f t="shared" ref="O3:O66" si="18">L3&amp;"/"&amp;M3&amp;"/"&amp;N3</f>
        <v>10/05/2025</v>
      </c>
      <c r="P3" s="9">
        <f t="shared" ref="P3:P66" si="19">O3-K3</f>
        <v>17</v>
      </c>
    </row>
    <row r="4" spans="1:16" ht="13.8" hidden="1" x14ac:dyDescent="0.25">
      <c r="A4" s="11" t="s">
        <v>80</v>
      </c>
      <c r="B4" s="7" t="s">
        <v>81</v>
      </c>
      <c r="C4" s="7" t="s">
        <v>15</v>
      </c>
      <c r="D4" s="7" t="s">
        <v>83</v>
      </c>
      <c r="E4" s="7" t="s">
        <v>82</v>
      </c>
      <c r="F4" s="8"/>
      <c r="G4" s="9" t="str">
        <f t="shared" si="10"/>
        <v>JME1E</v>
      </c>
      <c r="H4" s="9" t="str">
        <f t="shared" si="11"/>
        <v>11</v>
      </c>
      <c r="I4" s="9" t="str">
        <f t="shared" si="12"/>
        <v>04</v>
      </c>
      <c r="J4" s="9" t="str">
        <f t="shared" si="13"/>
        <v>2025</v>
      </c>
      <c r="K4" s="10" t="str">
        <f t="shared" si="14"/>
        <v>11/04/2025</v>
      </c>
      <c r="L4" s="9" t="str">
        <f t="shared" si="15"/>
        <v>13</v>
      </c>
      <c r="M4" s="9" t="str">
        <f t="shared" si="16"/>
        <v>05</v>
      </c>
      <c r="N4" s="9" t="str">
        <f t="shared" si="17"/>
        <v>2025</v>
      </c>
      <c r="O4" s="10" t="str">
        <f t="shared" si="18"/>
        <v>13/05/2025</v>
      </c>
      <c r="P4" s="9">
        <f t="shared" si="19"/>
        <v>32</v>
      </c>
    </row>
    <row r="5" spans="1:16" ht="13.8" hidden="1" x14ac:dyDescent="0.25">
      <c r="A5" s="11" t="s">
        <v>84</v>
      </c>
      <c r="B5" s="7" t="s">
        <v>85</v>
      </c>
      <c r="C5" s="7" t="s">
        <v>15</v>
      </c>
      <c r="D5" s="7" t="s">
        <v>86</v>
      </c>
      <c r="E5" s="7" t="s">
        <v>74</v>
      </c>
      <c r="F5" s="8"/>
      <c r="G5" s="9" t="str">
        <f t="shared" si="10"/>
        <v>KC02E</v>
      </c>
      <c r="H5" s="9" t="str">
        <f t="shared" si="11"/>
        <v>22</v>
      </c>
      <c r="I5" s="9" t="str">
        <f t="shared" si="12"/>
        <v>03</v>
      </c>
      <c r="J5" s="9" t="str">
        <f t="shared" si="13"/>
        <v>2025</v>
      </c>
      <c r="K5" s="10" t="str">
        <f t="shared" si="14"/>
        <v>22/03/2025</v>
      </c>
      <c r="L5" s="9" t="str">
        <f t="shared" si="15"/>
        <v>09</v>
      </c>
      <c r="M5" s="9" t="str">
        <f t="shared" si="16"/>
        <v>05</v>
      </c>
      <c r="N5" s="9" t="str">
        <f t="shared" si="17"/>
        <v>2025</v>
      </c>
      <c r="O5" s="10" t="str">
        <f t="shared" si="18"/>
        <v>09/05/2025</v>
      </c>
      <c r="P5" s="9">
        <f t="shared" si="19"/>
        <v>48</v>
      </c>
    </row>
    <row r="6" spans="1:16" ht="13.8" hidden="1" x14ac:dyDescent="0.25">
      <c r="A6" s="11" t="s">
        <v>87</v>
      </c>
      <c r="B6" s="7" t="s">
        <v>81</v>
      </c>
      <c r="C6" s="7" t="s">
        <v>15</v>
      </c>
      <c r="D6" s="7" t="s">
        <v>88</v>
      </c>
      <c r="E6" s="7" t="s">
        <v>74</v>
      </c>
      <c r="F6" s="8"/>
      <c r="G6" s="9" t="str">
        <f t="shared" si="10"/>
        <v>KD11E</v>
      </c>
      <c r="H6" s="9" t="str">
        <f t="shared" si="11"/>
        <v>11</v>
      </c>
      <c r="I6" s="9" t="str">
        <f t="shared" si="12"/>
        <v>04</v>
      </c>
      <c r="J6" s="9" t="str">
        <f t="shared" si="13"/>
        <v>2025</v>
      </c>
      <c r="K6" s="10" t="str">
        <f t="shared" si="14"/>
        <v>11/04/2025</v>
      </c>
      <c r="L6" s="9" t="str">
        <f t="shared" si="15"/>
        <v>09</v>
      </c>
      <c r="M6" s="9" t="str">
        <f t="shared" si="16"/>
        <v>05</v>
      </c>
      <c r="N6" s="9" t="str">
        <f t="shared" si="17"/>
        <v>2025</v>
      </c>
      <c r="O6" s="10" t="str">
        <f t="shared" si="18"/>
        <v>09/05/2025</v>
      </c>
      <c r="P6" s="9">
        <f t="shared" si="19"/>
        <v>28</v>
      </c>
    </row>
    <row r="7" spans="1:16" ht="13.8" x14ac:dyDescent="0.25">
      <c r="A7" s="13" t="s">
        <v>89</v>
      </c>
      <c r="B7" s="7" t="s">
        <v>90</v>
      </c>
      <c r="C7" s="7" t="s">
        <v>24</v>
      </c>
      <c r="D7" s="7" t="s">
        <v>92</v>
      </c>
      <c r="E7" s="7" t="s">
        <v>91</v>
      </c>
      <c r="F7" s="8" t="s">
        <v>266</v>
      </c>
      <c r="G7" s="9" t="str">
        <f t="shared" si="10"/>
        <v>KD11E</v>
      </c>
      <c r="H7" s="9" t="str">
        <f t="shared" si="11"/>
        <v>30</v>
      </c>
      <c r="I7" s="9" t="str">
        <f t="shared" si="12"/>
        <v>01</v>
      </c>
      <c r="J7" s="9" t="str">
        <f t="shared" si="13"/>
        <v>2025</v>
      </c>
      <c r="K7" s="10" t="str">
        <f t="shared" si="14"/>
        <v>30/01/2025</v>
      </c>
      <c r="L7" s="9" t="str">
        <f t="shared" si="15"/>
        <v>20</v>
      </c>
      <c r="M7" s="9" t="str">
        <f t="shared" si="16"/>
        <v>05</v>
      </c>
      <c r="N7" s="9" t="str">
        <f t="shared" si="17"/>
        <v>2025</v>
      </c>
      <c r="O7" s="10" t="str">
        <f t="shared" si="18"/>
        <v>20/05/2025</v>
      </c>
      <c r="P7" s="9">
        <f t="shared" si="19"/>
        <v>110</v>
      </c>
    </row>
    <row r="8" spans="1:16" ht="13.8" hidden="1" x14ac:dyDescent="0.25">
      <c r="A8" s="11" t="s">
        <v>93</v>
      </c>
      <c r="B8" s="7" t="s">
        <v>94</v>
      </c>
      <c r="C8" s="7" t="s">
        <v>15</v>
      </c>
      <c r="D8" s="7" t="s">
        <v>96</v>
      </c>
      <c r="E8" s="7" t="s">
        <v>95</v>
      </c>
      <c r="F8" s="8"/>
      <c r="G8" s="9" t="str">
        <f t="shared" si="10"/>
        <v>JBK1E</v>
      </c>
      <c r="H8" s="9" t="str">
        <f t="shared" si="11"/>
        <v>24</v>
      </c>
      <c r="I8" s="9" t="str">
        <f t="shared" si="12"/>
        <v>03</v>
      </c>
      <c r="J8" s="9" t="str">
        <f t="shared" si="13"/>
        <v>2025</v>
      </c>
      <c r="K8" s="10" t="str">
        <f t="shared" si="14"/>
        <v>24/03/2025</v>
      </c>
      <c r="L8" s="9" t="str">
        <f t="shared" si="15"/>
        <v>02</v>
      </c>
      <c r="M8" s="9" t="str">
        <f t="shared" si="16"/>
        <v>05</v>
      </c>
      <c r="N8" s="9" t="str">
        <f t="shared" si="17"/>
        <v>2025</v>
      </c>
      <c r="O8" s="10" t="str">
        <f t="shared" si="18"/>
        <v>02/05/2025</v>
      </c>
      <c r="P8" s="9">
        <f t="shared" si="19"/>
        <v>39</v>
      </c>
    </row>
    <row r="9" spans="1:16" ht="13.8" hidden="1" x14ac:dyDescent="0.25">
      <c r="A9" s="11" t="s">
        <v>97</v>
      </c>
      <c r="B9" s="7" t="s">
        <v>98</v>
      </c>
      <c r="C9" s="7" t="s">
        <v>15</v>
      </c>
      <c r="D9" s="7" t="s">
        <v>100</v>
      </c>
      <c r="E9" s="7" t="s">
        <v>99</v>
      </c>
      <c r="F9" s="8"/>
      <c r="G9" s="9" t="str">
        <f t="shared" si="10"/>
        <v>JBK3E</v>
      </c>
      <c r="H9" s="9" t="str">
        <f t="shared" si="11"/>
        <v>27</v>
      </c>
      <c r="I9" s="9" t="str">
        <f t="shared" si="12"/>
        <v>03</v>
      </c>
      <c r="J9" s="9" t="str">
        <f t="shared" si="13"/>
        <v>2025</v>
      </c>
      <c r="K9" s="10" t="str">
        <f t="shared" si="14"/>
        <v>27/03/2025</v>
      </c>
      <c r="L9" s="9" t="str">
        <f t="shared" si="15"/>
        <v>05</v>
      </c>
      <c r="M9" s="9" t="str">
        <f t="shared" si="16"/>
        <v>05</v>
      </c>
      <c r="N9" s="9" t="str">
        <f t="shared" si="17"/>
        <v>2025</v>
      </c>
      <c r="O9" s="10" t="str">
        <f t="shared" si="18"/>
        <v>05/05/2025</v>
      </c>
      <c r="P9" s="9">
        <f t="shared" si="19"/>
        <v>39</v>
      </c>
    </row>
    <row r="10" spans="1:16" ht="13.8" hidden="1" x14ac:dyDescent="0.25">
      <c r="A10" s="11" t="s">
        <v>101</v>
      </c>
      <c r="B10" s="7" t="s">
        <v>102</v>
      </c>
      <c r="C10" s="7" t="s">
        <v>15</v>
      </c>
      <c r="D10" s="7" t="s">
        <v>103</v>
      </c>
      <c r="E10" s="7" t="s">
        <v>99</v>
      </c>
      <c r="F10" s="8"/>
      <c r="G10" s="9" t="str">
        <f t="shared" si="10"/>
        <v>JBK3E</v>
      </c>
      <c r="H10" s="9" t="str">
        <f t="shared" si="11"/>
        <v>09</v>
      </c>
      <c r="I10" s="9" t="str">
        <f t="shared" si="12"/>
        <v>04</v>
      </c>
      <c r="J10" s="9" t="str">
        <f t="shared" si="13"/>
        <v>2025</v>
      </c>
      <c r="K10" s="10" t="str">
        <f t="shared" si="14"/>
        <v>09/04/2025</v>
      </c>
      <c r="L10" s="9" t="str">
        <f t="shared" si="15"/>
        <v>05</v>
      </c>
      <c r="M10" s="9" t="str">
        <f t="shared" si="16"/>
        <v>05</v>
      </c>
      <c r="N10" s="9" t="str">
        <f t="shared" si="17"/>
        <v>2025</v>
      </c>
      <c r="O10" s="10" t="str">
        <f t="shared" si="18"/>
        <v>05/05/2025</v>
      </c>
      <c r="P10" s="9">
        <f t="shared" si="19"/>
        <v>26</v>
      </c>
    </row>
    <row r="11" spans="1:16" ht="13.8" hidden="1" x14ac:dyDescent="0.25">
      <c r="A11" s="11" t="s">
        <v>104</v>
      </c>
      <c r="B11" s="7" t="s">
        <v>105</v>
      </c>
      <c r="C11" s="7" t="s">
        <v>15</v>
      </c>
      <c r="D11" s="7" t="s">
        <v>106</v>
      </c>
      <c r="E11" s="7" t="s">
        <v>99</v>
      </c>
      <c r="F11" s="8"/>
      <c r="G11" s="9" t="str">
        <f t="shared" si="10"/>
        <v>JBK3E</v>
      </c>
      <c r="H11" s="9" t="str">
        <f t="shared" si="11"/>
        <v>06</v>
      </c>
      <c r="I11" s="9" t="str">
        <f t="shared" si="12"/>
        <v>03</v>
      </c>
      <c r="J11" s="9" t="str">
        <f t="shared" si="13"/>
        <v>2025</v>
      </c>
      <c r="K11" s="10" t="str">
        <f t="shared" si="14"/>
        <v>06/03/2025</v>
      </c>
      <c r="L11" s="9" t="str">
        <f t="shared" si="15"/>
        <v>05</v>
      </c>
      <c r="M11" s="9" t="str">
        <f t="shared" si="16"/>
        <v>05</v>
      </c>
      <c r="N11" s="9" t="str">
        <f t="shared" si="17"/>
        <v>2025</v>
      </c>
      <c r="O11" s="10" t="str">
        <f t="shared" si="18"/>
        <v>05/05/2025</v>
      </c>
      <c r="P11" s="9">
        <f t="shared" si="19"/>
        <v>60</v>
      </c>
    </row>
    <row r="12" spans="1:16" ht="13.8" hidden="1" x14ac:dyDescent="0.25">
      <c r="A12" s="11" t="s">
        <v>107</v>
      </c>
      <c r="B12" s="7" t="s">
        <v>108</v>
      </c>
      <c r="C12" s="7" t="s">
        <v>15</v>
      </c>
      <c r="D12" s="7" t="s">
        <v>109</v>
      </c>
      <c r="E12" s="7" t="s">
        <v>74</v>
      </c>
      <c r="F12" s="8"/>
      <c r="G12" s="9" t="str">
        <f t="shared" si="10"/>
        <v>JBK1E</v>
      </c>
      <c r="H12" s="9" t="str">
        <f t="shared" si="11"/>
        <v>24</v>
      </c>
      <c r="I12" s="9" t="str">
        <f t="shared" si="12"/>
        <v>04</v>
      </c>
      <c r="J12" s="9" t="str">
        <f t="shared" si="13"/>
        <v>2025</v>
      </c>
      <c r="K12" s="10" t="str">
        <f t="shared" si="14"/>
        <v>24/04/2025</v>
      </c>
      <c r="L12" s="9" t="str">
        <f t="shared" si="15"/>
        <v>09</v>
      </c>
      <c r="M12" s="9" t="str">
        <f t="shared" si="16"/>
        <v>05</v>
      </c>
      <c r="N12" s="9" t="str">
        <f t="shared" si="17"/>
        <v>2025</v>
      </c>
      <c r="O12" s="10" t="str">
        <f t="shared" si="18"/>
        <v>09/05/2025</v>
      </c>
      <c r="P12" s="9">
        <f t="shared" si="19"/>
        <v>15</v>
      </c>
    </row>
    <row r="13" spans="1:16" ht="13.8" hidden="1" x14ac:dyDescent="0.25">
      <c r="A13" s="11" t="s">
        <v>110</v>
      </c>
      <c r="B13" s="7" t="s">
        <v>85</v>
      </c>
      <c r="C13" s="7" t="s">
        <v>15</v>
      </c>
      <c r="D13" s="7" t="s">
        <v>111</v>
      </c>
      <c r="E13" s="7" t="s">
        <v>74</v>
      </c>
      <c r="F13" s="8"/>
      <c r="G13" s="9" t="str">
        <f t="shared" si="10"/>
        <v>JBK1E</v>
      </c>
      <c r="H13" s="9" t="str">
        <f t="shared" si="11"/>
        <v>22</v>
      </c>
      <c r="I13" s="9" t="str">
        <f t="shared" si="12"/>
        <v>03</v>
      </c>
      <c r="J13" s="9" t="str">
        <f t="shared" si="13"/>
        <v>2025</v>
      </c>
      <c r="K13" s="10" t="str">
        <f t="shared" si="14"/>
        <v>22/03/2025</v>
      </c>
      <c r="L13" s="9" t="str">
        <f t="shared" si="15"/>
        <v>09</v>
      </c>
      <c r="M13" s="9" t="str">
        <f t="shared" si="16"/>
        <v>05</v>
      </c>
      <c r="N13" s="9" t="str">
        <f t="shared" si="17"/>
        <v>2025</v>
      </c>
      <c r="O13" s="10" t="str">
        <f t="shared" si="18"/>
        <v>09/05/2025</v>
      </c>
      <c r="P13" s="9">
        <f t="shared" si="19"/>
        <v>48</v>
      </c>
    </row>
    <row r="14" spans="1:16" ht="13.8" hidden="1" x14ac:dyDescent="0.25">
      <c r="A14" s="11" t="s">
        <v>112</v>
      </c>
      <c r="B14" s="7" t="s">
        <v>113</v>
      </c>
      <c r="C14" s="7" t="s">
        <v>15</v>
      </c>
      <c r="D14" s="7" t="s">
        <v>114</v>
      </c>
      <c r="E14" s="7" t="s">
        <v>82</v>
      </c>
      <c r="F14" s="8"/>
      <c r="G14" s="9" t="str">
        <f t="shared" si="10"/>
        <v>JBK3E</v>
      </c>
      <c r="H14" s="9" t="str">
        <f t="shared" si="11"/>
        <v>10</v>
      </c>
      <c r="I14" s="9" t="str">
        <f t="shared" si="12"/>
        <v>04</v>
      </c>
      <c r="J14" s="9" t="str">
        <f t="shared" si="13"/>
        <v>2025</v>
      </c>
      <c r="K14" s="10" t="str">
        <f t="shared" si="14"/>
        <v>10/04/2025</v>
      </c>
      <c r="L14" s="9" t="str">
        <f t="shared" si="15"/>
        <v>13</v>
      </c>
      <c r="M14" s="9" t="str">
        <f t="shared" si="16"/>
        <v>05</v>
      </c>
      <c r="N14" s="9" t="str">
        <f t="shared" si="17"/>
        <v>2025</v>
      </c>
      <c r="O14" s="10" t="str">
        <f t="shared" si="18"/>
        <v>13/05/2025</v>
      </c>
      <c r="P14" s="9">
        <f t="shared" si="19"/>
        <v>33</v>
      </c>
    </row>
    <row r="15" spans="1:16" ht="13.8" hidden="1" x14ac:dyDescent="0.25">
      <c r="A15" s="11" t="s">
        <v>115</v>
      </c>
      <c r="B15" s="7" t="s">
        <v>102</v>
      </c>
      <c r="C15" s="7" t="s">
        <v>15</v>
      </c>
      <c r="D15" s="7" t="s">
        <v>116</v>
      </c>
      <c r="E15" s="7" t="s">
        <v>82</v>
      </c>
      <c r="F15" s="8"/>
      <c r="G15" s="9" t="str">
        <f t="shared" si="10"/>
        <v>JBK3E</v>
      </c>
      <c r="H15" s="9" t="str">
        <f t="shared" si="11"/>
        <v>09</v>
      </c>
      <c r="I15" s="9" t="str">
        <f t="shared" si="12"/>
        <v>04</v>
      </c>
      <c r="J15" s="9" t="str">
        <f t="shared" si="13"/>
        <v>2025</v>
      </c>
      <c r="K15" s="10" t="str">
        <f t="shared" si="14"/>
        <v>09/04/2025</v>
      </c>
      <c r="L15" s="9" t="str">
        <f t="shared" si="15"/>
        <v>13</v>
      </c>
      <c r="M15" s="9" t="str">
        <f t="shared" si="16"/>
        <v>05</v>
      </c>
      <c r="N15" s="9" t="str">
        <f t="shared" si="17"/>
        <v>2025</v>
      </c>
      <c r="O15" s="10" t="str">
        <f t="shared" si="18"/>
        <v>13/05/2025</v>
      </c>
      <c r="P15" s="9">
        <f t="shared" si="19"/>
        <v>34</v>
      </c>
    </row>
    <row r="16" spans="1:16" ht="13.8" hidden="1" x14ac:dyDescent="0.25">
      <c r="A16" s="11" t="s">
        <v>117</v>
      </c>
      <c r="B16" s="7" t="s">
        <v>85</v>
      </c>
      <c r="C16" s="7" t="s">
        <v>15</v>
      </c>
      <c r="D16" s="7" t="s">
        <v>119</v>
      </c>
      <c r="E16" s="7" t="s">
        <v>118</v>
      </c>
      <c r="F16" s="8"/>
      <c r="G16" s="9" t="str">
        <f t="shared" si="10"/>
        <v>JBK1E</v>
      </c>
      <c r="H16" s="9" t="str">
        <f t="shared" si="11"/>
        <v>22</v>
      </c>
      <c r="I16" s="9" t="str">
        <f t="shared" si="12"/>
        <v>03</v>
      </c>
      <c r="J16" s="9" t="str">
        <f t="shared" si="13"/>
        <v>2025</v>
      </c>
      <c r="K16" s="10" t="str">
        <f t="shared" si="14"/>
        <v>22/03/2025</v>
      </c>
      <c r="L16" s="9" t="str">
        <f t="shared" si="15"/>
        <v>14</v>
      </c>
      <c r="M16" s="9" t="str">
        <f t="shared" si="16"/>
        <v>05</v>
      </c>
      <c r="N16" s="9" t="str">
        <f t="shared" si="17"/>
        <v>2025</v>
      </c>
      <c r="O16" s="10" t="str">
        <f t="shared" si="18"/>
        <v>14/05/2025</v>
      </c>
      <c r="P16" s="9">
        <f t="shared" si="19"/>
        <v>53</v>
      </c>
    </row>
    <row r="17" spans="1:16" ht="13.8" hidden="1" x14ac:dyDescent="0.25">
      <c r="A17" s="11" t="s">
        <v>120</v>
      </c>
      <c r="B17" s="7" t="s">
        <v>82</v>
      </c>
      <c r="C17" s="7" t="s">
        <v>15</v>
      </c>
      <c r="D17" s="7" t="s">
        <v>122</v>
      </c>
      <c r="E17" s="7" t="s">
        <v>121</v>
      </c>
      <c r="F17" s="8"/>
      <c r="G17" s="9" t="str">
        <f t="shared" si="10"/>
        <v>JBK1E</v>
      </c>
      <c r="H17" s="9" t="str">
        <f t="shared" si="11"/>
        <v>13</v>
      </c>
      <c r="I17" s="9" t="str">
        <f t="shared" si="12"/>
        <v>05</v>
      </c>
      <c r="J17" s="9" t="str">
        <f t="shared" si="13"/>
        <v>2025</v>
      </c>
      <c r="K17" s="10" t="str">
        <f t="shared" si="14"/>
        <v>13/05/2025</v>
      </c>
      <c r="L17" s="9" t="str">
        <f t="shared" si="15"/>
        <v>28</v>
      </c>
      <c r="M17" s="9" t="str">
        <f t="shared" si="16"/>
        <v>05</v>
      </c>
      <c r="N17" s="9" t="str">
        <f t="shared" si="17"/>
        <v>2025</v>
      </c>
      <c r="O17" s="10" t="str">
        <f t="shared" si="18"/>
        <v>28/05/2025</v>
      </c>
      <c r="P17" s="9">
        <f t="shared" si="19"/>
        <v>15</v>
      </c>
    </row>
    <row r="18" spans="1:16" ht="13.8" hidden="1" x14ac:dyDescent="0.25">
      <c r="A18" s="11" t="s">
        <v>123</v>
      </c>
      <c r="B18" s="7" t="s">
        <v>124</v>
      </c>
      <c r="C18" s="7" t="s">
        <v>15</v>
      </c>
      <c r="D18" s="7" t="s">
        <v>125</v>
      </c>
      <c r="E18" s="7" t="s">
        <v>121</v>
      </c>
      <c r="F18" s="8"/>
      <c r="G18" s="9" t="str">
        <f t="shared" si="10"/>
        <v>JBK1E</v>
      </c>
      <c r="H18" s="9" t="str">
        <f t="shared" si="11"/>
        <v>28</v>
      </c>
      <c r="I18" s="9" t="str">
        <f t="shared" si="12"/>
        <v>03</v>
      </c>
      <c r="J18" s="9" t="str">
        <f t="shared" si="13"/>
        <v>2025</v>
      </c>
      <c r="K18" s="10" t="str">
        <f t="shared" si="14"/>
        <v>28/03/2025</v>
      </c>
      <c r="L18" s="9" t="str">
        <f t="shared" si="15"/>
        <v>28</v>
      </c>
      <c r="M18" s="9" t="str">
        <f t="shared" si="16"/>
        <v>05</v>
      </c>
      <c r="N18" s="9" t="str">
        <f t="shared" si="17"/>
        <v>2025</v>
      </c>
      <c r="O18" s="10" t="str">
        <f t="shared" si="18"/>
        <v>28/05/2025</v>
      </c>
      <c r="P18" s="9">
        <f t="shared" si="19"/>
        <v>61</v>
      </c>
    </row>
    <row r="19" spans="1:16" ht="13.8" hidden="1" x14ac:dyDescent="0.25">
      <c r="A19" s="11" t="s">
        <v>126</v>
      </c>
      <c r="B19" s="7" t="s">
        <v>127</v>
      </c>
      <c r="C19" s="7" t="s">
        <v>24</v>
      </c>
      <c r="D19" s="7" t="s">
        <v>128</v>
      </c>
      <c r="E19" s="7" t="s">
        <v>74</v>
      </c>
      <c r="F19" s="8"/>
      <c r="G19" s="9" t="str">
        <f t="shared" si="10"/>
        <v>JBK1E</v>
      </c>
      <c r="H19" s="9" t="str">
        <f t="shared" si="11"/>
        <v>11</v>
      </c>
      <c r="I19" s="9" t="str">
        <f t="shared" si="12"/>
        <v>02</v>
      </c>
      <c r="J19" s="9" t="str">
        <f t="shared" si="13"/>
        <v>2025</v>
      </c>
      <c r="K19" s="10" t="str">
        <f t="shared" si="14"/>
        <v>11/02/2025</v>
      </c>
      <c r="L19" s="9" t="str">
        <f t="shared" si="15"/>
        <v>09</v>
      </c>
      <c r="M19" s="9" t="str">
        <f t="shared" si="16"/>
        <v>05</v>
      </c>
      <c r="N19" s="9" t="str">
        <f t="shared" si="17"/>
        <v>2025</v>
      </c>
      <c r="O19" s="10" t="str">
        <f t="shared" si="18"/>
        <v>09/05/2025</v>
      </c>
      <c r="P19" s="9">
        <f t="shared" si="19"/>
        <v>87</v>
      </c>
    </row>
    <row r="20" spans="1:16" ht="13.8" x14ac:dyDescent="0.25">
      <c r="A20" s="11" t="s">
        <v>129</v>
      </c>
      <c r="B20" s="12" t="s">
        <v>130</v>
      </c>
      <c r="C20" s="7" t="s">
        <v>24</v>
      </c>
      <c r="D20" s="7" t="s">
        <v>131</v>
      </c>
      <c r="E20" s="7" t="s">
        <v>74</v>
      </c>
      <c r="F20" s="8" t="s">
        <v>265</v>
      </c>
      <c r="G20" s="9" t="str">
        <f t="shared" si="10"/>
        <v>JBK1E</v>
      </c>
      <c r="H20" s="9" t="str">
        <f t="shared" si="11"/>
        <v>18</v>
      </c>
      <c r="I20" s="9" t="str">
        <f t="shared" si="12"/>
        <v>04</v>
      </c>
      <c r="J20" s="9" t="str">
        <f t="shared" si="13"/>
        <v>2025</v>
      </c>
      <c r="K20" s="10" t="str">
        <f t="shared" si="14"/>
        <v>18/04/2025</v>
      </c>
      <c r="L20" s="9" t="str">
        <f t="shared" si="15"/>
        <v>09</v>
      </c>
      <c r="M20" s="9" t="str">
        <f t="shared" si="16"/>
        <v>05</v>
      </c>
      <c r="N20" s="9" t="str">
        <f t="shared" si="17"/>
        <v>2025</v>
      </c>
      <c r="O20" s="10" t="str">
        <f t="shared" si="18"/>
        <v>09/05/2025</v>
      </c>
      <c r="P20" s="9">
        <f t="shared" si="19"/>
        <v>21</v>
      </c>
    </row>
    <row r="21" spans="1:16" ht="13.8" hidden="1" x14ac:dyDescent="0.25">
      <c r="A21" s="11" t="s">
        <v>132</v>
      </c>
      <c r="B21" s="7" t="s">
        <v>133</v>
      </c>
      <c r="C21" s="7" t="s">
        <v>24</v>
      </c>
      <c r="D21" s="7" t="s">
        <v>134</v>
      </c>
      <c r="E21" s="7" t="s">
        <v>78</v>
      </c>
      <c r="F21" s="8"/>
      <c r="G21" s="9" t="str">
        <f t="shared" si="10"/>
        <v>JBK1E</v>
      </c>
      <c r="H21" s="9" t="str">
        <f t="shared" si="11"/>
        <v>21</v>
      </c>
      <c r="I21" s="9" t="str">
        <f t="shared" si="12"/>
        <v>02</v>
      </c>
      <c r="J21" s="9" t="str">
        <f t="shared" si="13"/>
        <v>2025</v>
      </c>
      <c r="K21" s="10" t="str">
        <f t="shared" si="14"/>
        <v>21/02/2025</v>
      </c>
      <c r="L21" s="9" t="str">
        <f t="shared" si="15"/>
        <v>10</v>
      </c>
      <c r="M21" s="9" t="str">
        <f t="shared" si="16"/>
        <v>05</v>
      </c>
      <c r="N21" s="9" t="str">
        <f t="shared" si="17"/>
        <v>2025</v>
      </c>
      <c r="O21" s="10" t="str">
        <f t="shared" si="18"/>
        <v>10/05/2025</v>
      </c>
      <c r="P21" s="9">
        <f t="shared" si="19"/>
        <v>78</v>
      </c>
    </row>
    <row r="22" spans="1:16" ht="13.8" hidden="1" x14ac:dyDescent="0.25">
      <c r="A22" s="11" t="s">
        <v>135</v>
      </c>
      <c r="B22" s="7" t="s">
        <v>136</v>
      </c>
      <c r="C22" s="7" t="s">
        <v>24</v>
      </c>
      <c r="D22" s="7" t="s">
        <v>137</v>
      </c>
      <c r="E22" s="7" t="s">
        <v>78</v>
      </c>
      <c r="F22" s="8"/>
      <c r="G22" s="9" t="str">
        <f t="shared" si="10"/>
        <v>JBK1E</v>
      </c>
      <c r="H22" s="9" t="str">
        <f t="shared" si="11"/>
        <v>12</v>
      </c>
      <c r="I22" s="9" t="str">
        <f t="shared" si="12"/>
        <v>02</v>
      </c>
      <c r="J22" s="9" t="str">
        <f t="shared" si="13"/>
        <v>2025</v>
      </c>
      <c r="K22" s="10" t="str">
        <f t="shared" si="14"/>
        <v>12/02/2025</v>
      </c>
      <c r="L22" s="9" t="str">
        <f t="shared" si="15"/>
        <v>10</v>
      </c>
      <c r="M22" s="9" t="str">
        <f t="shared" si="16"/>
        <v>05</v>
      </c>
      <c r="N22" s="9" t="str">
        <f t="shared" si="17"/>
        <v>2025</v>
      </c>
      <c r="O22" s="10" t="str">
        <f t="shared" si="18"/>
        <v>10/05/2025</v>
      </c>
      <c r="P22" s="9">
        <f t="shared" si="19"/>
        <v>87</v>
      </c>
    </row>
    <row r="23" spans="1:16" ht="13.8" hidden="1" x14ac:dyDescent="0.25">
      <c r="A23" s="11" t="s">
        <v>138</v>
      </c>
      <c r="B23" s="7" t="s">
        <v>133</v>
      </c>
      <c r="C23" s="7" t="s">
        <v>24</v>
      </c>
      <c r="D23" s="7" t="s">
        <v>139</v>
      </c>
      <c r="E23" s="7" t="s">
        <v>78</v>
      </c>
      <c r="F23" s="8"/>
      <c r="G23" s="9" t="str">
        <f t="shared" si="10"/>
        <v>JBK1E</v>
      </c>
      <c r="H23" s="9" t="str">
        <f t="shared" si="11"/>
        <v>21</v>
      </c>
      <c r="I23" s="9" t="str">
        <f t="shared" si="12"/>
        <v>02</v>
      </c>
      <c r="J23" s="9" t="str">
        <f t="shared" si="13"/>
        <v>2025</v>
      </c>
      <c r="K23" s="10" t="str">
        <f t="shared" si="14"/>
        <v>21/02/2025</v>
      </c>
      <c r="L23" s="9" t="str">
        <f t="shared" si="15"/>
        <v>10</v>
      </c>
      <c r="M23" s="9" t="str">
        <f t="shared" si="16"/>
        <v>05</v>
      </c>
      <c r="N23" s="9" t="str">
        <f t="shared" si="17"/>
        <v>2025</v>
      </c>
      <c r="O23" s="10" t="str">
        <f t="shared" si="18"/>
        <v>10/05/2025</v>
      </c>
      <c r="P23" s="9">
        <f t="shared" si="19"/>
        <v>78</v>
      </c>
    </row>
    <row r="24" spans="1:16" ht="13.8" hidden="1" x14ac:dyDescent="0.25">
      <c r="A24" s="11" t="s">
        <v>140</v>
      </c>
      <c r="B24" s="7" t="s">
        <v>141</v>
      </c>
      <c r="C24" s="7" t="s">
        <v>24</v>
      </c>
      <c r="D24" s="7" t="s">
        <v>142</v>
      </c>
      <c r="E24" s="7" t="s">
        <v>78</v>
      </c>
      <c r="F24" s="8"/>
      <c r="G24" s="9" t="str">
        <f t="shared" si="10"/>
        <v>JBK1E</v>
      </c>
      <c r="H24" s="9" t="str">
        <f t="shared" si="11"/>
        <v>04</v>
      </c>
      <c r="I24" s="9" t="str">
        <f t="shared" si="12"/>
        <v>02</v>
      </c>
      <c r="J24" s="9" t="str">
        <f t="shared" si="13"/>
        <v>2025</v>
      </c>
      <c r="K24" s="10" t="str">
        <f t="shared" si="14"/>
        <v>04/02/2025</v>
      </c>
      <c r="L24" s="9" t="str">
        <f t="shared" si="15"/>
        <v>10</v>
      </c>
      <c r="M24" s="9" t="str">
        <f t="shared" si="16"/>
        <v>05</v>
      </c>
      <c r="N24" s="9" t="str">
        <f t="shared" si="17"/>
        <v>2025</v>
      </c>
      <c r="O24" s="10" t="str">
        <f t="shared" si="18"/>
        <v>10/05/2025</v>
      </c>
      <c r="P24" s="9">
        <f t="shared" si="19"/>
        <v>95</v>
      </c>
    </row>
    <row r="25" spans="1:16" ht="13.8" hidden="1" x14ac:dyDescent="0.25">
      <c r="A25" s="11" t="s">
        <v>143</v>
      </c>
      <c r="B25" s="7" t="s">
        <v>144</v>
      </c>
      <c r="C25" s="7" t="s">
        <v>24</v>
      </c>
      <c r="D25" s="7" t="s">
        <v>128</v>
      </c>
      <c r="E25" s="7" t="s">
        <v>78</v>
      </c>
      <c r="F25" s="8"/>
      <c r="G25" s="9" t="str">
        <f t="shared" si="10"/>
        <v>JBK1E</v>
      </c>
      <c r="H25" s="9" t="str">
        <f t="shared" si="11"/>
        <v>17</v>
      </c>
      <c r="I25" s="9" t="str">
        <f t="shared" si="12"/>
        <v>02</v>
      </c>
      <c r="J25" s="9" t="str">
        <f t="shared" si="13"/>
        <v>2025</v>
      </c>
      <c r="K25" s="10" t="str">
        <f t="shared" si="14"/>
        <v>17/02/2025</v>
      </c>
      <c r="L25" s="9" t="str">
        <f t="shared" si="15"/>
        <v>10</v>
      </c>
      <c r="M25" s="9" t="str">
        <f t="shared" si="16"/>
        <v>05</v>
      </c>
      <c r="N25" s="9" t="str">
        <f t="shared" si="17"/>
        <v>2025</v>
      </c>
      <c r="O25" s="10" t="str">
        <f t="shared" si="18"/>
        <v>10/05/2025</v>
      </c>
      <c r="P25" s="9">
        <f t="shared" si="19"/>
        <v>82</v>
      </c>
    </row>
    <row r="26" spans="1:16" ht="13.8" hidden="1" x14ac:dyDescent="0.25">
      <c r="A26" s="11" t="s">
        <v>145</v>
      </c>
      <c r="B26" s="7" t="s">
        <v>136</v>
      </c>
      <c r="C26" s="7" t="s">
        <v>24</v>
      </c>
      <c r="D26" s="7" t="s">
        <v>146</v>
      </c>
      <c r="E26" s="7" t="s">
        <v>78</v>
      </c>
      <c r="F26" s="8"/>
      <c r="G26" s="9" t="str">
        <f t="shared" si="10"/>
        <v>JBK1E</v>
      </c>
      <c r="H26" s="9" t="str">
        <f t="shared" si="11"/>
        <v>12</v>
      </c>
      <c r="I26" s="9" t="str">
        <f t="shared" si="12"/>
        <v>02</v>
      </c>
      <c r="J26" s="9" t="str">
        <f t="shared" si="13"/>
        <v>2025</v>
      </c>
      <c r="K26" s="10" t="str">
        <f t="shared" si="14"/>
        <v>12/02/2025</v>
      </c>
      <c r="L26" s="9" t="str">
        <f t="shared" si="15"/>
        <v>10</v>
      </c>
      <c r="M26" s="9" t="str">
        <f t="shared" si="16"/>
        <v>05</v>
      </c>
      <c r="N26" s="9" t="str">
        <f t="shared" si="17"/>
        <v>2025</v>
      </c>
      <c r="O26" s="10" t="str">
        <f t="shared" si="18"/>
        <v>10/05/2025</v>
      </c>
      <c r="P26" s="9">
        <f t="shared" si="19"/>
        <v>87</v>
      </c>
    </row>
    <row r="27" spans="1:16" ht="13.8" hidden="1" x14ac:dyDescent="0.25">
      <c r="A27" s="11" t="s">
        <v>147</v>
      </c>
      <c r="B27" s="7" t="s">
        <v>148</v>
      </c>
      <c r="C27" s="7" t="s">
        <v>24</v>
      </c>
      <c r="D27" s="7" t="s">
        <v>149</v>
      </c>
      <c r="E27" s="7" t="s">
        <v>82</v>
      </c>
      <c r="F27" s="8"/>
      <c r="G27" s="9" t="str">
        <f t="shared" si="10"/>
        <v>JBK3E</v>
      </c>
      <c r="H27" s="9" t="str">
        <f t="shared" si="11"/>
        <v>24</v>
      </c>
      <c r="I27" s="9" t="str">
        <f t="shared" si="12"/>
        <v>02</v>
      </c>
      <c r="J27" s="9" t="str">
        <f t="shared" si="13"/>
        <v>2025</v>
      </c>
      <c r="K27" s="10" t="str">
        <f t="shared" si="14"/>
        <v>24/02/2025</v>
      </c>
      <c r="L27" s="9" t="str">
        <f t="shared" si="15"/>
        <v>13</v>
      </c>
      <c r="M27" s="9" t="str">
        <f t="shared" si="16"/>
        <v>05</v>
      </c>
      <c r="N27" s="9" t="str">
        <f t="shared" si="17"/>
        <v>2025</v>
      </c>
      <c r="O27" s="10" t="str">
        <f t="shared" si="18"/>
        <v>13/05/2025</v>
      </c>
      <c r="P27" s="9">
        <f t="shared" si="19"/>
        <v>78</v>
      </c>
    </row>
    <row r="28" spans="1:16" ht="13.8" hidden="1" x14ac:dyDescent="0.25">
      <c r="A28" s="11" t="s">
        <v>150</v>
      </c>
      <c r="B28" s="7" t="s">
        <v>127</v>
      </c>
      <c r="C28" s="7" t="s">
        <v>24</v>
      </c>
      <c r="D28" s="7" t="s">
        <v>151</v>
      </c>
      <c r="E28" s="7" t="s">
        <v>82</v>
      </c>
      <c r="F28" s="8"/>
      <c r="G28" s="9" t="str">
        <f t="shared" si="10"/>
        <v>JBK1E</v>
      </c>
      <c r="H28" s="9" t="str">
        <f t="shared" si="11"/>
        <v>11</v>
      </c>
      <c r="I28" s="9" t="str">
        <f t="shared" si="12"/>
        <v>02</v>
      </c>
      <c r="J28" s="9" t="str">
        <f t="shared" si="13"/>
        <v>2025</v>
      </c>
      <c r="K28" s="10" t="str">
        <f t="shared" si="14"/>
        <v>11/02/2025</v>
      </c>
      <c r="L28" s="9" t="str">
        <f t="shared" si="15"/>
        <v>13</v>
      </c>
      <c r="M28" s="9" t="str">
        <f t="shared" si="16"/>
        <v>05</v>
      </c>
      <c r="N28" s="9" t="str">
        <f t="shared" si="17"/>
        <v>2025</v>
      </c>
      <c r="O28" s="10" t="str">
        <f t="shared" si="18"/>
        <v>13/05/2025</v>
      </c>
      <c r="P28" s="9">
        <f t="shared" si="19"/>
        <v>91</v>
      </c>
    </row>
    <row r="29" spans="1:16" ht="13.8" hidden="1" x14ac:dyDescent="0.25">
      <c r="A29" s="11" t="s">
        <v>152</v>
      </c>
      <c r="B29" s="7" t="s">
        <v>153</v>
      </c>
      <c r="C29" s="7" t="s">
        <v>24</v>
      </c>
      <c r="D29" s="7" t="s">
        <v>154</v>
      </c>
      <c r="E29" s="7" t="s">
        <v>82</v>
      </c>
      <c r="F29" s="8"/>
      <c r="G29" s="9" t="str">
        <f t="shared" si="10"/>
        <v>JBK3E</v>
      </c>
      <c r="H29" s="9" t="str">
        <f t="shared" si="11"/>
        <v>28</v>
      </c>
      <c r="I29" s="9" t="str">
        <f t="shared" si="12"/>
        <v>02</v>
      </c>
      <c r="J29" s="9" t="str">
        <f t="shared" si="13"/>
        <v>2025</v>
      </c>
      <c r="K29" s="10" t="str">
        <f t="shared" si="14"/>
        <v>28/02/2025</v>
      </c>
      <c r="L29" s="9" t="str">
        <f t="shared" si="15"/>
        <v>13</v>
      </c>
      <c r="M29" s="9" t="str">
        <f t="shared" si="16"/>
        <v>05</v>
      </c>
      <c r="N29" s="9" t="str">
        <f t="shared" si="17"/>
        <v>2025</v>
      </c>
      <c r="O29" s="10" t="str">
        <f t="shared" si="18"/>
        <v>13/05/2025</v>
      </c>
      <c r="P29" s="9">
        <f t="shared" si="19"/>
        <v>74</v>
      </c>
    </row>
    <row r="30" spans="1:16" ht="13.8" hidden="1" x14ac:dyDescent="0.25">
      <c r="A30" s="11" t="s">
        <v>155</v>
      </c>
      <c r="B30" s="7" t="s">
        <v>141</v>
      </c>
      <c r="C30" s="7" t="s">
        <v>24</v>
      </c>
      <c r="D30" s="7" t="s">
        <v>156</v>
      </c>
      <c r="E30" s="7" t="s">
        <v>82</v>
      </c>
      <c r="F30" s="8"/>
      <c r="G30" s="9" t="str">
        <f t="shared" si="10"/>
        <v>JBK3E</v>
      </c>
      <c r="H30" s="9" t="str">
        <f t="shared" si="11"/>
        <v>04</v>
      </c>
      <c r="I30" s="9" t="str">
        <f t="shared" si="12"/>
        <v>02</v>
      </c>
      <c r="J30" s="9" t="str">
        <f t="shared" si="13"/>
        <v>2025</v>
      </c>
      <c r="K30" s="10" t="str">
        <f t="shared" si="14"/>
        <v>04/02/2025</v>
      </c>
      <c r="L30" s="9" t="str">
        <f t="shared" si="15"/>
        <v>13</v>
      </c>
      <c r="M30" s="9" t="str">
        <f t="shared" si="16"/>
        <v>05</v>
      </c>
      <c r="N30" s="9" t="str">
        <f t="shared" si="17"/>
        <v>2025</v>
      </c>
      <c r="O30" s="10" t="str">
        <f t="shared" si="18"/>
        <v>13/05/2025</v>
      </c>
      <c r="P30" s="9">
        <f t="shared" si="19"/>
        <v>98</v>
      </c>
    </row>
    <row r="31" spans="1:16" ht="13.8" hidden="1" x14ac:dyDescent="0.25">
      <c r="A31" s="11" t="s">
        <v>157</v>
      </c>
      <c r="B31" s="7" t="s">
        <v>158</v>
      </c>
      <c r="C31" s="7" t="s">
        <v>24</v>
      </c>
      <c r="D31" s="7" t="s">
        <v>159</v>
      </c>
      <c r="E31" s="7" t="s">
        <v>82</v>
      </c>
      <c r="F31" s="8"/>
      <c r="G31" s="9" t="str">
        <f t="shared" si="10"/>
        <v>JBK1E</v>
      </c>
      <c r="H31" s="9" t="str">
        <f t="shared" si="11"/>
        <v>20</v>
      </c>
      <c r="I31" s="9" t="str">
        <f t="shared" si="12"/>
        <v>02</v>
      </c>
      <c r="J31" s="9" t="str">
        <f t="shared" si="13"/>
        <v>2025</v>
      </c>
      <c r="K31" s="10" t="str">
        <f t="shared" si="14"/>
        <v>20/02/2025</v>
      </c>
      <c r="L31" s="9" t="str">
        <f t="shared" si="15"/>
        <v>13</v>
      </c>
      <c r="M31" s="9" t="str">
        <f t="shared" si="16"/>
        <v>05</v>
      </c>
      <c r="N31" s="9" t="str">
        <f t="shared" si="17"/>
        <v>2025</v>
      </c>
      <c r="O31" s="10" t="str">
        <f t="shared" si="18"/>
        <v>13/05/2025</v>
      </c>
      <c r="P31" s="9">
        <f t="shared" si="19"/>
        <v>82</v>
      </c>
    </row>
    <row r="32" spans="1:16" ht="13.8" hidden="1" x14ac:dyDescent="0.25">
      <c r="A32" s="11" t="s">
        <v>160</v>
      </c>
      <c r="B32" s="7" t="s">
        <v>133</v>
      </c>
      <c r="C32" s="7" t="s">
        <v>24</v>
      </c>
      <c r="D32" s="7" t="s">
        <v>161</v>
      </c>
      <c r="E32" s="7" t="s">
        <v>82</v>
      </c>
      <c r="F32" s="8"/>
      <c r="G32" s="9" t="str">
        <f t="shared" si="10"/>
        <v>JBK1E</v>
      </c>
      <c r="H32" s="9" t="str">
        <f t="shared" si="11"/>
        <v>21</v>
      </c>
      <c r="I32" s="9" t="str">
        <f t="shared" si="12"/>
        <v>02</v>
      </c>
      <c r="J32" s="9" t="str">
        <f t="shared" si="13"/>
        <v>2025</v>
      </c>
      <c r="K32" s="10" t="str">
        <f t="shared" si="14"/>
        <v>21/02/2025</v>
      </c>
      <c r="L32" s="9" t="str">
        <f t="shared" si="15"/>
        <v>13</v>
      </c>
      <c r="M32" s="9" t="str">
        <f t="shared" si="16"/>
        <v>05</v>
      </c>
      <c r="N32" s="9" t="str">
        <f t="shared" si="17"/>
        <v>2025</v>
      </c>
      <c r="O32" s="10" t="str">
        <f t="shared" si="18"/>
        <v>13/05/2025</v>
      </c>
      <c r="P32" s="9">
        <f t="shared" si="19"/>
        <v>81</v>
      </c>
    </row>
    <row r="33" spans="1:16" ht="13.8" hidden="1" x14ac:dyDescent="0.25">
      <c r="A33" s="11" t="s">
        <v>162</v>
      </c>
      <c r="B33" s="7" t="s">
        <v>163</v>
      </c>
      <c r="C33" s="7" t="s">
        <v>24</v>
      </c>
      <c r="D33" s="7" t="s">
        <v>164</v>
      </c>
      <c r="E33" s="7" t="s">
        <v>82</v>
      </c>
      <c r="F33" s="8"/>
      <c r="G33" s="9" t="str">
        <f t="shared" si="10"/>
        <v>JBK3E</v>
      </c>
      <c r="H33" s="9" t="str">
        <f t="shared" si="11"/>
        <v>05</v>
      </c>
      <c r="I33" s="9" t="str">
        <f t="shared" si="12"/>
        <v>02</v>
      </c>
      <c r="J33" s="9" t="str">
        <f t="shared" si="13"/>
        <v>2025</v>
      </c>
      <c r="K33" s="10" t="str">
        <f t="shared" si="14"/>
        <v>05/02/2025</v>
      </c>
      <c r="L33" s="9" t="str">
        <f t="shared" si="15"/>
        <v>13</v>
      </c>
      <c r="M33" s="9" t="str">
        <f t="shared" si="16"/>
        <v>05</v>
      </c>
      <c r="N33" s="9" t="str">
        <f t="shared" si="17"/>
        <v>2025</v>
      </c>
      <c r="O33" s="10" t="str">
        <f t="shared" si="18"/>
        <v>13/05/2025</v>
      </c>
      <c r="P33" s="9">
        <f t="shared" si="19"/>
        <v>97</v>
      </c>
    </row>
    <row r="34" spans="1:16" ht="13.8" hidden="1" x14ac:dyDescent="0.25">
      <c r="A34" s="11" t="s">
        <v>165</v>
      </c>
      <c r="B34" s="7" t="s">
        <v>148</v>
      </c>
      <c r="C34" s="7" t="s">
        <v>24</v>
      </c>
      <c r="D34" s="7" t="s">
        <v>166</v>
      </c>
      <c r="E34" s="7" t="s">
        <v>82</v>
      </c>
      <c r="F34" s="8"/>
      <c r="G34" s="9" t="str">
        <f t="shared" si="10"/>
        <v>JBK1E</v>
      </c>
      <c r="H34" s="9" t="str">
        <f t="shared" si="11"/>
        <v>24</v>
      </c>
      <c r="I34" s="9" t="str">
        <f t="shared" si="12"/>
        <v>02</v>
      </c>
      <c r="J34" s="9" t="str">
        <f t="shared" si="13"/>
        <v>2025</v>
      </c>
      <c r="K34" s="10" t="str">
        <f t="shared" si="14"/>
        <v>24/02/2025</v>
      </c>
      <c r="L34" s="9" t="str">
        <f t="shared" si="15"/>
        <v>13</v>
      </c>
      <c r="M34" s="9" t="str">
        <f t="shared" si="16"/>
        <v>05</v>
      </c>
      <c r="N34" s="9" t="str">
        <f t="shared" si="17"/>
        <v>2025</v>
      </c>
      <c r="O34" s="10" t="str">
        <f t="shared" si="18"/>
        <v>13/05/2025</v>
      </c>
      <c r="P34" s="9">
        <f t="shared" si="19"/>
        <v>78</v>
      </c>
    </row>
    <row r="35" spans="1:16" ht="13.8" hidden="1" x14ac:dyDescent="0.25">
      <c r="A35" s="11" t="s">
        <v>167</v>
      </c>
      <c r="B35" s="7" t="s">
        <v>168</v>
      </c>
      <c r="C35" s="7" t="s">
        <v>24</v>
      </c>
      <c r="D35" s="7" t="s">
        <v>169</v>
      </c>
      <c r="E35" s="7" t="s">
        <v>91</v>
      </c>
      <c r="F35" s="8"/>
      <c r="G35" s="9" t="str">
        <f t="shared" si="10"/>
        <v>JBK1E</v>
      </c>
      <c r="H35" s="9" t="str">
        <f t="shared" si="11"/>
        <v>20</v>
      </c>
      <c r="I35" s="9" t="str">
        <f t="shared" si="12"/>
        <v>03</v>
      </c>
      <c r="J35" s="9" t="str">
        <f t="shared" si="13"/>
        <v>2025</v>
      </c>
      <c r="K35" s="10" t="str">
        <f t="shared" si="14"/>
        <v>20/03/2025</v>
      </c>
      <c r="L35" s="9" t="str">
        <f t="shared" si="15"/>
        <v>20</v>
      </c>
      <c r="M35" s="9" t="str">
        <f t="shared" si="16"/>
        <v>05</v>
      </c>
      <c r="N35" s="9" t="str">
        <f t="shared" si="17"/>
        <v>2025</v>
      </c>
      <c r="O35" s="10" t="str">
        <f t="shared" si="18"/>
        <v>20/05/2025</v>
      </c>
      <c r="P35" s="9">
        <f t="shared" si="19"/>
        <v>61</v>
      </c>
    </row>
    <row r="36" spans="1:16" ht="13.8" hidden="1" x14ac:dyDescent="0.25">
      <c r="A36" s="11" t="s">
        <v>170</v>
      </c>
      <c r="B36" s="7" t="s">
        <v>171</v>
      </c>
      <c r="C36" s="7" t="s">
        <v>24</v>
      </c>
      <c r="D36" s="7" t="s">
        <v>169</v>
      </c>
      <c r="E36" s="7" t="s">
        <v>172</v>
      </c>
      <c r="F36" s="8"/>
      <c r="G36" s="9" t="str">
        <f t="shared" si="10"/>
        <v>JBK1E</v>
      </c>
      <c r="H36" s="9" t="str">
        <f t="shared" si="11"/>
        <v>05</v>
      </c>
      <c r="I36" s="9" t="str">
        <f t="shared" si="12"/>
        <v>03</v>
      </c>
      <c r="J36" s="9" t="str">
        <f t="shared" si="13"/>
        <v>2025</v>
      </c>
      <c r="K36" s="10" t="str">
        <f t="shared" si="14"/>
        <v>05/03/2025</v>
      </c>
      <c r="L36" s="9" t="str">
        <f t="shared" si="15"/>
        <v>23</v>
      </c>
      <c r="M36" s="9" t="str">
        <f t="shared" si="16"/>
        <v>05</v>
      </c>
      <c r="N36" s="9" t="str">
        <f t="shared" si="17"/>
        <v>2025</v>
      </c>
      <c r="O36" s="10" t="str">
        <f t="shared" si="18"/>
        <v>23/05/2025</v>
      </c>
      <c r="P36" s="9">
        <f t="shared" si="19"/>
        <v>79</v>
      </c>
    </row>
    <row r="37" spans="1:16" ht="13.8" hidden="1" x14ac:dyDescent="0.25">
      <c r="A37" s="11" t="s">
        <v>173</v>
      </c>
      <c r="B37" s="7" t="s">
        <v>174</v>
      </c>
      <c r="C37" s="7" t="s">
        <v>24</v>
      </c>
      <c r="D37" s="7" t="s">
        <v>175</v>
      </c>
      <c r="E37" s="7" t="s">
        <v>172</v>
      </c>
      <c r="F37" s="8"/>
      <c r="G37" s="9" t="str">
        <f t="shared" si="10"/>
        <v>JBK1E</v>
      </c>
      <c r="H37" s="9" t="str">
        <f t="shared" si="11"/>
        <v>10</v>
      </c>
      <c r="I37" s="9" t="str">
        <f t="shared" si="12"/>
        <v>03</v>
      </c>
      <c r="J37" s="9" t="str">
        <f t="shared" si="13"/>
        <v>2025</v>
      </c>
      <c r="K37" s="10" t="str">
        <f t="shared" si="14"/>
        <v>10/03/2025</v>
      </c>
      <c r="L37" s="9" t="str">
        <f t="shared" si="15"/>
        <v>23</v>
      </c>
      <c r="M37" s="9" t="str">
        <f t="shared" si="16"/>
        <v>05</v>
      </c>
      <c r="N37" s="9" t="str">
        <f t="shared" si="17"/>
        <v>2025</v>
      </c>
      <c r="O37" s="10" t="str">
        <f t="shared" si="18"/>
        <v>23/05/2025</v>
      </c>
      <c r="P37" s="9">
        <f t="shared" si="19"/>
        <v>74</v>
      </c>
    </row>
    <row r="38" spans="1:16" ht="13.8" hidden="1" x14ac:dyDescent="0.25">
      <c r="A38" s="11" t="s">
        <v>176</v>
      </c>
      <c r="B38" s="7" t="s">
        <v>177</v>
      </c>
      <c r="C38" s="7" t="s">
        <v>24</v>
      </c>
      <c r="D38" s="7" t="s">
        <v>179</v>
      </c>
      <c r="E38" s="7" t="s">
        <v>178</v>
      </c>
      <c r="F38" s="8"/>
      <c r="G38" s="9" t="str">
        <f t="shared" si="10"/>
        <v>JBK1E</v>
      </c>
      <c r="H38" s="9" t="str">
        <f t="shared" si="11"/>
        <v>12</v>
      </c>
      <c r="I38" s="9" t="str">
        <f t="shared" si="12"/>
        <v>03</v>
      </c>
      <c r="J38" s="9" t="str">
        <f t="shared" si="13"/>
        <v>2025</v>
      </c>
      <c r="K38" s="10" t="str">
        <f t="shared" si="14"/>
        <v>12/03/2025</v>
      </c>
      <c r="L38" s="9" t="str">
        <f t="shared" si="15"/>
        <v>24</v>
      </c>
      <c r="M38" s="9" t="str">
        <f t="shared" si="16"/>
        <v>05</v>
      </c>
      <c r="N38" s="9" t="str">
        <f t="shared" si="17"/>
        <v>2025</v>
      </c>
      <c r="O38" s="10" t="str">
        <f t="shared" si="18"/>
        <v>24/05/2025</v>
      </c>
      <c r="P38" s="9">
        <f t="shared" si="19"/>
        <v>73</v>
      </c>
    </row>
    <row r="39" spans="1:16" ht="13.8" hidden="1" x14ac:dyDescent="0.25">
      <c r="A39" s="11" t="s">
        <v>180</v>
      </c>
      <c r="B39" s="7" t="s">
        <v>181</v>
      </c>
      <c r="C39" s="7" t="s">
        <v>24</v>
      </c>
      <c r="D39" s="7" t="s">
        <v>182</v>
      </c>
      <c r="E39" s="7" t="s">
        <v>178</v>
      </c>
      <c r="F39" s="8"/>
      <c r="G39" s="9" t="str">
        <f t="shared" si="10"/>
        <v>JBK1E</v>
      </c>
      <c r="H39" s="9" t="str">
        <f t="shared" si="11"/>
        <v>03</v>
      </c>
      <c r="I39" s="9" t="str">
        <f t="shared" si="12"/>
        <v>03</v>
      </c>
      <c r="J39" s="9" t="str">
        <f t="shared" si="13"/>
        <v>2025</v>
      </c>
      <c r="K39" s="10" t="str">
        <f t="shared" si="14"/>
        <v>03/03/2025</v>
      </c>
      <c r="L39" s="9" t="str">
        <f t="shared" si="15"/>
        <v>24</v>
      </c>
      <c r="M39" s="9" t="str">
        <f t="shared" si="16"/>
        <v>05</v>
      </c>
      <c r="N39" s="9" t="str">
        <f t="shared" si="17"/>
        <v>2025</v>
      </c>
      <c r="O39" s="10" t="str">
        <f t="shared" si="18"/>
        <v>24/05/2025</v>
      </c>
      <c r="P39" s="9">
        <f t="shared" si="19"/>
        <v>82</v>
      </c>
    </row>
    <row r="40" spans="1:16" ht="13.8" hidden="1" x14ac:dyDescent="0.25">
      <c r="A40" s="11" t="s">
        <v>183</v>
      </c>
      <c r="B40" s="7" t="s">
        <v>181</v>
      </c>
      <c r="C40" s="7" t="s">
        <v>24</v>
      </c>
      <c r="D40" s="7" t="s">
        <v>184</v>
      </c>
      <c r="E40" s="7" t="s">
        <v>178</v>
      </c>
      <c r="F40" s="8"/>
      <c r="G40" s="9" t="str">
        <f t="shared" si="10"/>
        <v>JBK1E</v>
      </c>
      <c r="H40" s="9" t="str">
        <f t="shared" si="11"/>
        <v>03</v>
      </c>
      <c r="I40" s="9" t="str">
        <f t="shared" si="12"/>
        <v>03</v>
      </c>
      <c r="J40" s="9" t="str">
        <f t="shared" si="13"/>
        <v>2025</v>
      </c>
      <c r="K40" s="10" t="str">
        <f t="shared" si="14"/>
        <v>03/03/2025</v>
      </c>
      <c r="L40" s="9" t="str">
        <f t="shared" si="15"/>
        <v>24</v>
      </c>
      <c r="M40" s="9" t="str">
        <f t="shared" si="16"/>
        <v>05</v>
      </c>
      <c r="N40" s="9" t="str">
        <f t="shared" si="17"/>
        <v>2025</v>
      </c>
      <c r="O40" s="10" t="str">
        <f t="shared" si="18"/>
        <v>24/05/2025</v>
      </c>
      <c r="P40" s="9">
        <f t="shared" si="19"/>
        <v>82</v>
      </c>
    </row>
    <row r="41" spans="1:16" ht="13.8" hidden="1" x14ac:dyDescent="0.25">
      <c r="A41" s="11" t="s">
        <v>185</v>
      </c>
      <c r="B41" s="7" t="s">
        <v>171</v>
      </c>
      <c r="C41" s="7" t="s">
        <v>24</v>
      </c>
      <c r="D41" s="7" t="s">
        <v>186</v>
      </c>
      <c r="E41" s="7" t="s">
        <v>121</v>
      </c>
      <c r="F41" s="8"/>
      <c r="G41" s="9" t="str">
        <f t="shared" si="10"/>
        <v>JBK1E</v>
      </c>
      <c r="H41" s="9" t="str">
        <f t="shared" si="11"/>
        <v>05</v>
      </c>
      <c r="I41" s="9" t="str">
        <f t="shared" si="12"/>
        <v>03</v>
      </c>
      <c r="J41" s="9" t="str">
        <f t="shared" si="13"/>
        <v>2025</v>
      </c>
      <c r="K41" s="10" t="str">
        <f t="shared" si="14"/>
        <v>05/03/2025</v>
      </c>
      <c r="L41" s="9" t="str">
        <f t="shared" si="15"/>
        <v>28</v>
      </c>
      <c r="M41" s="9" t="str">
        <f t="shared" si="16"/>
        <v>05</v>
      </c>
      <c r="N41" s="9" t="str">
        <f t="shared" si="17"/>
        <v>2025</v>
      </c>
      <c r="O41" s="10" t="str">
        <f t="shared" si="18"/>
        <v>28/05/2025</v>
      </c>
      <c r="P41" s="9">
        <f t="shared" si="19"/>
        <v>84</v>
      </c>
    </row>
    <row r="42" spans="1:16" ht="13.8" hidden="1" x14ac:dyDescent="0.25">
      <c r="A42" s="11" t="s">
        <v>187</v>
      </c>
      <c r="B42" s="7" t="s">
        <v>188</v>
      </c>
      <c r="C42" s="7" t="s">
        <v>24</v>
      </c>
      <c r="D42" s="7" t="s">
        <v>189</v>
      </c>
      <c r="E42" s="7" t="s">
        <v>121</v>
      </c>
      <c r="F42" s="8"/>
      <c r="G42" s="9" t="str">
        <f t="shared" si="10"/>
        <v>JBK3E</v>
      </c>
      <c r="H42" s="9" t="str">
        <f t="shared" si="11"/>
        <v>11</v>
      </c>
      <c r="I42" s="9" t="str">
        <f t="shared" si="12"/>
        <v>03</v>
      </c>
      <c r="J42" s="9" t="str">
        <f t="shared" si="13"/>
        <v>2025</v>
      </c>
      <c r="K42" s="10" t="str">
        <f t="shared" si="14"/>
        <v>11/03/2025</v>
      </c>
      <c r="L42" s="9" t="str">
        <f t="shared" si="15"/>
        <v>28</v>
      </c>
      <c r="M42" s="9" t="str">
        <f t="shared" si="16"/>
        <v>05</v>
      </c>
      <c r="N42" s="9" t="str">
        <f t="shared" si="17"/>
        <v>2025</v>
      </c>
      <c r="O42" s="10" t="str">
        <f t="shared" si="18"/>
        <v>28/05/2025</v>
      </c>
      <c r="P42" s="9">
        <f t="shared" si="19"/>
        <v>78</v>
      </c>
    </row>
    <row r="43" spans="1:16" ht="13.8" hidden="1" x14ac:dyDescent="0.25">
      <c r="A43" s="11" t="s">
        <v>190</v>
      </c>
      <c r="B43" s="7" t="s">
        <v>191</v>
      </c>
      <c r="C43" s="7" t="s">
        <v>24</v>
      </c>
      <c r="D43" s="7" t="s">
        <v>192</v>
      </c>
      <c r="E43" s="7" t="s">
        <v>121</v>
      </c>
      <c r="F43" s="8"/>
      <c r="G43" s="9" t="str">
        <f t="shared" si="10"/>
        <v>JBK1E</v>
      </c>
      <c r="H43" s="9" t="str">
        <f t="shared" si="11"/>
        <v>08</v>
      </c>
      <c r="I43" s="9" t="str">
        <f t="shared" si="12"/>
        <v>03</v>
      </c>
      <c r="J43" s="9" t="str">
        <f t="shared" si="13"/>
        <v>2025</v>
      </c>
      <c r="K43" s="10" t="str">
        <f t="shared" si="14"/>
        <v>08/03/2025</v>
      </c>
      <c r="L43" s="9" t="str">
        <f t="shared" si="15"/>
        <v>28</v>
      </c>
      <c r="M43" s="9" t="str">
        <f t="shared" si="16"/>
        <v>05</v>
      </c>
      <c r="N43" s="9" t="str">
        <f t="shared" si="17"/>
        <v>2025</v>
      </c>
      <c r="O43" s="10" t="str">
        <f t="shared" si="18"/>
        <v>28/05/2025</v>
      </c>
      <c r="P43" s="9">
        <f t="shared" si="19"/>
        <v>81</v>
      </c>
    </row>
    <row r="44" spans="1:16" ht="13.8" hidden="1" x14ac:dyDescent="0.25">
      <c r="A44" s="11" t="s">
        <v>193</v>
      </c>
      <c r="B44" s="7" t="s">
        <v>174</v>
      </c>
      <c r="C44" s="7" t="s">
        <v>24</v>
      </c>
      <c r="D44" s="7" t="s">
        <v>149</v>
      </c>
      <c r="E44" s="7" t="s">
        <v>121</v>
      </c>
      <c r="F44" s="8"/>
      <c r="G44" s="9" t="str">
        <f t="shared" si="10"/>
        <v>JBK3E</v>
      </c>
      <c r="H44" s="9" t="str">
        <f t="shared" si="11"/>
        <v>10</v>
      </c>
      <c r="I44" s="9" t="str">
        <f t="shared" si="12"/>
        <v>03</v>
      </c>
      <c r="J44" s="9" t="str">
        <f t="shared" si="13"/>
        <v>2025</v>
      </c>
      <c r="K44" s="10" t="str">
        <f t="shared" si="14"/>
        <v>10/03/2025</v>
      </c>
      <c r="L44" s="9" t="str">
        <f t="shared" si="15"/>
        <v>28</v>
      </c>
      <c r="M44" s="9" t="str">
        <f t="shared" si="16"/>
        <v>05</v>
      </c>
      <c r="N44" s="9" t="str">
        <f t="shared" si="17"/>
        <v>2025</v>
      </c>
      <c r="O44" s="10" t="str">
        <f t="shared" si="18"/>
        <v>28/05/2025</v>
      </c>
      <c r="P44" s="9">
        <f t="shared" si="19"/>
        <v>79</v>
      </c>
    </row>
    <row r="45" spans="1:16" ht="13.8" hidden="1" x14ac:dyDescent="0.25">
      <c r="A45" s="11" t="s">
        <v>194</v>
      </c>
      <c r="B45" s="7" t="s">
        <v>195</v>
      </c>
      <c r="C45" s="7" t="s">
        <v>18</v>
      </c>
      <c r="D45" s="7" t="s">
        <v>196</v>
      </c>
      <c r="E45" s="7" t="s">
        <v>78</v>
      </c>
      <c r="F45" s="8"/>
      <c r="G45" s="9" t="str">
        <f t="shared" si="10"/>
        <v>JBK3E</v>
      </c>
      <c r="H45" s="9" t="str">
        <f t="shared" si="11"/>
        <v>18</v>
      </c>
      <c r="I45" s="9" t="str">
        <f t="shared" si="12"/>
        <v>12</v>
      </c>
      <c r="J45" s="9" t="str">
        <f t="shared" si="13"/>
        <v>2024</v>
      </c>
      <c r="K45" s="10" t="str">
        <f t="shared" si="14"/>
        <v>18/12/2024</v>
      </c>
      <c r="L45" s="9" t="str">
        <f t="shared" si="15"/>
        <v>10</v>
      </c>
      <c r="M45" s="9" t="str">
        <f t="shared" si="16"/>
        <v>05</v>
      </c>
      <c r="N45" s="9" t="str">
        <f t="shared" si="17"/>
        <v>2025</v>
      </c>
      <c r="O45" s="10" t="str">
        <f t="shared" si="18"/>
        <v>10/05/2025</v>
      </c>
      <c r="P45" s="9">
        <f t="shared" si="19"/>
        <v>143</v>
      </c>
    </row>
    <row r="46" spans="1:16" ht="13.8" hidden="1" x14ac:dyDescent="0.25">
      <c r="A46" s="11" t="s">
        <v>197</v>
      </c>
      <c r="B46" s="7" t="s">
        <v>198</v>
      </c>
      <c r="C46" s="7" t="s">
        <v>18</v>
      </c>
      <c r="D46" s="7" t="s">
        <v>199</v>
      </c>
      <c r="E46" s="7" t="s">
        <v>82</v>
      </c>
      <c r="F46" s="8"/>
      <c r="G46" s="9" t="str">
        <f t="shared" si="10"/>
        <v>JBK1E</v>
      </c>
      <c r="H46" s="9" t="str">
        <f t="shared" si="11"/>
        <v>21</v>
      </c>
      <c r="I46" s="9" t="str">
        <f t="shared" si="12"/>
        <v>10</v>
      </c>
      <c r="J46" s="9" t="str">
        <f t="shared" si="13"/>
        <v>2024</v>
      </c>
      <c r="K46" s="10" t="str">
        <f t="shared" si="14"/>
        <v>21/10/2024</v>
      </c>
      <c r="L46" s="9" t="str">
        <f t="shared" si="15"/>
        <v>13</v>
      </c>
      <c r="M46" s="9" t="str">
        <f t="shared" si="16"/>
        <v>05</v>
      </c>
      <c r="N46" s="9" t="str">
        <f t="shared" si="17"/>
        <v>2025</v>
      </c>
      <c r="O46" s="10" t="str">
        <f t="shared" si="18"/>
        <v>13/05/2025</v>
      </c>
      <c r="P46" s="9">
        <f t="shared" si="19"/>
        <v>204</v>
      </c>
    </row>
    <row r="47" spans="1:16" ht="13.8" hidden="1" x14ac:dyDescent="0.25">
      <c r="A47" s="11" t="s">
        <v>200</v>
      </c>
      <c r="B47" s="7" t="s">
        <v>201</v>
      </c>
      <c r="C47" s="7" t="s">
        <v>18</v>
      </c>
      <c r="D47" s="7" t="s">
        <v>203</v>
      </c>
      <c r="E47" s="7" t="s">
        <v>202</v>
      </c>
      <c r="F47" s="8"/>
      <c r="G47" s="9" t="str">
        <f t="shared" si="10"/>
        <v>JBK1E</v>
      </c>
      <c r="H47" s="9" t="str">
        <f t="shared" si="11"/>
        <v>05</v>
      </c>
      <c r="I47" s="9" t="str">
        <f t="shared" si="12"/>
        <v>10</v>
      </c>
      <c r="J47" s="9" t="str">
        <f t="shared" si="13"/>
        <v>2024</v>
      </c>
      <c r="K47" s="10" t="str">
        <f t="shared" si="14"/>
        <v>05/10/2024</v>
      </c>
      <c r="L47" s="9" t="str">
        <f t="shared" si="15"/>
        <v>15</v>
      </c>
      <c r="M47" s="9" t="str">
        <f t="shared" si="16"/>
        <v>05</v>
      </c>
      <c r="N47" s="9" t="str">
        <f t="shared" si="17"/>
        <v>2025</v>
      </c>
      <c r="O47" s="10" t="str">
        <f t="shared" si="18"/>
        <v>15/05/2025</v>
      </c>
      <c r="P47" s="9">
        <f t="shared" si="19"/>
        <v>222</v>
      </c>
    </row>
    <row r="48" spans="1:16" ht="13.8" hidden="1" x14ac:dyDescent="0.25">
      <c r="A48" s="11" t="s">
        <v>204</v>
      </c>
      <c r="B48" s="7" t="s">
        <v>205</v>
      </c>
      <c r="C48" s="7" t="s">
        <v>18</v>
      </c>
      <c r="D48" s="7" t="s">
        <v>207</v>
      </c>
      <c r="E48" s="7" t="s">
        <v>206</v>
      </c>
      <c r="F48" s="8"/>
      <c r="G48" s="9" t="str">
        <f t="shared" si="10"/>
        <v>JM04E</v>
      </c>
      <c r="H48" s="9" t="str">
        <f t="shared" si="11"/>
        <v>15</v>
      </c>
      <c r="I48" s="9" t="str">
        <f t="shared" si="12"/>
        <v>11</v>
      </c>
      <c r="J48" s="9" t="str">
        <f t="shared" si="13"/>
        <v>2024</v>
      </c>
      <c r="K48" s="10" t="str">
        <f t="shared" si="14"/>
        <v>15/11/2024</v>
      </c>
      <c r="L48" s="9" t="str">
        <f t="shared" si="15"/>
        <v>31</v>
      </c>
      <c r="M48" s="9" t="str">
        <f t="shared" si="16"/>
        <v>05</v>
      </c>
      <c r="N48" s="9" t="str">
        <f t="shared" si="17"/>
        <v>2025</v>
      </c>
      <c r="O48" s="10" t="str">
        <f t="shared" si="18"/>
        <v>31/05/2025</v>
      </c>
      <c r="P48" s="9">
        <f t="shared" si="19"/>
        <v>197</v>
      </c>
    </row>
    <row r="49" spans="1:16" ht="13.8" hidden="1" x14ac:dyDescent="0.25">
      <c r="A49" s="11" t="s">
        <v>208</v>
      </c>
      <c r="B49" s="7" t="s">
        <v>209</v>
      </c>
      <c r="C49" s="7" t="s">
        <v>15</v>
      </c>
      <c r="D49" s="7" t="s">
        <v>210</v>
      </c>
      <c r="E49" s="7" t="s">
        <v>99</v>
      </c>
      <c r="F49" s="8"/>
      <c r="G49" s="9" t="str">
        <f t="shared" si="10"/>
        <v>JMH1E</v>
      </c>
      <c r="H49" s="9" t="str">
        <f t="shared" si="11"/>
        <v>03</v>
      </c>
      <c r="I49" s="9" t="str">
        <f t="shared" si="12"/>
        <v>04</v>
      </c>
      <c r="J49" s="9" t="str">
        <f t="shared" si="13"/>
        <v>2025</v>
      </c>
      <c r="K49" s="10" t="str">
        <f t="shared" si="14"/>
        <v>03/04/2025</v>
      </c>
      <c r="L49" s="9" t="str">
        <f t="shared" si="15"/>
        <v>05</v>
      </c>
      <c r="M49" s="9" t="str">
        <f t="shared" si="16"/>
        <v>05</v>
      </c>
      <c r="N49" s="9" t="str">
        <f t="shared" si="17"/>
        <v>2025</v>
      </c>
      <c r="O49" s="10" t="str">
        <f t="shared" si="18"/>
        <v>05/05/2025</v>
      </c>
      <c r="P49" s="9">
        <f t="shared" si="19"/>
        <v>32</v>
      </c>
    </row>
    <row r="50" spans="1:16" ht="13.8" hidden="1" x14ac:dyDescent="0.25">
      <c r="A50" s="11" t="s">
        <v>211</v>
      </c>
      <c r="B50" s="7" t="s">
        <v>212</v>
      </c>
      <c r="C50" s="7" t="s">
        <v>15</v>
      </c>
      <c r="D50" s="7" t="s">
        <v>213</v>
      </c>
      <c r="E50" s="7" t="s">
        <v>74</v>
      </c>
      <c r="F50" s="8"/>
      <c r="G50" s="9" t="str">
        <f t="shared" si="10"/>
        <v>JMH2E</v>
      </c>
      <c r="H50" s="9" t="str">
        <f t="shared" si="11"/>
        <v>04</v>
      </c>
      <c r="I50" s="9" t="str">
        <f t="shared" si="12"/>
        <v>03</v>
      </c>
      <c r="J50" s="9" t="str">
        <f t="shared" si="13"/>
        <v>2025</v>
      </c>
      <c r="K50" s="10" t="str">
        <f t="shared" si="14"/>
        <v>04/03/2025</v>
      </c>
      <c r="L50" s="9" t="str">
        <f t="shared" si="15"/>
        <v>09</v>
      </c>
      <c r="M50" s="9" t="str">
        <f t="shared" si="16"/>
        <v>05</v>
      </c>
      <c r="N50" s="9" t="str">
        <f t="shared" si="17"/>
        <v>2025</v>
      </c>
      <c r="O50" s="10" t="str">
        <f t="shared" si="18"/>
        <v>09/05/2025</v>
      </c>
      <c r="P50" s="9">
        <f t="shared" si="19"/>
        <v>66</v>
      </c>
    </row>
    <row r="51" spans="1:16" ht="13.8" hidden="1" x14ac:dyDescent="0.25">
      <c r="A51" s="11" t="s">
        <v>214</v>
      </c>
      <c r="B51" s="7" t="s">
        <v>215</v>
      </c>
      <c r="C51" s="7" t="s">
        <v>15</v>
      </c>
      <c r="D51" s="7" t="s">
        <v>217</v>
      </c>
      <c r="E51" s="7" t="s">
        <v>216</v>
      </c>
      <c r="F51" s="8"/>
      <c r="G51" s="9" t="str">
        <f t="shared" si="10"/>
        <v>JMH1E</v>
      </c>
      <c r="H51" s="9" t="str">
        <f t="shared" si="11"/>
        <v>28</v>
      </c>
      <c r="I51" s="9" t="str">
        <f t="shared" si="12"/>
        <v>04</v>
      </c>
      <c r="J51" s="9" t="str">
        <f t="shared" si="13"/>
        <v>2025</v>
      </c>
      <c r="K51" s="10" t="str">
        <f t="shared" si="14"/>
        <v>28/04/2025</v>
      </c>
      <c r="L51" s="9" t="str">
        <f t="shared" si="15"/>
        <v>17</v>
      </c>
      <c r="M51" s="9" t="str">
        <f t="shared" si="16"/>
        <v>05</v>
      </c>
      <c r="N51" s="9" t="str">
        <f t="shared" si="17"/>
        <v>2025</v>
      </c>
      <c r="O51" s="10" t="str">
        <f t="shared" si="18"/>
        <v>17/05/2025</v>
      </c>
      <c r="P51" s="9">
        <f t="shared" si="19"/>
        <v>19</v>
      </c>
    </row>
    <row r="52" spans="1:16" ht="13.8" hidden="1" x14ac:dyDescent="0.25">
      <c r="A52" s="11" t="s">
        <v>218</v>
      </c>
      <c r="B52" s="7" t="s">
        <v>113</v>
      </c>
      <c r="C52" s="7" t="s">
        <v>15</v>
      </c>
      <c r="D52" s="7" t="s">
        <v>217</v>
      </c>
      <c r="E52" s="7" t="s">
        <v>219</v>
      </c>
      <c r="F52" s="8"/>
      <c r="G52" s="9" t="str">
        <f t="shared" si="10"/>
        <v>JMC1E</v>
      </c>
      <c r="H52" s="9" t="str">
        <f t="shared" si="11"/>
        <v>10</v>
      </c>
      <c r="I52" s="9" t="str">
        <f t="shared" si="12"/>
        <v>04</v>
      </c>
      <c r="J52" s="9" t="str">
        <f t="shared" si="13"/>
        <v>2025</v>
      </c>
      <c r="K52" s="10" t="str">
        <f t="shared" si="14"/>
        <v>10/04/2025</v>
      </c>
      <c r="L52" s="9" t="str">
        <f t="shared" si="15"/>
        <v>21</v>
      </c>
      <c r="M52" s="9" t="str">
        <f t="shared" si="16"/>
        <v>05</v>
      </c>
      <c r="N52" s="9" t="str">
        <f t="shared" si="17"/>
        <v>2025</v>
      </c>
      <c r="O52" s="10" t="str">
        <f t="shared" si="18"/>
        <v>21/05/2025</v>
      </c>
      <c r="P52" s="9">
        <f t="shared" si="19"/>
        <v>41</v>
      </c>
    </row>
    <row r="53" spans="1:16" ht="13.8" hidden="1" x14ac:dyDescent="0.25">
      <c r="A53" s="11" t="s">
        <v>220</v>
      </c>
      <c r="B53" s="7" t="s">
        <v>221</v>
      </c>
      <c r="C53" s="7" t="s">
        <v>24</v>
      </c>
      <c r="D53" s="7" t="s">
        <v>222</v>
      </c>
      <c r="E53" s="7" t="s">
        <v>82</v>
      </c>
      <c r="F53" s="8"/>
      <c r="G53" s="9" t="str">
        <f t="shared" si="10"/>
        <v>JMH1E</v>
      </c>
      <c r="H53" s="9" t="str">
        <f t="shared" si="11"/>
        <v>15</v>
      </c>
      <c r="I53" s="9" t="str">
        <f t="shared" si="12"/>
        <v>03</v>
      </c>
      <c r="J53" s="9" t="str">
        <f t="shared" si="13"/>
        <v>2025</v>
      </c>
      <c r="K53" s="10" t="str">
        <f t="shared" si="14"/>
        <v>15/03/2025</v>
      </c>
      <c r="L53" s="9" t="str">
        <f t="shared" si="15"/>
        <v>13</v>
      </c>
      <c r="M53" s="9" t="str">
        <f t="shared" si="16"/>
        <v>05</v>
      </c>
      <c r="N53" s="9" t="str">
        <f t="shared" si="17"/>
        <v>2025</v>
      </c>
      <c r="O53" s="10" t="str">
        <f t="shared" si="18"/>
        <v>13/05/2025</v>
      </c>
      <c r="P53" s="9">
        <f t="shared" si="19"/>
        <v>59</v>
      </c>
    </row>
    <row r="54" spans="1:16" ht="13.8" hidden="1" x14ac:dyDescent="0.25">
      <c r="A54" s="11" t="s">
        <v>223</v>
      </c>
      <c r="B54" s="7" t="s">
        <v>224</v>
      </c>
      <c r="C54" s="7" t="s">
        <v>18</v>
      </c>
      <c r="D54" s="7" t="s">
        <v>226</v>
      </c>
      <c r="E54" s="7" t="s">
        <v>225</v>
      </c>
      <c r="F54" s="8"/>
      <c r="G54" s="9" t="str">
        <f t="shared" si="10"/>
        <v>JMH2E</v>
      </c>
      <c r="H54" s="9" t="str">
        <f t="shared" si="11"/>
        <v>22</v>
      </c>
      <c r="I54" s="9" t="str">
        <f t="shared" si="12"/>
        <v>01</v>
      </c>
      <c r="J54" s="9" t="str">
        <f t="shared" si="13"/>
        <v>2025</v>
      </c>
      <c r="K54" s="10" t="str">
        <f t="shared" si="14"/>
        <v>22/01/2025</v>
      </c>
      <c r="L54" s="9" t="str">
        <f t="shared" si="15"/>
        <v>07</v>
      </c>
      <c r="M54" s="9" t="str">
        <f t="shared" si="16"/>
        <v>05</v>
      </c>
      <c r="N54" s="9" t="str">
        <f t="shared" si="17"/>
        <v>2025</v>
      </c>
      <c r="O54" s="10" t="str">
        <f t="shared" si="18"/>
        <v>07/05/2025</v>
      </c>
      <c r="P54" s="9">
        <f t="shared" si="19"/>
        <v>105</v>
      </c>
    </row>
    <row r="55" spans="1:16" ht="13.8" hidden="1" x14ac:dyDescent="0.25">
      <c r="A55" s="11" t="s">
        <v>227</v>
      </c>
      <c r="B55" s="7" t="s">
        <v>228</v>
      </c>
      <c r="C55" s="7" t="s">
        <v>32</v>
      </c>
      <c r="D55" s="7" t="s">
        <v>229</v>
      </c>
      <c r="E55" s="7" t="s">
        <v>91</v>
      </c>
      <c r="F55" s="8"/>
      <c r="G55" s="9" t="str">
        <f t="shared" si="10"/>
        <v>JM04E</v>
      </c>
      <c r="H55" s="9" t="str">
        <f t="shared" si="11"/>
        <v>05</v>
      </c>
      <c r="I55" s="9" t="str">
        <f t="shared" si="12"/>
        <v>11</v>
      </c>
      <c r="J55" s="9" t="str">
        <f t="shared" si="13"/>
        <v>2024</v>
      </c>
      <c r="K55" s="10" t="str">
        <f t="shared" si="14"/>
        <v>05/11/2024</v>
      </c>
      <c r="L55" s="9" t="str">
        <f t="shared" si="15"/>
        <v>20</v>
      </c>
      <c r="M55" s="9" t="str">
        <f t="shared" si="16"/>
        <v>05</v>
      </c>
      <c r="N55" s="9" t="str">
        <f t="shared" si="17"/>
        <v>2025</v>
      </c>
      <c r="O55" s="10" t="str">
        <f t="shared" si="18"/>
        <v>20/05/2025</v>
      </c>
      <c r="P55" s="9">
        <f t="shared" si="19"/>
        <v>196</v>
      </c>
    </row>
    <row r="56" spans="1:16" ht="13.8" hidden="1" x14ac:dyDescent="0.25">
      <c r="A56" s="11" t="s">
        <v>230</v>
      </c>
      <c r="B56" s="7" t="s">
        <v>231</v>
      </c>
      <c r="C56" s="7" t="s">
        <v>15</v>
      </c>
      <c r="D56" s="7" t="s">
        <v>232</v>
      </c>
      <c r="E56" s="7" t="s">
        <v>206</v>
      </c>
      <c r="F56" s="8"/>
      <c r="G56" s="9" t="str">
        <f t="shared" si="10"/>
        <v>JBP1E</v>
      </c>
      <c r="H56" s="9" t="str">
        <f t="shared" si="11"/>
        <v>30</v>
      </c>
      <c r="I56" s="9" t="str">
        <f t="shared" si="12"/>
        <v>04</v>
      </c>
      <c r="J56" s="9" t="str">
        <f t="shared" si="13"/>
        <v>2025</v>
      </c>
      <c r="K56" s="10" t="str">
        <f t="shared" si="14"/>
        <v>30/04/2025</v>
      </c>
      <c r="L56" s="9" t="str">
        <f t="shared" si="15"/>
        <v>31</v>
      </c>
      <c r="M56" s="9" t="str">
        <f t="shared" si="16"/>
        <v>05</v>
      </c>
      <c r="N56" s="9" t="str">
        <f t="shared" si="17"/>
        <v>2025</v>
      </c>
      <c r="O56" s="10" t="str">
        <f t="shared" si="18"/>
        <v>31/05/2025</v>
      </c>
      <c r="P56" s="9">
        <f t="shared" si="19"/>
        <v>31</v>
      </c>
    </row>
    <row r="57" spans="1:16" ht="13.8" hidden="1" x14ac:dyDescent="0.25">
      <c r="A57" s="11" t="s">
        <v>233</v>
      </c>
      <c r="B57" s="7" t="s">
        <v>188</v>
      </c>
      <c r="C57" s="7" t="s">
        <v>24</v>
      </c>
      <c r="D57" s="7" t="s">
        <v>234</v>
      </c>
      <c r="E57" s="7" t="s">
        <v>172</v>
      </c>
      <c r="F57" s="8"/>
      <c r="G57" s="9" t="str">
        <f t="shared" si="10"/>
        <v>JBP1E</v>
      </c>
      <c r="H57" s="9" t="str">
        <f t="shared" si="11"/>
        <v>11</v>
      </c>
      <c r="I57" s="9" t="str">
        <f t="shared" si="12"/>
        <v>03</v>
      </c>
      <c r="J57" s="9" t="str">
        <f t="shared" si="13"/>
        <v>2025</v>
      </c>
      <c r="K57" s="10" t="str">
        <f t="shared" si="14"/>
        <v>11/03/2025</v>
      </c>
      <c r="L57" s="9" t="str">
        <f t="shared" si="15"/>
        <v>23</v>
      </c>
      <c r="M57" s="9" t="str">
        <f t="shared" si="16"/>
        <v>05</v>
      </c>
      <c r="N57" s="9" t="str">
        <f t="shared" si="17"/>
        <v>2025</v>
      </c>
      <c r="O57" s="10" t="str">
        <f t="shared" si="18"/>
        <v>23/05/2025</v>
      </c>
      <c r="P57" s="9">
        <f t="shared" si="19"/>
        <v>73</v>
      </c>
    </row>
    <row r="58" spans="1:16" ht="13.8" hidden="1" x14ac:dyDescent="0.25">
      <c r="A58" s="11" t="s">
        <v>235</v>
      </c>
      <c r="B58" s="7" t="s">
        <v>236</v>
      </c>
      <c r="C58" s="7" t="s">
        <v>32</v>
      </c>
      <c r="D58" s="7" t="s">
        <v>237</v>
      </c>
      <c r="E58" s="7" t="s">
        <v>74</v>
      </c>
      <c r="F58" s="8"/>
      <c r="G58" s="9" t="str">
        <f t="shared" si="10"/>
        <v>JBP1E</v>
      </c>
      <c r="H58" s="9" t="str">
        <f t="shared" si="11"/>
        <v>26</v>
      </c>
      <c r="I58" s="9" t="str">
        <f t="shared" si="12"/>
        <v>07</v>
      </c>
      <c r="J58" s="9" t="str">
        <f t="shared" si="13"/>
        <v>2024</v>
      </c>
      <c r="K58" s="10" t="str">
        <f t="shared" si="14"/>
        <v>26/07/2024</v>
      </c>
      <c r="L58" s="9" t="str">
        <f t="shared" si="15"/>
        <v>09</v>
      </c>
      <c r="M58" s="9" t="str">
        <f t="shared" si="16"/>
        <v>05</v>
      </c>
      <c r="N58" s="9" t="str">
        <f t="shared" si="17"/>
        <v>2025</v>
      </c>
      <c r="O58" s="10" t="str">
        <f t="shared" si="18"/>
        <v>09/05/2025</v>
      </c>
      <c r="P58" s="9">
        <f t="shared" si="19"/>
        <v>287</v>
      </c>
    </row>
    <row r="59" spans="1:16" ht="13.8" hidden="1" x14ac:dyDescent="0.25">
      <c r="A59" s="11" t="s">
        <v>238</v>
      </c>
      <c r="B59" s="7" t="s">
        <v>77</v>
      </c>
      <c r="C59" s="7" t="s">
        <v>15</v>
      </c>
      <c r="D59" s="7" t="s">
        <v>239</v>
      </c>
      <c r="E59" s="7" t="s">
        <v>121</v>
      </c>
      <c r="F59" s="8"/>
      <c r="G59" s="9" t="str">
        <f t="shared" si="10"/>
        <v>KB22E</v>
      </c>
      <c r="H59" s="9" t="str">
        <f t="shared" si="11"/>
        <v>23</v>
      </c>
      <c r="I59" s="9" t="str">
        <f t="shared" si="12"/>
        <v>04</v>
      </c>
      <c r="J59" s="9" t="str">
        <f t="shared" si="13"/>
        <v>2025</v>
      </c>
      <c r="K59" s="10" t="str">
        <f t="shared" si="14"/>
        <v>23/04/2025</v>
      </c>
      <c r="L59" s="9" t="str">
        <f t="shared" si="15"/>
        <v>28</v>
      </c>
      <c r="M59" s="9" t="str">
        <f t="shared" si="16"/>
        <v>05</v>
      </c>
      <c r="N59" s="9" t="str">
        <f t="shared" si="17"/>
        <v>2025</v>
      </c>
      <c r="O59" s="10" t="str">
        <f t="shared" si="18"/>
        <v>28/05/2025</v>
      </c>
      <c r="P59" s="9">
        <f t="shared" si="19"/>
        <v>35</v>
      </c>
    </row>
    <row r="60" spans="1:16" ht="13.8" hidden="1" x14ac:dyDescent="0.25">
      <c r="A60" s="11" t="s">
        <v>240</v>
      </c>
      <c r="B60" s="7" t="s">
        <v>241</v>
      </c>
      <c r="C60" s="7" t="s">
        <v>24</v>
      </c>
      <c r="D60" s="7" t="s">
        <v>242</v>
      </c>
      <c r="E60" s="7" t="s">
        <v>78</v>
      </c>
      <c r="F60" s="8"/>
      <c r="G60" s="9" t="str">
        <f t="shared" si="10"/>
        <v>KB22E</v>
      </c>
      <c r="H60" s="9" t="str">
        <f t="shared" si="11"/>
        <v>06</v>
      </c>
      <c r="I60" s="9" t="str">
        <f t="shared" si="12"/>
        <v>12</v>
      </c>
      <c r="J60" s="9" t="str">
        <f t="shared" si="13"/>
        <v>2024</v>
      </c>
      <c r="K60" s="10" t="str">
        <f t="shared" si="14"/>
        <v>06/12/2024</v>
      </c>
      <c r="L60" s="9" t="str">
        <f t="shared" si="15"/>
        <v>10</v>
      </c>
      <c r="M60" s="9" t="str">
        <f t="shared" si="16"/>
        <v>05</v>
      </c>
      <c r="N60" s="9" t="str">
        <f t="shared" si="17"/>
        <v>2025</v>
      </c>
      <c r="O60" s="10" t="str">
        <f t="shared" si="18"/>
        <v>10/05/2025</v>
      </c>
      <c r="P60" s="9">
        <f t="shared" si="19"/>
        <v>155</v>
      </c>
    </row>
    <row r="61" spans="1:16" ht="13.8" hidden="1" x14ac:dyDescent="0.25">
      <c r="A61" s="11" t="s">
        <v>243</v>
      </c>
      <c r="B61" s="7" t="s">
        <v>98</v>
      </c>
      <c r="C61" s="7" t="s">
        <v>15</v>
      </c>
      <c r="D61" s="7" t="s">
        <v>245</v>
      </c>
      <c r="E61" s="7" t="s">
        <v>244</v>
      </c>
      <c r="F61" s="8"/>
      <c r="G61" s="9" t="str">
        <f t="shared" si="10"/>
        <v>JMD1E</v>
      </c>
      <c r="H61" s="9" t="str">
        <f t="shared" si="11"/>
        <v>27</v>
      </c>
      <c r="I61" s="9" t="str">
        <f t="shared" si="12"/>
        <v>03</v>
      </c>
      <c r="J61" s="9" t="str">
        <f t="shared" si="13"/>
        <v>2025</v>
      </c>
      <c r="K61" s="10" t="str">
        <f t="shared" si="14"/>
        <v>27/03/2025</v>
      </c>
      <c r="L61" s="9" t="str">
        <f t="shared" si="15"/>
        <v>03</v>
      </c>
      <c r="M61" s="9" t="str">
        <f t="shared" si="16"/>
        <v>05</v>
      </c>
      <c r="N61" s="9" t="str">
        <f t="shared" si="17"/>
        <v>2025</v>
      </c>
      <c r="O61" s="10" t="str">
        <f t="shared" si="18"/>
        <v>03/05/2025</v>
      </c>
      <c r="P61" s="9">
        <f t="shared" si="19"/>
        <v>37</v>
      </c>
    </row>
    <row r="62" spans="1:16" ht="13.8" x14ac:dyDescent="0.25">
      <c r="A62" s="13" t="s">
        <v>246</v>
      </c>
      <c r="B62" s="7" t="s">
        <v>247</v>
      </c>
      <c r="C62" s="7" t="s">
        <v>24</v>
      </c>
      <c r="D62" s="7" t="s">
        <v>248</v>
      </c>
      <c r="E62" s="7" t="s">
        <v>82</v>
      </c>
      <c r="F62" s="8" t="s">
        <v>266</v>
      </c>
      <c r="G62" s="9" t="str">
        <f t="shared" si="10"/>
        <v>JMC1E</v>
      </c>
      <c r="H62" s="9" t="str">
        <f t="shared" si="11"/>
        <v>16</v>
      </c>
      <c r="I62" s="9" t="str">
        <f t="shared" si="12"/>
        <v>04</v>
      </c>
      <c r="J62" s="9" t="str">
        <f t="shared" si="13"/>
        <v>2025</v>
      </c>
      <c r="K62" s="10" t="str">
        <f t="shared" si="14"/>
        <v>16/04/2025</v>
      </c>
      <c r="L62" s="9" t="str">
        <f t="shared" si="15"/>
        <v>13</v>
      </c>
      <c r="M62" s="9" t="str">
        <f t="shared" si="16"/>
        <v>05</v>
      </c>
      <c r="N62" s="9" t="str">
        <f t="shared" si="17"/>
        <v>2025</v>
      </c>
      <c r="O62" s="10" t="str">
        <f t="shared" si="18"/>
        <v>13/05/2025</v>
      </c>
      <c r="P62" s="9">
        <f t="shared" si="19"/>
        <v>27</v>
      </c>
    </row>
    <row r="63" spans="1:16" ht="13.8" hidden="1" x14ac:dyDescent="0.25">
      <c r="A63" s="11" t="s">
        <v>249</v>
      </c>
      <c r="B63" s="7" t="s">
        <v>250</v>
      </c>
      <c r="C63" s="7" t="s">
        <v>32</v>
      </c>
      <c r="D63" s="7" t="s">
        <v>251</v>
      </c>
      <c r="E63" s="7" t="s">
        <v>118</v>
      </c>
      <c r="F63" s="8"/>
      <c r="G63" s="9" t="str">
        <f t="shared" si="10"/>
        <v>JMD1E</v>
      </c>
      <c r="H63" s="9" t="str">
        <f t="shared" si="11"/>
        <v>06</v>
      </c>
      <c r="I63" s="9" t="str">
        <f t="shared" si="12"/>
        <v>08</v>
      </c>
      <c r="J63" s="9" t="str">
        <f t="shared" si="13"/>
        <v>2024</v>
      </c>
      <c r="K63" s="10" t="str">
        <f t="shared" si="14"/>
        <v>06/08/2024</v>
      </c>
      <c r="L63" s="9" t="str">
        <f t="shared" si="15"/>
        <v>14</v>
      </c>
      <c r="M63" s="9" t="str">
        <f t="shared" si="16"/>
        <v>05</v>
      </c>
      <c r="N63" s="9" t="str">
        <f t="shared" si="17"/>
        <v>2025</v>
      </c>
      <c r="O63" s="10" t="str">
        <f t="shared" si="18"/>
        <v>14/05/2025</v>
      </c>
      <c r="P63" s="9">
        <f t="shared" si="19"/>
        <v>281</v>
      </c>
    </row>
    <row r="64" spans="1:16" ht="13.8" hidden="1" x14ac:dyDescent="0.25">
      <c r="A64" s="11" t="s">
        <v>252</v>
      </c>
      <c r="B64" s="7" t="s">
        <v>253</v>
      </c>
      <c r="C64" s="7" t="s">
        <v>32</v>
      </c>
      <c r="D64" s="7" t="s">
        <v>255</v>
      </c>
      <c r="E64" s="7" t="s">
        <v>254</v>
      </c>
      <c r="F64" s="8"/>
      <c r="G64" s="9" t="str">
        <f t="shared" si="10"/>
        <v>JMC1E</v>
      </c>
      <c r="H64" s="9" t="str">
        <f t="shared" si="11"/>
        <v>18</v>
      </c>
      <c r="I64" s="9" t="str">
        <f t="shared" si="12"/>
        <v>05</v>
      </c>
      <c r="J64" s="9" t="str">
        <f t="shared" si="13"/>
        <v>2024</v>
      </c>
      <c r="K64" s="10" t="str">
        <f t="shared" si="14"/>
        <v>18/05/2024</v>
      </c>
      <c r="L64" s="9" t="str">
        <f t="shared" si="15"/>
        <v>26</v>
      </c>
      <c r="M64" s="9" t="str">
        <f t="shared" si="16"/>
        <v>05</v>
      </c>
      <c r="N64" s="9" t="str">
        <f t="shared" si="17"/>
        <v>2025</v>
      </c>
      <c r="O64" s="10" t="str">
        <f t="shared" si="18"/>
        <v>26/05/2025</v>
      </c>
      <c r="P64" s="9">
        <f t="shared" si="19"/>
        <v>373</v>
      </c>
    </row>
    <row r="65" spans="1:16" ht="13.8" hidden="1" x14ac:dyDescent="0.25">
      <c r="A65" s="11" t="s">
        <v>256</v>
      </c>
      <c r="B65" s="7" t="s">
        <v>77</v>
      </c>
      <c r="C65" s="7" t="s">
        <v>15</v>
      </c>
      <c r="D65" s="7" t="s">
        <v>258</v>
      </c>
      <c r="E65" s="7" t="s">
        <v>257</v>
      </c>
      <c r="F65" s="8"/>
      <c r="G65" s="9" t="str">
        <f t="shared" si="10"/>
        <v>KFA1E</v>
      </c>
      <c r="H65" s="9" t="str">
        <f t="shared" si="11"/>
        <v>23</v>
      </c>
      <c r="I65" s="9" t="str">
        <f t="shared" si="12"/>
        <v>04</v>
      </c>
      <c r="J65" s="9" t="str">
        <f t="shared" si="13"/>
        <v>2025</v>
      </c>
      <c r="K65" s="10" t="str">
        <f t="shared" si="14"/>
        <v>23/04/2025</v>
      </c>
      <c r="L65" s="9" t="str">
        <f t="shared" si="15"/>
        <v>22</v>
      </c>
      <c r="M65" s="9" t="str">
        <f t="shared" si="16"/>
        <v>05</v>
      </c>
      <c r="N65" s="9" t="str">
        <f t="shared" si="17"/>
        <v>2025</v>
      </c>
      <c r="O65" s="10" t="str">
        <f t="shared" si="18"/>
        <v>22/05/2025</v>
      </c>
      <c r="P65" s="9">
        <f t="shared" si="19"/>
        <v>29</v>
      </c>
    </row>
    <row r="66" spans="1:16" ht="13.8" hidden="1" x14ac:dyDescent="0.25">
      <c r="A66" s="11" t="s">
        <v>259</v>
      </c>
      <c r="B66" s="7" t="s">
        <v>260</v>
      </c>
      <c r="C66" s="7" t="s">
        <v>24</v>
      </c>
      <c r="D66" s="7" t="s">
        <v>261</v>
      </c>
      <c r="E66" s="7" t="s">
        <v>244</v>
      </c>
      <c r="F66" s="8"/>
      <c r="G66" s="9" t="str">
        <f t="shared" si="10"/>
        <v>KF01E</v>
      </c>
      <c r="H66" s="9" t="str">
        <f t="shared" si="11"/>
        <v>09</v>
      </c>
      <c r="I66" s="9" t="str">
        <f t="shared" si="12"/>
        <v>02</v>
      </c>
      <c r="J66" s="9" t="str">
        <f t="shared" si="13"/>
        <v>2025</v>
      </c>
      <c r="K66" s="10" t="str">
        <f t="shared" si="14"/>
        <v>09/02/2025</v>
      </c>
      <c r="L66" s="9" t="str">
        <f t="shared" si="15"/>
        <v>03</v>
      </c>
      <c r="M66" s="9" t="str">
        <f t="shared" si="16"/>
        <v>05</v>
      </c>
      <c r="N66" s="9" t="str">
        <f t="shared" si="17"/>
        <v>2025</v>
      </c>
      <c r="O66" s="10" t="str">
        <f t="shared" si="18"/>
        <v>03/05/2025</v>
      </c>
      <c r="P66" s="9">
        <f t="shared" si="19"/>
        <v>83</v>
      </c>
    </row>
    <row r="67" spans="1:16" ht="13.8" hidden="1" x14ac:dyDescent="0.25">
      <c r="A67" s="11" t="s">
        <v>262</v>
      </c>
      <c r="B67" s="7" t="s">
        <v>124</v>
      </c>
      <c r="C67" s="7" t="s">
        <v>15</v>
      </c>
      <c r="D67" s="7" t="s">
        <v>263</v>
      </c>
      <c r="E67" s="7" t="s">
        <v>206</v>
      </c>
      <c r="F67" s="8"/>
      <c r="G67" s="9" t="str">
        <f t="shared" ref="G67" si="20">LEFT(A67,5)</f>
        <v>KC02E</v>
      </c>
      <c r="H67" s="9" t="str">
        <f t="shared" ref="H67" si="21">LEFT(B67,2)</f>
        <v>28</v>
      </c>
      <c r="I67" s="9" t="str">
        <f t="shared" ref="I67" si="22">MID(B67,4,2)</f>
        <v>03</v>
      </c>
      <c r="J67" s="9" t="str">
        <f t="shared" ref="J67" si="23">RIGHT(B67,4)</f>
        <v>2025</v>
      </c>
      <c r="K67" s="10" t="str">
        <f t="shared" ref="K67" si="24">H67&amp;"/"&amp;I67&amp;"/"&amp;J67</f>
        <v>28/03/2025</v>
      </c>
      <c r="L67" s="9" t="str">
        <f t="shared" ref="L67" si="25">LEFT(E67,2)</f>
        <v>31</v>
      </c>
      <c r="M67" s="9" t="str">
        <f t="shared" ref="M67" si="26">MID(E67,4,2)</f>
        <v>05</v>
      </c>
      <c r="N67" s="9" t="str">
        <f t="shared" ref="N67" si="27">RIGHT(E67,4)</f>
        <v>2025</v>
      </c>
      <c r="O67" s="10" t="str">
        <f t="shared" ref="O67" si="28">L67&amp;"/"&amp;M67&amp;"/"&amp;N67</f>
        <v>31/05/2025</v>
      </c>
      <c r="P67" s="9">
        <f t="shared" ref="P67" si="29">O67-K67</f>
        <v>64</v>
      </c>
    </row>
  </sheetData>
  <autoFilter ref="A1:P67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 Rekap KPB</vt:lpstr>
      <vt:lpstr>Report Detail KPB</vt:lpstr>
      <vt:lpstr>'Report Detail KPB'!Print_Area</vt:lpstr>
      <vt:lpstr>'Report Rekap KPB'!Print_Area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ASUS</dc:creator>
  <dc:description/>
  <cp:lastModifiedBy>Kevin William</cp:lastModifiedBy>
  <dcterms:created xsi:type="dcterms:W3CDTF">2025-08-30T05:51:40Z</dcterms:created>
  <dcterms:modified xsi:type="dcterms:W3CDTF">2025-10-08T08:24:35Z</dcterms:modified>
</cp:coreProperties>
</file>