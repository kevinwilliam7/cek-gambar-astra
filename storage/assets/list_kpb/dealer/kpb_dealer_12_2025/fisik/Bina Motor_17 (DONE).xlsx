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12_2025\fisik\"/>
    </mc:Choice>
  </mc:AlternateContent>
  <xr:revisionPtr revIDLastSave="0" documentId="13_ncr:1_{DD24F58F-0BBD-4309-B31D-68502854E0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 Rekap KPB" sheetId="2" r:id="rId1"/>
    <sheet name="Report Detail KPB" sheetId="1" r:id="rId2"/>
  </sheets>
  <definedNames>
    <definedName name="_xlnm._FilterDatabase" localSheetId="1" hidden="1">'Report Detail KPB'!$A$1:$O$18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M3" i="1" s="1"/>
  <c r="I3" i="1"/>
  <c r="J3" i="1"/>
  <c r="K3" i="1"/>
  <c r="L3" i="1"/>
  <c r="O3" i="1"/>
  <c r="G4" i="1"/>
  <c r="H4" i="1"/>
  <c r="M4" i="1" s="1"/>
  <c r="I4" i="1"/>
  <c r="J4" i="1"/>
  <c r="K4" i="1"/>
  <c r="L4" i="1"/>
  <c r="O4" i="1"/>
  <c r="G5" i="1"/>
  <c r="H5" i="1"/>
  <c r="M5" i="1" s="1"/>
  <c r="I5" i="1"/>
  <c r="J5" i="1"/>
  <c r="K5" i="1"/>
  <c r="L5" i="1"/>
  <c r="O5" i="1"/>
  <c r="G6" i="1"/>
  <c r="H6" i="1"/>
  <c r="M6" i="1" s="1"/>
  <c r="I6" i="1"/>
  <c r="J6" i="1"/>
  <c r="K6" i="1"/>
  <c r="L6" i="1"/>
  <c r="O6" i="1"/>
  <c r="G7" i="1"/>
  <c r="H7" i="1"/>
  <c r="M7" i="1" s="1"/>
  <c r="I7" i="1"/>
  <c r="J7" i="1"/>
  <c r="K7" i="1"/>
  <c r="L7" i="1"/>
  <c r="O7" i="1"/>
  <c r="G8" i="1"/>
  <c r="H8" i="1"/>
  <c r="M8" i="1" s="1"/>
  <c r="I8" i="1"/>
  <c r="J8" i="1"/>
  <c r="K8" i="1"/>
  <c r="L8" i="1"/>
  <c r="O8" i="1"/>
  <c r="G9" i="1"/>
  <c r="H9" i="1"/>
  <c r="M9" i="1" s="1"/>
  <c r="I9" i="1"/>
  <c r="J9" i="1"/>
  <c r="K9" i="1"/>
  <c r="L9" i="1"/>
  <c r="O9" i="1"/>
  <c r="G10" i="1"/>
  <c r="H10" i="1"/>
  <c r="M10" i="1" s="1"/>
  <c r="I10" i="1"/>
  <c r="J10" i="1"/>
  <c r="K10" i="1"/>
  <c r="L10" i="1"/>
  <c r="O10" i="1"/>
  <c r="G11" i="1"/>
  <c r="H11" i="1"/>
  <c r="M11" i="1" s="1"/>
  <c r="I11" i="1"/>
  <c r="J11" i="1"/>
  <c r="K11" i="1"/>
  <c r="L11" i="1"/>
  <c r="O11" i="1"/>
  <c r="G12" i="1"/>
  <c r="H12" i="1"/>
  <c r="M12" i="1" s="1"/>
  <c r="I12" i="1"/>
  <c r="J12" i="1"/>
  <c r="K12" i="1"/>
  <c r="L12" i="1"/>
  <c r="O12" i="1"/>
  <c r="G13" i="1"/>
  <c r="H13" i="1"/>
  <c r="M13" i="1" s="1"/>
  <c r="I13" i="1"/>
  <c r="J13" i="1"/>
  <c r="K13" i="1"/>
  <c r="L13" i="1"/>
  <c r="O13" i="1"/>
  <c r="G14" i="1"/>
  <c r="H14" i="1"/>
  <c r="M14" i="1" s="1"/>
  <c r="I14" i="1"/>
  <c r="J14" i="1"/>
  <c r="K14" i="1"/>
  <c r="L14" i="1"/>
  <c r="O14" i="1"/>
  <c r="G15" i="1"/>
  <c r="H15" i="1"/>
  <c r="M15" i="1" s="1"/>
  <c r="I15" i="1"/>
  <c r="J15" i="1"/>
  <c r="K15" i="1"/>
  <c r="L15" i="1"/>
  <c r="O15" i="1"/>
  <c r="G16" i="1"/>
  <c r="H16" i="1"/>
  <c r="M16" i="1" s="1"/>
  <c r="I16" i="1"/>
  <c r="J16" i="1"/>
  <c r="K16" i="1"/>
  <c r="L16" i="1"/>
  <c r="O16" i="1"/>
  <c r="G17" i="1"/>
  <c r="H17" i="1"/>
  <c r="M17" i="1" s="1"/>
  <c r="I17" i="1"/>
  <c r="J17" i="1"/>
  <c r="K17" i="1"/>
  <c r="L17" i="1"/>
  <c r="O17" i="1"/>
  <c r="G18" i="1"/>
  <c r="H18" i="1"/>
  <c r="M18" i="1" s="1"/>
  <c r="I18" i="1"/>
  <c r="J18" i="1"/>
  <c r="K18" i="1"/>
  <c r="L18" i="1"/>
  <c r="O18" i="1"/>
  <c r="O2" i="1"/>
  <c r="L2" i="1"/>
  <c r="K2" i="1"/>
  <c r="N2" i="1" s="1"/>
  <c r="J2" i="1"/>
  <c r="I2" i="1"/>
  <c r="H2" i="1"/>
  <c r="M2" i="1" s="1"/>
  <c r="G2" i="1"/>
  <c r="N15" i="1" l="1"/>
  <c r="N4" i="1"/>
  <c r="N5" i="1"/>
  <c r="N3" i="1"/>
  <c r="N10" i="1"/>
  <c r="N7" i="1"/>
  <c r="N11" i="1"/>
  <c r="N17" i="1"/>
  <c r="N16" i="1"/>
  <c r="N14" i="1"/>
  <c r="N18" i="1"/>
  <c r="N13" i="1"/>
  <c r="N12" i="1"/>
  <c r="N9" i="1"/>
  <c r="N8" i="1"/>
  <c r="N6" i="1"/>
</calcChain>
</file>

<file path=xl/sharedStrings.xml><?xml version="1.0" encoding="utf-8"?>
<sst xmlns="http://schemas.openxmlformats.org/spreadsheetml/2006/main" count="65" uniqueCount="36">
  <si>
    <t>KFA1E1284665</t>
  </si>
  <si>
    <t>3</t>
  </si>
  <si>
    <t>8000</t>
  </si>
  <si>
    <t>KFC1E1169747</t>
  </si>
  <si>
    <t>1</t>
  </si>
  <si>
    <t>1000</t>
  </si>
  <si>
    <t>JMH2E1473614</t>
  </si>
  <si>
    <t>KC04E1019445</t>
  </si>
  <si>
    <t>JME1E1725799</t>
  </si>
  <si>
    <t>2</t>
  </si>
  <si>
    <t>4000</t>
  </si>
  <si>
    <t>JME1E1698153</t>
  </si>
  <si>
    <t>JMD1E2044517</t>
  </si>
  <si>
    <t>KC04E1029901</t>
  </si>
  <si>
    <t>JME1E1735868</t>
  </si>
  <si>
    <t>JMF2E1594166</t>
  </si>
  <si>
    <t>JMH1E1199841</t>
  </si>
  <si>
    <t>JME1E1737501</t>
  </si>
  <si>
    <t>JMH2E1386641</t>
  </si>
  <si>
    <t>KD11E1631671</t>
  </si>
  <si>
    <t>KC04E1018386</t>
  </si>
  <si>
    <t>JMD1E2118124</t>
  </si>
  <si>
    <t>KFE1E1364526</t>
  </si>
  <si>
    <t>Ket</t>
  </si>
  <si>
    <t>Type</t>
  </si>
  <si>
    <t>Hari</t>
  </si>
  <si>
    <t>Jumlah Hrf</t>
  </si>
  <si>
    <t>Tgl Beli</t>
  </si>
  <si>
    <t>Bulan Beli</t>
  </si>
  <si>
    <t>Tahun Beli</t>
  </si>
  <si>
    <t>Tgl Service</t>
  </si>
  <si>
    <t>Km</t>
  </si>
  <si>
    <t>10839 - BINA MOTOR</t>
  </si>
  <si>
    <t>REKAP KPB
10839-XXXXXX_XXXX</t>
  </si>
  <si>
    <t>No Engine</t>
  </si>
  <si>
    <t>Service Ke-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</si>
</sst>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0"/>
      <color rgb="FF00000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sz val="14"/>
      <color rgb="FF000000"/>
      <name val="Roboto"/>
    </font>
    <font>
      <b/>
      <sz val="14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0" fillId="2" borderId="1" xfId="0" applyNumberFormat="1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4444-87A8-4ED5-B6FB-146660FBB7BE}">
  <dimension ref="A1:L2"/>
  <sheetViews>
    <sheetView workbookViewId="0">
      <selection activeCell="J8" sqref="J8"/>
    </sheetView>
  </sheetViews>
  <sheetFormatPr defaultRowHeight="14.4" x14ac:dyDescent="0.3"/>
  <sheetData>
    <row r="1" spans="1:12" s="11" customFormat="1" ht="22.5" customHeight="1" x14ac:dyDescent="0.3">
      <c r="A1" s="12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s="11" customFormat="1" ht="40.65" customHeight="1" x14ac:dyDescent="0.3">
      <c r="A2" s="15" t="s">
        <v>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</sheetData>
  <mergeCells count="2"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130" zoomScaleNormal="130" workbookViewId="0">
      <selection activeCell="B2" sqref="B2"/>
    </sheetView>
  </sheetViews>
  <sheetFormatPr defaultRowHeight="14.4" x14ac:dyDescent="0.3"/>
  <cols>
    <col min="1" max="1" width="15.33203125" bestFit="1" customWidth="1"/>
    <col min="2" max="2" width="10.109375" style="1" bestFit="1" customWidth="1"/>
    <col min="3" max="3" width="14.5546875" style="1" customWidth="1"/>
    <col min="4" max="4" width="14.6640625" style="1" bestFit="1" customWidth="1"/>
    <col min="5" max="5" width="5.88671875" style="1" bestFit="1" customWidth="1"/>
  </cols>
  <sheetData>
    <row r="1" spans="1:15" ht="15.6" x14ac:dyDescent="0.3">
      <c r="A1" s="2" t="s">
        <v>34</v>
      </c>
      <c r="B1" s="2" t="s">
        <v>35</v>
      </c>
      <c r="C1" s="9" t="s">
        <v>27</v>
      </c>
      <c r="D1" s="9" t="s">
        <v>30</v>
      </c>
      <c r="E1" s="10" t="s">
        <v>31</v>
      </c>
      <c r="F1" s="5" t="s">
        <v>23</v>
      </c>
      <c r="G1" s="6" t="s">
        <v>24</v>
      </c>
      <c r="H1" s="1" t="s">
        <v>25</v>
      </c>
      <c r="I1" s="1" t="s">
        <v>26</v>
      </c>
      <c r="J1" s="1" t="s">
        <v>27</v>
      </c>
      <c r="K1" s="6" t="s">
        <v>28</v>
      </c>
      <c r="L1" s="1" t="s">
        <v>29</v>
      </c>
      <c r="M1" s="1"/>
      <c r="N1" s="1"/>
      <c r="O1" s="1"/>
    </row>
    <row r="2" spans="1:15" x14ac:dyDescent="0.3">
      <c r="A2" s="8" t="s">
        <v>0</v>
      </c>
      <c r="B2" s="3" t="s">
        <v>1</v>
      </c>
      <c r="C2" s="4">
        <v>45744</v>
      </c>
      <c r="D2" s="4">
        <v>45987</v>
      </c>
      <c r="E2" s="3" t="s">
        <v>2</v>
      </c>
      <c r="F2" s="7"/>
      <c r="G2" s="1" t="str">
        <f t="shared" ref="G2" si="0">LEFT(A2, 5)</f>
        <v>KFA1E</v>
      </c>
      <c r="H2" s="1">
        <f t="shared" ref="H2" si="1">D2-C2</f>
        <v>243</v>
      </c>
      <c r="I2" s="1">
        <f t="shared" ref="I2" si="2">LEN(A2)</f>
        <v>12</v>
      </c>
      <c r="J2" s="1" t="str">
        <f t="shared" ref="J2" si="3">LEFT(C2, 2)</f>
        <v>45</v>
      </c>
      <c r="K2" s="1" t="str">
        <f t="shared" ref="K2" si="4">MID(C2, 4, 2)</f>
        <v>44</v>
      </c>
      <c r="L2" s="1" t="str">
        <f t="shared" ref="L2" si="5">RIGHT(C2, 4)</f>
        <v>5744</v>
      </c>
      <c r="M2" s="1" t="str">
        <f t="shared" ref="M2" si="6">IF(AND(B2="1",H2&gt;=75),"tolong cek",  IF(AND(B2="2",H2&gt;=135),"tolong cek",  IF(AND(B2="3",H2&gt;=255),"tolong cek",  IF(AND(B2="4",H2&gt;=375),"tolong cek","-"))))</f>
        <v>-</v>
      </c>
      <c r="N2" s="1" t="str">
        <f t="shared" ref="N2" si="7">IF(AND(B2="1",VALUE(K2)&lt;=6,VALUE(L2)&lt;=2025),"tolong cek kadaluarsa",  IF(AND(B2="2",VALUE(K2)&lt;=4,VALUE(L2)&lt;=2025),"tolong cek kadaluarsa",  IF(AND(B2="3",VALUE(K2)&lt;=12,VALUE(L2)&lt;=2024),"tolong cek kadaluarsa",  IF(AND(B2="4",VALUE(K2)&lt;=8, VALUE(L2)&lt;=2024),"tolong cek kadaluarsa","-"))))</f>
        <v>-</v>
      </c>
      <c r="O2" s="1" t="str">
        <f t="shared" ref="O2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x14ac:dyDescent="0.3">
      <c r="A3" s="8" t="s">
        <v>3</v>
      </c>
      <c r="B3" s="3" t="s">
        <v>4</v>
      </c>
      <c r="C3" s="4">
        <v>45876</v>
      </c>
      <c r="D3" s="4">
        <v>45934</v>
      </c>
      <c r="E3" s="3" t="s">
        <v>5</v>
      </c>
      <c r="G3" s="1" t="str">
        <f t="shared" ref="G3:G18" si="9">LEFT(A3, 5)</f>
        <v>KFC1E</v>
      </c>
      <c r="H3" s="1">
        <f t="shared" ref="H3:H18" si="10">D3-C3</f>
        <v>58</v>
      </c>
      <c r="I3" s="1">
        <f t="shared" ref="I3:I18" si="11">LEN(A3)</f>
        <v>12</v>
      </c>
      <c r="J3" s="1" t="str">
        <f t="shared" ref="J3:J18" si="12">LEFT(C3, 2)</f>
        <v>45</v>
      </c>
      <c r="K3" s="1" t="str">
        <f t="shared" ref="K3:K18" si="13">MID(C3, 4, 2)</f>
        <v>76</v>
      </c>
      <c r="L3" s="1" t="str">
        <f t="shared" ref="L3:L18" si="14">RIGHT(C3, 4)</f>
        <v>5876</v>
      </c>
      <c r="M3" s="1" t="str">
        <f t="shared" ref="M3:M18" si="15">IF(AND(B3="1",H3&gt;=75),"tolong cek",  IF(AND(B3="2",H3&gt;=135),"tolong cek",  IF(AND(B3="3",H3&gt;=255),"tolong cek",  IF(AND(B3="4",H3&gt;=375),"tolong cek","-"))))</f>
        <v>-</v>
      </c>
      <c r="N3" s="1" t="str">
        <f t="shared" ref="N3:N18" si="16">IF(AND(B3="1",VALUE(K3)&lt;=6,VALUE(L3)&lt;=2025),"tolong cek kadaluarsa",  IF(AND(B3="2",VALUE(K3)&lt;=4,VALUE(L3)&lt;=2025),"tolong cek kadaluarsa",  IF(AND(B3="3",VALUE(K3)&lt;=12,VALUE(L3)&lt;=2024),"tolong cek kadaluarsa",  IF(AND(B3="4",VALUE(K3)&lt;=8, VALUE(L3)&lt;=2024),"tolong cek kadaluarsa","-"))))</f>
        <v>-</v>
      </c>
      <c r="O3" s="1" t="str">
        <f t="shared" ref="O3:O18" si="17">IF(AND(B3="1",VALUE(E3)&gt;=1100),"tolong cek KM",  IF(AND(B3="2",VALUE(E3)&gt;=4250),"tolong cek KM",  IF(AND(B3="3",VALUE(E3)&gt;=8250),"tolong cek KM",  IF(AND(B3="4",VALUE(E3)&gt;=12250),"tolong cek KM","-"))))</f>
        <v>-</v>
      </c>
    </row>
    <row r="4" spans="1:15" x14ac:dyDescent="0.3">
      <c r="A4" s="8" t="s">
        <v>6</v>
      </c>
      <c r="B4" s="3" t="s">
        <v>4</v>
      </c>
      <c r="C4" s="4">
        <v>45916</v>
      </c>
      <c r="D4" s="4">
        <v>45971</v>
      </c>
      <c r="E4" s="3" t="s">
        <v>5</v>
      </c>
      <c r="G4" s="1" t="str">
        <f t="shared" si="9"/>
        <v>JMH2E</v>
      </c>
      <c r="H4" s="1">
        <f t="shared" si="10"/>
        <v>55</v>
      </c>
      <c r="I4" s="1">
        <f t="shared" si="11"/>
        <v>12</v>
      </c>
      <c r="J4" s="1" t="str">
        <f t="shared" si="12"/>
        <v>45</v>
      </c>
      <c r="K4" s="1" t="str">
        <f t="shared" si="13"/>
        <v>16</v>
      </c>
      <c r="L4" s="1" t="str">
        <f t="shared" si="14"/>
        <v>5916</v>
      </c>
      <c r="M4" s="1" t="str">
        <f t="shared" si="15"/>
        <v>-</v>
      </c>
      <c r="N4" s="1" t="str">
        <f t="shared" si="16"/>
        <v>-</v>
      </c>
      <c r="O4" s="1" t="str">
        <f t="shared" si="17"/>
        <v>-</v>
      </c>
    </row>
    <row r="5" spans="1:15" x14ac:dyDescent="0.3">
      <c r="A5" s="8" t="s">
        <v>7</v>
      </c>
      <c r="B5" s="3" t="s">
        <v>4</v>
      </c>
      <c r="C5" s="4">
        <v>45920</v>
      </c>
      <c r="D5" s="4">
        <v>45976</v>
      </c>
      <c r="E5" s="3" t="s">
        <v>5</v>
      </c>
      <c r="G5" s="1" t="str">
        <f t="shared" si="9"/>
        <v>KC04E</v>
      </c>
      <c r="H5" s="1">
        <f t="shared" si="10"/>
        <v>56</v>
      </c>
      <c r="I5" s="1">
        <f t="shared" si="11"/>
        <v>12</v>
      </c>
      <c r="J5" s="1" t="str">
        <f t="shared" si="12"/>
        <v>45</v>
      </c>
      <c r="K5" s="1" t="str">
        <f t="shared" si="13"/>
        <v>20</v>
      </c>
      <c r="L5" s="1" t="str">
        <f t="shared" si="14"/>
        <v>5920</v>
      </c>
      <c r="M5" s="1" t="str">
        <f t="shared" si="15"/>
        <v>-</v>
      </c>
      <c r="N5" s="1" t="str">
        <f t="shared" si="16"/>
        <v>-</v>
      </c>
      <c r="O5" s="1" t="str">
        <f t="shared" si="17"/>
        <v>-</v>
      </c>
    </row>
    <row r="6" spans="1:15" x14ac:dyDescent="0.3">
      <c r="A6" s="8" t="s">
        <v>8</v>
      </c>
      <c r="B6" s="3" t="s">
        <v>9</v>
      </c>
      <c r="C6" s="4">
        <v>45934</v>
      </c>
      <c r="D6" s="4">
        <v>46017</v>
      </c>
      <c r="E6" s="3" t="s">
        <v>10</v>
      </c>
      <c r="G6" s="1" t="str">
        <f t="shared" si="9"/>
        <v>JME1E</v>
      </c>
      <c r="H6" s="1">
        <f t="shared" si="10"/>
        <v>83</v>
      </c>
      <c r="I6" s="1">
        <f t="shared" si="11"/>
        <v>12</v>
      </c>
      <c r="J6" s="1" t="str">
        <f t="shared" si="12"/>
        <v>45</v>
      </c>
      <c r="K6" s="1" t="str">
        <f t="shared" si="13"/>
        <v>34</v>
      </c>
      <c r="L6" s="1" t="str">
        <f t="shared" si="14"/>
        <v>5934</v>
      </c>
      <c r="M6" s="1" t="str">
        <f t="shared" si="15"/>
        <v>-</v>
      </c>
      <c r="N6" s="1" t="str">
        <f t="shared" si="16"/>
        <v>-</v>
      </c>
      <c r="O6" s="1" t="str">
        <f t="shared" si="17"/>
        <v>-</v>
      </c>
    </row>
    <row r="7" spans="1:15" x14ac:dyDescent="0.3">
      <c r="A7" s="8" t="s">
        <v>11</v>
      </c>
      <c r="B7" s="3" t="s">
        <v>4</v>
      </c>
      <c r="C7" s="4">
        <v>45898</v>
      </c>
      <c r="D7" s="4">
        <v>45956</v>
      </c>
      <c r="E7" s="3" t="s">
        <v>5</v>
      </c>
      <c r="G7" s="1" t="str">
        <f t="shared" si="9"/>
        <v>JME1E</v>
      </c>
      <c r="H7" s="1">
        <f t="shared" si="10"/>
        <v>58</v>
      </c>
      <c r="I7" s="1">
        <f t="shared" si="11"/>
        <v>12</v>
      </c>
      <c r="J7" s="1" t="str">
        <f t="shared" si="12"/>
        <v>45</v>
      </c>
      <c r="K7" s="1" t="str">
        <f t="shared" si="13"/>
        <v>98</v>
      </c>
      <c r="L7" s="1" t="str">
        <f t="shared" si="14"/>
        <v>5898</v>
      </c>
      <c r="M7" s="1" t="str">
        <f t="shared" si="15"/>
        <v>-</v>
      </c>
      <c r="N7" s="1" t="str">
        <f t="shared" si="16"/>
        <v>-</v>
      </c>
      <c r="O7" s="1" t="str">
        <f t="shared" si="17"/>
        <v>-</v>
      </c>
    </row>
    <row r="8" spans="1:15" x14ac:dyDescent="0.3">
      <c r="A8" s="8" t="s">
        <v>12</v>
      </c>
      <c r="B8" s="3" t="s">
        <v>4</v>
      </c>
      <c r="C8" s="4">
        <v>45903</v>
      </c>
      <c r="D8" s="4">
        <v>45963</v>
      </c>
      <c r="E8" s="3" t="s">
        <v>5</v>
      </c>
      <c r="G8" s="1" t="str">
        <f t="shared" si="9"/>
        <v>JMD1E</v>
      </c>
      <c r="H8" s="1">
        <f t="shared" si="10"/>
        <v>60</v>
      </c>
      <c r="I8" s="1">
        <f t="shared" si="11"/>
        <v>12</v>
      </c>
      <c r="J8" s="1" t="str">
        <f t="shared" si="12"/>
        <v>45</v>
      </c>
      <c r="K8" s="1" t="str">
        <f t="shared" si="13"/>
        <v>03</v>
      </c>
      <c r="L8" s="1" t="str">
        <f t="shared" si="14"/>
        <v>5903</v>
      </c>
      <c r="M8" s="1" t="str">
        <f t="shared" si="15"/>
        <v>-</v>
      </c>
      <c r="N8" s="1" t="str">
        <f t="shared" si="16"/>
        <v>-</v>
      </c>
      <c r="O8" s="1" t="str">
        <f t="shared" si="17"/>
        <v>-</v>
      </c>
    </row>
    <row r="9" spans="1:15" x14ac:dyDescent="0.3">
      <c r="A9" s="8" t="s">
        <v>13</v>
      </c>
      <c r="B9" s="3" t="s">
        <v>4</v>
      </c>
      <c r="C9" s="4">
        <v>45985</v>
      </c>
      <c r="D9" s="4">
        <v>46001</v>
      </c>
      <c r="E9" s="3" t="s">
        <v>5</v>
      </c>
      <c r="G9" s="1" t="str">
        <f t="shared" si="9"/>
        <v>KC04E</v>
      </c>
      <c r="H9" s="1">
        <f t="shared" si="10"/>
        <v>16</v>
      </c>
      <c r="I9" s="1">
        <f t="shared" si="11"/>
        <v>12</v>
      </c>
      <c r="J9" s="1" t="str">
        <f t="shared" si="12"/>
        <v>45</v>
      </c>
      <c r="K9" s="1" t="str">
        <f t="shared" si="13"/>
        <v>85</v>
      </c>
      <c r="L9" s="1" t="str">
        <f t="shared" si="14"/>
        <v>5985</v>
      </c>
      <c r="M9" s="1" t="str">
        <f t="shared" si="15"/>
        <v>-</v>
      </c>
      <c r="N9" s="1" t="str">
        <f t="shared" si="16"/>
        <v>-</v>
      </c>
      <c r="O9" s="1" t="str">
        <f t="shared" si="17"/>
        <v>-</v>
      </c>
    </row>
    <row r="10" spans="1:15" x14ac:dyDescent="0.3">
      <c r="A10" s="8" t="s">
        <v>14</v>
      </c>
      <c r="B10" s="3" t="s">
        <v>4</v>
      </c>
      <c r="C10" s="4">
        <v>45930</v>
      </c>
      <c r="D10" s="4">
        <v>45984</v>
      </c>
      <c r="E10" s="3" t="s">
        <v>5</v>
      </c>
      <c r="G10" s="1" t="str">
        <f t="shared" si="9"/>
        <v>JME1E</v>
      </c>
      <c r="H10" s="1">
        <f t="shared" si="10"/>
        <v>54</v>
      </c>
      <c r="I10" s="1">
        <f t="shared" si="11"/>
        <v>12</v>
      </c>
      <c r="J10" s="1" t="str">
        <f t="shared" si="12"/>
        <v>45</v>
      </c>
      <c r="K10" s="1" t="str">
        <f t="shared" si="13"/>
        <v>30</v>
      </c>
      <c r="L10" s="1" t="str">
        <f t="shared" si="14"/>
        <v>5930</v>
      </c>
      <c r="M10" s="1" t="str">
        <f t="shared" si="15"/>
        <v>-</v>
      </c>
      <c r="N10" s="1" t="str">
        <f t="shared" si="16"/>
        <v>-</v>
      </c>
      <c r="O10" s="1" t="str">
        <f t="shared" si="17"/>
        <v>-</v>
      </c>
    </row>
    <row r="11" spans="1:15" x14ac:dyDescent="0.3">
      <c r="A11" s="8" t="s">
        <v>15</v>
      </c>
      <c r="B11" s="3" t="s">
        <v>4</v>
      </c>
      <c r="C11" s="4">
        <v>45994</v>
      </c>
      <c r="D11" s="4">
        <v>46018</v>
      </c>
      <c r="E11" s="3" t="s">
        <v>5</v>
      </c>
      <c r="G11" s="1" t="str">
        <f t="shared" si="9"/>
        <v>JMF2E</v>
      </c>
      <c r="H11" s="1">
        <f t="shared" si="10"/>
        <v>24</v>
      </c>
      <c r="I11" s="1">
        <f t="shared" si="11"/>
        <v>12</v>
      </c>
      <c r="J11" s="1" t="str">
        <f t="shared" si="12"/>
        <v>45</v>
      </c>
      <c r="K11" s="1" t="str">
        <f t="shared" si="13"/>
        <v>94</v>
      </c>
      <c r="L11" s="1" t="str">
        <f t="shared" si="14"/>
        <v>5994</v>
      </c>
      <c r="M11" s="1" t="str">
        <f t="shared" si="15"/>
        <v>-</v>
      </c>
      <c r="N11" s="1" t="str">
        <f t="shared" si="16"/>
        <v>-</v>
      </c>
      <c r="O11" s="1" t="str">
        <f t="shared" si="17"/>
        <v>-</v>
      </c>
    </row>
    <row r="12" spans="1:15" x14ac:dyDescent="0.3">
      <c r="A12" s="8" t="s">
        <v>16</v>
      </c>
      <c r="B12" s="3" t="s">
        <v>4</v>
      </c>
      <c r="C12" s="4">
        <v>45913</v>
      </c>
      <c r="D12" s="4">
        <v>45971</v>
      </c>
      <c r="E12" s="3" t="s">
        <v>5</v>
      </c>
      <c r="G12" s="1" t="str">
        <f t="shared" si="9"/>
        <v>JMH1E</v>
      </c>
      <c r="H12" s="1">
        <f t="shared" si="10"/>
        <v>58</v>
      </c>
      <c r="I12" s="1">
        <f t="shared" si="11"/>
        <v>12</v>
      </c>
      <c r="J12" s="1" t="str">
        <f t="shared" si="12"/>
        <v>45</v>
      </c>
      <c r="K12" s="1" t="str">
        <f t="shared" si="13"/>
        <v>13</v>
      </c>
      <c r="L12" s="1" t="str">
        <f t="shared" si="14"/>
        <v>5913</v>
      </c>
      <c r="M12" s="1" t="str">
        <f t="shared" si="15"/>
        <v>-</v>
      </c>
      <c r="N12" s="1" t="str">
        <f t="shared" si="16"/>
        <v>-</v>
      </c>
      <c r="O12" s="1" t="str">
        <f t="shared" si="17"/>
        <v>-</v>
      </c>
    </row>
    <row r="13" spans="1:15" x14ac:dyDescent="0.3">
      <c r="A13" s="8" t="s">
        <v>17</v>
      </c>
      <c r="B13" s="3" t="s">
        <v>4</v>
      </c>
      <c r="C13" s="4">
        <v>45938</v>
      </c>
      <c r="D13" s="4">
        <v>45986</v>
      </c>
      <c r="E13" s="3" t="s">
        <v>5</v>
      </c>
      <c r="G13" s="1" t="str">
        <f t="shared" si="9"/>
        <v>JME1E</v>
      </c>
      <c r="H13" s="1">
        <f t="shared" si="10"/>
        <v>48</v>
      </c>
      <c r="I13" s="1">
        <f t="shared" si="11"/>
        <v>12</v>
      </c>
      <c r="J13" s="1" t="str">
        <f t="shared" si="12"/>
        <v>45</v>
      </c>
      <c r="K13" s="1" t="str">
        <f t="shared" si="13"/>
        <v>38</v>
      </c>
      <c r="L13" s="1" t="str">
        <f t="shared" si="14"/>
        <v>5938</v>
      </c>
      <c r="M13" s="1" t="str">
        <f t="shared" si="15"/>
        <v>-</v>
      </c>
      <c r="N13" s="1" t="str">
        <f t="shared" si="16"/>
        <v>-</v>
      </c>
      <c r="O13" s="1" t="str">
        <f t="shared" si="17"/>
        <v>-</v>
      </c>
    </row>
    <row r="14" spans="1:15" x14ac:dyDescent="0.3">
      <c r="A14" s="8" t="s">
        <v>18</v>
      </c>
      <c r="B14" s="3" t="s">
        <v>4</v>
      </c>
      <c r="C14" s="4">
        <v>45917</v>
      </c>
      <c r="D14" s="4">
        <v>45975</v>
      </c>
      <c r="E14" s="3" t="s">
        <v>5</v>
      </c>
      <c r="G14" s="1" t="str">
        <f t="shared" si="9"/>
        <v>JMH2E</v>
      </c>
      <c r="H14" s="1">
        <f t="shared" si="10"/>
        <v>58</v>
      </c>
      <c r="I14" s="1">
        <f t="shared" si="11"/>
        <v>12</v>
      </c>
      <c r="J14" s="1" t="str">
        <f t="shared" si="12"/>
        <v>45</v>
      </c>
      <c r="K14" s="1" t="str">
        <f t="shared" si="13"/>
        <v>17</v>
      </c>
      <c r="L14" s="1" t="str">
        <f t="shared" si="14"/>
        <v>5917</v>
      </c>
      <c r="M14" s="1" t="str">
        <f t="shared" si="15"/>
        <v>-</v>
      </c>
      <c r="N14" s="1" t="str">
        <f t="shared" si="16"/>
        <v>-</v>
      </c>
      <c r="O14" s="1" t="str">
        <f t="shared" si="17"/>
        <v>-</v>
      </c>
    </row>
    <row r="15" spans="1:15" x14ac:dyDescent="0.3">
      <c r="A15" s="8" t="s">
        <v>19</v>
      </c>
      <c r="B15" s="3" t="s">
        <v>4</v>
      </c>
      <c r="C15" s="4">
        <v>45922</v>
      </c>
      <c r="D15" s="4">
        <v>45976</v>
      </c>
      <c r="E15" s="3" t="s">
        <v>5</v>
      </c>
      <c r="G15" s="1" t="str">
        <f t="shared" si="9"/>
        <v>KD11E</v>
      </c>
      <c r="H15" s="1">
        <f t="shared" si="10"/>
        <v>54</v>
      </c>
      <c r="I15" s="1">
        <f t="shared" si="11"/>
        <v>12</v>
      </c>
      <c r="J15" s="1" t="str">
        <f t="shared" si="12"/>
        <v>45</v>
      </c>
      <c r="K15" s="1" t="str">
        <f t="shared" si="13"/>
        <v>22</v>
      </c>
      <c r="L15" s="1" t="str">
        <f t="shared" si="14"/>
        <v>5922</v>
      </c>
      <c r="M15" s="1" t="str">
        <f t="shared" si="15"/>
        <v>-</v>
      </c>
      <c r="N15" s="1" t="str">
        <f t="shared" si="16"/>
        <v>-</v>
      </c>
      <c r="O15" s="1" t="str">
        <f t="shared" si="17"/>
        <v>-</v>
      </c>
    </row>
    <row r="16" spans="1:15" x14ac:dyDescent="0.3">
      <c r="A16" s="8" t="s">
        <v>20</v>
      </c>
      <c r="B16" s="3" t="s">
        <v>4</v>
      </c>
      <c r="C16" s="4">
        <v>45945</v>
      </c>
      <c r="D16" s="4">
        <v>46002</v>
      </c>
      <c r="E16" s="3" t="s">
        <v>5</v>
      </c>
      <c r="G16" s="1" t="str">
        <f t="shared" si="9"/>
        <v>KC04E</v>
      </c>
      <c r="H16" s="1">
        <f t="shared" si="10"/>
        <v>57</v>
      </c>
      <c r="I16" s="1">
        <f t="shared" si="11"/>
        <v>12</v>
      </c>
      <c r="J16" s="1" t="str">
        <f t="shared" si="12"/>
        <v>45</v>
      </c>
      <c r="K16" s="1" t="str">
        <f t="shared" si="13"/>
        <v>45</v>
      </c>
      <c r="L16" s="1" t="str">
        <f t="shared" si="14"/>
        <v>5945</v>
      </c>
      <c r="M16" s="1" t="str">
        <f t="shared" si="15"/>
        <v>-</v>
      </c>
      <c r="N16" s="1" t="str">
        <f t="shared" si="16"/>
        <v>-</v>
      </c>
      <c r="O16" s="1" t="str">
        <f t="shared" si="17"/>
        <v>-</v>
      </c>
    </row>
    <row r="17" spans="1:15" x14ac:dyDescent="0.3">
      <c r="A17" s="8" t="s">
        <v>21</v>
      </c>
      <c r="B17" s="3" t="s">
        <v>4</v>
      </c>
      <c r="C17" s="4">
        <v>45968</v>
      </c>
      <c r="D17" s="4">
        <v>46012</v>
      </c>
      <c r="E17" s="3" t="s">
        <v>5</v>
      </c>
      <c r="G17" s="1" t="str">
        <f t="shared" si="9"/>
        <v>JMD1E</v>
      </c>
      <c r="H17" s="1">
        <f t="shared" si="10"/>
        <v>44</v>
      </c>
      <c r="I17" s="1">
        <f t="shared" si="11"/>
        <v>12</v>
      </c>
      <c r="J17" s="1" t="str">
        <f t="shared" si="12"/>
        <v>45</v>
      </c>
      <c r="K17" s="1" t="str">
        <f t="shared" si="13"/>
        <v>68</v>
      </c>
      <c r="L17" s="1" t="str">
        <f t="shared" si="14"/>
        <v>5968</v>
      </c>
      <c r="M17" s="1" t="str">
        <f t="shared" si="15"/>
        <v>-</v>
      </c>
      <c r="N17" s="1" t="str">
        <f t="shared" si="16"/>
        <v>-</v>
      </c>
      <c r="O17" s="1" t="str">
        <f t="shared" si="17"/>
        <v>-</v>
      </c>
    </row>
    <row r="18" spans="1:15" x14ac:dyDescent="0.3">
      <c r="A18" s="8" t="s">
        <v>22</v>
      </c>
      <c r="B18" s="3" t="s">
        <v>4</v>
      </c>
      <c r="C18" s="4">
        <v>45986</v>
      </c>
      <c r="D18" s="4">
        <v>46014</v>
      </c>
      <c r="E18" s="3" t="s">
        <v>5</v>
      </c>
      <c r="G18" s="1" t="str">
        <f t="shared" si="9"/>
        <v>KFE1E</v>
      </c>
      <c r="H18" s="1">
        <f t="shared" si="10"/>
        <v>28</v>
      </c>
      <c r="I18" s="1">
        <f t="shared" si="11"/>
        <v>12</v>
      </c>
      <c r="J18" s="1" t="str">
        <f t="shared" si="12"/>
        <v>45</v>
      </c>
      <c r="K18" s="1" t="str">
        <f t="shared" si="13"/>
        <v>86</v>
      </c>
      <c r="L18" s="1" t="str">
        <f t="shared" si="14"/>
        <v>5986</v>
      </c>
      <c r="M18" s="1" t="str">
        <f t="shared" si="15"/>
        <v>-</v>
      </c>
      <c r="N18" s="1" t="str">
        <f t="shared" si="16"/>
        <v>-</v>
      </c>
      <c r="O18" s="1" t="str">
        <f t="shared" si="17"/>
        <v>-</v>
      </c>
    </row>
  </sheetData>
  <sheetProtection formatCells="0" formatColumns="0" formatRows="0" insertColumns="0" insertRows="0" insertHyperlinks="0" deleteColumns="0" deleteRows="0" sort="0" autoFilter="0" pivotTables="0"/>
  <autoFilter ref="A1:O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Rekap KPB</vt:lpstr>
      <vt:lpstr>Report Detail KPB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2026-01-13T04:36:22Z</dcterms:created>
  <dcterms:modified xsi:type="dcterms:W3CDTF">2026-01-24T03:30:47Z</dcterms:modified>
  <cp:category/>
</cp:coreProperties>
</file>