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12bf7ed5aa8033/Documents/Astra/KPB 04_April_2026 cek Bulan Maret 2026/"/>
    </mc:Choice>
  </mc:AlternateContent>
  <xr:revisionPtr revIDLastSave="475" documentId="13_ncr:1_{D312AE00-CF7B-4CF9-BD57-A90257573681}" xr6:coauthVersionLast="47" xr6:coauthVersionMax="47" xr10:uidLastSave="{51BFF470-DC8A-417C-ADF2-0BF0716E082F}"/>
  <bookViews>
    <workbookView xWindow="-120" yWindow="-120" windowWidth="29040" windowHeight="15720" activeTab="1" xr2:uid="{00000000-000D-0000-FFFF-FFFF00000000}"/>
  </bookViews>
  <sheets>
    <sheet name="Report Rekap KPB" sheetId="1" r:id="rId1"/>
    <sheet name="Report Detail KPB" sheetId="2" r:id="rId2"/>
    <sheet name="Sheet1" sheetId="3" r:id="rId3"/>
  </sheets>
  <externalReferences>
    <externalReference r:id="rId4"/>
  </externalReferences>
  <definedNames>
    <definedName name="_xlnm._FilterDatabase" localSheetId="1" hidden="1">'Report Detail KPB'!$A$1:$M$288</definedName>
    <definedName name="_xlnm._FilterDatabase" localSheetId="2" hidden="1">Sheet1!$A$1:$L$288</definedName>
    <definedName name="_xlnm.Print_Area" localSheetId="1">'Report Detail KPB'!$A$1:$E$288</definedName>
    <definedName name="_xlnm.Print_Area" localSheetId="0">'Report Rekap KPB'!$A$1:$L$16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6" i="2" l="1"/>
  <c r="H254" i="2"/>
  <c r="J288" i="3"/>
  <c r="L288" i="3" s="1"/>
  <c r="H288" i="3"/>
  <c r="K288" i="3" s="1"/>
  <c r="E288" i="3"/>
  <c r="F288" i="3" s="1"/>
  <c r="C288" i="3"/>
  <c r="J287" i="3"/>
  <c r="L287" i="3" s="1"/>
  <c r="H287" i="3"/>
  <c r="K287" i="3" s="1"/>
  <c r="E287" i="3"/>
  <c r="F287" i="3" s="1"/>
  <c r="C287" i="3"/>
  <c r="J286" i="3"/>
  <c r="L286" i="3" s="1"/>
  <c r="H286" i="3"/>
  <c r="K286" i="3" s="1"/>
  <c r="E286" i="3"/>
  <c r="F286" i="3" s="1"/>
  <c r="C286" i="3"/>
  <c r="J285" i="3"/>
  <c r="L285" i="3" s="1"/>
  <c r="H285" i="3"/>
  <c r="K285" i="3" s="1"/>
  <c r="E285" i="3"/>
  <c r="F285" i="3" s="1"/>
  <c r="C285" i="3"/>
  <c r="J284" i="3"/>
  <c r="L284" i="3" s="1"/>
  <c r="H284" i="3"/>
  <c r="K284" i="3" s="1"/>
  <c r="E284" i="3"/>
  <c r="F284" i="3" s="1"/>
  <c r="C284" i="3"/>
  <c r="J283" i="3"/>
  <c r="L283" i="3" s="1"/>
  <c r="H283" i="3"/>
  <c r="K283" i="3" s="1"/>
  <c r="E283" i="3"/>
  <c r="F283" i="3" s="1"/>
  <c r="C283" i="3"/>
  <c r="J282" i="3"/>
  <c r="L282" i="3" s="1"/>
  <c r="H282" i="3"/>
  <c r="K282" i="3" s="1"/>
  <c r="E282" i="3"/>
  <c r="F282" i="3" s="1"/>
  <c r="C282" i="3"/>
  <c r="J281" i="3"/>
  <c r="L281" i="3" s="1"/>
  <c r="H281" i="3"/>
  <c r="K281" i="3" s="1"/>
  <c r="E281" i="3"/>
  <c r="F281" i="3" s="1"/>
  <c r="C281" i="3"/>
  <c r="J280" i="3"/>
  <c r="L280" i="3" s="1"/>
  <c r="H280" i="3"/>
  <c r="K280" i="3" s="1"/>
  <c r="E280" i="3"/>
  <c r="F280" i="3" s="1"/>
  <c r="C280" i="3"/>
  <c r="J279" i="3"/>
  <c r="L279" i="3" s="1"/>
  <c r="H279" i="3"/>
  <c r="K279" i="3" s="1"/>
  <c r="E279" i="3"/>
  <c r="F279" i="3" s="1"/>
  <c r="C279" i="3"/>
  <c r="J278" i="3"/>
  <c r="L278" i="3" s="1"/>
  <c r="H278" i="3"/>
  <c r="K278" i="3" s="1"/>
  <c r="E278" i="3"/>
  <c r="F278" i="3" s="1"/>
  <c r="C278" i="3"/>
  <c r="J277" i="3"/>
  <c r="L277" i="3" s="1"/>
  <c r="H277" i="3"/>
  <c r="K277" i="3" s="1"/>
  <c r="E277" i="3"/>
  <c r="F277" i="3" s="1"/>
  <c r="C277" i="3"/>
  <c r="J276" i="3"/>
  <c r="L276" i="3" s="1"/>
  <c r="H276" i="3"/>
  <c r="K276" i="3" s="1"/>
  <c r="E276" i="3"/>
  <c r="F276" i="3" s="1"/>
  <c r="C276" i="3"/>
  <c r="J275" i="3"/>
  <c r="L275" i="3" s="1"/>
  <c r="H275" i="3"/>
  <c r="K275" i="3" s="1"/>
  <c r="E275" i="3"/>
  <c r="F275" i="3" s="1"/>
  <c r="C275" i="3"/>
  <c r="J274" i="3"/>
  <c r="L274" i="3" s="1"/>
  <c r="H274" i="3"/>
  <c r="K274" i="3" s="1"/>
  <c r="E274" i="3"/>
  <c r="F274" i="3" s="1"/>
  <c r="C274" i="3"/>
  <c r="J273" i="3"/>
  <c r="L273" i="3" s="1"/>
  <c r="H273" i="3"/>
  <c r="K273" i="3" s="1"/>
  <c r="E273" i="3"/>
  <c r="F273" i="3" s="1"/>
  <c r="C273" i="3"/>
  <c r="J272" i="3"/>
  <c r="L272" i="3" s="1"/>
  <c r="H272" i="3"/>
  <c r="K272" i="3" s="1"/>
  <c r="E272" i="3"/>
  <c r="F272" i="3" s="1"/>
  <c r="C272" i="3"/>
  <c r="J271" i="3"/>
  <c r="L271" i="3" s="1"/>
  <c r="H271" i="3"/>
  <c r="K271" i="3" s="1"/>
  <c r="E271" i="3"/>
  <c r="F271" i="3" s="1"/>
  <c r="C271" i="3"/>
  <c r="J270" i="3"/>
  <c r="L270" i="3" s="1"/>
  <c r="H270" i="3"/>
  <c r="K270" i="3" s="1"/>
  <c r="E270" i="3"/>
  <c r="F270" i="3" s="1"/>
  <c r="C270" i="3"/>
  <c r="J269" i="3"/>
  <c r="L269" i="3" s="1"/>
  <c r="H269" i="3"/>
  <c r="K269" i="3" s="1"/>
  <c r="E269" i="3"/>
  <c r="F269" i="3" s="1"/>
  <c r="C269" i="3"/>
  <c r="J268" i="3"/>
  <c r="L268" i="3" s="1"/>
  <c r="H268" i="3"/>
  <c r="K268" i="3" s="1"/>
  <c r="E268" i="3"/>
  <c r="F268" i="3" s="1"/>
  <c r="C268" i="3"/>
  <c r="J267" i="3"/>
  <c r="L267" i="3" s="1"/>
  <c r="H267" i="3"/>
  <c r="K267" i="3" s="1"/>
  <c r="E267" i="3"/>
  <c r="F267" i="3" s="1"/>
  <c r="C267" i="3"/>
  <c r="J266" i="3"/>
  <c r="L266" i="3" s="1"/>
  <c r="H266" i="3"/>
  <c r="K266" i="3" s="1"/>
  <c r="E266" i="3"/>
  <c r="F266" i="3" s="1"/>
  <c r="C266" i="3"/>
  <c r="J265" i="3"/>
  <c r="L265" i="3" s="1"/>
  <c r="H265" i="3"/>
  <c r="K265" i="3" s="1"/>
  <c r="E265" i="3"/>
  <c r="F265" i="3" s="1"/>
  <c r="C265" i="3"/>
  <c r="J264" i="3"/>
  <c r="L264" i="3" s="1"/>
  <c r="H264" i="3"/>
  <c r="K264" i="3" s="1"/>
  <c r="E264" i="3"/>
  <c r="F264" i="3" s="1"/>
  <c r="C264" i="3"/>
  <c r="J263" i="3"/>
  <c r="L263" i="3" s="1"/>
  <c r="H263" i="3"/>
  <c r="K263" i="3" s="1"/>
  <c r="E263" i="3"/>
  <c r="F263" i="3" s="1"/>
  <c r="C263" i="3"/>
  <c r="J262" i="3"/>
  <c r="L262" i="3" s="1"/>
  <c r="H262" i="3"/>
  <c r="K262" i="3" s="1"/>
  <c r="E262" i="3"/>
  <c r="F262" i="3" s="1"/>
  <c r="C262" i="3"/>
  <c r="J261" i="3"/>
  <c r="L261" i="3" s="1"/>
  <c r="H261" i="3"/>
  <c r="K261" i="3" s="1"/>
  <c r="E261" i="3"/>
  <c r="F261" i="3" s="1"/>
  <c r="C261" i="3"/>
  <c r="J260" i="3"/>
  <c r="L260" i="3" s="1"/>
  <c r="H260" i="3"/>
  <c r="K260" i="3" s="1"/>
  <c r="E260" i="3"/>
  <c r="F260" i="3" s="1"/>
  <c r="C260" i="3"/>
  <c r="J259" i="3"/>
  <c r="L259" i="3" s="1"/>
  <c r="H259" i="3"/>
  <c r="K259" i="3" s="1"/>
  <c r="E259" i="3"/>
  <c r="F259" i="3" s="1"/>
  <c r="C259" i="3"/>
  <c r="J258" i="3"/>
  <c r="L258" i="3" s="1"/>
  <c r="H258" i="3"/>
  <c r="K258" i="3" s="1"/>
  <c r="E258" i="3"/>
  <c r="F258" i="3" s="1"/>
  <c r="C258" i="3"/>
  <c r="J257" i="3"/>
  <c r="L257" i="3" s="1"/>
  <c r="H257" i="3"/>
  <c r="K257" i="3" s="1"/>
  <c r="E257" i="3"/>
  <c r="F257" i="3" s="1"/>
  <c r="C257" i="3"/>
  <c r="J256" i="3"/>
  <c r="L256" i="3" s="1"/>
  <c r="H256" i="3"/>
  <c r="K256" i="3" s="1"/>
  <c r="E256" i="3"/>
  <c r="F256" i="3" s="1"/>
  <c r="C256" i="3"/>
  <c r="J255" i="3"/>
  <c r="L255" i="3" s="1"/>
  <c r="H255" i="3"/>
  <c r="K255" i="3" s="1"/>
  <c r="E255" i="3"/>
  <c r="F255" i="3" s="1"/>
  <c r="C255" i="3"/>
  <c r="J254" i="3"/>
  <c r="L254" i="3" s="1"/>
  <c r="H254" i="3"/>
  <c r="K254" i="3" s="1"/>
  <c r="E254" i="3"/>
  <c r="F254" i="3" s="1"/>
  <c r="C254" i="3"/>
  <c r="J253" i="3"/>
  <c r="L253" i="3" s="1"/>
  <c r="H253" i="3"/>
  <c r="K253" i="3" s="1"/>
  <c r="E253" i="3"/>
  <c r="F253" i="3" s="1"/>
  <c r="C253" i="3"/>
  <c r="J252" i="3"/>
  <c r="L252" i="3" s="1"/>
  <c r="H252" i="3"/>
  <c r="K252" i="3" s="1"/>
  <c r="E252" i="3"/>
  <c r="F252" i="3" s="1"/>
  <c r="C252" i="3"/>
  <c r="J251" i="3"/>
  <c r="L251" i="3" s="1"/>
  <c r="H251" i="3"/>
  <c r="K251" i="3" s="1"/>
  <c r="E251" i="3"/>
  <c r="F251" i="3" s="1"/>
  <c r="C251" i="3"/>
  <c r="J250" i="3"/>
  <c r="L250" i="3" s="1"/>
  <c r="H250" i="3"/>
  <c r="K250" i="3" s="1"/>
  <c r="E250" i="3"/>
  <c r="F250" i="3" s="1"/>
  <c r="C250" i="3"/>
  <c r="J249" i="3"/>
  <c r="L249" i="3" s="1"/>
  <c r="H249" i="3"/>
  <c r="K249" i="3" s="1"/>
  <c r="E249" i="3"/>
  <c r="F249" i="3" s="1"/>
  <c r="C249" i="3"/>
  <c r="J248" i="3"/>
  <c r="L248" i="3" s="1"/>
  <c r="H248" i="3"/>
  <c r="K248" i="3" s="1"/>
  <c r="E248" i="3"/>
  <c r="F248" i="3" s="1"/>
  <c r="C248" i="3"/>
  <c r="J247" i="3"/>
  <c r="L247" i="3" s="1"/>
  <c r="H247" i="3"/>
  <c r="K247" i="3" s="1"/>
  <c r="E247" i="3"/>
  <c r="F247" i="3" s="1"/>
  <c r="C247" i="3"/>
  <c r="J246" i="3"/>
  <c r="L246" i="3" s="1"/>
  <c r="H246" i="3"/>
  <c r="K246" i="3" s="1"/>
  <c r="E246" i="3"/>
  <c r="F246" i="3" s="1"/>
  <c r="C246" i="3"/>
  <c r="J245" i="3"/>
  <c r="L245" i="3" s="1"/>
  <c r="H245" i="3"/>
  <c r="K245" i="3" s="1"/>
  <c r="E245" i="3"/>
  <c r="F245" i="3" s="1"/>
  <c r="C245" i="3"/>
  <c r="J244" i="3"/>
  <c r="L244" i="3" s="1"/>
  <c r="H244" i="3"/>
  <c r="K244" i="3" s="1"/>
  <c r="E244" i="3"/>
  <c r="F244" i="3" s="1"/>
  <c r="C244" i="3"/>
  <c r="J243" i="3"/>
  <c r="L243" i="3" s="1"/>
  <c r="H243" i="3"/>
  <c r="K243" i="3" s="1"/>
  <c r="E243" i="3"/>
  <c r="F243" i="3" s="1"/>
  <c r="C243" i="3"/>
  <c r="J242" i="3"/>
  <c r="L242" i="3" s="1"/>
  <c r="H242" i="3"/>
  <c r="K242" i="3" s="1"/>
  <c r="E242" i="3"/>
  <c r="F242" i="3" s="1"/>
  <c r="C242" i="3"/>
  <c r="J241" i="3"/>
  <c r="L241" i="3" s="1"/>
  <c r="H241" i="3"/>
  <c r="K241" i="3" s="1"/>
  <c r="E241" i="3"/>
  <c r="F241" i="3" s="1"/>
  <c r="C241" i="3"/>
  <c r="J240" i="3"/>
  <c r="L240" i="3" s="1"/>
  <c r="H240" i="3"/>
  <c r="K240" i="3" s="1"/>
  <c r="E240" i="3"/>
  <c r="F240" i="3" s="1"/>
  <c r="C240" i="3"/>
  <c r="J239" i="3"/>
  <c r="L239" i="3" s="1"/>
  <c r="H239" i="3"/>
  <c r="K239" i="3" s="1"/>
  <c r="E239" i="3"/>
  <c r="F239" i="3" s="1"/>
  <c r="C239" i="3"/>
  <c r="J238" i="3"/>
  <c r="L238" i="3" s="1"/>
  <c r="H238" i="3"/>
  <c r="K238" i="3" s="1"/>
  <c r="E238" i="3"/>
  <c r="F238" i="3" s="1"/>
  <c r="C238" i="3"/>
  <c r="J237" i="3"/>
  <c r="L237" i="3" s="1"/>
  <c r="H237" i="3"/>
  <c r="K237" i="3" s="1"/>
  <c r="E237" i="3"/>
  <c r="F237" i="3" s="1"/>
  <c r="C237" i="3"/>
  <c r="J236" i="3"/>
  <c r="L236" i="3" s="1"/>
  <c r="H236" i="3"/>
  <c r="K236" i="3" s="1"/>
  <c r="E236" i="3"/>
  <c r="F236" i="3" s="1"/>
  <c r="C236" i="3"/>
  <c r="J235" i="3"/>
  <c r="L235" i="3" s="1"/>
  <c r="H235" i="3"/>
  <c r="K235" i="3" s="1"/>
  <c r="E235" i="3"/>
  <c r="F235" i="3" s="1"/>
  <c r="C235" i="3"/>
  <c r="J234" i="3"/>
  <c r="L234" i="3" s="1"/>
  <c r="H234" i="3"/>
  <c r="K234" i="3" s="1"/>
  <c r="E234" i="3"/>
  <c r="F234" i="3" s="1"/>
  <c r="C234" i="3"/>
  <c r="J233" i="3"/>
  <c r="L233" i="3" s="1"/>
  <c r="H233" i="3"/>
  <c r="K233" i="3" s="1"/>
  <c r="E233" i="3"/>
  <c r="F233" i="3" s="1"/>
  <c r="C233" i="3"/>
  <c r="J232" i="3"/>
  <c r="L232" i="3" s="1"/>
  <c r="H232" i="3"/>
  <c r="K232" i="3" s="1"/>
  <c r="E232" i="3"/>
  <c r="F232" i="3" s="1"/>
  <c r="C232" i="3"/>
  <c r="J231" i="3"/>
  <c r="L231" i="3" s="1"/>
  <c r="H231" i="3"/>
  <c r="K231" i="3" s="1"/>
  <c r="E231" i="3"/>
  <c r="F231" i="3" s="1"/>
  <c r="C231" i="3"/>
  <c r="J230" i="3"/>
  <c r="L230" i="3" s="1"/>
  <c r="H230" i="3"/>
  <c r="K230" i="3" s="1"/>
  <c r="E230" i="3"/>
  <c r="F230" i="3" s="1"/>
  <c r="C230" i="3"/>
  <c r="J229" i="3"/>
  <c r="L229" i="3" s="1"/>
  <c r="H229" i="3"/>
  <c r="K229" i="3" s="1"/>
  <c r="E229" i="3"/>
  <c r="F229" i="3" s="1"/>
  <c r="C229" i="3"/>
  <c r="J228" i="3"/>
  <c r="L228" i="3" s="1"/>
  <c r="H228" i="3"/>
  <c r="K228" i="3" s="1"/>
  <c r="E228" i="3"/>
  <c r="F228" i="3" s="1"/>
  <c r="C228" i="3"/>
  <c r="J227" i="3"/>
  <c r="L227" i="3" s="1"/>
  <c r="H227" i="3"/>
  <c r="K227" i="3" s="1"/>
  <c r="E227" i="3"/>
  <c r="F227" i="3" s="1"/>
  <c r="C227" i="3"/>
  <c r="J226" i="3"/>
  <c r="L226" i="3" s="1"/>
  <c r="H226" i="3"/>
  <c r="K226" i="3" s="1"/>
  <c r="E226" i="3"/>
  <c r="F226" i="3" s="1"/>
  <c r="C226" i="3"/>
  <c r="J225" i="3"/>
  <c r="L225" i="3" s="1"/>
  <c r="H225" i="3"/>
  <c r="K225" i="3" s="1"/>
  <c r="E225" i="3"/>
  <c r="F225" i="3" s="1"/>
  <c r="C225" i="3"/>
  <c r="J224" i="3"/>
  <c r="L224" i="3" s="1"/>
  <c r="H224" i="3"/>
  <c r="K224" i="3" s="1"/>
  <c r="E224" i="3"/>
  <c r="F224" i="3" s="1"/>
  <c r="C224" i="3"/>
  <c r="J223" i="3"/>
  <c r="L223" i="3" s="1"/>
  <c r="H223" i="3"/>
  <c r="K223" i="3" s="1"/>
  <c r="E223" i="3"/>
  <c r="F223" i="3" s="1"/>
  <c r="C223" i="3"/>
  <c r="J222" i="3"/>
  <c r="L222" i="3" s="1"/>
  <c r="H222" i="3"/>
  <c r="K222" i="3" s="1"/>
  <c r="E222" i="3"/>
  <c r="F222" i="3" s="1"/>
  <c r="C222" i="3"/>
  <c r="J221" i="3"/>
  <c r="L221" i="3" s="1"/>
  <c r="H221" i="3"/>
  <c r="K221" i="3" s="1"/>
  <c r="E221" i="3"/>
  <c r="F221" i="3" s="1"/>
  <c r="C221" i="3"/>
  <c r="J220" i="3"/>
  <c r="L220" i="3" s="1"/>
  <c r="H220" i="3"/>
  <c r="K220" i="3" s="1"/>
  <c r="E220" i="3"/>
  <c r="F220" i="3" s="1"/>
  <c r="C220" i="3"/>
  <c r="J219" i="3"/>
  <c r="L219" i="3" s="1"/>
  <c r="H219" i="3"/>
  <c r="K219" i="3" s="1"/>
  <c r="E219" i="3"/>
  <c r="F219" i="3" s="1"/>
  <c r="C219" i="3"/>
  <c r="J218" i="3"/>
  <c r="L218" i="3" s="1"/>
  <c r="H218" i="3"/>
  <c r="K218" i="3" s="1"/>
  <c r="E218" i="3"/>
  <c r="F218" i="3" s="1"/>
  <c r="C218" i="3"/>
  <c r="J217" i="3"/>
  <c r="L217" i="3" s="1"/>
  <c r="H217" i="3"/>
  <c r="K217" i="3" s="1"/>
  <c r="E217" i="3"/>
  <c r="F217" i="3" s="1"/>
  <c r="C217" i="3"/>
  <c r="J216" i="3"/>
  <c r="L216" i="3" s="1"/>
  <c r="H216" i="3"/>
  <c r="K216" i="3" s="1"/>
  <c r="E216" i="3"/>
  <c r="F216" i="3" s="1"/>
  <c r="C216" i="3"/>
  <c r="J215" i="3"/>
  <c r="L215" i="3" s="1"/>
  <c r="H215" i="3"/>
  <c r="K215" i="3" s="1"/>
  <c r="E215" i="3"/>
  <c r="F215" i="3" s="1"/>
  <c r="C215" i="3"/>
  <c r="J214" i="3"/>
  <c r="L214" i="3" s="1"/>
  <c r="H214" i="3"/>
  <c r="K214" i="3" s="1"/>
  <c r="E214" i="3"/>
  <c r="F214" i="3" s="1"/>
  <c r="C214" i="3"/>
  <c r="J213" i="3"/>
  <c r="L213" i="3" s="1"/>
  <c r="H213" i="3"/>
  <c r="K213" i="3" s="1"/>
  <c r="E213" i="3"/>
  <c r="F213" i="3" s="1"/>
  <c r="C213" i="3"/>
  <c r="J212" i="3"/>
  <c r="L212" i="3" s="1"/>
  <c r="H212" i="3"/>
  <c r="K212" i="3" s="1"/>
  <c r="E212" i="3"/>
  <c r="F212" i="3" s="1"/>
  <c r="C212" i="3"/>
  <c r="J211" i="3"/>
  <c r="L211" i="3" s="1"/>
  <c r="H211" i="3"/>
  <c r="K211" i="3" s="1"/>
  <c r="E211" i="3"/>
  <c r="F211" i="3" s="1"/>
  <c r="C211" i="3"/>
  <c r="J210" i="3"/>
  <c r="L210" i="3" s="1"/>
  <c r="H210" i="3"/>
  <c r="K210" i="3" s="1"/>
  <c r="E210" i="3"/>
  <c r="F210" i="3" s="1"/>
  <c r="C210" i="3"/>
  <c r="J209" i="3"/>
  <c r="L209" i="3" s="1"/>
  <c r="H209" i="3"/>
  <c r="K209" i="3" s="1"/>
  <c r="E209" i="3"/>
  <c r="F209" i="3" s="1"/>
  <c r="C209" i="3"/>
  <c r="J208" i="3"/>
  <c r="L208" i="3" s="1"/>
  <c r="H208" i="3"/>
  <c r="K208" i="3" s="1"/>
  <c r="E208" i="3"/>
  <c r="F208" i="3" s="1"/>
  <c r="C208" i="3"/>
  <c r="J207" i="3"/>
  <c r="L207" i="3" s="1"/>
  <c r="H207" i="3"/>
  <c r="K207" i="3" s="1"/>
  <c r="E207" i="3"/>
  <c r="F207" i="3" s="1"/>
  <c r="C207" i="3"/>
  <c r="J206" i="3"/>
  <c r="L206" i="3" s="1"/>
  <c r="H206" i="3"/>
  <c r="K206" i="3" s="1"/>
  <c r="E206" i="3"/>
  <c r="F206" i="3" s="1"/>
  <c r="C206" i="3"/>
  <c r="J205" i="3"/>
  <c r="L205" i="3" s="1"/>
  <c r="H205" i="3"/>
  <c r="K205" i="3" s="1"/>
  <c r="E205" i="3"/>
  <c r="F205" i="3" s="1"/>
  <c r="C205" i="3"/>
  <c r="J204" i="3"/>
  <c r="L204" i="3" s="1"/>
  <c r="H204" i="3"/>
  <c r="K204" i="3" s="1"/>
  <c r="E204" i="3"/>
  <c r="F204" i="3" s="1"/>
  <c r="C204" i="3"/>
  <c r="J203" i="3"/>
  <c r="L203" i="3" s="1"/>
  <c r="H203" i="3"/>
  <c r="K203" i="3" s="1"/>
  <c r="E203" i="3"/>
  <c r="F203" i="3" s="1"/>
  <c r="C203" i="3"/>
  <c r="J202" i="3"/>
  <c r="L202" i="3" s="1"/>
  <c r="H202" i="3"/>
  <c r="K202" i="3" s="1"/>
  <c r="E202" i="3"/>
  <c r="F202" i="3" s="1"/>
  <c r="C202" i="3"/>
  <c r="J201" i="3"/>
  <c r="L201" i="3" s="1"/>
  <c r="H201" i="3"/>
  <c r="K201" i="3" s="1"/>
  <c r="E201" i="3"/>
  <c r="F201" i="3" s="1"/>
  <c r="C201" i="3"/>
  <c r="J200" i="3"/>
  <c r="L200" i="3" s="1"/>
  <c r="H200" i="3"/>
  <c r="K200" i="3" s="1"/>
  <c r="E200" i="3"/>
  <c r="F200" i="3" s="1"/>
  <c r="C200" i="3"/>
  <c r="J199" i="3"/>
  <c r="L199" i="3" s="1"/>
  <c r="H199" i="3"/>
  <c r="K199" i="3" s="1"/>
  <c r="E199" i="3"/>
  <c r="F199" i="3" s="1"/>
  <c r="C199" i="3"/>
  <c r="J198" i="3"/>
  <c r="L198" i="3" s="1"/>
  <c r="H198" i="3"/>
  <c r="K198" i="3" s="1"/>
  <c r="E198" i="3"/>
  <c r="F198" i="3" s="1"/>
  <c r="C198" i="3"/>
  <c r="J197" i="3"/>
  <c r="L197" i="3" s="1"/>
  <c r="H197" i="3"/>
  <c r="K197" i="3" s="1"/>
  <c r="E197" i="3"/>
  <c r="F197" i="3" s="1"/>
  <c r="C197" i="3"/>
  <c r="J196" i="3"/>
  <c r="L196" i="3" s="1"/>
  <c r="H196" i="3"/>
  <c r="K196" i="3" s="1"/>
  <c r="E196" i="3"/>
  <c r="F196" i="3" s="1"/>
  <c r="C196" i="3"/>
  <c r="J195" i="3"/>
  <c r="L195" i="3" s="1"/>
  <c r="H195" i="3"/>
  <c r="K195" i="3" s="1"/>
  <c r="E195" i="3"/>
  <c r="F195" i="3" s="1"/>
  <c r="C195" i="3"/>
  <c r="J194" i="3"/>
  <c r="L194" i="3" s="1"/>
  <c r="H194" i="3"/>
  <c r="K194" i="3" s="1"/>
  <c r="E194" i="3"/>
  <c r="F194" i="3" s="1"/>
  <c r="C194" i="3"/>
  <c r="J193" i="3"/>
  <c r="L193" i="3" s="1"/>
  <c r="H193" i="3"/>
  <c r="K193" i="3" s="1"/>
  <c r="E193" i="3"/>
  <c r="F193" i="3" s="1"/>
  <c r="C193" i="3"/>
  <c r="J192" i="3"/>
  <c r="L192" i="3" s="1"/>
  <c r="H192" i="3"/>
  <c r="K192" i="3" s="1"/>
  <c r="E192" i="3"/>
  <c r="F192" i="3" s="1"/>
  <c r="C192" i="3"/>
  <c r="J191" i="3"/>
  <c r="L191" i="3" s="1"/>
  <c r="H191" i="3"/>
  <c r="K191" i="3" s="1"/>
  <c r="E191" i="3"/>
  <c r="F191" i="3" s="1"/>
  <c r="C191" i="3"/>
  <c r="J190" i="3"/>
  <c r="L190" i="3" s="1"/>
  <c r="H190" i="3"/>
  <c r="K190" i="3" s="1"/>
  <c r="E190" i="3"/>
  <c r="F190" i="3" s="1"/>
  <c r="C190" i="3"/>
  <c r="J189" i="3"/>
  <c r="L189" i="3" s="1"/>
  <c r="H189" i="3"/>
  <c r="K189" i="3" s="1"/>
  <c r="E189" i="3"/>
  <c r="F189" i="3" s="1"/>
  <c r="C189" i="3"/>
  <c r="J188" i="3"/>
  <c r="L188" i="3" s="1"/>
  <c r="H188" i="3"/>
  <c r="K188" i="3" s="1"/>
  <c r="E188" i="3"/>
  <c r="F188" i="3" s="1"/>
  <c r="C188" i="3"/>
  <c r="J187" i="3"/>
  <c r="L187" i="3" s="1"/>
  <c r="H187" i="3"/>
  <c r="K187" i="3" s="1"/>
  <c r="E187" i="3"/>
  <c r="F187" i="3" s="1"/>
  <c r="C187" i="3"/>
  <c r="J186" i="3"/>
  <c r="L186" i="3" s="1"/>
  <c r="H186" i="3"/>
  <c r="K186" i="3" s="1"/>
  <c r="E186" i="3"/>
  <c r="F186" i="3" s="1"/>
  <c r="C186" i="3"/>
  <c r="J185" i="3"/>
  <c r="L185" i="3" s="1"/>
  <c r="H185" i="3"/>
  <c r="K185" i="3" s="1"/>
  <c r="E185" i="3"/>
  <c r="F185" i="3" s="1"/>
  <c r="C185" i="3"/>
  <c r="J184" i="3"/>
  <c r="L184" i="3" s="1"/>
  <c r="H184" i="3"/>
  <c r="K184" i="3" s="1"/>
  <c r="E184" i="3"/>
  <c r="F184" i="3" s="1"/>
  <c r="C184" i="3"/>
  <c r="J183" i="3"/>
  <c r="L183" i="3" s="1"/>
  <c r="H183" i="3"/>
  <c r="K183" i="3" s="1"/>
  <c r="E183" i="3"/>
  <c r="F183" i="3" s="1"/>
  <c r="C183" i="3"/>
  <c r="J182" i="3"/>
  <c r="L182" i="3" s="1"/>
  <c r="H182" i="3"/>
  <c r="K182" i="3" s="1"/>
  <c r="E182" i="3"/>
  <c r="F182" i="3" s="1"/>
  <c r="C182" i="3"/>
  <c r="J181" i="3"/>
  <c r="L181" i="3" s="1"/>
  <c r="H181" i="3"/>
  <c r="K181" i="3" s="1"/>
  <c r="E181" i="3"/>
  <c r="F181" i="3" s="1"/>
  <c r="C181" i="3"/>
  <c r="J180" i="3"/>
  <c r="L180" i="3" s="1"/>
  <c r="H180" i="3"/>
  <c r="K180" i="3" s="1"/>
  <c r="E180" i="3"/>
  <c r="F180" i="3" s="1"/>
  <c r="C180" i="3"/>
  <c r="J179" i="3"/>
  <c r="L179" i="3" s="1"/>
  <c r="H179" i="3"/>
  <c r="K179" i="3" s="1"/>
  <c r="E179" i="3"/>
  <c r="F179" i="3" s="1"/>
  <c r="C179" i="3"/>
  <c r="J178" i="3"/>
  <c r="L178" i="3" s="1"/>
  <c r="H178" i="3"/>
  <c r="K178" i="3" s="1"/>
  <c r="E178" i="3"/>
  <c r="F178" i="3" s="1"/>
  <c r="C178" i="3"/>
  <c r="J177" i="3"/>
  <c r="L177" i="3" s="1"/>
  <c r="H177" i="3"/>
  <c r="K177" i="3" s="1"/>
  <c r="E177" i="3"/>
  <c r="F177" i="3" s="1"/>
  <c r="C177" i="3"/>
  <c r="J176" i="3"/>
  <c r="L176" i="3" s="1"/>
  <c r="H176" i="3"/>
  <c r="K176" i="3" s="1"/>
  <c r="E176" i="3"/>
  <c r="F176" i="3" s="1"/>
  <c r="C176" i="3"/>
  <c r="J175" i="3"/>
  <c r="L175" i="3" s="1"/>
  <c r="H175" i="3"/>
  <c r="K175" i="3" s="1"/>
  <c r="E175" i="3"/>
  <c r="F175" i="3" s="1"/>
  <c r="C175" i="3"/>
  <c r="J174" i="3"/>
  <c r="L174" i="3" s="1"/>
  <c r="H174" i="3"/>
  <c r="K174" i="3" s="1"/>
  <c r="E174" i="3"/>
  <c r="F174" i="3" s="1"/>
  <c r="C174" i="3"/>
  <c r="J173" i="3"/>
  <c r="L173" i="3" s="1"/>
  <c r="H173" i="3"/>
  <c r="K173" i="3" s="1"/>
  <c r="E173" i="3"/>
  <c r="F173" i="3" s="1"/>
  <c r="C173" i="3"/>
  <c r="J172" i="3"/>
  <c r="L172" i="3" s="1"/>
  <c r="H172" i="3"/>
  <c r="K172" i="3" s="1"/>
  <c r="E172" i="3"/>
  <c r="F172" i="3" s="1"/>
  <c r="C172" i="3"/>
  <c r="J171" i="3"/>
  <c r="L171" i="3" s="1"/>
  <c r="H171" i="3"/>
  <c r="K171" i="3" s="1"/>
  <c r="E171" i="3"/>
  <c r="F171" i="3" s="1"/>
  <c r="C171" i="3"/>
  <c r="J170" i="3"/>
  <c r="L170" i="3" s="1"/>
  <c r="H170" i="3"/>
  <c r="K170" i="3" s="1"/>
  <c r="E170" i="3"/>
  <c r="F170" i="3" s="1"/>
  <c r="C170" i="3"/>
  <c r="J169" i="3"/>
  <c r="L169" i="3" s="1"/>
  <c r="H169" i="3"/>
  <c r="K169" i="3" s="1"/>
  <c r="E169" i="3"/>
  <c r="F169" i="3" s="1"/>
  <c r="C169" i="3"/>
  <c r="J168" i="3"/>
  <c r="L168" i="3" s="1"/>
  <c r="H168" i="3"/>
  <c r="K168" i="3" s="1"/>
  <c r="E168" i="3"/>
  <c r="F168" i="3" s="1"/>
  <c r="C168" i="3"/>
  <c r="J167" i="3"/>
  <c r="L167" i="3" s="1"/>
  <c r="H167" i="3"/>
  <c r="K167" i="3" s="1"/>
  <c r="E167" i="3"/>
  <c r="F167" i="3" s="1"/>
  <c r="C167" i="3"/>
  <c r="J166" i="3"/>
  <c r="L166" i="3" s="1"/>
  <c r="H166" i="3"/>
  <c r="K166" i="3" s="1"/>
  <c r="E166" i="3"/>
  <c r="F166" i="3" s="1"/>
  <c r="C166" i="3"/>
  <c r="J165" i="3"/>
  <c r="L165" i="3" s="1"/>
  <c r="H165" i="3"/>
  <c r="K165" i="3" s="1"/>
  <c r="E165" i="3"/>
  <c r="F165" i="3" s="1"/>
  <c r="C165" i="3"/>
  <c r="J164" i="3"/>
  <c r="L164" i="3" s="1"/>
  <c r="H164" i="3"/>
  <c r="K164" i="3" s="1"/>
  <c r="E164" i="3"/>
  <c r="F164" i="3" s="1"/>
  <c r="C164" i="3"/>
  <c r="J163" i="3"/>
  <c r="L163" i="3" s="1"/>
  <c r="H163" i="3"/>
  <c r="K163" i="3" s="1"/>
  <c r="E163" i="3"/>
  <c r="F163" i="3" s="1"/>
  <c r="C163" i="3"/>
  <c r="J162" i="3"/>
  <c r="L162" i="3" s="1"/>
  <c r="H162" i="3"/>
  <c r="K162" i="3" s="1"/>
  <c r="E162" i="3"/>
  <c r="F162" i="3" s="1"/>
  <c r="C162" i="3"/>
  <c r="J161" i="3"/>
  <c r="L161" i="3" s="1"/>
  <c r="H161" i="3"/>
  <c r="K161" i="3" s="1"/>
  <c r="E161" i="3"/>
  <c r="F161" i="3" s="1"/>
  <c r="C161" i="3"/>
  <c r="J160" i="3"/>
  <c r="L160" i="3" s="1"/>
  <c r="H160" i="3"/>
  <c r="K160" i="3" s="1"/>
  <c r="E160" i="3"/>
  <c r="F160" i="3" s="1"/>
  <c r="C160" i="3"/>
  <c r="J159" i="3"/>
  <c r="L159" i="3" s="1"/>
  <c r="H159" i="3"/>
  <c r="K159" i="3" s="1"/>
  <c r="E159" i="3"/>
  <c r="F159" i="3" s="1"/>
  <c r="C159" i="3"/>
  <c r="J158" i="3"/>
  <c r="L158" i="3" s="1"/>
  <c r="H158" i="3"/>
  <c r="K158" i="3" s="1"/>
  <c r="E158" i="3"/>
  <c r="F158" i="3" s="1"/>
  <c r="C158" i="3"/>
  <c r="J157" i="3"/>
  <c r="L157" i="3" s="1"/>
  <c r="H157" i="3"/>
  <c r="K157" i="3" s="1"/>
  <c r="E157" i="3"/>
  <c r="F157" i="3" s="1"/>
  <c r="C157" i="3"/>
  <c r="J156" i="3"/>
  <c r="L156" i="3" s="1"/>
  <c r="H156" i="3"/>
  <c r="K156" i="3" s="1"/>
  <c r="E156" i="3"/>
  <c r="F156" i="3" s="1"/>
  <c r="C156" i="3"/>
  <c r="J155" i="3"/>
  <c r="L155" i="3" s="1"/>
  <c r="H155" i="3"/>
  <c r="K155" i="3" s="1"/>
  <c r="E155" i="3"/>
  <c r="F155" i="3" s="1"/>
  <c r="C155" i="3"/>
  <c r="J154" i="3"/>
  <c r="L154" i="3" s="1"/>
  <c r="H154" i="3"/>
  <c r="K154" i="3" s="1"/>
  <c r="E154" i="3"/>
  <c r="F154" i="3" s="1"/>
  <c r="C154" i="3"/>
  <c r="J153" i="3"/>
  <c r="L153" i="3" s="1"/>
  <c r="H153" i="3"/>
  <c r="K153" i="3" s="1"/>
  <c r="E153" i="3"/>
  <c r="F153" i="3" s="1"/>
  <c r="C153" i="3"/>
  <c r="J152" i="3"/>
  <c r="L152" i="3" s="1"/>
  <c r="H152" i="3"/>
  <c r="K152" i="3" s="1"/>
  <c r="E152" i="3"/>
  <c r="F152" i="3" s="1"/>
  <c r="C152" i="3"/>
  <c r="J151" i="3"/>
  <c r="L151" i="3" s="1"/>
  <c r="H151" i="3"/>
  <c r="K151" i="3" s="1"/>
  <c r="E151" i="3"/>
  <c r="F151" i="3" s="1"/>
  <c r="C151" i="3"/>
  <c r="J150" i="3"/>
  <c r="L150" i="3" s="1"/>
  <c r="H150" i="3"/>
  <c r="K150" i="3" s="1"/>
  <c r="E150" i="3"/>
  <c r="F150" i="3" s="1"/>
  <c r="C150" i="3"/>
  <c r="J149" i="3"/>
  <c r="L149" i="3" s="1"/>
  <c r="H149" i="3"/>
  <c r="K149" i="3" s="1"/>
  <c r="E149" i="3"/>
  <c r="F149" i="3" s="1"/>
  <c r="C149" i="3"/>
  <c r="J148" i="3"/>
  <c r="L148" i="3" s="1"/>
  <c r="H148" i="3"/>
  <c r="K148" i="3" s="1"/>
  <c r="E148" i="3"/>
  <c r="F148" i="3" s="1"/>
  <c r="C148" i="3"/>
  <c r="J147" i="3"/>
  <c r="L147" i="3" s="1"/>
  <c r="H147" i="3"/>
  <c r="K147" i="3" s="1"/>
  <c r="E147" i="3"/>
  <c r="F147" i="3" s="1"/>
  <c r="C147" i="3"/>
  <c r="J146" i="3"/>
  <c r="L146" i="3" s="1"/>
  <c r="H146" i="3"/>
  <c r="K146" i="3" s="1"/>
  <c r="E146" i="3"/>
  <c r="F146" i="3" s="1"/>
  <c r="C146" i="3"/>
  <c r="L145" i="3"/>
  <c r="K145" i="3"/>
  <c r="E145" i="3"/>
  <c r="F145" i="3" s="1"/>
  <c r="J144" i="3"/>
  <c r="L144" i="3" s="1"/>
  <c r="H144" i="3"/>
  <c r="K144" i="3" s="1"/>
  <c r="E144" i="3"/>
  <c r="F144" i="3" s="1"/>
  <c r="C144" i="3"/>
  <c r="J143" i="3"/>
  <c r="L143" i="3" s="1"/>
  <c r="H143" i="3"/>
  <c r="K143" i="3" s="1"/>
  <c r="E143" i="3"/>
  <c r="F143" i="3" s="1"/>
  <c r="C143" i="3"/>
  <c r="J142" i="3"/>
  <c r="L142" i="3" s="1"/>
  <c r="H142" i="3"/>
  <c r="K142" i="3" s="1"/>
  <c r="E142" i="3"/>
  <c r="F142" i="3" s="1"/>
  <c r="C142" i="3"/>
  <c r="J141" i="3"/>
  <c r="L141" i="3" s="1"/>
  <c r="H141" i="3"/>
  <c r="K141" i="3" s="1"/>
  <c r="E141" i="3"/>
  <c r="F141" i="3" s="1"/>
  <c r="C141" i="3"/>
  <c r="J140" i="3"/>
  <c r="L140" i="3" s="1"/>
  <c r="H140" i="3"/>
  <c r="K140" i="3" s="1"/>
  <c r="E140" i="3"/>
  <c r="F140" i="3" s="1"/>
  <c r="C140" i="3"/>
  <c r="J139" i="3"/>
  <c r="L139" i="3" s="1"/>
  <c r="H139" i="3"/>
  <c r="K139" i="3" s="1"/>
  <c r="E139" i="3"/>
  <c r="F139" i="3" s="1"/>
  <c r="C139" i="3"/>
  <c r="J138" i="3"/>
  <c r="L138" i="3" s="1"/>
  <c r="H138" i="3"/>
  <c r="K138" i="3" s="1"/>
  <c r="E138" i="3"/>
  <c r="F138" i="3" s="1"/>
  <c r="C138" i="3"/>
  <c r="J137" i="3"/>
  <c r="L137" i="3" s="1"/>
  <c r="H137" i="3"/>
  <c r="K137" i="3" s="1"/>
  <c r="E137" i="3"/>
  <c r="F137" i="3" s="1"/>
  <c r="C137" i="3"/>
  <c r="J136" i="3"/>
  <c r="L136" i="3" s="1"/>
  <c r="H136" i="3"/>
  <c r="K136" i="3" s="1"/>
  <c r="E136" i="3"/>
  <c r="F136" i="3" s="1"/>
  <c r="C136" i="3"/>
  <c r="J135" i="3"/>
  <c r="L135" i="3" s="1"/>
  <c r="H135" i="3"/>
  <c r="K135" i="3" s="1"/>
  <c r="E135" i="3"/>
  <c r="F135" i="3" s="1"/>
  <c r="C135" i="3"/>
  <c r="J134" i="3"/>
  <c r="L134" i="3" s="1"/>
  <c r="H134" i="3"/>
  <c r="K134" i="3" s="1"/>
  <c r="E134" i="3"/>
  <c r="F134" i="3" s="1"/>
  <c r="C134" i="3"/>
  <c r="J133" i="3"/>
  <c r="L133" i="3" s="1"/>
  <c r="H133" i="3"/>
  <c r="K133" i="3" s="1"/>
  <c r="E133" i="3"/>
  <c r="F133" i="3" s="1"/>
  <c r="C133" i="3"/>
  <c r="J132" i="3"/>
  <c r="L132" i="3" s="1"/>
  <c r="H132" i="3"/>
  <c r="K132" i="3" s="1"/>
  <c r="E132" i="3"/>
  <c r="F132" i="3" s="1"/>
  <c r="C132" i="3"/>
  <c r="J131" i="3"/>
  <c r="L131" i="3" s="1"/>
  <c r="H131" i="3"/>
  <c r="K131" i="3" s="1"/>
  <c r="E131" i="3"/>
  <c r="F131" i="3" s="1"/>
  <c r="C131" i="3"/>
  <c r="J130" i="3"/>
  <c r="L130" i="3" s="1"/>
  <c r="H130" i="3"/>
  <c r="K130" i="3" s="1"/>
  <c r="E130" i="3"/>
  <c r="F130" i="3" s="1"/>
  <c r="C130" i="3"/>
  <c r="J129" i="3"/>
  <c r="L129" i="3" s="1"/>
  <c r="H129" i="3"/>
  <c r="K129" i="3" s="1"/>
  <c r="E129" i="3"/>
  <c r="F129" i="3" s="1"/>
  <c r="C129" i="3"/>
  <c r="J128" i="3"/>
  <c r="L128" i="3" s="1"/>
  <c r="H128" i="3"/>
  <c r="K128" i="3" s="1"/>
  <c r="E128" i="3"/>
  <c r="F128" i="3" s="1"/>
  <c r="C128" i="3"/>
  <c r="J127" i="3"/>
  <c r="L127" i="3" s="1"/>
  <c r="H127" i="3"/>
  <c r="K127" i="3" s="1"/>
  <c r="E127" i="3"/>
  <c r="F127" i="3" s="1"/>
  <c r="C127" i="3"/>
  <c r="J126" i="3"/>
  <c r="L126" i="3" s="1"/>
  <c r="H126" i="3"/>
  <c r="K126" i="3" s="1"/>
  <c r="E126" i="3"/>
  <c r="F126" i="3" s="1"/>
  <c r="C126" i="3"/>
  <c r="J125" i="3"/>
  <c r="L125" i="3" s="1"/>
  <c r="H125" i="3"/>
  <c r="K125" i="3" s="1"/>
  <c r="E125" i="3"/>
  <c r="F125" i="3" s="1"/>
  <c r="C125" i="3"/>
  <c r="J124" i="3"/>
  <c r="L124" i="3" s="1"/>
  <c r="H124" i="3"/>
  <c r="K124" i="3" s="1"/>
  <c r="E124" i="3"/>
  <c r="F124" i="3" s="1"/>
  <c r="C124" i="3"/>
  <c r="J123" i="3"/>
  <c r="L123" i="3" s="1"/>
  <c r="H123" i="3"/>
  <c r="K123" i="3" s="1"/>
  <c r="E123" i="3"/>
  <c r="F123" i="3" s="1"/>
  <c r="C123" i="3"/>
  <c r="J122" i="3"/>
  <c r="L122" i="3" s="1"/>
  <c r="H122" i="3"/>
  <c r="K122" i="3" s="1"/>
  <c r="E122" i="3"/>
  <c r="F122" i="3" s="1"/>
  <c r="C122" i="3"/>
  <c r="J121" i="3"/>
  <c r="L121" i="3" s="1"/>
  <c r="H121" i="3"/>
  <c r="K121" i="3" s="1"/>
  <c r="E121" i="3"/>
  <c r="F121" i="3" s="1"/>
  <c r="C121" i="3"/>
  <c r="J120" i="3"/>
  <c r="L120" i="3" s="1"/>
  <c r="H120" i="3"/>
  <c r="K120" i="3" s="1"/>
  <c r="E120" i="3"/>
  <c r="F120" i="3" s="1"/>
  <c r="C120" i="3"/>
  <c r="J119" i="3"/>
  <c r="L119" i="3" s="1"/>
  <c r="H119" i="3"/>
  <c r="K119" i="3" s="1"/>
  <c r="E119" i="3"/>
  <c r="F119" i="3" s="1"/>
  <c r="C119" i="3"/>
  <c r="J118" i="3"/>
  <c r="L118" i="3" s="1"/>
  <c r="H118" i="3"/>
  <c r="K118" i="3" s="1"/>
  <c r="E118" i="3"/>
  <c r="F118" i="3" s="1"/>
  <c r="C118" i="3"/>
  <c r="J117" i="3"/>
  <c r="L117" i="3" s="1"/>
  <c r="H117" i="3"/>
  <c r="K117" i="3" s="1"/>
  <c r="E117" i="3"/>
  <c r="F117" i="3" s="1"/>
  <c r="C117" i="3"/>
  <c r="J116" i="3"/>
  <c r="L116" i="3" s="1"/>
  <c r="H116" i="3"/>
  <c r="K116" i="3" s="1"/>
  <c r="E116" i="3"/>
  <c r="F116" i="3" s="1"/>
  <c r="C116" i="3"/>
  <c r="J115" i="3"/>
  <c r="L115" i="3" s="1"/>
  <c r="H115" i="3"/>
  <c r="K115" i="3" s="1"/>
  <c r="E115" i="3"/>
  <c r="F115" i="3" s="1"/>
  <c r="C115" i="3"/>
  <c r="J114" i="3"/>
  <c r="L114" i="3" s="1"/>
  <c r="H114" i="3"/>
  <c r="K114" i="3" s="1"/>
  <c r="E114" i="3"/>
  <c r="F114" i="3" s="1"/>
  <c r="C114" i="3"/>
  <c r="J113" i="3"/>
  <c r="L113" i="3" s="1"/>
  <c r="H113" i="3"/>
  <c r="K113" i="3" s="1"/>
  <c r="E113" i="3"/>
  <c r="F113" i="3" s="1"/>
  <c r="C113" i="3"/>
  <c r="J112" i="3"/>
  <c r="L112" i="3" s="1"/>
  <c r="H112" i="3"/>
  <c r="K112" i="3" s="1"/>
  <c r="E112" i="3"/>
  <c r="F112" i="3" s="1"/>
  <c r="C112" i="3"/>
  <c r="J111" i="3"/>
  <c r="L111" i="3" s="1"/>
  <c r="H111" i="3"/>
  <c r="K111" i="3" s="1"/>
  <c r="E111" i="3"/>
  <c r="F111" i="3" s="1"/>
  <c r="C111" i="3"/>
  <c r="J110" i="3"/>
  <c r="L110" i="3" s="1"/>
  <c r="H110" i="3"/>
  <c r="K110" i="3" s="1"/>
  <c r="E110" i="3"/>
  <c r="F110" i="3" s="1"/>
  <c r="C110" i="3"/>
  <c r="J109" i="3"/>
  <c r="L109" i="3" s="1"/>
  <c r="H109" i="3"/>
  <c r="K109" i="3" s="1"/>
  <c r="E109" i="3"/>
  <c r="F109" i="3" s="1"/>
  <c r="C109" i="3"/>
  <c r="J108" i="3"/>
  <c r="L108" i="3" s="1"/>
  <c r="H108" i="3"/>
  <c r="K108" i="3" s="1"/>
  <c r="E108" i="3"/>
  <c r="F108" i="3" s="1"/>
  <c r="C108" i="3"/>
  <c r="J107" i="3"/>
  <c r="L107" i="3" s="1"/>
  <c r="H107" i="3"/>
  <c r="K107" i="3" s="1"/>
  <c r="E107" i="3"/>
  <c r="F107" i="3" s="1"/>
  <c r="C107" i="3"/>
  <c r="J106" i="3"/>
  <c r="L106" i="3" s="1"/>
  <c r="H106" i="3"/>
  <c r="K106" i="3" s="1"/>
  <c r="E106" i="3"/>
  <c r="F106" i="3" s="1"/>
  <c r="C106" i="3"/>
  <c r="J105" i="3"/>
  <c r="L105" i="3" s="1"/>
  <c r="H105" i="3"/>
  <c r="K105" i="3" s="1"/>
  <c r="E105" i="3"/>
  <c r="F105" i="3" s="1"/>
  <c r="C105" i="3"/>
  <c r="J104" i="3"/>
  <c r="L104" i="3" s="1"/>
  <c r="H104" i="3"/>
  <c r="K104" i="3" s="1"/>
  <c r="E104" i="3"/>
  <c r="F104" i="3" s="1"/>
  <c r="C104" i="3"/>
  <c r="J103" i="3"/>
  <c r="L103" i="3" s="1"/>
  <c r="H103" i="3"/>
  <c r="K103" i="3" s="1"/>
  <c r="E103" i="3"/>
  <c r="F103" i="3" s="1"/>
  <c r="C103" i="3"/>
  <c r="J102" i="3"/>
  <c r="L102" i="3" s="1"/>
  <c r="H102" i="3"/>
  <c r="K102" i="3" s="1"/>
  <c r="E102" i="3"/>
  <c r="F102" i="3" s="1"/>
  <c r="C102" i="3"/>
  <c r="J101" i="3"/>
  <c r="L101" i="3" s="1"/>
  <c r="H101" i="3"/>
  <c r="K101" i="3" s="1"/>
  <c r="E101" i="3"/>
  <c r="F101" i="3" s="1"/>
  <c r="C101" i="3"/>
  <c r="J100" i="3"/>
  <c r="L100" i="3" s="1"/>
  <c r="H100" i="3"/>
  <c r="K100" i="3" s="1"/>
  <c r="E100" i="3"/>
  <c r="F100" i="3" s="1"/>
  <c r="C100" i="3"/>
  <c r="J99" i="3"/>
  <c r="L99" i="3" s="1"/>
  <c r="H99" i="3"/>
  <c r="K99" i="3" s="1"/>
  <c r="E99" i="3"/>
  <c r="F99" i="3" s="1"/>
  <c r="C99" i="3"/>
  <c r="J98" i="3"/>
  <c r="L98" i="3" s="1"/>
  <c r="H98" i="3"/>
  <c r="K98" i="3" s="1"/>
  <c r="E98" i="3"/>
  <c r="F98" i="3" s="1"/>
  <c r="C98" i="3"/>
  <c r="J97" i="3"/>
  <c r="L97" i="3" s="1"/>
  <c r="H97" i="3"/>
  <c r="K97" i="3" s="1"/>
  <c r="E97" i="3"/>
  <c r="F97" i="3" s="1"/>
  <c r="C97" i="3"/>
  <c r="J96" i="3"/>
  <c r="L96" i="3" s="1"/>
  <c r="H96" i="3"/>
  <c r="K96" i="3" s="1"/>
  <c r="E96" i="3"/>
  <c r="F96" i="3" s="1"/>
  <c r="C96" i="3"/>
  <c r="J95" i="3"/>
  <c r="L95" i="3" s="1"/>
  <c r="H95" i="3"/>
  <c r="K95" i="3" s="1"/>
  <c r="E95" i="3"/>
  <c r="F95" i="3" s="1"/>
  <c r="C95" i="3"/>
  <c r="J94" i="3"/>
  <c r="L94" i="3" s="1"/>
  <c r="H94" i="3"/>
  <c r="K94" i="3" s="1"/>
  <c r="E94" i="3"/>
  <c r="F94" i="3" s="1"/>
  <c r="C94" i="3"/>
  <c r="J93" i="3"/>
  <c r="L93" i="3" s="1"/>
  <c r="H93" i="3"/>
  <c r="K93" i="3" s="1"/>
  <c r="E93" i="3"/>
  <c r="F93" i="3" s="1"/>
  <c r="C93" i="3"/>
  <c r="J92" i="3"/>
  <c r="L92" i="3" s="1"/>
  <c r="H92" i="3"/>
  <c r="K92" i="3" s="1"/>
  <c r="E92" i="3"/>
  <c r="F92" i="3" s="1"/>
  <c r="C92" i="3"/>
  <c r="J91" i="3"/>
  <c r="L91" i="3" s="1"/>
  <c r="H91" i="3"/>
  <c r="K91" i="3" s="1"/>
  <c r="E91" i="3"/>
  <c r="F91" i="3" s="1"/>
  <c r="C91" i="3"/>
  <c r="J90" i="3"/>
  <c r="L90" i="3" s="1"/>
  <c r="H90" i="3"/>
  <c r="K90" i="3" s="1"/>
  <c r="E90" i="3"/>
  <c r="F90" i="3" s="1"/>
  <c r="C90" i="3"/>
  <c r="J89" i="3"/>
  <c r="L89" i="3" s="1"/>
  <c r="H89" i="3"/>
  <c r="K89" i="3" s="1"/>
  <c r="E89" i="3"/>
  <c r="F89" i="3" s="1"/>
  <c r="C89" i="3"/>
  <c r="J88" i="3"/>
  <c r="L88" i="3" s="1"/>
  <c r="H88" i="3"/>
  <c r="K88" i="3" s="1"/>
  <c r="E88" i="3"/>
  <c r="F88" i="3" s="1"/>
  <c r="C88" i="3"/>
  <c r="J87" i="3"/>
  <c r="L87" i="3" s="1"/>
  <c r="H87" i="3"/>
  <c r="K87" i="3" s="1"/>
  <c r="E87" i="3"/>
  <c r="F87" i="3" s="1"/>
  <c r="C87" i="3"/>
  <c r="J86" i="3"/>
  <c r="L86" i="3" s="1"/>
  <c r="H86" i="3"/>
  <c r="K86" i="3" s="1"/>
  <c r="E86" i="3"/>
  <c r="F86" i="3" s="1"/>
  <c r="C86" i="3"/>
  <c r="J85" i="3"/>
  <c r="L85" i="3" s="1"/>
  <c r="H85" i="3"/>
  <c r="K85" i="3" s="1"/>
  <c r="E85" i="3"/>
  <c r="F85" i="3" s="1"/>
  <c r="C85" i="3"/>
  <c r="J84" i="3"/>
  <c r="L84" i="3" s="1"/>
  <c r="H84" i="3"/>
  <c r="K84" i="3" s="1"/>
  <c r="E84" i="3"/>
  <c r="F84" i="3" s="1"/>
  <c r="C84" i="3"/>
  <c r="J83" i="3"/>
  <c r="L83" i="3" s="1"/>
  <c r="H83" i="3"/>
  <c r="K83" i="3" s="1"/>
  <c r="E83" i="3"/>
  <c r="F83" i="3" s="1"/>
  <c r="C83" i="3"/>
  <c r="J82" i="3"/>
  <c r="L82" i="3" s="1"/>
  <c r="H82" i="3"/>
  <c r="K82" i="3" s="1"/>
  <c r="E82" i="3"/>
  <c r="F82" i="3" s="1"/>
  <c r="C82" i="3"/>
  <c r="J81" i="3"/>
  <c r="L81" i="3" s="1"/>
  <c r="H81" i="3"/>
  <c r="K81" i="3" s="1"/>
  <c r="E81" i="3"/>
  <c r="F81" i="3" s="1"/>
  <c r="C81" i="3"/>
  <c r="J80" i="3"/>
  <c r="L80" i="3" s="1"/>
  <c r="H80" i="3"/>
  <c r="K80" i="3" s="1"/>
  <c r="E80" i="3"/>
  <c r="F80" i="3" s="1"/>
  <c r="C80" i="3"/>
  <c r="J79" i="3"/>
  <c r="L79" i="3" s="1"/>
  <c r="H79" i="3"/>
  <c r="K79" i="3" s="1"/>
  <c r="E79" i="3"/>
  <c r="F79" i="3" s="1"/>
  <c r="C79" i="3"/>
  <c r="J78" i="3"/>
  <c r="L78" i="3" s="1"/>
  <c r="H78" i="3"/>
  <c r="K78" i="3" s="1"/>
  <c r="E78" i="3"/>
  <c r="F78" i="3" s="1"/>
  <c r="C78" i="3"/>
  <c r="J77" i="3"/>
  <c r="L77" i="3" s="1"/>
  <c r="H77" i="3"/>
  <c r="K77" i="3" s="1"/>
  <c r="E77" i="3"/>
  <c r="F77" i="3" s="1"/>
  <c r="C77" i="3"/>
  <c r="J76" i="3"/>
  <c r="L76" i="3" s="1"/>
  <c r="H76" i="3"/>
  <c r="K76" i="3" s="1"/>
  <c r="E76" i="3"/>
  <c r="F76" i="3" s="1"/>
  <c r="C76" i="3"/>
  <c r="J75" i="3"/>
  <c r="L75" i="3" s="1"/>
  <c r="H75" i="3"/>
  <c r="K75" i="3" s="1"/>
  <c r="E75" i="3"/>
  <c r="F75" i="3" s="1"/>
  <c r="C75" i="3"/>
  <c r="J74" i="3"/>
  <c r="L74" i="3" s="1"/>
  <c r="H74" i="3"/>
  <c r="K74" i="3" s="1"/>
  <c r="E74" i="3"/>
  <c r="F74" i="3" s="1"/>
  <c r="C74" i="3"/>
  <c r="J73" i="3"/>
  <c r="L73" i="3" s="1"/>
  <c r="H73" i="3"/>
  <c r="K73" i="3" s="1"/>
  <c r="E73" i="3"/>
  <c r="F73" i="3" s="1"/>
  <c r="C73" i="3"/>
  <c r="J72" i="3"/>
  <c r="L72" i="3" s="1"/>
  <c r="H72" i="3"/>
  <c r="K72" i="3" s="1"/>
  <c r="E72" i="3"/>
  <c r="F72" i="3" s="1"/>
  <c r="C72" i="3"/>
  <c r="J71" i="3"/>
  <c r="L71" i="3" s="1"/>
  <c r="H71" i="3"/>
  <c r="K71" i="3" s="1"/>
  <c r="E71" i="3"/>
  <c r="F71" i="3" s="1"/>
  <c r="C71" i="3"/>
  <c r="J70" i="3"/>
  <c r="L70" i="3" s="1"/>
  <c r="H70" i="3"/>
  <c r="K70" i="3" s="1"/>
  <c r="E70" i="3"/>
  <c r="F70" i="3" s="1"/>
  <c r="C70" i="3"/>
  <c r="J69" i="3"/>
  <c r="L69" i="3" s="1"/>
  <c r="H69" i="3"/>
  <c r="K69" i="3" s="1"/>
  <c r="E69" i="3"/>
  <c r="F69" i="3" s="1"/>
  <c r="C69" i="3"/>
  <c r="J68" i="3"/>
  <c r="L68" i="3" s="1"/>
  <c r="H68" i="3"/>
  <c r="K68" i="3" s="1"/>
  <c r="E68" i="3"/>
  <c r="F68" i="3" s="1"/>
  <c r="C68" i="3"/>
  <c r="J67" i="3"/>
  <c r="L67" i="3" s="1"/>
  <c r="H67" i="3"/>
  <c r="K67" i="3" s="1"/>
  <c r="E67" i="3"/>
  <c r="F67" i="3" s="1"/>
  <c r="C67" i="3"/>
  <c r="J66" i="3"/>
  <c r="L66" i="3" s="1"/>
  <c r="H66" i="3"/>
  <c r="K66" i="3" s="1"/>
  <c r="E66" i="3"/>
  <c r="F66" i="3" s="1"/>
  <c r="C66" i="3"/>
  <c r="J65" i="3"/>
  <c r="L65" i="3" s="1"/>
  <c r="H65" i="3"/>
  <c r="K65" i="3" s="1"/>
  <c r="E65" i="3"/>
  <c r="F65" i="3" s="1"/>
  <c r="C65" i="3"/>
  <c r="J64" i="3"/>
  <c r="L64" i="3" s="1"/>
  <c r="H64" i="3"/>
  <c r="K64" i="3" s="1"/>
  <c r="E64" i="3"/>
  <c r="F64" i="3" s="1"/>
  <c r="C64" i="3"/>
  <c r="J63" i="3"/>
  <c r="L63" i="3" s="1"/>
  <c r="H63" i="3"/>
  <c r="K63" i="3" s="1"/>
  <c r="E63" i="3"/>
  <c r="F63" i="3" s="1"/>
  <c r="C63" i="3"/>
  <c r="J62" i="3"/>
  <c r="L62" i="3" s="1"/>
  <c r="H62" i="3"/>
  <c r="K62" i="3" s="1"/>
  <c r="E62" i="3"/>
  <c r="F62" i="3" s="1"/>
  <c r="C62" i="3"/>
  <c r="J61" i="3"/>
  <c r="L61" i="3" s="1"/>
  <c r="H61" i="3"/>
  <c r="K61" i="3" s="1"/>
  <c r="E61" i="3"/>
  <c r="F61" i="3" s="1"/>
  <c r="C61" i="3"/>
  <c r="J60" i="3"/>
  <c r="L60" i="3" s="1"/>
  <c r="H60" i="3"/>
  <c r="K60" i="3" s="1"/>
  <c r="E60" i="3"/>
  <c r="F60" i="3" s="1"/>
  <c r="C60" i="3"/>
  <c r="J59" i="3"/>
  <c r="L59" i="3" s="1"/>
  <c r="H59" i="3"/>
  <c r="K59" i="3" s="1"/>
  <c r="E59" i="3"/>
  <c r="F59" i="3" s="1"/>
  <c r="C59" i="3"/>
  <c r="J58" i="3"/>
  <c r="L58" i="3" s="1"/>
  <c r="H58" i="3"/>
  <c r="K58" i="3" s="1"/>
  <c r="E58" i="3"/>
  <c r="F58" i="3" s="1"/>
  <c r="C58" i="3"/>
  <c r="J57" i="3"/>
  <c r="L57" i="3" s="1"/>
  <c r="H57" i="3"/>
  <c r="K57" i="3" s="1"/>
  <c r="E57" i="3"/>
  <c r="F57" i="3" s="1"/>
  <c r="C57" i="3"/>
  <c r="J56" i="3"/>
  <c r="L56" i="3" s="1"/>
  <c r="H56" i="3"/>
  <c r="K56" i="3" s="1"/>
  <c r="E56" i="3"/>
  <c r="F56" i="3" s="1"/>
  <c r="C56" i="3"/>
  <c r="J55" i="3"/>
  <c r="L55" i="3" s="1"/>
  <c r="H55" i="3"/>
  <c r="K55" i="3" s="1"/>
  <c r="E55" i="3"/>
  <c r="F55" i="3" s="1"/>
  <c r="C55" i="3"/>
  <c r="J54" i="3"/>
  <c r="L54" i="3" s="1"/>
  <c r="H54" i="3"/>
  <c r="K54" i="3" s="1"/>
  <c r="E54" i="3"/>
  <c r="F54" i="3" s="1"/>
  <c r="C54" i="3"/>
  <c r="J53" i="3"/>
  <c r="L53" i="3" s="1"/>
  <c r="H53" i="3"/>
  <c r="K53" i="3" s="1"/>
  <c r="E53" i="3"/>
  <c r="F53" i="3" s="1"/>
  <c r="C53" i="3"/>
  <c r="J52" i="3"/>
  <c r="L52" i="3" s="1"/>
  <c r="H52" i="3"/>
  <c r="K52" i="3" s="1"/>
  <c r="E52" i="3"/>
  <c r="F52" i="3" s="1"/>
  <c r="C52" i="3"/>
  <c r="J51" i="3"/>
  <c r="L51" i="3" s="1"/>
  <c r="H51" i="3"/>
  <c r="K51" i="3" s="1"/>
  <c r="E51" i="3"/>
  <c r="F51" i="3" s="1"/>
  <c r="C51" i="3"/>
  <c r="J50" i="3"/>
  <c r="L50" i="3" s="1"/>
  <c r="H50" i="3"/>
  <c r="K50" i="3" s="1"/>
  <c r="E50" i="3"/>
  <c r="F50" i="3" s="1"/>
  <c r="C50" i="3"/>
  <c r="J49" i="3"/>
  <c r="L49" i="3" s="1"/>
  <c r="H49" i="3"/>
  <c r="K49" i="3" s="1"/>
  <c r="E49" i="3"/>
  <c r="F49" i="3" s="1"/>
  <c r="C49" i="3"/>
  <c r="J48" i="3"/>
  <c r="L48" i="3" s="1"/>
  <c r="H48" i="3"/>
  <c r="K48" i="3" s="1"/>
  <c r="E48" i="3"/>
  <c r="F48" i="3" s="1"/>
  <c r="C48" i="3"/>
  <c r="J47" i="3"/>
  <c r="L47" i="3" s="1"/>
  <c r="H47" i="3"/>
  <c r="K47" i="3" s="1"/>
  <c r="E47" i="3"/>
  <c r="F47" i="3" s="1"/>
  <c r="C47" i="3"/>
  <c r="J46" i="3"/>
  <c r="L46" i="3" s="1"/>
  <c r="H46" i="3"/>
  <c r="K46" i="3" s="1"/>
  <c r="E46" i="3"/>
  <c r="F46" i="3" s="1"/>
  <c r="C46" i="3"/>
  <c r="J45" i="3"/>
  <c r="L45" i="3" s="1"/>
  <c r="H45" i="3"/>
  <c r="K45" i="3" s="1"/>
  <c r="E45" i="3"/>
  <c r="F45" i="3" s="1"/>
  <c r="C45" i="3"/>
  <c r="J44" i="3"/>
  <c r="L44" i="3" s="1"/>
  <c r="H44" i="3"/>
  <c r="K44" i="3" s="1"/>
  <c r="E44" i="3"/>
  <c r="F44" i="3" s="1"/>
  <c r="C44" i="3"/>
  <c r="J43" i="3"/>
  <c r="L43" i="3" s="1"/>
  <c r="H43" i="3"/>
  <c r="K43" i="3" s="1"/>
  <c r="E43" i="3"/>
  <c r="F43" i="3" s="1"/>
  <c r="C43" i="3"/>
  <c r="J42" i="3"/>
  <c r="L42" i="3" s="1"/>
  <c r="H42" i="3"/>
  <c r="K42" i="3" s="1"/>
  <c r="E42" i="3"/>
  <c r="F42" i="3" s="1"/>
  <c r="C42" i="3"/>
  <c r="J41" i="3"/>
  <c r="L41" i="3" s="1"/>
  <c r="H41" i="3"/>
  <c r="K41" i="3" s="1"/>
  <c r="E41" i="3"/>
  <c r="F41" i="3" s="1"/>
  <c r="C41" i="3"/>
  <c r="L40" i="3"/>
  <c r="K40" i="3"/>
  <c r="E40" i="3"/>
  <c r="F40" i="3" s="1"/>
  <c r="J39" i="3"/>
  <c r="L39" i="3" s="1"/>
  <c r="H39" i="3"/>
  <c r="K39" i="3" s="1"/>
  <c r="E39" i="3"/>
  <c r="F39" i="3" s="1"/>
  <c r="C39" i="3"/>
  <c r="J38" i="3"/>
  <c r="L38" i="3" s="1"/>
  <c r="H38" i="3"/>
  <c r="K38" i="3" s="1"/>
  <c r="E38" i="3"/>
  <c r="F38" i="3" s="1"/>
  <c r="C38" i="3"/>
  <c r="J37" i="3"/>
  <c r="L37" i="3" s="1"/>
  <c r="H37" i="3"/>
  <c r="K37" i="3" s="1"/>
  <c r="E37" i="3"/>
  <c r="F37" i="3" s="1"/>
  <c r="C37" i="3"/>
  <c r="J36" i="3"/>
  <c r="L36" i="3" s="1"/>
  <c r="H36" i="3"/>
  <c r="K36" i="3" s="1"/>
  <c r="E36" i="3"/>
  <c r="F36" i="3" s="1"/>
  <c r="C36" i="3"/>
  <c r="J35" i="3"/>
  <c r="L35" i="3" s="1"/>
  <c r="H35" i="3"/>
  <c r="K35" i="3" s="1"/>
  <c r="E35" i="3"/>
  <c r="F35" i="3" s="1"/>
  <c r="C35" i="3"/>
  <c r="J34" i="3"/>
  <c r="L34" i="3" s="1"/>
  <c r="H34" i="3"/>
  <c r="K34" i="3" s="1"/>
  <c r="E34" i="3"/>
  <c r="F34" i="3" s="1"/>
  <c r="C34" i="3"/>
  <c r="J33" i="3"/>
  <c r="L33" i="3" s="1"/>
  <c r="H33" i="3"/>
  <c r="K33" i="3" s="1"/>
  <c r="E33" i="3"/>
  <c r="F33" i="3" s="1"/>
  <c r="C33" i="3"/>
  <c r="J32" i="3"/>
  <c r="L32" i="3" s="1"/>
  <c r="H32" i="3"/>
  <c r="K32" i="3" s="1"/>
  <c r="E32" i="3"/>
  <c r="F32" i="3" s="1"/>
  <c r="C32" i="3"/>
  <c r="J31" i="3"/>
  <c r="L31" i="3" s="1"/>
  <c r="H31" i="3"/>
  <c r="K31" i="3" s="1"/>
  <c r="E31" i="3"/>
  <c r="F31" i="3" s="1"/>
  <c r="C31" i="3"/>
  <c r="J30" i="3"/>
  <c r="L30" i="3" s="1"/>
  <c r="H30" i="3"/>
  <c r="K30" i="3" s="1"/>
  <c r="E30" i="3"/>
  <c r="F30" i="3" s="1"/>
  <c r="C30" i="3"/>
  <c r="J29" i="3"/>
  <c r="L29" i="3" s="1"/>
  <c r="H29" i="3"/>
  <c r="K29" i="3" s="1"/>
  <c r="E29" i="3"/>
  <c r="F29" i="3" s="1"/>
  <c r="C29" i="3"/>
  <c r="J28" i="3"/>
  <c r="L28" i="3" s="1"/>
  <c r="H28" i="3"/>
  <c r="K28" i="3" s="1"/>
  <c r="E28" i="3"/>
  <c r="F28" i="3" s="1"/>
  <c r="C28" i="3"/>
  <c r="J27" i="3"/>
  <c r="L27" i="3" s="1"/>
  <c r="H27" i="3"/>
  <c r="K27" i="3" s="1"/>
  <c r="E27" i="3"/>
  <c r="F27" i="3" s="1"/>
  <c r="C27" i="3"/>
  <c r="J26" i="3"/>
  <c r="L26" i="3" s="1"/>
  <c r="H26" i="3"/>
  <c r="K26" i="3" s="1"/>
  <c r="E26" i="3"/>
  <c r="F26" i="3" s="1"/>
  <c r="C26" i="3"/>
  <c r="J25" i="3"/>
  <c r="L25" i="3" s="1"/>
  <c r="H25" i="3"/>
  <c r="K25" i="3" s="1"/>
  <c r="E25" i="3"/>
  <c r="F25" i="3" s="1"/>
  <c r="C25" i="3"/>
  <c r="J24" i="3"/>
  <c r="L24" i="3" s="1"/>
  <c r="H24" i="3"/>
  <c r="K24" i="3" s="1"/>
  <c r="E24" i="3"/>
  <c r="F24" i="3" s="1"/>
  <c r="C24" i="3"/>
  <c r="J23" i="3"/>
  <c r="L23" i="3" s="1"/>
  <c r="H23" i="3"/>
  <c r="K23" i="3" s="1"/>
  <c r="E23" i="3"/>
  <c r="F23" i="3" s="1"/>
  <c r="C23" i="3"/>
  <c r="J22" i="3"/>
  <c r="L22" i="3" s="1"/>
  <c r="H22" i="3"/>
  <c r="K22" i="3" s="1"/>
  <c r="E22" i="3"/>
  <c r="F22" i="3" s="1"/>
  <c r="C22" i="3"/>
  <c r="J21" i="3"/>
  <c r="L21" i="3" s="1"/>
  <c r="H21" i="3"/>
  <c r="K21" i="3" s="1"/>
  <c r="E21" i="3"/>
  <c r="F21" i="3" s="1"/>
  <c r="C21" i="3"/>
  <c r="J20" i="3"/>
  <c r="L20" i="3" s="1"/>
  <c r="H20" i="3"/>
  <c r="K20" i="3" s="1"/>
  <c r="E20" i="3"/>
  <c r="F20" i="3" s="1"/>
  <c r="C20" i="3"/>
  <c r="J19" i="3"/>
  <c r="L19" i="3" s="1"/>
  <c r="H19" i="3"/>
  <c r="K19" i="3" s="1"/>
  <c r="E19" i="3"/>
  <c r="F19" i="3" s="1"/>
  <c r="C19" i="3"/>
  <c r="J18" i="3"/>
  <c r="L18" i="3" s="1"/>
  <c r="H18" i="3"/>
  <c r="K18" i="3" s="1"/>
  <c r="E18" i="3"/>
  <c r="F18" i="3" s="1"/>
  <c r="C18" i="3"/>
  <c r="J17" i="3"/>
  <c r="L17" i="3" s="1"/>
  <c r="H17" i="3"/>
  <c r="K17" i="3" s="1"/>
  <c r="E17" i="3"/>
  <c r="F17" i="3" s="1"/>
  <c r="C17" i="3"/>
  <c r="J16" i="3"/>
  <c r="L16" i="3" s="1"/>
  <c r="H16" i="3"/>
  <c r="K16" i="3" s="1"/>
  <c r="E16" i="3"/>
  <c r="F16" i="3" s="1"/>
  <c r="C16" i="3"/>
  <c r="J15" i="3"/>
  <c r="L15" i="3" s="1"/>
  <c r="H15" i="3"/>
  <c r="K15" i="3" s="1"/>
  <c r="E15" i="3"/>
  <c r="F15" i="3" s="1"/>
  <c r="C15" i="3"/>
  <c r="J14" i="3"/>
  <c r="L14" i="3" s="1"/>
  <c r="H14" i="3"/>
  <c r="K14" i="3" s="1"/>
  <c r="E14" i="3"/>
  <c r="F14" i="3" s="1"/>
  <c r="C14" i="3"/>
  <c r="J13" i="3"/>
  <c r="L13" i="3" s="1"/>
  <c r="H13" i="3"/>
  <c r="K13" i="3" s="1"/>
  <c r="E13" i="3"/>
  <c r="F13" i="3" s="1"/>
  <c r="C13" i="3"/>
  <c r="J12" i="3"/>
  <c r="L12" i="3" s="1"/>
  <c r="H12" i="3"/>
  <c r="K12" i="3" s="1"/>
  <c r="E12" i="3"/>
  <c r="F12" i="3" s="1"/>
  <c r="C12" i="3"/>
  <c r="J11" i="3"/>
  <c r="L11" i="3" s="1"/>
  <c r="H11" i="3"/>
  <c r="K11" i="3" s="1"/>
  <c r="E11" i="3"/>
  <c r="F11" i="3" s="1"/>
  <c r="C11" i="3"/>
  <c r="J10" i="3"/>
  <c r="L10" i="3" s="1"/>
  <c r="H10" i="3"/>
  <c r="K10" i="3" s="1"/>
  <c r="E10" i="3"/>
  <c r="F10" i="3" s="1"/>
  <c r="C10" i="3"/>
  <c r="J9" i="3"/>
  <c r="L9" i="3" s="1"/>
  <c r="H9" i="3"/>
  <c r="K9" i="3" s="1"/>
  <c r="E9" i="3"/>
  <c r="F9" i="3" s="1"/>
  <c r="C9" i="3"/>
  <c r="J8" i="3"/>
  <c r="L8" i="3" s="1"/>
  <c r="H8" i="3"/>
  <c r="K8" i="3" s="1"/>
  <c r="E8" i="3"/>
  <c r="F8" i="3" s="1"/>
  <c r="C8" i="3"/>
  <c r="J7" i="3"/>
  <c r="L7" i="3" s="1"/>
  <c r="H7" i="3"/>
  <c r="K7" i="3" s="1"/>
  <c r="E7" i="3"/>
  <c r="F7" i="3" s="1"/>
  <c r="C7" i="3"/>
  <c r="J6" i="3"/>
  <c r="L6" i="3" s="1"/>
  <c r="H6" i="3"/>
  <c r="K6" i="3" s="1"/>
  <c r="E6" i="3"/>
  <c r="F6" i="3" s="1"/>
  <c r="C6" i="3"/>
  <c r="J5" i="3"/>
  <c r="L5" i="3" s="1"/>
  <c r="H5" i="3"/>
  <c r="K5" i="3" s="1"/>
  <c r="E5" i="3"/>
  <c r="F5" i="3" s="1"/>
  <c r="C5" i="3"/>
  <c r="J4" i="3"/>
  <c r="L4" i="3" s="1"/>
  <c r="H4" i="3"/>
  <c r="K4" i="3" s="1"/>
  <c r="E4" i="3"/>
  <c r="F4" i="3" s="1"/>
  <c r="C4" i="3"/>
  <c r="J3" i="3"/>
  <c r="L3" i="3" s="1"/>
  <c r="H3" i="3"/>
  <c r="K3" i="3" s="1"/>
  <c r="E3" i="3"/>
  <c r="F3" i="3" s="1"/>
  <c r="C3" i="3"/>
  <c r="J2" i="3"/>
  <c r="L2" i="3" s="1"/>
  <c r="H2" i="3"/>
  <c r="K2" i="3" s="1"/>
  <c r="E2" i="3"/>
  <c r="F2" i="3" s="1"/>
  <c r="C2" i="3"/>
  <c r="M288" i="2"/>
  <c r="L288" i="2"/>
  <c r="K288" i="2"/>
  <c r="J288" i="2"/>
  <c r="I288" i="2"/>
  <c r="H288" i="2"/>
  <c r="G288" i="2"/>
  <c r="M287" i="2"/>
  <c r="L287" i="2"/>
  <c r="K287" i="2"/>
  <c r="J287" i="2"/>
  <c r="I287" i="2"/>
  <c r="H287" i="2"/>
  <c r="G287" i="2"/>
  <c r="M286" i="2"/>
  <c r="L286" i="2"/>
  <c r="K286" i="2"/>
  <c r="J286" i="2"/>
  <c r="I286" i="2"/>
  <c r="H286" i="2"/>
  <c r="G286" i="2"/>
  <c r="M285" i="2"/>
  <c r="L285" i="2"/>
  <c r="K285" i="2"/>
  <c r="J285" i="2"/>
  <c r="I285" i="2"/>
  <c r="H285" i="2"/>
  <c r="G285" i="2"/>
  <c r="M284" i="2"/>
  <c r="L284" i="2"/>
  <c r="K284" i="2"/>
  <c r="J284" i="2"/>
  <c r="I284" i="2"/>
  <c r="H284" i="2"/>
  <c r="G284" i="2"/>
  <c r="M283" i="2"/>
  <c r="L283" i="2"/>
  <c r="K283" i="2"/>
  <c r="J283" i="2"/>
  <c r="I283" i="2"/>
  <c r="H283" i="2"/>
  <c r="G283" i="2"/>
  <c r="M282" i="2"/>
  <c r="L282" i="2"/>
  <c r="K282" i="2"/>
  <c r="J282" i="2"/>
  <c r="I282" i="2"/>
  <c r="H282" i="2"/>
  <c r="G282" i="2"/>
  <c r="M281" i="2"/>
  <c r="L281" i="2"/>
  <c r="K281" i="2"/>
  <c r="J281" i="2"/>
  <c r="I281" i="2"/>
  <c r="H281" i="2"/>
  <c r="G281" i="2"/>
  <c r="M280" i="2"/>
  <c r="L280" i="2"/>
  <c r="K280" i="2"/>
  <c r="J280" i="2"/>
  <c r="I280" i="2"/>
  <c r="H280" i="2"/>
  <c r="G280" i="2"/>
  <c r="M279" i="2"/>
  <c r="L279" i="2"/>
  <c r="K279" i="2"/>
  <c r="J279" i="2"/>
  <c r="I279" i="2"/>
  <c r="H279" i="2"/>
  <c r="G279" i="2"/>
  <c r="M278" i="2"/>
  <c r="L278" i="2"/>
  <c r="K278" i="2"/>
  <c r="J278" i="2"/>
  <c r="I278" i="2"/>
  <c r="H278" i="2"/>
  <c r="G278" i="2"/>
  <c r="M277" i="2"/>
  <c r="L277" i="2"/>
  <c r="K277" i="2"/>
  <c r="J277" i="2"/>
  <c r="I277" i="2"/>
  <c r="H277" i="2"/>
  <c r="G277" i="2"/>
  <c r="M276" i="2"/>
  <c r="L276" i="2"/>
  <c r="K276" i="2"/>
  <c r="J276" i="2"/>
  <c r="I276" i="2"/>
  <c r="H276" i="2"/>
  <c r="G276" i="2"/>
  <c r="M275" i="2"/>
  <c r="L275" i="2"/>
  <c r="K275" i="2"/>
  <c r="J275" i="2"/>
  <c r="I275" i="2"/>
  <c r="H275" i="2"/>
  <c r="G275" i="2"/>
  <c r="M274" i="2"/>
  <c r="L274" i="2"/>
  <c r="K274" i="2"/>
  <c r="J274" i="2"/>
  <c r="I274" i="2"/>
  <c r="H274" i="2"/>
  <c r="G274" i="2"/>
  <c r="M273" i="2"/>
  <c r="L273" i="2"/>
  <c r="K273" i="2"/>
  <c r="J273" i="2"/>
  <c r="I273" i="2"/>
  <c r="H273" i="2"/>
  <c r="G273" i="2"/>
  <c r="M272" i="2"/>
  <c r="L272" i="2"/>
  <c r="K272" i="2"/>
  <c r="J272" i="2"/>
  <c r="I272" i="2"/>
  <c r="H272" i="2"/>
  <c r="G272" i="2"/>
  <c r="M271" i="2"/>
  <c r="L271" i="2"/>
  <c r="K271" i="2"/>
  <c r="J271" i="2"/>
  <c r="I271" i="2"/>
  <c r="H271" i="2"/>
  <c r="G271" i="2"/>
  <c r="M270" i="2"/>
  <c r="L270" i="2"/>
  <c r="K270" i="2"/>
  <c r="J270" i="2"/>
  <c r="I270" i="2"/>
  <c r="H270" i="2"/>
  <c r="G270" i="2"/>
  <c r="M269" i="2"/>
  <c r="L269" i="2"/>
  <c r="K269" i="2"/>
  <c r="J269" i="2"/>
  <c r="I269" i="2"/>
  <c r="H269" i="2"/>
  <c r="G269" i="2"/>
  <c r="M268" i="2"/>
  <c r="L268" i="2"/>
  <c r="K268" i="2"/>
  <c r="J268" i="2"/>
  <c r="I268" i="2"/>
  <c r="H268" i="2"/>
  <c r="G268" i="2"/>
  <c r="M267" i="2"/>
  <c r="L267" i="2"/>
  <c r="K267" i="2"/>
  <c r="J267" i="2"/>
  <c r="I267" i="2"/>
  <c r="H267" i="2"/>
  <c r="G267" i="2"/>
  <c r="M266" i="2"/>
  <c r="L266" i="2"/>
  <c r="K266" i="2"/>
  <c r="J266" i="2"/>
  <c r="I266" i="2"/>
  <c r="H266" i="2"/>
  <c r="G266" i="2"/>
  <c r="M265" i="2"/>
  <c r="L265" i="2"/>
  <c r="K265" i="2"/>
  <c r="J265" i="2"/>
  <c r="I265" i="2"/>
  <c r="H265" i="2"/>
  <c r="G265" i="2"/>
  <c r="M264" i="2"/>
  <c r="L264" i="2"/>
  <c r="K264" i="2"/>
  <c r="J264" i="2"/>
  <c r="I264" i="2"/>
  <c r="H264" i="2"/>
  <c r="G264" i="2"/>
  <c r="M263" i="2"/>
  <c r="L263" i="2"/>
  <c r="K263" i="2"/>
  <c r="J263" i="2"/>
  <c r="I263" i="2"/>
  <c r="H263" i="2"/>
  <c r="G263" i="2"/>
  <c r="M262" i="2"/>
  <c r="L262" i="2"/>
  <c r="K262" i="2"/>
  <c r="J262" i="2"/>
  <c r="I262" i="2"/>
  <c r="H262" i="2"/>
  <c r="G262" i="2"/>
  <c r="M261" i="2"/>
  <c r="L261" i="2"/>
  <c r="K261" i="2"/>
  <c r="J261" i="2"/>
  <c r="I261" i="2"/>
  <c r="H261" i="2"/>
  <c r="G261" i="2"/>
  <c r="M260" i="2"/>
  <c r="L260" i="2"/>
  <c r="K260" i="2"/>
  <c r="J260" i="2"/>
  <c r="I260" i="2"/>
  <c r="H260" i="2"/>
  <c r="G260" i="2"/>
  <c r="M259" i="2"/>
  <c r="L259" i="2"/>
  <c r="K259" i="2"/>
  <c r="J259" i="2"/>
  <c r="I259" i="2"/>
  <c r="H259" i="2"/>
  <c r="G259" i="2"/>
  <c r="M258" i="2"/>
  <c r="L258" i="2"/>
  <c r="K258" i="2"/>
  <c r="J258" i="2"/>
  <c r="I258" i="2"/>
  <c r="H258" i="2"/>
  <c r="G258" i="2"/>
  <c r="M257" i="2"/>
  <c r="L257" i="2"/>
  <c r="K257" i="2"/>
  <c r="J257" i="2"/>
  <c r="I257" i="2"/>
  <c r="H257" i="2"/>
  <c r="G257" i="2"/>
  <c r="M256" i="2"/>
  <c r="L256" i="2"/>
  <c r="K256" i="2"/>
  <c r="J256" i="2"/>
  <c r="I256" i="2"/>
  <c r="H256" i="2"/>
  <c r="G256" i="2"/>
  <c r="M255" i="2"/>
  <c r="L255" i="2"/>
  <c r="K255" i="2"/>
  <c r="J255" i="2"/>
  <c r="I255" i="2"/>
  <c r="H255" i="2"/>
  <c r="G255" i="2"/>
  <c r="M254" i="2"/>
  <c r="L254" i="2"/>
  <c r="K254" i="2"/>
  <c r="J254" i="2"/>
  <c r="I254" i="2"/>
  <c r="G254" i="2"/>
  <c r="M253" i="2"/>
  <c r="L253" i="2"/>
  <c r="K253" i="2"/>
  <c r="J253" i="2"/>
  <c r="I253" i="2"/>
  <c r="H253" i="2"/>
  <c r="G253" i="2"/>
  <c r="M252" i="2"/>
  <c r="L252" i="2"/>
  <c r="K252" i="2"/>
  <c r="J252" i="2"/>
  <c r="I252" i="2"/>
  <c r="H252" i="2"/>
  <c r="G252" i="2"/>
  <c r="M251" i="2"/>
  <c r="L251" i="2"/>
  <c r="K251" i="2"/>
  <c r="J251" i="2"/>
  <c r="I251" i="2"/>
  <c r="H251" i="2"/>
  <c r="G251" i="2"/>
  <c r="M250" i="2"/>
  <c r="L250" i="2"/>
  <c r="K250" i="2"/>
  <c r="J250" i="2"/>
  <c r="I250" i="2"/>
  <c r="H250" i="2"/>
  <c r="G250" i="2"/>
  <c r="M249" i="2"/>
  <c r="L249" i="2"/>
  <c r="K249" i="2"/>
  <c r="J249" i="2"/>
  <c r="I249" i="2"/>
  <c r="H249" i="2"/>
  <c r="G249" i="2"/>
  <c r="M248" i="2"/>
  <c r="L248" i="2"/>
  <c r="K248" i="2"/>
  <c r="J248" i="2"/>
  <c r="I248" i="2"/>
  <c r="H248" i="2"/>
  <c r="G248" i="2"/>
  <c r="M247" i="2"/>
  <c r="L247" i="2"/>
  <c r="K247" i="2"/>
  <c r="J247" i="2"/>
  <c r="I247" i="2"/>
  <c r="H247" i="2"/>
  <c r="G247" i="2"/>
  <c r="M246" i="2"/>
  <c r="L246" i="2"/>
  <c r="K246" i="2"/>
  <c r="J246" i="2"/>
  <c r="I246" i="2"/>
  <c r="H246" i="2"/>
  <c r="G246" i="2"/>
  <c r="M245" i="2"/>
  <c r="L245" i="2"/>
  <c r="K245" i="2"/>
  <c r="J245" i="2"/>
  <c r="I245" i="2"/>
  <c r="H245" i="2"/>
  <c r="G245" i="2"/>
  <c r="M244" i="2"/>
  <c r="L244" i="2"/>
  <c r="K244" i="2"/>
  <c r="J244" i="2"/>
  <c r="I244" i="2"/>
  <c r="H244" i="2"/>
  <c r="G244" i="2"/>
  <c r="M243" i="2"/>
  <c r="L243" i="2"/>
  <c r="K243" i="2"/>
  <c r="J243" i="2"/>
  <c r="I243" i="2"/>
  <c r="H243" i="2"/>
  <c r="G243" i="2"/>
  <c r="M242" i="2"/>
  <c r="L242" i="2"/>
  <c r="K242" i="2"/>
  <c r="J242" i="2"/>
  <c r="I242" i="2"/>
  <c r="H242" i="2"/>
  <c r="G242" i="2"/>
  <c r="M241" i="2"/>
  <c r="L241" i="2"/>
  <c r="K241" i="2"/>
  <c r="J241" i="2"/>
  <c r="I241" i="2"/>
  <c r="H241" i="2"/>
  <c r="G241" i="2"/>
  <c r="M240" i="2"/>
  <c r="L240" i="2"/>
  <c r="K240" i="2"/>
  <c r="J240" i="2"/>
  <c r="I240" i="2"/>
  <c r="H240" i="2"/>
  <c r="G240" i="2"/>
  <c r="M239" i="2"/>
  <c r="L239" i="2"/>
  <c r="K239" i="2"/>
  <c r="J239" i="2"/>
  <c r="I239" i="2"/>
  <c r="H239" i="2"/>
  <c r="G239" i="2"/>
  <c r="M238" i="2"/>
  <c r="L238" i="2"/>
  <c r="K238" i="2"/>
  <c r="J238" i="2"/>
  <c r="I238" i="2"/>
  <c r="H238" i="2"/>
  <c r="G238" i="2"/>
  <c r="M237" i="2"/>
  <c r="L237" i="2"/>
  <c r="K237" i="2"/>
  <c r="J237" i="2"/>
  <c r="I237" i="2"/>
  <c r="H237" i="2"/>
  <c r="G237" i="2"/>
  <c r="M236" i="2"/>
  <c r="L236" i="2"/>
  <c r="K236" i="2"/>
  <c r="J236" i="2"/>
  <c r="I236" i="2"/>
  <c r="H236" i="2"/>
  <c r="G236" i="2"/>
  <c r="M235" i="2"/>
  <c r="L235" i="2"/>
  <c r="K235" i="2"/>
  <c r="J235" i="2"/>
  <c r="I235" i="2"/>
  <c r="H235" i="2"/>
  <c r="G235" i="2"/>
  <c r="M234" i="2"/>
  <c r="L234" i="2"/>
  <c r="K234" i="2"/>
  <c r="J234" i="2"/>
  <c r="I234" i="2"/>
  <c r="H234" i="2"/>
  <c r="G234" i="2"/>
  <c r="M233" i="2"/>
  <c r="L233" i="2"/>
  <c r="K233" i="2"/>
  <c r="J233" i="2"/>
  <c r="I233" i="2"/>
  <c r="H233" i="2"/>
  <c r="G233" i="2"/>
  <c r="M232" i="2"/>
  <c r="L232" i="2"/>
  <c r="K232" i="2"/>
  <c r="J232" i="2"/>
  <c r="I232" i="2"/>
  <c r="H232" i="2"/>
  <c r="G232" i="2"/>
  <c r="M231" i="2"/>
  <c r="L231" i="2"/>
  <c r="K231" i="2"/>
  <c r="J231" i="2"/>
  <c r="I231" i="2"/>
  <c r="H231" i="2"/>
  <c r="G231" i="2"/>
  <c r="M230" i="2"/>
  <c r="L230" i="2"/>
  <c r="K230" i="2"/>
  <c r="J230" i="2"/>
  <c r="I230" i="2"/>
  <c r="H230" i="2"/>
  <c r="G230" i="2"/>
  <c r="M229" i="2"/>
  <c r="L229" i="2"/>
  <c r="K229" i="2"/>
  <c r="J229" i="2"/>
  <c r="I229" i="2"/>
  <c r="H229" i="2"/>
  <c r="G229" i="2"/>
  <c r="M228" i="2"/>
  <c r="L228" i="2"/>
  <c r="K228" i="2"/>
  <c r="J228" i="2"/>
  <c r="I228" i="2"/>
  <c r="H228" i="2"/>
  <c r="G228" i="2"/>
  <c r="M227" i="2"/>
  <c r="L227" i="2"/>
  <c r="K227" i="2"/>
  <c r="J227" i="2"/>
  <c r="I227" i="2"/>
  <c r="H227" i="2"/>
  <c r="G227" i="2"/>
  <c r="M226" i="2"/>
  <c r="L226" i="2"/>
  <c r="K226" i="2"/>
  <c r="J226" i="2"/>
  <c r="I226" i="2"/>
  <c r="H226" i="2"/>
  <c r="G226" i="2"/>
  <c r="M225" i="2"/>
  <c r="L225" i="2"/>
  <c r="K225" i="2"/>
  <c r="J225" i="2"/>
  <c r="I225" i="2"/>
  <c r="H225" i="2"/>
  <c r="G225" i="2"/>
  <c r="M224" i="2"/>
  <c r="L224" i="2"/>
  <c r="K224" i="2"/>
  <c r="J224" i="2"/>
  <c r="I224" i="2"/>
  <c r="H224" i="2"/>
  <c r="G224" i="2"/>
  <c r="M223" i="2"/>
  <c r="L223" i="2"/>
  <c r="K223" i="2"/>
  <c r="J223" i="2"/>
  <c r="I223" i="2"/>
  <c r="H223" i="2"/>
  <c r="G223" i="2"/>
  <c r="M222" i="2"/>
  <c r="L222" i="2"/>
  <c r="K222" i="2"/>
  <c r="J222" i="2"/>
  <c r="I222" i="2"/>
  <c r="H222" i="2"/>
  <c r="G222" i="2"/>
  <c r="M221" i="2"/>
  <c r="L221" i="2"/>
  <c r="K221" i="2"/>
  <c r="J221" i="2"/>
  <c r="I221" i="2"/>
  <c r="H221" i="2"/>
  <c r="G221" i="2"/>
  <c r="M220" i="2"/>
  <c r="L220" i="2"/>
  <c r="K220" i="2"/>
  <c r="J220" i="2"/>
  <c r="I220" i="2"/>
  <c r="H220" i="2"/>
  <c r="G220" i="2"/>
  <c r="M219" i="2"/>
  <c r="L219" i="2"/>
  <c r="K219" i="2"/>
  <c r="J219" i="2"/>
  <c r="I219" i="2"/>
  <c r="H219" i="2"/>
  <c r="G219" i="2"/>
  <c r="M218" i="2"/>
  <c r="L218" i="2"/>
  <c r="K218" i="2"/>
  <c r="J218" i="2"/>
  <c r="I218" i="2"/>
  <c r="H218" i="2"/>
  <c r="G218" i="2"/>
  <c r="M217" i="2"/>
  <c r="L217" i="2"/>
  <c r="K217" i="2"/>
  <c r="J217" i="2"/>
  <c r="I217" i="2"/>
  <c r="H217" i="2"/>
  <c r="G217" i="2"/>
  <c r="M216" i="2"/>
  <c r="L216" i="2"/>
  <c r="K216" i="2"/>
  <c r="J216" i="2"/>
  <c r="I216" i="2"/>
  <c r="H216" i="2"/>
  <c r="G216" i="2"/>
  <c r="M215" i="2"/>
  <c r="L215" i="2"/>
  <c r="K215" i="2"/>
  <c r="J215" i="2"/>
  <c r="I215" i="2"/>
  <c r="H215" i="2"/>
  <c r="G215" i="2"/>
  <c r="M214" i="2"/>
  <c r="L214" i="2"/>
  <c r="K214" i="2"/>
  <c r="J214" i="2"/>
  <c r="I214" i="2"/>
  <c r="H214" i="2"/>
  <c r="G214" i="2"/>
  <c r="M213" i="2"/>
  <c r="L213" i="2"/>
  <c r="K213" i="2"/>
  <c r="J213" i="2"/>
  <c r="I213" i="2"/>
  <c r="H213" i="2"/>
  <c r="G213" i="2"/>
  <c r="M212" i="2"/>
  <c r="L212" i="2"/>
  <c r="K212" i="2"/>
  <c r="J212" i="2"/>
  <c r="I212" i="2"/>
  <c r="H212" i="2"/>
  <c r="G212" i="2"/>
  <c r="M211" i="2"/>
  <c r="L211" i="2"/>
  <c r="K211" i="2"/>
  <c r="J211" i="2"/>
  <c r="I211" i="2"/>
  <c r="H211" i="2"/>
  <c r="G211" i="2"/>
  <c r="M210" i="2"/>
  <c r="L210" i="2"/>
  <c r="K210" i="2"/>
  <c r="J210" i="2"/>
  <c r="I210" i="2"/>
  <c r="H210" i="2"/>
  <c r="G210" i="2"/>
  <c r="M209" i="2"/>
  <c r="L209" i="2"/>
  <c r="K209" i="2"/>
  <c r="J209" i="2"/>
  <c r="I209" i="2"/>
  <c r="H209" i="2"/>
  <c r="G209" i="2"/>
  <c r="M208" i="2"/>
  <c r="L208" i="2"/>
  <c r="K208" i="2"/>
  <c r="J208" i="2"/>
  <c r="I208" i="2"/>
  <c r="H208" i="2"/>
  <c r="G208" i="2"/>
  <c r="M207" i="2"/>
  <c r="L207" i="2"/>
  <c r="K207" i="2"/>
  <c r="J207" i="2"/>
  <c r="I207" i="2"/>
  <c r="H207" i="2"/>
  <c r="G207" i="2"/>
  <c r="M206" i="2"/>
  <c r="L206" i="2"/>
  <c r="K206" i="2"/>
  <c r="J206" i="2"/>
  <c r="I206" i="2"/>
  <c r="H206" i="2"/>
  <c r="G206" i="2"/>
  <c r="M205" i="2"/>
  <c r="L205" i="2"/>
  <c r="K205" i="2"/>
  <c r="J205" i="2"/>
  <c r="I205" i="2"/>
  <c r="H205" i="2"/>
  <c r="G205" i="2"/>
  <c r="M204" i="2"/>
  <c r="L204" i="2"/>
  <c r="K204" i="2"/>
  <c r="J204" i="2"/>
  <c r="I204" i="2"/>
  <c r="H204" i="2"/>
  <c r="G204" i="2"/>
  <c r="M203" i="2"/>
  <c r="L203" i="2"/>
  <c r="K203" i="2"/>
  <c r="J203" i="2"/>
  <c r="I203" i="2"/>
  <c r="H203" i="2"/>
  <c r="G203" i="2"/>
  <c r="M202" i="2"/>
  <c r="L202" i="2"/>
  <c r="K202" i="2"/>
  <c r="J202" i="2"/>
  <c r="I202" i="2"/>
  <c r="H202" i="2"/>
  <c r="G202" i="2"/>
  <c r="M201" i="2"/>
  <c r="L201" i="2"/>
  <c r="K201" i="2"/>
  <c r="J201" i="2"/>
  <c r="I201" i="2"/>
  <c r="H201" i="2"/>
  <c r="G201" i="2"/>
  <c r="M200" i="2"/>
  <c r="L200" i="2"/>
  <c r="K200" i="2"/>
  <c r="J200" i="2"/>
  <c r="I200" i="2"/>
  <c r="H200" i="2"/>
  <c r="G200" i="2"/>
  <c r="M199" i="2"/>
  <c r="L199" i="2"/>
  <c r="K199" i="2"/>
  <c r="J199" i="2"/>
  <c r="I199" i="2"/>
  <c r="H199" i="2"/>
  <c r="G199" i="2"/>
  <c r="M198" i="2"/>
  <c r="L198" i="2"/>
  <c r="K198" i="2"/>
  <c r="J198" i="2"/>
  <c r="I198" i="2"/>
  <c r="H198" i="2"/>
  <c r="G198" i="2"/>
  <c r="M197" i="2"/>
  <c r="L197" i="2"/>
  <c r="K197" i="2"/>
  <c r="J197" i="2"/>
  <c r="I197" i="2"/>
  <c r="H197" i="2"/>
  <c r="G197" i="2"/>
  <c r="M196" i="2"/>
  <c r="L196" i="2"/>
  <c r="K196" i="2"/>
  <c r="J196" i="2"/>
  <c r="I196" i="2"/>
  <c r="H196" i="2"/>
  <c r="G196" i="2"/>
  <c r="M195" i="2"/>
  <c r="L195" i="2"/>
  <c r="K195" i="2"/>
  <c r="J195" i="2"/>
  <c r="I195" i="2"/>
  <c r="H195" i="2"/>
  <c r="G195" i="2"/>
  <c r="M194" i="2"/>
  <c r="L194" i="2"/>
  <c r="K194" i="2"/>
  <c r="J194" i="2"/>
  <c r="I194" i="2"/>
  <c r="H194" i="2"/>
  <c r="G194" i="2"/>
  <c r="M193" i="2"/>
  <c r="L193" i="2"/>
  <c r="K193" i="2"/>
  <c r="J193" i="2"/>
  <c r="I193" i="2"/>
  <c r="H193" i="2"/>
  <c r="G193" i="2"/>
  <c r="M192" i="2"/>
  <c r="L192" i="2"/>
  <c r="K192" i="2"/>
  <c r="J192" i="2"/>
  <c r="I192" i="2"/>
  <c r="H192" i="2"/>
  <c r="G192" i="2"/>
  <c r="M191" i="2"/>
  <c r="L191" i="2"/>
  <c r="K191" i="2"/>
  <c r="J191" i="2"/>
  <c r="I191" i="2"/>
  <c r="H191" i="2"/>
  <c r="G191" i="2"/>
  <c r="M190" i="2"/>
  <c r="L190" i="2"/>
  <c r="K190" i="2"/>
  <c r="J190" i="2"/>
  <c r="I190" i="2"/>
  <c r="H190" i="2"/>
  <c r="G190" i="2"/>
  <c r="M189" i="2"/>
  <c r="L189" i="2"/>
  <c r="K189" i="2"/>
  <c r="J189" i="2"/>
  <c r="I189" i="2"/>
  <c r="H189" i="2"/>
  <c r="G189" i="2"/>
  <c r="M188" i="2"/>
  <c r="L188" i="2"/>
  <c r="K188" i="2"/>
  <c r="J188" i="2"/>
  <c r="I188" i="2"/>
  <c r="H188" i="2"/>
  <c r="G188" i="2"/>
  <c r="M187" i="2"/>
  <c r="L187" i="2"/>
  <c r="K187" i="2"/>
  <c r="J187" i="2"/>
  <c r="I187" i="2"/>
  <c r="H187" i="2"/>
  <c r="G187" i="2"/>
  <c r="M186" i="2"/>
  <c r="L186" i="2"/>
  <c r="K186" i="2"/>
  <c r="J186" i="2"/>
  <c r="I186" i="2"/>
  <c r="H186" i="2"/>
  <c r="G186" i="2"/>
  <c r="M185" i="2"/>
  <c r="L185" i="2"/>
  <c r="K185" i="2"/>
  <c r="J185" i="2"/>
  <c r="I185" i="2"/>
  <c r="H185" i="2"/>
  <c r="G185" i="2"/>
  <c r="M184" i="2"/>
  <c r="L184" i="2"/>
  <c r="K184" i="2"/>
  <c r="J184" i="2"/>
  <c r="I184" i="2"/>
  <c r="H184" i="2"/>
  <c r="G184" i="2"/>
  <c r="M183" i="2"/>
  <c r="L183" i="2"/>
  <c r="K183" i="2"/>
  <c r="J183" i="2"/>
  <c r="I183" i="2"/>
  <c r="H183" i="2"/>
  <c r="G183" i="2"/>
  <c r="M182" i="2"/>
  <c r="L182" i="2"/>
  <c r="K182" i="2"/>
  <c r="J182" i="2"/>
  <c r="I182" i="2"/>
  <c r="H182" i="2"/>
  <c r="G182" i="2"/>
  <c r="M181" i="2"/>
  <c r="L181" i="2"/>
  <c r="K181" i="2"/>
  <c r="J181" i="2"/>
  <c r="I181" i="2"/>
  <c r="H181" i="2"/>
  <c r="G181" i="2"/>
  <c r="M180" i="2"/>
  <c r="L180" i="2"/>
  <c r="K180" i="2"/>
  <c r="J180" i="2"/>
  <c r="I180" i="2"/>
  <c r="H180" i="2"/>
  <c r="G180" i="2"/>
  <c r="M179" i="2"/>
  <c r="L179" i="2"/>
  <c r="K179" i="2"/>
  <c r="J179" i="2"/>
  <c r="I179" i="2"/>
  <c r="H179" i="2"/>
  <c r="G179" i="2"/>
  <c r="M178" i="2"/>
  <c r="L178" i="2"/>
  <c r="K178" i="2"/>
  <c r="J178" i="2"/>
  <c r="I178" i="2"/>
  <c r="H178" i="2"/>
  <c r="G178" i="2"/>
  <c r="M177" i="2"/>
  <c r="L177" i="2"/>
  <c r="K177" i="2"/>
  <c r="J177" i="2"/>
  <c r="I177" i="2"/>
  <c r="H177" i="2"/>
  <c r="G177" i="2"/>
  <c r="M176" i="2"/>
  <c r="L176" i="2"/>
  <c r="K176" i="2"/>
  <c r="J176" i="2"/>
  <c r="I176" i="2"/>
  <c r="H176" i="2"/>
  <c r="G176" i="2"/>
  <c r="M175" i="2"/>
  <c r="L175" i="2"/>
  <c r="K175" i="2"/>
  <c r="J175" i="2"/>
  <c r="I175" i="2"/>
  <c r="H175" i="2"/>
  <c r="G175" i="2"/>
  <c r="M174" i="2"/>
  <c r="L174" i="2"/>
  <c r="K174" i="2"/>
  <c r="J174" i="2"/>
  <c r="I174" i="2"/>
  <c r="H174" i="2"/>
  <c r="G174" i="2"/>
  <c r="M173" i="2"/>
  <c r="L173" i="2"/>
  <c r="K173" i="2"/>
  <c r="J173" i="2"/>
  <c r="I173" i="2"/>
  <c r="H173" i="2"/>
  <c r="G173" i="2"/>
  <c r="M172" i="2"/>
  <c r="L172" i="2"/>
  <c r="K172" i="2"/>
  <c r="J172" i="2"/>
  <c r="I172" i="2"/>
  <c r="H172" i="2"/>
  <c r="G172" i="2"/>
  <c r="M171" i="2"/>
  <c r="L171" i="2"/>
  <c r="K171" i="2"/>
  <c r="J171" i="2"/>
  <c r="I171" i="2"/>
  <c r="H171" i="2"/>
  <c r="G171" i="2"/>
  <c r="M170" i="2"/>
  <c r="L170" i="2"/>
  <c r="K170" i="2"/>
  <c r="J170" i="2"/>
  <c r="I170" i="2"/>
  <c r="H170" i="2"/>
  <c r="G170" i="2"/>
  <c r="M169" i="2"/>
  <c r="L169" i="2"/>
  <c r="K169" i="2"/>
  <c r="J169" i="2"/>
  <c r="I169" i="2"/>
  <c r="H169" i="2"/>
  <c r="G169" i="2"/>
  <c r="M168" i="2"/>
  <c r="L168" i="2"/>
  <c r="K168" i="2"/>
  <c r="J168" i="2"/>
  <c r="I168" i="2"/>
  <c r="H168" i="2"/>
  <c r="G168" i="2"/>
  <c r="M167" i="2"/>
  <c r="L167" i="2"/>
  <c r="K167" i="2"/>
  <c r="J167" i="2"/>
  <c r="I167" i="2"/>
  <c r="H167" i="2"/>
  <c r="G167" i="2"/>
  <c r="M166" i="2"/>
  <c r="L166" i="2"/>
  <c r="K166" i="2"/>
  <c r="J166" i="2"/>
  <c r="I166" i="2"/>
  <c r="H166" i="2"/>
  <c r="G166" i="2"/>
  <c r="M165" i="2"/>
  <c r="L165" i="2"/>
  <c r="K165" i="2"/>
  <c r="J165" i="2"/>
  <c r="I165" i="2"/>
  <c r="H165" i="2"/>
  <c r="G165" i="2"/>
  <c r="M164" i="2"/>
  <c r="L164" i="2"/>
  <c r="K164" i="2"/>
  <c r="J164" i="2"/>
  <c r="I164" i="2"/>
  <c r="H164" i="2"/>
  <c r="G164" i="2"/>
  <c r="M163" i="2"/>
  <c r="L163" i="2"/>
  <c r="K163" i="2"/>
  <c r="J163" i="2"/>
  <c r="I163" i="2"/>
  <c r="H163" i="2"/>
  <c r="G163" i="2"/>
  <c r="M162" i="2"/>
  <c r="L162" i="2"/>
  <c r="K162" i="2"/>
  <c r="J162" i="2"/>
  <c r="I162" i="2"/>
  <c r="H162" i="2"/>
  <c r="G162" i="2"/>
  <c r="M161" i="2"/>
  <c r="L161" i="2"/>
  <c r="K161" i="2"/>
  <c r="J161" i="2"/>
  <c r="I161" i="2"/>
  <c r="H161" i="2"/>
  <c r="G161" i="2"/>
  <c r="M160" i="2"/>
  <c r="L160" i="2"/>
  <c r="K160" i="2"/>
  <c r="J160" i="2"/>
  <c r="I160" i="2"/>
  <c r="H160" i="2"/>
  <c r="G160" i="2"/>
  <c r="M159" i="2"/>
  <c r="L159" i="2"/>
  <c r="K159" i="2"/>
  <c r="J159" i="2"/>
  <c r="I159" i="2"/>
  <c r="H159" i="2"/>
  <c r="G159" i="2"/>
  <c r="M158" i="2"/>
  <c r="L158" i="2"/>
  <c r="K158" i="2"/>
  <c r="J158" i="2"/>
  <c r="I158" i="2"/>
  <c r="H158" i="2"/>
  <c r="G158" i="2"/>
  <c r="M157" i="2"/>
  <c r="L157" i="2"/>
  <c r="K157" i="2"/>
  <c r="J157" i="2"/>
  <c r="I157" i="2"/>
  <c r="H157" i="2"/>
  <c r="G157" i="2"/>
  <c r="M156" i="2"/>
  <c r="L156" i="2"/>
  <c r="K156" i="2"/>
  <c r="J156" i="2"/>
  <c r="H156" i="2"/>
  <c r="G156" i="2"/>
  <c r="M155" i="2"/>
  <c r="L155" i="2"/>
  <c r="K155" i="2"/>
  <c r="J155" i="2"/>
  <c r="I155" i="2"/>
  <c r="H155" i="2"/>
  <c r="G155" i="2"/>
  <c r="M154" i="2"/>
  <c r="L154" i="2"/>
  <c r="K154" i="2"/>
  <c r="J154" i="2"/>
  <c r="I154" i="2"/>
  <c r="H154" i="2"/>
  <c r="G154" i="2"/>
  <c r="M153" i="2"/>
  <c r="L153" i="2"/>
  <c r="K153" i="2"/>
  <c r="J153" i="2"/>
  <c r="I153" i="2"/>
  <c r="H153" i="2"/>
  <c r="G153" i="2"/>
  <c r="M152" i="2"/>
  <c r="L152" i="2"/>
  <c r="K152" i="2"/>
  <c r="J152" i="2"/>
  <c r="I152" i="2"/>
  <c r="H152" i="2"/>
  <c r="G152" i="2"/>
  <c r="M151" i="2"/>
  <c r="L151" i="2"/>
  <c r="K151" i="2"/>
  <c r="J151" i="2"/>
  <c r="I151" i="2"/>
  <c r="H151" i="2"/>
  <c r="G151" i="2"/>
  <c r="M150" i="2"/>
  <c r="L150" i="2"/>
  <c r="K150" i="2"/>
  <c r="J150" i="2"/>
  <c r="I150" i="2"/>
  <c r="H150" i="2"/>
  <c r="G150" i="2"/>
  <c r="M149" i="2"/>
  <c r="L149" i="2"/>
  <c r="K149" i="2"/>
  <c r="J149" i="2"/>
  <c r="I149" i="2"/>
  <c r="H149" i="2"/>
  <c r="G149" i="2"/>
  <c r="M148" i="2"/>
  <c r="L148" i="2"/>
  <c r="K148" i="2"/>
  <c r="J148" i="2"/>
  <c r="I148" i="2"/>
  <c r="H148" i="2"/>
  <c r="G148" i="2"/>
  <c r="M147" i="2"/>
  <c r="L147" i="2"/>
  <c r="K147" i="2"/>
  <c r="J147" i="2"/>
  <c r="I147" i="2"/>
  <c r="H147" i="2"/>
  <c r="G147" i="2"/>
  <c r="M146" i="2"/>
  <c r="L146" i="2"/>
  <c r="K146" i="2"/>
  <c r="J146" i="2"/>
  <c r="I146" i="2"/>
  <c r="H146" i="2"/>
  <c r="G146" i="2"/>
  <c r="M145" i="2"/>
  <c r="L145" i="2"/>
  <c r="K145" i="2"/>
  <c r="J145" i="2"/>
  <c r="I145" i="2"/>
  <c r="H145" i="2"/>
  <c r="G145" i="2"/>
  <c r="M144" i="2"/>
  <c r="L144" i="2"/>
  <c r="K144" i="2"/>
  <c r="J144" i="2"/>
  <c r="I144" i="2"/>
  <c r="H144" i="2"/>
  <c r="G144" i="2"/>
  <c r="M143" i="2"/>
  <c r="L143" i="2"/>
  <c r="K143" i="2"/>
  <c r="J143" i="2"/>
  <c r="I143" i="2"/>
  <c r="H143" i="2"/>
  <c r="G143" i="2"/>
  <c r="M142" i="2"/>
  <c r="L142" i="2"/>
  <c r="K142" i="2"/>
  <c r="J142" i="2"/>
  <c r="I142" i="2"/>
  <c r="H142" i="2"/>
  <c r="G142" i="2"/>
  <c r="M141" i="2"/>
  <c r="L141" i="2"/>
  <c r="K141" i="2"/>
  <c r="J141" i="2"/>
  <c r="I141" i="2"/>
  <c r="H141" i="2"/>
  <c r="G141" i="2"/>
  <c r="M140" i="2"/>
  <c r="L140" i="2"/>
  <c r="K140" i="2"/>
  <c r="J140" i="2"/>
  <c r="I140" i="2"/>
  <c r="H140" i="2"/>
  <c r="G140" i="2"/>
  <c r="M139" i="2"/>
  <c r="L139" i="2"/>
  <c r="K139" i="2"/>
  <c r="J139" i="2"/>
  <c r="I139" i="2"/>
  <c r="H139" i="2"/>
  <c r="G139" i="2"/>
  <c r="M138" i="2"/>
  <c r="L138" i="2"/>
  <c r="K138" i="2"/>
  <c r="J138" i="2"/>
  <c r="I138" i="2"/>
  <c r="H138" i="2"/>
  <c r="G138" i="2"/>
  <c r="M137" i="2"/>
  <c r="L137" i="2"/>
  <c r="K137" i="2"/>
  <c r="J137" i="2"/>
  <c r="I137" i="2"/>
  <c r="H137" i="2"/>
  <c r="G137" i="2"/>
  <c r="M136" i="2"/>
  <c r="L136" i="2"/>
  <c r="K136" i="2"/>
  <c r="J136" i="2"/>
  <c r="I136" i="2"/>
  <c r="H136" i="2"/>
  <c r="G136" i="2"/>
  <c r="M135" i="2"/>
  <c r="L135" i="2"/>
  <c r="K135" i="2"/>
  <c r="J135" i="2"/>
  <c r="I135" i="2"/>
  <c r="H135" i="2"/>
  <c r="G135" i="2"/>
  <c r="M134" i="2"/>
  <c r="L134" i="2"/>
  <c r="K134" i="2"/>
  <c r="J134" i="2"/>
  <c r="I134" i="2"/>
  <c r="H134" i="2"/>
  <c r="G134" i="2"/>
  <c r="M133" i="2"/>
  <c r="L133" i="2"/>
  <c r="K133" i="2"/>
  <c r="J133" i="2"/>
  <c r="I133" i="2"/>
  <c r="H133" i="2"/>
  <c r="G133" i="2"/>
  <c r="M132" i="2"/>
  <c r="L132" i="2"/>
  <c r="K132" i="2"/>
  <c r="J132" i="2"/>
  <c r="I132" i="2"/>
  <c r="H132" i="2"/>
  <c r="G132" i="2"/>
  <c r="M131" i="2"/>
  <c r="L131" i="2"/>
  <c r="K131" i="2"/>
  <c r="J131" i="2"/>
  <c r="I131" i="2"/>
  <c r="H131" i="2"/>
  <c r="G131" i="2"/>
  <c r="M130" i="2"/>
  <c r="L130" i="2"/>
  <c r="K130" i="2"/>
  <c r="J130" i="2"/>
  <c r="I130" i="2"/>
  <c r="H130" i="2"/>
  <c r="G130" i="2"/>
  <c r="M129" i="2"/>
  <c r="L129" i="2"/>
  <c r="K129" i="2"/>
  <c r="J129" i="2"/>
  <c r="I129" i="2"/>
  <c r="H129" i="2"/>
  <c r="G129" i="2"/>
  <c r="M128" i="2"/>
  <c r="L128" i="2"/>
  <c r="K128" i="2"/>
  <c r="J128" i="2"/>
  <c r="I128" i="2"/>
  <c r="H128" i="2"/>
  <c r="G128" i="2"/>
  <c r="M127" i="2"/>
  <c r="L127" i="2"/>
  <c r="K127" i="2"/>
  <c r="J127" i="2"/>
  <c r="I127" i="2"/>
  <c r="H127" i="2"/>
  <c r="G127" i="2"/>
  <c r="M126" i="2"/>
  <c r="L126" i="2"/>
  <c r="K126" i="2"/>
  <c r="J126" i="2"/>
  <c r="I126" i="2"/>
  <c r="H126" i="2"/>
  <c r="G126" i="2"/>
  <c r="M125" i="2"/>
  <c r="L125" i="2"/>
  <c r="K125" i="2"/>
  <c r="J125" i="2"/>
  <c r="I125" i="2"/>
  <c r="H125" i="2"/>
  <c r="G125" i="2"/>
  <c r="M124" i="2"/>
  <c r="L124" i="2"/>
  <c r="K124" i="2"/>
  <c r="J124" i="2"/>
  <c r="I124" i="2"/>
  <c r="H124" i="2"/>
  <c r="G124" i="2"/>
  <c r="M123" i="2"/>
  <c r="L123" i="2"/>
  <c r="K123" i="2"/>
  <c r="J123" i="2"/>
  <c r="I123" i="2"/>
  <c r="H123" i="2"/>
  <c r="G123" i="2"/>
  <c r="M122" i="2"/>
  <c r="L122" i="2"/>
  <c r="K122" i="2"/>
  <c r="J122" i="2"/>
  <c r="I122" i="2"/>
  <c r="H122" i="2"/>
  <c r="G122" i="2"/>
  <c r="M121" i="2"/>
  <c r="L121" i="2"/>
  <c r="K121" i="2"/>
  <c r="J121" i="2"/>
  <c r="I121" i="2"/>
  <c r="H121" i="2"/>
  <c r="G121" i="2"/>
  <c r="M120" i="2"/>
  <c r="L120" i="2"/>
  <c r="K120" i="2"/>
  <c r="J120" i="2"/>
  <c r="I120" i="2"/>
  <c r="H120" i="2"/>
  <c r="G120" i="2"/>
  <c r="M119" i="2"/>
  <c r="L119" i="2"/>
  <c r="K119" i="2"/>
  <c r="J119" i="2"/>
  <c r="I119" i="2"/>
  <c r="H119" i="2"/>
  <c r="G119" i="2"/>
  <c r="M118" i="2"/>
  <c r="L118" i="2"/>
  <c r="K118" i="2"/>
  <c r="J118" i="2"/>
  <c r="I118" i="2"/>
  <c r="H118" i="2"/>
  <c r="G118" i="2"/>
  <c r="M117" i="2"/>
  <c r="L117" i="2"/>
  <c r="K117" i="2"/>
  <c r="J117" i="2"/>
  <c r="I117" i="2"/>
  <c r="H117" i="2"/>
  <c r="G117" i="2"/>
  <c r="M116" i="2"/>
  <c r="L116" i="2"/>
  <c r="K116" i="2"/>
  <c r="J116" i="2"/>
  <c r="I116" i="2"/>
  <c r="H116" i="2"/>
  <c r="G116" i="2"/>
  <c r="M115" i="2"/>
  <c r="L115" i="2"/>
  <c r="K115" i="2"/>
  <c r="J115" i="2"/>
  <c r="I115" i="2"/>
  <c r="H115" i="2"/>
  <c r="G115" i="2"/>
  <c r="M114" i="2"/>
  <c r="L114" i="2"/>
  <c r="K114" i="2"/>
  <c r="J114" i="2"/>
  <c r="I114" i="2"/>
  <c r="H114" i="2"/>
  <c r="G114" i="2"/>
  <c r="M113" i="2"/>
  <c r="L113" i="2"/>
  <c r="K113" i="2"/>
  <c r="J113" i="2"/>
  <c r="I113" i="2"/>
  <c r="H113" i="2"/>
  <c r="G113" i="2"/>
  <c r="M112" i="2"/>
  <c r="L112" i="2"/>
  <c r="K112" i="2"/>
  <c r="J112" i="2"/>
  <c r="I112" i="2"/>
  <c r="H112" i="2"/>
  <c r="G112" i="2"/>
  <c r="M111" i="2"/>
  <c r="L111" i="2"/>
  <c r="K111" i="2"/>
  <c r="J111" i="2"/>
  <c r="I111" i="2"/>
  <c r="H111" i="2"/>
  <c r="G111" i="2"/>
  <c r="M110" i="2"/>
  <c r="L110" i="2"/>
  <c r="K110" i="2"/>
  <c r="J110" i="2"/>
  <c r="I110" i="2"/>
  <c r="H110" i="2"/>
  <c r="G110" i="2"/>
  <c r="M109" i="2"/>
  <c r="L109" i="2"/>
  <c r="K109" i="2"/>
  <c r="J109" i="2"/>
  <c r="I109" i="2"/>
  <c r="H109" i="2"/>
  <c r="G109" i="2"/>
  <c r="M108" i="2"/>
  <c r="L108" i="2"/>
  <c r="K108" i="2"/>
  <c r="J108" i="2"/>
  <c r="I108" i="2"/>
  <c r="H108" i="2"/>
  <c r="G108" i="2"/>
  <c r="M107" i="2"/>
  <c r="L107" i="2"/>
  <c r="K107" i="2"/>
  <c r="J107" i="2"/>
  <c r="I107" i="2"/>
  <c r="H107" i="2"/>
  <c r="G107" i="2"/>
  <c r="M106" i="2"/>
  <c r="L106" i="2"/>
  <c r="K106" i="2"/>
  <c r="J106" i="2"/>
  <c r="I106" i="2"/>
  <c r="H106" i="2"/>
  <c r="G106" i="2"/>
  <c r="M105" i="2"/>
  <c r="L105" i="2"/>
  <c r="K105" i="2"/>
  <c r="J105" i="2"/>
  <c r="I105" i="2"/>
  <c r="H105" i="2"/>
  <c r="G105" i="2"/>
  <c r="M104" i="2"/>
  <c r="L104" i="2"/>
  <c r="K104" i="2"/>
  <c r="J104" i="2"/>
  <c r="I104" i="2"/>
  <c r="H104" i="2"/>
  <c r="G104" i="2"/>
  <c r="M103" i="2"/>
  <c r="L103" i="2"/>
  <c r="K103" i="2"/>
  <c r="J103" i="2"/>
  <c r="I103" i="2"/>
  <c r="H103" i="2"/>
  <c r="G103" i="2"/>
  <c r="M102" i="2"/>
  <c r="L102" i="2"/>
  <c r="K102" i="2"/>
  <c r="J102" i="2"/>
  <c r="I102" i="2"/>
  <c r="H102" i="2"/>
  <c r="G102" i="2"/>
  <c r="M101" i="2"/>
  <c r="L101" i="2"/>
  <c r="K101" i="2"/>
  <c r="J101" i="2"/>
  <c r="I101" i="2"/>
  <c r="H101" i="2"/>
  <c r="G101" i="2"/>
  <c r="M100" i="2"/>
  <c r="L100" i="2"/>
  <c r="K100" i="2"/>
  <c r="J100" i="2"/>
  <c r="I100" i="2"/>
  <c r="H100" i="2"/>
  <c r="G100" i="2"/>
  <c r="M99" i="2"/>
  <c r="L99" i="2"/>
  <c r="K99" i="2"/>
  <c r="J99" i="2"/>
  <c r="I99" i="2"/>
  <c r="H99" i="2"/>
  <c r="G99" i="2"/>
  <c r="M98" i="2"/>
  <c r="L98" i="2"/>
  <c r="K98" i="2"/>
  <c r="J98" i="2"/>
  <c r="I98" i="2"/>
  <c r="H98" i="2"/>
  <c r="G98" i="2"/>
  <c r="M97" i="2"/>
  <c r="L97" i="2"/>
  <c r="K97" i="2"/>
  <c r="J97" i="2"/>
  <c r="I97" i="2"/>
  <c r="H97" i="2"/>
  <c r="G97" i="2"/>
  <c r="M96" i="2"/>
  <c r="L96" i="2"/>
  <c r="K96" i="2"/>
  <c r="J96" i="2"/>
  <c r="I96" i="2"/>
  <c r="H96" i="2"/>
  <c r="G96" i="2"/>
  <c r="M95" i="2"/>
  <c r="L95" i="2"/>
  <c r="K95" i="2"/>
  <c r="J95" i="2"/>
  <c r="I95" i="2"/>
  <c r="H95" i="2"/>
  <c r="G95" i="2"/>
  <c r="M94" i="2"/>
  <c r="L94" i="2"/>
  <c r="K94" i="2"/>
  <c r="J94" i="2"/>
  <c r="I94" i="2"/>
  <c r="H94" i="2"/>
  <c r="G94" i="2"/>
  <c r="M93" i="2"/>
  <c r="L93" i="2"/>
  <c r="K93" i="2"/>
  <c r="J93" i="2"/>
  <c r="I93" i="2"/>
  <c r="H93" i="2"/>
  <c r="G93" i="2"/>
  <c r="M92" i="2"/>
  <c r="L92" i="2"/>
  <c r="K92" i="2"/>
  <c r="J92" i="2"/>
  <c r="I92" i="2"/>
  <c r="H92" i="2"/>
  <c r="G92" i="2"/>
  <c r="M91" i="2"/>
  <c r="L91" i="2"/>
  <c r="K91" i="2"/>
  <c r="J91" i="2"/>
  <c r="I91" i="2"/>
  <c r="H91" i="2"/>
  <c r="G91" i="2"/>
  <c r="M90" i="2"/>
  <c r="L90" i="2"/>
  <c r="K90" i="2"/>
  <c r="J90" i="2"/>
  <c r="I90" i="2"/>
  <c r="H90" i="2"/>
  <c r="G90" i="2"/>
  <c r="M89" i="2"/>
  <c r="L89" i="2"/>
  <c r="K89" i="2"/>
  <c r="J89" i="2"/>
  <c r="I89" i="2"/>
  <c r="H89" i="2"/>
  <c r="G89" i="2"/>
  <c r="M88" i="2"/>
  <c r="L88" i="2"/>
  <c r="K88" i="2"/>
  <c r="J88" i="2"/>
  <c r="I88" i="2"/>
  <c r="H88" i="2"/>
  <c r="G88" i="2"/>
  <c r="M87" i="2"/>
  <c r="L87" i="2"/>
  <c r="K87" i="2"/>
  <c r="J87" i="2"/>
  <c r="I87" i="2"/>
  <c r="H87" i="2"/>
  <c r="G87" i="2"/>
  <c r="M86" i="2"/>
  <c r="L86" i="2"/>
  <c r="K86" i="2"/>
  <c r="J86" i="2"/>
  <c r="I86" i="2"/>
  <c r="H86" i="2"/>
  <c r="G86" i="2"/>
  <c r="M85" i="2"/>
  <c r="L85" i="2"/>
  <c r="K85" i="2"/>
  <c r="J85" i="2"/>
  <c r="I85" i="2"/>
  <c r="H85" i="2"/>
  <c r="G85" i="2"/>
  <c r="M84" i="2"/>
  <c r="L84" i="2"/>
  <c r="K84" i="2"/>
  <c r="J84" i="2"/>
  <c r="I84" i="2"/>
  <c r="H84" i="2"/>
  <c r="G84" i="2"/>
  <c r="M83" i="2"/>
  <c r="L83" i="2"/>
  <c r="K83" i="2"/>
  <c r="J83" i="2"/>
  <c r="I83" i="2"/>
  <c r="H83" i="2"/>
  <c r="G83" i="2"/>
  <c r="M82" i="2"/>
  <c r="L82" i="2"/>
  <c r="K82" i="2"/>
  <c r="J82" i="2"/>
  <c r="I82" i="2"/>
  <c r="H82" i="2"/>
  <c r="G82" i="2"/>
  <c r="M81" i="2"/>
  <c r="L81" i="2"/>
  <c r="K81" i="2"/>
  <c r="J81" i="2"/>
  <c r="I81" i="2"/>
  <c r="H81" i="2"/>
  <c r="G81" i="2"/>
  <c r="M80" i="2"/>
  <c r="L80" i="2"/>
  <c r="K80" i="2"/>
  <c r="J80" i="2"/>
  <c r="I80" i="2"/>
  <c r="H80" i="2"/>
  <c r="G80" i="2"/>
  <c r="M79" i="2"/>
  <c r="L79" i="2"/>
  <c r="K79" i="2"/>
  <c r="J79" i="2"/>
  <c r="I79" i="2"/>
  <c r="H79" i="2"/>
  <c r="G79" i="2"/>
  <c r="M78" i="2"/>
  <c r="L78" i="2"/>
  <c r="K78" i="2"/>
  <c r="J78" i="2"/>
  <c r="I78" i="2"/>
  <c r="H78" i="2"/>
  <c r="G78" i="2"/>
  <c r="M77" i="2"/>
  <c r="L77" i="2"/>
  <c r="K77" i="2"/>
  <c r="J77" i="2"/>
  <c r="I77" i="2"/>
  <c r="H77" i="2"/>
  <c r="G77" i="2"/>
  <c r="M76" i="2"/>
  <c r="L76" i="2"/>
  <c r="K76" i="2"/>
  <c r="J76" i="2"/>
  <c r="I76" i="2"/>
  <c r="H76" i="2"/>
  <c r="G76" i="2"/>
  <c r="M75" i="2"/>
  <c r="L75" i="2"/>
  <c r="K75" i="2"/>
  <c r="J75" i="2"/>
  <c r="I75" i="2"/>
  <c r="H75" i="2"/>
  <c r="G75" i="2"/>
  <c r="M74" i="2"/>
  <c r="L74" i="2"/>
  <c r="K74" i="2"/>
  <c r="J74" i="2"/>
  <c r="I74" i="2"/>
  <c r="H74" i="2"/>
  <c r="G74" i="2"/>
  <c r="M73" i="2"/>
  <c r="L73" i="2"/>
  <c r="K73" i="2"/>
  <c r="J73" i="2"/>
  <c r="I73" i="2"/>
  <c r="H73" i="2"/>
  <c r="G73" i="2"/>
  <c r="M72" i="2"/>
  <c r="L72" i="2"/>
  <c r="K72" i="2"/>
  <c r="J72" i="2"/>
  <c r="I72" i="2"/>
  <c r="H72" i="2"/>
  <c r="G72" i="2"/>
  <c r="M71" i="2"/>
  <c r="L71" i="2"/>
  <c r="K71" i="2"/>
  <c r="J71" i="2"/>
  <c r="I71" i="2"/>
  <c r="H71" i="2"/>
  <c r="G71" i="2"/>
  <c r="M70" i="2"/>
  <c r="L70" i="2"/>
  <c r="K70" i="2"/>
  <c r="J70" i="2"/>
  <c r="I70" i="2"/>
  <c r="H70" i="2"/>
  <c r="G70" i="2"/>
  <c r="M69" i="2"/>
  <c r="L69" i="2"/>
  <c r="K69" i="2"/>
  <c r="J69" i="2"/>
  <c r="I69" i="2"/>
  <c r="H69" i="2"/>
  <c r="G69" i="2"/>
  <c r="M68" i="2"/>
  <c r="L68" i="2"/>
  <c r="K68" i="2"/>
  <c r="J68" i="2"/>
  <c r="I68" i="2"/>
  <c r="H68" i="2"/>
  <c r="G68" i="2"/>
  <c r="M67" i="2"/>
  <c r="L67" i="2"/>
  <c r="K67" i="2"/>
  <c r="J67" i="2"/>
  <c r="I67" i="2"/>
  <c r="H67" i="2"/>
  <c r="G67" i="2"/>
  <c r="M66" i="2"/>
  <c r="L66" i="2"/>
  <c r="K66" i="2"/>
  <c r="J66" i="2"/>
  <c r="I66" i="2"/>
  <c r="H66" i="2"/>
  <c r="G66" i="2"/>
  <c r="M65" i="2"/>
  <c r="L65" i="2"/>
  <c r="K65" i="2"/>
  <c r="J65" i="2"/>
  <c r="I65" i="2"/>
  <c r="H65" i="2"/>
  <c r="G65" i="2"/>
  <c r="M64" i="2"/>
  <c r="L64" i="2"/>
  <c r="K64" i="2"/>
  <c r="J64" i="2"/>
  <c r="I64" i="2"/>
  <c r="H64" i="2"/>
  <c r="G64" i="2"/>
  <c r="M63" i="2"/>
  <c r="L63" i="2"/>
  <c r="K63" i="2"/>
  <c r="J63" i="2"/>
  <c r="I63" i="2"/>
  <c r="H63" i="2"/>
  <c r="G63" i="2"/>
  <c r="M62" i="2"/>
  <c r="L62" i="2"/>
  <c r="K62" i="2"/>
  <c r="J62" i="2"/>
  <c r="I62" i="2"/>
  <c r="H62" i="2"/>
  <c r="G62" i="2"/>
  <c r="M61" i="2"/>
  <c r="L61" i="2"/>
  <c r="K61" i="2"/>
  <c r="J61" i="2"/>
  <c r="I61" i="2"/>
  <c r="H61" i="2"/>
  <c r="G61" i="2"/>
  <c r="M60" i="2"/>
  <c r="L60" i="2"/>
  <c r="K60" i="2"/>
  <c r="J60" i="2"/>
  <c r="I60" i="2"/>
  <c r="H60" i="2"/>
  <c r="G60" i="2"/>
  <c r="M59" i="2"/>
  <c r="L59" i="2"/>
  <c r="K59" i="2"/>
  <c r="J59" i="2"/>
  <c r="I59" i="2"/>
  <c r="H59" i="2"/>
  <c r="G59" i="2"/>
  <c r="M58" i="2"/>
  <c r="L58" i="2"/>
  <c r="K58" i="2"/>
  <c r="J58" i="2"/>
  <c r="I58" i="2"/>
  <c r="G58" i="2"/>
  <c r="M57" i="2"/>
  <c r="L57" i="2"/>
  <c r="K57" i="2"/>
  <c r="J57" i="2"/>
  <c r="I57" i="2"/>
  <c r="H57" i="2"/>
  <c r="G57" i="2"/>
  <c r="M56" i="2"/>
  <c r="L56" i="2"/>
  <c r="K56" i="2"/>
  <c r="J56" i="2"/>
  <c r="I56" i="2"/>
  <c r="H56" i="2"/>
  <c r="G56" i="2"/>
  <c r="M55" i="2"/>
  <c r="L55" i="2"/>
  <c r="K55" i="2"/>
  <c r="J55" i="2"/>
  <c r="I55" i="2"/>
  <c r="H55" i="2"/>
  <c r="G55" i="2"/>
  <c r="M54" i="2"/>
  <c r="L54" i="2"/>
  <c r="K54" i="2"/>
  <c r="J54" i="2"/>
  <c r="I54" i="2"/>
  <c r="H54" i="2"/>
  <c r="G54" i="2"/>
  <c r="M53" i="2"/>
  <c r="L53" i="2"/>
  <c r="K53" i="2"/>
  <c r="J53" i="2"/>
  <c r="I53" i="2"/>
  <c r="H53" i="2"/>
  <c r="G53" i="2"/>
  <c r="M52" i="2"/>
  <c r="L52" i="2"/>
  <c r="K52" i="2"/>
  <c r="J52" i="2"/>
  <c r="I52" i="2"/>
  <c r="H52" i="2"/>
  <c r="G52" i="2"/>
  <c r="M51" i="2"/>
  <c r="L51" i="2"/>
  <c r="K51" i="2"/>
  <c r="J51" i="2"/>
  <c r="I51" i="2"/>
  <c r="H51" i="2"/>
  <c r="G51" i="2"/>
  <c r="M50" i="2"/>
  <c r="L50" i="2"/>
  <c r="K50" i="2"/>
  <c r="J50" i="2"/>
  <c r="I50" i="2"/>
  <c r="G50" i="2"/>
  <c r="M49" i="2"/>
  <c r="L49" i="2"/>
  <c r="K49" i="2"/>
  <c r="J49" i="2"/>
  <c r="I49" i="2"/>
  <c r="H49" i="2"/>
  <c r="G49" i="2"/>
  <c r="M48" i="2"/>
  <c r="L48" i="2"/>
  <c r="K48" i="2"/>
  <c r="J48" i="2"/>
  <c r="I48" i="2"/>
  <c r="H48" i="2"/>
  <c r="G48" i="2"/>
  <c r="M47" i="2"/>
  <c r="L47" i="2"/>
  <c r="K47" i="2"/>
  <c r="J47" i="2"/>
  <c r="I47" i="2"/>
  <c r="H47" i="2"/>
  <c r="G47" i="2"/>
  <c r="M46" i="2"/>
  <c r="L46" i="2"/>
  <c r="K46" i="2"/>
  <c r="J46" i="2"/>
  <c r="I46" i="2"/>
  <c r="H46" i="2"/>
  <c r="G46" i="2"/>
  <c r="M45" i="2"/>
  <c r="L45" i="2"/>
  <c r="K45" i="2"/>
  <c r="J45" i="2"/>
  <c r="I45" i="2"/>
  <c r="H45" i="2"/>
  <c r="G45" i="2"/>
  <c r="M44" i="2"/>
  <c r="L44" i="2"/>
  <c r="K44" i="2"/>
  <c r="J44" i="2"/>
  <c r="I44" i="2"/>
  <c r="H44" i="2"/>
  <c r="G44" i="2"/>
  <c r="M43" i="2"/>
  <c r="L43" i="2"/>
  <c r="K43" i="2"/>
  <c r="J43" i="2"/>
  <c r="I43" i="2"/>
  <c r="H43" i="2"/>
  <c r="G43" i="2"/>
  <c r="M42" i="2"/>
  <c r="L42" i="2"/>
  <c r="K42" i="2"/>
  <c r="J42" i="2"/>
  <c r="I42" i="2"/>
  <c r="H42" i="2"/>
  <c r="G42" i="2"/>
  <c r="M41" i="2"/>
  <c r="L41" i="2"/>
  <c r="K41" i="2"/>
  <c r="J41" i="2"/>
  <c r="I41" i="2"/>
  <c r="H41" i="2"/>
  <c r="G41" i="2"/>
  <c r="M40" i="2"/>
  <c r="L40" i="2"/>
  <c r="K40" i="2"/>
  <c r="J40" i="2"/>
  <c r="I40" i="2"/>
  <c r="H40" i="2"/>
  <c r="G40" i="2"/>
  <c r="M39" i="2"/>
  <c r="L39" i="2"/>
  <c r="K39" i="2"/>
  <c r="J39" i="2"/>
  <c r="I39" i="2"/>
  <c r="H39" i="2"/>
  <c r="G39" i="2"/>
  <c r="M38" i="2"/>
  <c r="L38" i="2"/>
  <c r="K38" i="2"/>
  <c r="J38" i="2"/>
  <c r="I38" i="2"/>
  <c r="H38" i="2"/>
  <c r="G38" i="2"/>
  <c r="M37" i="2"/>
  <c r="L37" i="2"/>
  <c r="K37" i="2"/>
  <c r="J37" i="2"/>
  <c r="I37" i="2"/>
  <c r="H37" i="2"/>
  <c r="G37" i="2"/>
  <c r="M36" i="2"/>
  <c r="L36" i="2"/>
  <c r="K36" i="2"/>
  <c r="J36" i="2"/>
  <c r="I36" i="2"/>
  <c r="H36" i="2"/>
  <c r="G36" i="2"/>
  <c r="M35" i="2"/>
  <c r="L35" i="2"/>
  <c r="K35" i="2"/>
  <c r="J35" i="2"/>
  <c r="I35" i="2"/>
  <c r="H35" i="2"/>
  <c r="G35" i="2"/>
  <c r="M34" i="2"/>
  <c r="L34" i="2"/>
  <c r="K34" i="2"/>
  <c r="J34" i="2"/>
  <c r="I34" i="2"/>
  <c r="H34" i="2"/>
  <c r="G34" i="2"/>
  <c r="M33" i="2"/>
  <c r="L33" i="2"/>
  <c r="K33" i="2"/>
  <c r="J33" i="2"/>
  <c r="I33" i="2"/>
  <c r="H33" i="2"/>
  <c r="G33" i="2"/>
  <c r="M32" i="2"/>
  <c r="L32" i="2"/>
  <c r="K32" i="2"/>
  <c r="J32" i="2"/>
  <c r="I32" i="2"/>
  <c r="H32" i="2"/>
  <c r="G32" i="2"/>
  <c r="M31" i="2"/>
  <c r="L31" i="2"/>
  <c r="K31" i="2"/>
  <c r="J31" i="2"/>
  <c r="I31" i="2"/>
  <c r="H31" i="2"/>
  <c r="G31" i="2"/>
  <c r="M30" i="2"/>
  <c r="L30" i="2"/>
  <c r="K30" i="2"/>
  <c r="J30" i="2"/>
  <c r="I30" i="2"/>
  <c r="H30" i="2"/>
  <c r="G30" i="2"/>
  <c r="M29" i="2"/>
  <c r="L29" i="2"/>
  <c r="K29" i="2"/>
  <c r="J29" i="2"/>
  <c r="I29" i="2"/>
  <c r="H29" i="2"/>
  <c r="G29" i="2"/>
  <c r="M28" i="2"/>
  <c r="L28" i="2"/>
  <c r="K28" i="2"/>
  <c r="J28" i="2"/>
  <c r="I28" i="2"/>
  <c r="H28" i="2"/>
  <c r="G28" i="2"/>
  <c r="M27" i="2"/>
  <c r="L27" i="2"/>
  <c r="K27" i="2"/>
  <c r="J27" i="2"/>
  <c r="I27" i="2"/>
  <c r="H27" i="2"/>
  <c r="G27" i="2"/>
  <c r="M26" i="2"/>
  <c r="L26" i="2"/>
  <c r="K26" i="2"/>
  <c r="J26" i="2"/>
  <c r="I26" i="2"/>
  <c r="H26" i="2"/>
  <c r="G26" i="2"/>
  <c r="M25" i="2"/>
  <c r="L25" i="2"/>
  <c r="K25" i="2"/>
  <c r="J25" i="2"/>
  <c r="I25" i="2"/>
  <c r="H25" i="2"/>
  <c r="G25" i="2"/>
  <c r="M24" i="2"/>
  <c r="L24" i="2"/>
  <c r="K24" i="2"/>
  <c r="J24" i="2"/>
  <c r="I24" i="2"/>
  <c r="H24" i="2"/>
  <c r="G24" i="2"/>
  <c r="M23" i="2"/>
  <c r="L23" i="2"/>
  <c r="K23" i="2"/>
  <c r="J23" i="2"/>
  <c r="I23" i="2"/>
  <c r="H23" i="2"/>
  <c r="G23" i="2"/>
  <c r="M22" i="2"/>
  <c r="L22" i="2"/>
  <c r="K22" i="2"/>
  <c r="J22" i="2"/>
  <c r="I22" i="2"/>
  <c r="H22" i="2"/>
  <c r="G22" i="2"/>
  <c r="M21" i="2"/>
  <c r="L21" i="2"/>
  <c r="K21" i="2"/>
  <c r="J21" i="2"/>
  <c r="I21" i="2"/>
  <c r="H21" i="2"/>
  <c r="G21" i="2"/>
  <c r="M20" i="2"/>
  <c r="L20" i="2"/>
  <c r="K20" i="2"/>
  <c r="J20" i="2"/>
  <c r="I20" i="2"/>
  <c r="H20" i="2"/>
  <c r="G20" i="2"/>
  <c r="M19" i="2"/>
  <c r="L19" i="2"/>
  <c r="K19" i="2"/>
  <c r="J19" i="2"/>
  <c r="I19" i="2"/>
  <c r="H19" i="2"/>
  <c r="G19" i="2"/>
  <c r="M18" i="2"/>
  <c r="L18" i="2"/>
  <c r="K18" i="2"/>
  <c r="J18" i="2"/>
  <c r="I18" i="2"/>
  <c r="H18" i="2"/>
  <c r="G18" i="2"/>
  <c r="M17" i="2"/>
  <c r="L17" i="2"/>
  <c r="K17" i="2"/>
  <c r="J17" i="2"/>
  <c r="I17" i="2"/>
  <c r="H17" i="2"/>
  <c r="G17" i="2"/>
  <c r="M16" i="2"/>
  <c r="L16" i="2"/>
  <c r="K16" i="2"/>
  <c r="J16" i="2"/>
  <c r="I16" i="2"/>
  <c r="H16" i="2"/>
  <c r="G16" i="2"/>
  <c r="M15" i="2"/>
  <c r="L15" i="2"/>
  <c r="K15" i="2"/>
  <c r="J15" i="2"/>
  <c r="I15" i="2"/>
  <c r="H15" i="2"/>
  <c r="G15" i="2"/>
  <c r="M14" i="2"/>
  <c r="L14" i="2"/>
  <c r="K14" i="2"/>
  <c r="J14" i="2"/>
  <c r="I14" i="2"/>
  <c r="H14" i="2"/>
  <c r="G14" i="2"/>
  <c r="M13" i="2"/>
  <c r="L13" i="2"/>
  <c r="K13" i="2"/>
  <c r="J13" i="2"/>
  <c r="I13" i="2"/>
  <c r="H13" i="2"/>
  <c r="G13" i="2"/>
  <c r="M12" i="2"/>
  <c r="L12" i="2"/>
  <c r="K12" i="2"/>
  <c r="J12" i="2"/>
  <c r="I12" i="2"/>
  <c r="H12" i="2"/>
  <c r="G12" i="2"/>
  <c r="M11" i="2"/>
  <c r="L11" i="2"/>
  <c r="K11" i="2"/>
  <c r="J11" i="2"/>
  <c r="I11" i="2"/>
  <c r="H11" i="2"/>
  <c r="G11" i="2"/>
  <c r="M10" i="2"/>
  <c r="L10" i="2"/>
  <c r="K10" i="2"/>
  <c r="J10" i="2"/>
  <c r="I10" i="2"/>
  <c r="H10" i="2"/>
  <c r="G10" i="2"/>
  <c r="M9" i="2"/>
  <c r="L9" i="2"/>
  <c r="K9" i="2"/>
  <c r="J9" i="2"/>
  <c r="I9" i="2"/>
  <c r="H9" i="2"/>
  <c r="G9" i="2"/>
  <c r="M8" i="2"/>
  <c r="L8" i="2"/>
  <c r="K8" i="2"/>
  <c r="J8" i="2"/>
  <c r="I8" i="2"/>
  <c r="H8" i="2"/>
  <c r="G8" i="2"/>
  <c r="M7" i="2"/>
  <c r="L7" i="2"/>
  <c r="K7" i="2"/>
  <c r="J7" i="2"/>
  <c r="I7" i="2"/>
  <c r="H7" i="2"/>
  <c r="G7" i="2"/>
  <c r="M6" i="2"/>
  <c r="L6" i="2"/>
  <c r="K6" i="2"/>
  <c r="J6" i="2"/>
  <c r="I6" i="2"/>
  <c r="H6" i="2"/>
  <c r="G6" i="2"/>
  <c r="M5" i="2"/>
  <c r="L5" i="2"/>
  <c r="K5" i="2"/>
  <c r="J5" i="2"/>
  <c r="I5" i="2"/>
  <c r="H5" i="2"/>
  <c r="G5" i="2"/>
  <c r="M4" i="2"/>
  <c r="L4" i="2"/>
  <c r="K4" i="2"/>
  <c r="J4" i="2"/>
  <c r="I4" i="2"/>
  <c r="H4" i="2"/>
  <c r="G4" i="2"/>
  <c r="M3" i="2"/>
  <c r="L3" i="2"/>
  <c r="K3" i="2"/>
  <c r="J3" i="2"/>
  <c r="I3" i="2"/>
  <c r="H3" i="2"/>
  <c r="G3" i="2"/>
  <c r="M2" i="2"/>
  <c r="L2" i="2"/>
  <c r="K2" i="2"/>
  <c r="J2" i="2"/>
  <c r="I2" i="2"/>
  <c r="H2" i="2"/>
  <c r="G2" i="2"/>
</calcChain>
</file>

<file path=xl/sharedStrings.xml><?xml version="1.0" encoding="utf-8"?>
<sst xmlns="http://schemas.openxmlformats.org/spreadsheetml/2006/main" count="3098" uniqueCount="823">
  <si>
    <t>09045 - PT. DAYA ANUGRAH MANDIRI</t>
  </si>
  <si>
    <t>REKAP KPB
09045-260404_1523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</si>
  <si>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</si>
  <si>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</si>
  <si>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</si>
  <si>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</si>
  <si>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</si>
  <si>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</si>
  <si>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</si>
  <si>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</si>
  <si>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</si>
  <si>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</si>
  <si>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</si>
  <si>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</si>
  <si>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</si>
  <si>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</si>
  <si>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ADV 160 SERIES</t>
  </si>
  <si>
    <t>09045-260404_1523</t>
  </si>
  <si>
    <t>6</t>
  </si>
  <si>
    <t>0</t>
  </si>
  <si>
    <t>7</t>
  </si>
  <si>
    <t>126,900</t>
  </si>
  <si>
    <t>315,330</t>
  </si>
  <si>
    <t>442,230</t>
  </si>
  <si>
    <t>Tidak</t>
  </si>
  <si>
    <t>2</t>
  </si>
  <si>
    <t>BEAT SERIES</t>
  </si>
  <si>
    <t>21</t>
  </si>
  <si>
    <t>11</t>
  </si>
  <si>
    <t>5</t>
  </si>
  <si>
    <t>4</t>
  </si>
  <si>
    <t>41</t>
  </si>
  <si>
    <t>760,080</t>
  </si>
  <si>
    <t>790,190</t>
  </si>
  <si>
    <t>1,550,270</t>
  </si>
  <si>
    <t>3</t>
  </si>
  <si>
    <t>CRF 150 SERIES</t>
  </si>
  <si>
    <t>17,200</t>
  </si>
  <si>
    <t>35,620</t>
  </si>
  <si>
    <t>52,820</t>
  </si>
  <si>
    <t>GENIO SERIES</t>
  </si>
  <si>
    <t>40,800</t>
  </si>
  <si>
    <t>74,580</t>
  </si>
  <si>
    <t>115,380</t>
  </si>
  <si>
    <t>PCX 160 SERIES</t>
  </si>
  <si>
    <t>22</t>
  </si>
  <si>
    <t>28</t>
  </si>
  <si>
    <t>531,800</t>
  </si>
  <si>
    <t>1,122,685</t>
  </si>
  <si>
    <t>1,654,485</t>
  </si>
  <si>
    <t>REVO SERIES</t>
  </si>
  <si>
    <t>126,000</t>
  </si>
  <si>
    <t>100,000</t>
  </si>
  <si>
    <t>226,000</t>
  </si>
  <si>
    <t>SCOOPY SERIES</t>
  </si>
  <si>
    <t>40</t>
  </si>
  <si>
    <t>20</t>
  </si>
  <si>
    <t>68</t>
  </si>
  <si>
    <t>1,090,080</t>
  </si>
  <si>
    <t>1,519,290</t>
  </si>
  <si>
    <t>2,609,370</t>
  </si>
  <si>
    <t>8</t>
  </si>
  <si>
    <t>STYLO 160 SERIES</t>
  </si>
  <si>
    <t>10</t>
  </si>
  <si>
    <t>16</t>
  </si>
  <si>
    <t>374,400</t>
  </si>
  <si>
    <t>436,800</t>
  </si>
  <si>
    <t>811,200</t>
  </si>
  <si>
    <t>9</t>
  </si>
  <si>
    <t>SUPRA 125 SERIES</t>
  </si>
  <si>
    <t>180,000</t>
  </si>
  <si>
    <t>188,000</t>
  </si>
  <si>
    <t>368,000</t>
  </si>
  <si>
    <t>VARIO 125 SERIES</t>
  </si>
  <si>
    <t>39</t>
  </si>
  <si>
    <t>12</t>
  </si>
  <si>
    <t>1,234,480</t>
  </si>
  <si>
    <t>1,719,560</t>
  </si>
  <si>
    <t>2,954,040</t>
  </si>
  <si>
    <t>VARIO 160 SERIES</t>
  </si>
  <si>
    <t>418,240</t>
  </si>
  <si>
    <t>462,000</t>
  </si>
  <si>
    <t>880,240</t>
  </si>
  <si>
    <t>VERZA SERIES</t>
  </si>
  <si>
    <t>13</t>
  </si>
  <si>
    <t>17</t>
  </si>
  <si>
    <t>443,500</t>
  </si>
  <si>
    <t>623,680</t>
  </si>
  <si>
    <t>1,067,180</t>
  </si>
  <si>
    <t>No Engine</t>
  </si>
  <si>
    <t>Service Ke-</t>
  </si>
  <si>
    <t>Tgl Beli</t>
  </si>
  <si>
    <t>Tgl Service</t>
  </si>
  <si>
    <t>Km</t>
  </si>
  <si>
    <t>Type</t>
  </si>
  <si>
    <t>MD</t>
  </si>
  <si>
    <t>KFF1E1018099</t>
  </si>
  <si>
    <t>14/02/2026</t>
  </si>
  <si>
    <t>02/03/2026</t>
  </si>
  <si>
    <t>701</t>
  </si>
  <si>
    <t>KFF1E1016377</t>
  </si>
  <si>
    <t>10/02/2026</t>
  </si>
  <si>
    <t>05/03/2026</t>
  </si>
  <si>
    <t>815</t>
  </si>
  <si>
    <t>KFF1E1018101</t>
  </si>
  <si>
    <t>23/02/2026</t>
  </si>
  <si>
    <t>06/03/2026</t>
  </si>
  <si>
    <t>93</t>
  </si>
  <si>
    <t>KFF2E1008266</t>
  </si>
  <si>
    <t>07/02/2026</t>
  </si>
  <si>
    <t>11/03/2026</t>
  </si>
  <si>
    <t>565</t>
  </si>
  <si>
    <t>KFF3E1008164</t>
  </si>
  <si>
    <t>04/03/2026</t>
  </si>
  <si>
    <t>27/03/2026</t>
  </si>
  <si>
    <t>80</t>
  </si>
  <si>
    <t>KFF3E1009897</t>
  </si>
  <si>
    <t>27/02/2026</t>
  </si>
  <si>
    <t>30/03/2026</t>
  </si>
  <si>
    <t>569</t>
  </si>
  <si>
    <t>KFB2E1076228</t>
  </si>
  <si>
    <t>19/08/2025</t>
  </si>
  <si>
    <t>11667</t>
  </si>
  <si>
    <t>JME1E1940465</t>
  </si>
  <si>
    <t>27/01/2026</t>
  </si>
  <si>
    <t>1186</t>
  </si>
  <si>
    <t>JME1E1936543</t>
  </si>
  <si>
    <t>08/02/2026</t>
  </si>
  <si>
    <t>183</t>
  </si>
  <si>
    <t>JMF1E1397788</t>
  </si>
  <si>
    <t>JMF2E1439832</t>
  </si>
  <si>
    <t>25/01/2026</t>
  </si>
  <si>
    <t>721</t>
  </si>
  <si>
    <t>JME1E1928968</t>
  </si>
  <si>
    <t>23/01/2026</t>
  </si>
  <si>
    <t>53</t>
  </si>
  <si>
    <t>JMF1E1388450</t>
  </si>
  <si>
    <t>24/02/2026</t>
  </si>
  <si>
    <t>09/03/2026</t>
  </si>
  <si>
    <t>1014</t>
  </si>
  <si>
    <t>JMF2E1470468</t>
  </si>
  <si>
    <t>530</t>
  </si>
  <si>
    <t>JMF2E1714326</t>
  </si>
  <si>
    <t>03/03/2026</t>
  </si>
  <si>
    <t>10/03/2026</t>
  </si>
  <si>
    <t>906</t>
  </si>
  <si>
    <t>JME1E1966590</t>
  </si>
  <si>
    <t>12/02/2026</t>
  </si>
  <si>
    <t>12/03/2026</t>
  </si>
  <si>
    <t>567</t>
  </si>
  <si>
    <t>JME1E1984583</t>
  </si>
  <si>
    <t>13/03/2026</t>
  </si>
  <si>
    <t>19</t>
  </si>
  <si>
    <t>JMF2E1619871</t>
  </si>
  <si>
    <t>14/03/2026</t>
  </si>
  <si>
    <t>281</t>
  </si>
  <si>
    <t>JMF1E1395825</t>
  </si>
  <si>
    <t>26/02/2026</t>
  </si>
  <si>
    <t>15/03/2026</t>
  </si>
  <si>
    <t>1097</t>
  </si>
  <si>
    <t>JME1E1938800</t>
  </si>
  <si>
    <t>06/02/2026</t>
  </si>
  <si>
    <t>16/03/2026</t>
  </si>
  <si>
    <t>630</t>
  </si>
  <si>
    <t>JMF1E1397692</t>
  </si>
  <si>
    <t>25/02/2026</t>
  </si>
  <si>
    <t>716</t>
  </si>
  <si>
    <t>JME1E1978254</t>
  </si>
  <si>
    <t>16/02/2026</t>
  </si>
  <si>
    <t>17/03/2026</t>
  </si>
  <si>
    <t>127</t>
  </si>
  <si>
    <t>JMF1E1395644</t>
  </si>
  <si>
    <t>28/02/2026</t>
  </si>
  <si>
    <t>19/03/2026</t>
  </si>
  <si>
    <t>459</t>
  </si>
  <si>
    <t>JMF2E1696258</t>
  </si>
  <si>
    <t>21/02/2026</t>
  </si>
  <si>
    <t>25/03/2026</t>
  </si>
  <si>
    <t>430</t>
  </si>
  <si>
    <t>JMF2E1721931</t>
  </si>
  <si>
    <t>26/03/2026</t>
  </si>
  <si>
    <t>1102</t>
  </si>
  <si>
    <t>JMF1E1395538</t>
  </si>
  <si>
    <t>628</t>
  </si>
  <si>
    <t>JMF1E1392875</t>
  </si>
  <si>
    <t>670</t>
  </si>
  <si>
    <t>JME1E1969988</t>
  </si>
  <si>
    <t>31/03/2026</t>
  </si>
  <si>
    <t>739</t>
  </si>
  <si>
    <t>JMF1E1380315</t>
  </si>
  <si>
    <t>31/01/2026</t>
  </si>
  <si>
    <t>1319</t>
  </si>
  <si>
    <t>JMF1E1326880</t>
  </si>
  <si>
    <t>05/01/2026</t>
  </si>
  <si>
    <t>1693</t>
  </si>
  <si>
    <t>JME1E1601836</t>
  </si>
  <si>
    <t>08/01/2026</t>
  </si>
  <si>
    <t>1037</t>
  </si>
  <si>
    <t>JMF1E1385634</t>
  </si>
  <si>
    <t>26/01/2026</t>
  </si>
  <si>
    <t>942</t>
  </si>
  <si>
    <t>JMF1E1377863</t>
  </si>
  <si>
    <t>1297</t>
  </si>
  <si>
    <t>JMF2E1622702</t>
  </si>
  <si>
    <t>14/12/2025</t>
  </si>
  <si>
    <t>497</t>
  </si>
  <si>
    <t>JME1E1817427</t>
  </si>
  <si>
    <t>27/11/2025</t>
  </si>
  <si>
    <t>18/03/2026</t>
  </si>
  <si>
    <t>JMF1E1329388</t>
  </si>
  <si>
    <t>31/12/2025</t>
  </si>
  <si>
    <t>3405</t>
  </si>
  <si>
    <t>JMF1E1380519</t>
  </si>
  <si>
    <t>24/01/2026</t>
  </si>
  <si>
    <t>1126</t>
  </si>
  <si>
    <t>JMF1E1355501</t>
  </si>
  <si>
    <t>06/01/2026</t>
  </si>
  <si>
    <t>20/03/2026</t>
  </si>
  <si>
    <t>3385</t>
  </si>
  <si>
    <t>28/03/2026</t>
  </si>
  <si>
    <t>1635</t>
  </si>
  <si>
    <t>JME1E1583626</t>
  </si>
  <si>
    <t>09/07/2025</t>
  </si>
  <si>
    <t>3047</t>
  </si>
  <si>
    <t>JME1E1636179</t>
  </si>
  <si>
    <t>18/07/2025</t>
  </si>
  <si>
    <t>6517</t>
  </si>
  <si>
    <t>JMF2E1602635</t>
  </si>
  <si>
    <t>04/11/2025</t>
  </si>
  <si>
    <t>5593</t>
  </si>
  <si>
    <t>JMF1E1306676</t>
  </si>
  <si>
    <t>03/09/2025</t>
  </si>
  <si>
    <t>07/03/2026</t>
  </si>
  <si>
    <t>3316</t>
  </si>
  <si>
    <t>JME1E1674210</t>
  </si>
  <si>
    <t>15/08/2025</t>
  </si>
  <si>
    <t>7074</t>
  </si>
  <si>
    <t>JME1E1545383</t>
  </si>
  <si>
    <t>16/06/2025</t>
  </si>
  <si>
    <t>4320</t>
  </si>
  <si>
    <t>JMF2E1437385</t>
  </si>
  <si>
    <t>04/06/2025</t>
  </si>
  <si>
    <t>2712</t>
  </si>
  <si>
    <t>JME1E1395186</t>
  </si>
  <si>
    <t>24/03/2025</t>
  </si>
  <si>
    <t>8527</t>
  </si>
  <si>
    <t>JMF1E1256118</t>
  </si>
  <si>
    <t>11/06/2025</t>
  </si>
  <si>
    <t>8316</t>
  </si>
  <si>
    <t>KD11E1609362</t>
  </si>
  <si>
    <t>15/02/2026</t>
  </si>
  <si>
    <t>750</t>
  </si>
  <si>
    <t>JMA1E1222890</t>
  </si>
  <si>
    <t>14/01/2026</t>
  </si>
  <si>
    <t>426</t>
  </si>
  <si>
    <t>JMA1E1223626</t>
  </si>
  <si>
    <t>21/01/2026</t>
  </si>
  <si>
    <t>89</t>
  </si>
  <si>
    <t>JMB1E1235255</t>
  </si>
  <si>
    <t>13/02/2026</t>
  </si>
  <si>
    <t>2734</t>
  </si>
  <si>
    <t>KFE1E1443680</t>
  </si>
  <si>
    <t>918</t>
  </si>
  <si>
    <t>KFE1E1449694</t>
  </si>
  <si>
    <t>1158</t>
  </si>
  <si>
    <t>KFE1E1430814</t>
  </si>
  <si>
    <t>03/02/2026</t>
  </si>
  <si>
    <t>238</t>
  </si>
  <si>
    <t>KFE1E1446248</t>
  </si>
  <si>
    <t>943</t>
  </si>
  <si>
    <t>KFE1E1305812</t>
  </si>
  <si>
    <t>543</t>
  </si>
  <si>
    <t>KFE1E1435551</t>
  </si>
  <si>
    <t>1034</t>
  </si>
  <si>
    <t>KFE1E1450982</t>
  </si>
  <si>
    <t>18/02/2026</t>
  </si>
  <si>
    <t>KFE1E1447373</t>
  </si>
  <si>
    <t>186</t>
  </si>
  <si>
    <t>KFE1E1449668</t>
  </si>
  <si>
    <t>478</t>
  </si>
  <si>
    <t>KFE1E1474210</t>
  </si>
  <si>
    <t>175</t>
  </si>
  <si>
    <t>KFE3E1100429</t>
  </si>
  <si>
    <t>451</t>
  </si>
  <si>
    <t>KFE1E1452617</t>
  </si>
  <si>
    <t>321</t>
  </si>
  <si>
    <t>KFE1E1455975</t>
  </si>
  <si>
    <t>266</t>
  </si>
  <si>
    <t>KFE1E1456017</t>
  </si>
  <si>
    <t>KFE1E1455984</t>
  </si>
  <si>
    <t>704</t>
  </si>
  <si>
    <t>KFE1E1456541</t>
  </si>
  <si>
    <t>893</t>
  </si>
  <si>
    <t>KFE1E1465170</t>
  </si>
  <si>
    <t>1000</t>
  </si>
  <si>
    <t>KFE1E1456197</t>
  </si>
  <si>
    <t>986</t>
  </si>
  <si>
    <t>KFE1E1485577</t>
  </si>
  <si>
    <t>872</t>
  </si>
  <si>
    <t>KFE1E1455989</t>
  </si>
  <si>
    <t>29/03/2026</t>
  </si>
  <si>
    <t>941</t>
  </si>
  <si>
    <t>73</t>
  </si>
  <si>
    <t>KFE1E1453607</t>
  </si>
  <si>
    <t>667</t>
  </si>
  <si>
    <t>KFE1E1466945</t>
  </si>
  <si>
    <t>362</t>
  </si>
  <si>
    <t>KFE2E1056914</t>
  </si>
  <si>
    <t>06/09/2025</t>
  </si>
  <si>
    <t>1941</t>
  </si>
  <si>
    <t>KFE3E1061640</t>
  </si>
  <si>
    <t>30/09/2025</t>
  </si>
  <si>
    <t>2986</t>
  </si>
  <si>
    <t>KFE1E1418223</t>
  </si>
  <si>
    <t>817</t>
  </si>
  <si>
    <t>KFE1E1364342</t>
  </si>
  <si>
    <t>08/12/2025</t>
  </si>
  <si>
    <t>2525</t>
  </si>
  <si>
    <t>KFE1E1185262</t>
  </si>
  <si>
    <t>10/07/2025</t>
  </si>
  <si>
    <t>5893</t>
  </si>
  <si>
    <t>KFE1E1095497</t>
  </si>
  <si>
    <t>10/04/2025</t>
  </si>
  <si>
    <t>3195</t>
  </si>
  <si>
    <t>JBK1E2163835</t>
  </si>
  <si>
    <t>852</t>
  </si>
  <si>
    <t>JBK3E1628040</t>
  </si>
  <si>
    <t>446</t>
  </si>
  <si>
    <t>JBK1E2166586</t>
  </si>
  <si>
    <t>519</t>
  </si>
  <si>
    <t>84</t>
  </si>
  <si>
    <t>JBK1E2166459</t>
  </si>
  <si>
    <t>268</t>
  </si>
  <si>
    <t>JBK1E2164833</t>
  </si>
  <si>
    <t>20/02/2026</t>
  </si>
  <si>
    <t>582</t>
  </si>
  <si>
    <t>JBK3E1606664</t>
  </si>
  <si>
    <t>05/11/2025</t>
  </si>
  <si>
    <t>1552</t>
  </si>
  <si>
    <t>JBK1E2089974</t>
  </si>
  <si>
    <t>22/03/2025</t>
  </si>
  <si>
    <t>9407</t>
  </si>
  <si>
    <t>JMH2E1744404</t>
  </si>
  <si>
    <t>206</t>
  </si>
  <si>
    <t>JMH2E1735812</t>
  </si>
  <si>
    <t>437</t>
  </si>
  <si>
    <t>JMH2E1746760</t>
  </si>
  <si>
    <t>228</t>
  </si>
  <si>
    <t>JMH2E1729610</t>
  </si>
  <si>
    <t>738</t>
  </si>
  <si>
    <t>JMH1E1378049</t>
  </si>
  <si>
    <t>JMH2E1761974</t>
  </si>
  <si>
    <t>97</t>
  </si>
  <si>
    <t>JMH2E1729644</t>
  </si>
  <si>
    <t>579</t>
  </si>
  <si>
    <t>JMH2E1717593</t>
  </si>
  <si>
    <t>JMH1E1379743</t>
  </si>
  <si>
    <t>756</t>
  </si>
  <si>
    <t>JMH1E1379741</t>
  </si>
  <si>
    <t>JMH2E1738096</t>
  </si>
  <si>
    <t>680</t>
  </si>
  <si>
    <t>JMH1E1373239</t>
  </si>
  <si>
    <t>360</t>
  </si>
  <si>
    <t>JMH2E1737029</t>
  </si>
  <si>
    <t>682</t>
  </si>
  <si>
    <t>JMH2E1748590</t>
  </si>
  <si>
    <t>581</t>
  </si>
  <si>
    <t>JMH2E1699594</t>
  </si>
  <si>
    <t>214</t>
  </si>
  <si>
    <t>JMH1E1354478</t>
  </si>
  <si>
    <t>19/01/2026</t>
  </si>
  <si>
    <t>975</t>
  </si>
  <si>
    <t>JMH1E1385507</t>
  </si>
  <si>
    <t>650</t>
  </si>
  <si>
    <t>JMH2E1747283</t>
  </si>
  <si>
    <t>692</t>
  </si>
  <si>
    <t>JMH1E1397547</t>
  </si>
  <si>
    <t>458</t>
  </si>
  <si>
    <t>JMH2E1703368</t>
  </si>
  <si>
    <t>1004</t>
  </si>
  <si>
    <t>JMH2E1699564</t>
  </si>
  <si>
    <t>JMH1E1403400</t>
  </si>
  <si>
    <t>297</t>
  </si>
  <si>
    <t>JMH1E1378538</t>
  </si>
  <si>
    <t>707</t>
  </si>
  <si>
    <t>111</t>
  </si>
  <si>
    <t>JMH2E1691806</t>
  </si>
  <si>
    <t>20/01/2026</t>
  </si>
  <si>
    <t>140</t>
  </si>
  <si>
    <t>JMH2E1710947</t>
  </si>
  <si>
    <t>706</t>
  </si>
  <si>
    <t>JMH1E1387833</t>
  </si>
  <si>
    <t>759</t>
  </si>
  <si>
    <t>JMH2E1747055</t>
  </si>
  <si>
    <t>887</t>
  </si>
  <si>
    <t>JMH2E1765067</t>
  </si>
  <si>
    <t>517</t>
  </si>
  <si>
    <t>JMH2E1749047</t>
  </si>
  <si>
    <t>460</t>
  </si>
  <si>
    <t>JMH1E1396615</t>
  </si>
  <si>
    <t>JMH1E1407390</t>
  </si>
  <si>
    <t>JMH1E1379550</t>
  </si>
  <si>
    <t>1212</t>
  </si>
  <si>
    <t>JMH1E1417048</t>
  </si>
  <si>
    <t>900</t>
  </si>
  <si>
    <t>JMH1E1411523</t>
  </si>
  <si>
    <t>JMH1E1419502</t>
  </si>
  <si>
    <t>292</t>
  </si>
  <si>
    <t>JMH1E1431920</t>
  </si>
  <si>
    <t>522</t>
  </si>
  <si>
    <t>JMH2E1737281</t>
  </si>
  <si>
    <t>529</t>
  </si>
  <si>
    <t>JMH1E1431936</t>
  </si>
  <si>
    <t>648</t>
  </si>
  <si>
    <t>JMH2E1739746</t>
  </si>
  <si>
    <t>611</t>
  </si>
  <si>
    <t>JMH2E1801195</t>
  </si>
  <si>
    <t>1064</t>
  </si>
  <si>
    <t>JMH2E1716110</t>
  </si>
  <si>
    <t>05/02/2026</t>
  </si>
  <si>
    <t>1519</t>
  </si>
  <si>
    <t>JMH2E1621314</t>
  </si>
  <si>
    <t>02/12/2025</t>
  </si>
  <si>
    <t>2294</t>
  </si>
  <si>
    <t>JMH2E1609074</t>
  </si>
  <si>
    <t>17/11/2025</t>
  </si>
  <si>
    <t>888</t>
  </si>
  <si>
    <t>JMH2E1648782</t>
  </si>
  <si>
    <t>12/12/2025</t>
  </si>
  <si>
    <t>1762</t>
  </si>
  <si>
    <t>JMH2E1634467</t>
  </si>
  <si>
    <t>1643</t>
  </si>
  <si>
    <t>JMH2E1696872</t>
  </si>
  <si>
    <t>08/03/2026</t>
  </si>
  <si>
    <t>1339</t>
  </si>
  <si>
    <t>JMH1E1319779</t>
  </si>
  <si>
    <t>17/12/2025</t>
  </si>
  <si>
    <t>2019</t>
  </si>
  <si>
    <t>JMH1E1327292</t>
  </si>
  <si>
    <t>18/12/2025</t>
  </si>
  <si>
    <t>2286</t>
  </si>
  <si>
    <t>JMH1E1283101</t>
  </si>
  <si>
    <t>01/12/2025</t>
  </si>
  <si>
    <t>979</t>
  </si>
  <si>
    <t>JMH1E1358525</t>
  </si>
  <si>
    <t>1070</t>
  </si>
  <si>
    <t>JMH1E1367367</t>
  </si>
  <si>
    <t>JMH2E1711293</t>
  </si>
  <si>
    <t>1991</t>
  </si>
  <si>
    <t>JMH1E1401658</t>
  </si>
  <si>
    <t>1043</t>
  </si>
  <si>
    <t>141</t>
  </si>
  <si>
    <t>JMH1E1384532</t>
  </si>
  <si>
    <t>2042</t>
  </si>
  <si>
    <t>142</t>
  </si>
  <si>
    <t>JMH1E1378531</t>
  </si>
  <si>
    <t>1620</t>
  </si>
  <si>
    <t>JMH1E1354437</t>
  </si>
  <si>
    <t>17/01/2026</t>
  </si>
  <si>
    <t>1969</t>
  </si>
  <si>
    <t>1432</t>
  </si>
  <si>
    <t>JMH1E1281864</t>
  </si>
  <si>
    <t>20/11/2025</t>
  </si>
  <si>
    <t>2059</t>
  </si>
  <si>
    <t>146</t>
  </si>
  <si>
    <t>JMH2E1634708</t>
  </si>
  <si>
    <t>05/12/2025</t>
  </si>
  <si>
    <t>1074</t>
  </si>
  <si>
    <t>JMH2E1763645</t>
  </si>
  <si>
    <t>1103</t>
  </si>
  <si>
    <t>JMH2E1120877</t>
  </si>
  <si>
    <t>22/07/2025</t>
  </si>
  <si>
    <t>6458</t>
  </si>
  <si>
    <t>JMH1E1308340</t>
  </si>
  <si>
    <t>29/12/2025</t>
  </si>
  <si>
    <t>8009</t>
  </si>
  <si>
    <t>JMH2E1547635</t>
  </si>
  <si>
    <t>24/10/2025</t>
  </si>
  <si>
    <t>3922</t>
  </si>
  <si>
    <t>JMH2E1607534</t>
  </si>
  <si>
    <t>08/11/2025</t>
  </si>
  <si>
    <t>2626</t>
  </si>
  <si>
    <t>JMH2E1244214</t>
  </si>
  <si>
    <t>15/04/2025</t>
  </si>
  <si>
    <t>5373</t>
  </si>
  <si>
    <t>JMH1E1113930</t>
  </si>
  <si>
    <t>15/03/2025</t>
  </si>
  <si>
    <t>8330</t>
  </si>
  <si>
    <t>JMH2E1235242</t>
  </si>
  <si>
    <t>30/03/2025</t>
  </si>
  <si>
    <t>11938</t>
  </si>
  <si>
    <t>JMH2E1396461</t>
  </si>
  <si>
    <t>20/08/2025</t>
  </si>
  <si>
    <t>11523</t>
  </si>
  <si>
    <t>KFD1E1241112</t>
  </si>
  <si>
    <t>590</t>
  </si>
  <si>
    <t>KFD1E1243294</t>
  </si>
  <si>
    <t>09/02/2026</t>
  </si>
  <si>
    <t>444</t>
  </si>
  <si>
    <t>KFC1E1247683</t>
  </si>
  <si>
    <t>1242</t>
  </si>
  <si>
    <t>KFD1E1245842</t>
  </si>
  <si>
    <t>180</t>
  </si>
  <si>
    <t>KFC1E1258115</t>
  </si>
  <si>
    <t>946</t>
  </si>
  <si>
    <t>KFC1E1260286</t>
  </si>
  <si>
    <t>479</t>
  </si>
  <si>
    <t>KFC1E1264085</t>
  </si>
  <si>
    <t>19/02/2026</t>
  </si>
  <si>
    <t>401</t>
  </si>
  <si>
    <t>KFD1E1247636</t>
  </si>
  <si>
    <t>1246</t>
  </si>
  <si>
    <t>KFD1E1259168</t>
  </si>
  <si>
    <t>23/03/2026</t>
  </si>
  <si>
    <t>537</t>
  </si>
  <si>
    <t>KFD1E1248805</t>
  </si>
  <si>
    <t>959</t>
  </si>
  <si>
    <t>KFC1E1188189</t>
  </si>
  <si>
    <t>16/09/2025</t>
  </si>
  <si>
    <t>2695</t>
  </si>
  <si>
    <t>KFC1E1224341</t>
  </si>
  <si>
    <t>5118</t>
  </si>
  <si>
    <t>KFC1E1226564</t>
  </si>
  <si>
    <t>3095</t>
  </si>
  <si>
    <t>KFD1E1209560</t>
  </si>
  <si>
    <t>07/12/2025</t>
  </si>
  <si>
    <t>3474</t>
  </si>
  <si>
    <t>KFD1E1191402</t>
  </si>
  <si>
    <t>01/11/2025</t>
  </si>
  <si>
    <t>4496</t>
  </si>
  <si>
    <t>KFD1E1100622</t>
  </si>
  <si>
    <t>26/03/2025</t>
  </si>
  <si>
    <t>2819</t>
  </si>
  <si>
    <t>JBP1E2147001</t>
  </si>
  <si>
    <t>11/02/2026</t>
  </si>
  <si>
    <t>354</t>
  </si>
  <si>
    <t>JBP1E2151580</t>
  </si>
  <si>
    <t>JBP1E2149000</t>
  </si>
  <si>
    <t>926</t>
  </si>
  <si>
    <t>JBP1E2147166</t>
  </si>
  <si>
    <t>265</t>
  </si>
  <si>
    <t>JBP1E2152246</t>
  </si>
  <si>
    <t>388</t>
  </si>
  <si>
    <t>JBP1E2146957</t>
  </si>
  <si>
    <t>421</t>
  </si>
  <si>
    <t>JBP1E2150656</t>
  </si>
  <si>
    <t>1016</t>
  </si>
  <si>
    <t>JBP1E2153547</t>
  </si>
  <si>
    <t>JBP1E2135382</t>
  </si>
  <si>
    <t>28/11/2025</t>
  </si>
  <si>
    <t>3259</t>
  </si>
  <si>
    <t>JBP1E2132954</t>
  </si>
  <si>
    <t>14/11/2025</t>
  </si>
  <si>
    <t>3035</t>
  </si>
  <si>
    <t>JMJ1E1025882</t>
  </si>
  <si>
    <t>521</t>
  </si>
  <si>
    <t>JMJ1E1025978</t>
  </si>
  <si>
    <t>496</t>
  </si>
  <si>
    <t>JMJ1E1030062</t>
  </si>
  <si>
    <t>JMK1E1047336</t>
  </si>
  <si>
    <t>232</t>
  </si>
  <si>
    <t>JMK1E1051115</t>
  </si>
  <si>
    <t>411</t>
  </si>
  <si>
    <t>JMJ1E1030679</t>
  </si>
  <si>
    <t>772</t>
  </si>
  <si>
    <t>JMJ1E1029156</t>
  </si>
  <si>
    <t>315</t>
  </si>
  <si>
    <t>JMK1E1064603</t>
  </si>
  <si>
    <t>1172</t>
  </si>
  <si>
    <t>JMK1E1032420</t>
  </si>
  <si>
    <t>679</t>
  </si>
  <si>
    <t>JMK1E1047335</t>
  </si>
  <si>
    <t>293</t>
  </si>
  <si>
    <t>JMK1E1053365</t>
  </si>
  <si>
    <t>481</t>
  </si>
  <si>
    <t>JMK1E1059189</t>
  </si>
  <si>
    <t>534</t>
  </si>
  <si>
    <t>JMK1E1047374</t>
  </si>
  <si>
    <t>848</t>
  </si>
  <si>
    <t>JMK1E1047371</t>
  </si>
  <si>
    <t>199</t>
  </si>
  <si>
    <t>JMJ1E1035597</t>
  </si>
  <si>
    <t>885</t>
  </si>
  <si>
    <t>JMJ1E1035683</t>
  </si>
  <si>
    <t>JMK1E1060394</t>
  </si>
  <si>
    <t>653</t>
  </si>
  <si>
    <t>JMK1E1059938</t>
  </si>
  <si>
    <t>1134</t>
  </si>
  <si>
    <t>JMK1E1047181</t>
  </si>
  <si>
    <t>890</t>
  </si>
  <si>
    <t>201</t>
  </si>
  <si>
    <t>JMJ1E1018347</t>
  </si>
  <si>
    <t>220</t>
  </si>
  <si>
    <t>JMK1E1066321</t>
  </si>
  <si>
    <t>271</t>
  </si>
  <si>
    <t>JMK1E1053321</t>
  </si>
  <si>
    <t>740</t>
  </si>
  <si>
    <t>JMJ1E1037342</t>
  </si>
  <si>
    <t>24/03/2026</t>
  </si>
  <si>
    <t>673</t>
  </si>
  <si>
    <t>JMK1E1046962</t>
  </si>
  <si>
    <t>933</t>
  </si>
  <si>
    <t>JMJ1E1026868</t>
  </si>
  <si>
    <t>635</t>
  </si>
  <si>
    <t>JMJ1E1029135</t>
  </si>
  <si>
    <t>1199</t>
  </si>
  <si>
    <t>JMK1E1059985</t>
  </si>
  <si>
    <t>762</t>
  </si>
  <si>
    <t>JMK2E1024761</t>
  </si>
  <si>
    <t>1177</t>
  </si>
  <si>
    <t>JMJ1E1046101</t>
  </si>
  <si>
    <t>1062</t>
  </si>
  <si>
    <t>JMJ1E1036672</t>
  </si>
  <si>
    <t>1068</t>
  </si>
  <si>
    <t>JMJ1E1046018</t>
  </si>
  <si>
    <t>513</t>
  </si>
  <si>
    <t>JMJ1E1042989</t>
  </si>
  <si>
    <t>1135</t>
  </si>
  <si>
    <t>JMJ1E1039612</t>
  </si>
  <si>
    <t>408</t>
  </si>
  <si>
    <t>JMK1E1091181</t>
  </si>
  <si>
    <t>649</t>
  </si>
  <si>
    <t>JMK1E1069441</t>
  </si>
  <si>
    <t>JMJ1E1029002</t>
  </si>
  <si>
    <t>375</t>
  </si>
  <si>
    <t>JMJ1E1035608</t>
  </si>
  <si>
    <t>JMK1E1047403</t>
  </si>
  <si>
    <t>JMK1E1090262</t>
  </si>
  <si>
    <t>1001</t>
  </si>
  <si>
    <t>JMC1E1763635</t>
  </si>
  <si>
    <t>2565</t>
  </si>
  <si>
    <t>JMK1E1053294</t>
  </si>
  <si>
    <t>1844</t>
  </si>
  <si>
    <t>JMD1E2130518</t>
  </si>
  <si>
    <t>16/11/2025</t>
  </si>
  <si>
    <t>549</t>
  </si>
  <si>
    <t>JMJ1E1013631</t>
  </si>
  <si>
    <t>09/01/2026</t>
  </si>
  <si>
    <t>1684</t>
  </si>
  <si>
    <t>225</t>
  </si>
  <si>
    <t>JMC1E1788972</t>
  </si>
  <si>
    <t>11/12/2025</t>
  </si>
  <si>
    <t>3414</t>
  </si>
  <si>
    <t>JMD1E2166576</t>
  </si>
  <si>
    <t>940</t>
  </si>
  <si>
    <t>JMD1E2161463</t>
  </si>
  <si>
    <t>3766</t>
  </si>
  <si>
    <t>JMK1E1021959</t>
  </si>
  <si>
    <t>2288</t>
  </si>
  <si>
    <t>JMJ1E1029940</t>
  </si>
  <si>
    <t>399</t>
  </si>
  <si>
    <t>JMK1E1028917</t>
  </si>
  <si>
    <t>2426</t>
  </si>
  <si>
    <t>JMD1E1951462</t>
  </si>
  <si>
    <t>12/07/2025</t>
  </si>
  <si>
    <t>1462</t>
  </si>
  <si>
    <t>JMC1E1749853</t>
  </si>
  <si>
    <t>28/10/2025</t>
  </si>
  <si>
    <t>4773</t>
  </si>
  <si>
    <t>JMD1E2047733</t>
  </si>
  <si>
    <t>11/09/2025</t>
  </si>
  <si>
    <t>2435</t>
  </si>
  <si>
    <t>JMC1E1738052</t>
  </si>
  <si>
    <t>20/10/2025</t>
  </si>
  <si>
    <t>1404</t>
  </si>
  <si>
    <t>JMC1E1737146</t>
  </si>
  <si>
    <t>10/10/2025</t>
  </si>
  <si>
    <t>1860</t>
  </si>
  <si>
    <t>JMD1E2072672</t>
  </si>
  <si>
    <t>04/10/2025</t>
  </si>
  <si>
    <t>1309</t>
  </si>
  <si>
    <t>JMC1E1708922</t>
  </si>
  <si>
    <t>09/09/2025</t>
  </si>
  <si>
    <t>2440</t>
  </si>
  <si>
    <t>JMD1E2026593</t>
  </si>
  <si>
    <t>18/08/2025</t>
  </si>
  <si>
    <t>3477</t>
  </si>
  <si>
    <t>JMC1E1760161</t>
  </si>
  <si>
    <t>06/11/2025</t>
  </si>
  <si>
    <t>3696</t>
  </si>
  <si>
    <t>JMC1E1695906</t>
  </si>
  <si>
    <t>4948</t>
  </si>
  <si>
    <t>JMC1E1716531</t>
  </si>
  <si>
    <t>19/09/2025</t>
  </si>
  <si>
    <t>4458</t>
  </si>
  <si>
    <t>JMC1E1760155</t>
  </si>
  <si>
    <t>07/11/2025</t>
  </si>
  <si>
    <t>7994</t>
  </si>
  <si>
    <t>JMC1E1583516</t>
  </si>
  <si>
    <t>7082</t>
  </si>
  <si>
    <t>JMC1E1637080</t>
  </si>
  <si>
    <t>08/06/2025</t>
  </si>
  <si>
    <t>8083</t>
  </si>
  <si>
    <t>JMC1E1625327</t>
  </si>
  <si>
    <t>17/05/2025</t>
  </si>
  <si>
    <t>5346</t>
  </si>
  <si>
    <t>JMC1E1744637</t>
  </si>
  <si>
    <t>23/10/2025</t>
  </si>
  <si>
    <t>6588</t>
  </si>
  <si>
    <t>JMC1E1582129</t>
  </si>
  <si>
    <t>12/03/2025</t>
  </si>
  <si>
    <t>4347</t>
  </si>
  <si>
    <t>JMD1E1874800</t>
  </si>
  <si>
    <t>27/03/2025</t>
  </si>
  <si>
    <t>8042</t>
  </si>
  <si>
    <t>JMD1E1921337</t>
  </si>
  <si>
    <t>22/05/2025</t>
  </si>
  <si>
    <t>11538</t>
  </si>
  <si>
    <t>KF01E2047249</t>
  </si>
  <si>
    <t>504</t>
  </si>
  <si>
    <t>KFA1E1352930</t>
  </si>
  <si>
    <t>286</t>
  </si>
  <si>
    <t>KF01E2032245</t>
  </si>
  <si>
    <t>04/02/2026</t>
  </si>
  <si>
    <t>584</t>
  </si>
  <si>
    <t>KF01E2048239</t>
  </si>
  <si>
    <t>520</t>
  </si>
  <si>
    <t>KFA1E1357123</t>
  </si>
  <si>
    <t>468</t>
  </si>
  <si>
    <t>KF01E2047193</t>
  </si>
  <si>
    <t>471</t>
  </si>
  <si>
    <t>KFA1E1358418</t>
  </si>
  <si>
    <t>KF01E1989160</t>
  </si>
  <si>
    <t>799</t>
  </si>
  <si>
    <t>KFA1E1359094</t>
  </si>
  <si>
    <t>780</t>
  </si>
  <si>
    <t>KFA1E1357241</t>
  </si>
  <si>
    <t>KF01E2052659</t>
  </si>
  <si>
    <t>821</t>
  </si>
  <si>
    <t>KF01E2056444</t>
  </si>
  <si>
    <t>977</t>
  </si>
  <si>
    <t>KF01E1962904</t>
  </si>
  <si>
    <t>12/09/2025</t>
  </si>
  <si>
    <t>2742</t>
  </si>
  <si>
    <t>KF01E2037272</t>
  </si>
  <si>
    <t>1564</t>
  </si>
  <si>
    <t>KF01E1972783</t>
  </si>
  <si>
    <t>26/09/2025</t>
  </si>
  <si>
    <t>3494</t>
  </si>
  <si>
    <t>KF01E1999528</t>
  </si>
  <si>
    <t>24/12/2025</t>
  </si>
  <si>
    <t>1333</t>
  </si>
  <si>
    <t>KF01E2006072</t>
  </si>
  <si>
    <t>04/12/2025</t>
  </si>
  <si>
    <t>1473</t>
  </si>
  <si>
    <t>KF01E1861563</t>
  </si>
  <si>
    <t>829</t>
  </si>
  <si>
    <t>KF01E1992198</t>
  </si>
  <si>
    <t>22/11/2025</t>
  </si>
  <si>
    <t>4973</t>
  </si>
  <si>
    <t>KFA1E1295805</t>
  </si>
  <si>
    <t>19/03/2025</t>
  </si>
  <si>
    <t>2298</t>
  </si>
  <si>
    <t>KF01E1939883</t>
  </si>
  <si>
    <t>08/08/2025</t>
  </si>
  <si>
    <t>8133</t>
  </si>
  <si>
    <t>KC04E1041089</t>
  </si>
  <si>
    <t>KC04E1042218</t>
  </si>
  <si>
    <t>1091</t>
  </si>
  <si>
    <t>KC04E1043444</t>
  </si>
  <si>
    <t>KC04E1042562</t>
  </si>
  <si>
    <t>KC04E1045451</t>
  </si>
  <si>
    <t>784</t>
  </si>
  <si>
    <t>KC04E1047048</t>
  </si>
  <si>
    <t>1039</t>
  </si>
  <si>
    <t>KC04E1043128</t>
  </si>
  <si>
    <t>KC04E1045460</t>
  </si>
  <si>
    <t>531</t>
  </si>
  <si>
    <t>KC04E1047446</t>
  </si>
  <si>
    <t>KC04E1043422</t>
  </si>
  <si>
    <t>846</t>
  </si>
  <si>
    <t>KC04E1045486</t>
  </si>
  <si>
    <t>748</t>
  </si>
  <si>
    <t>KC04E1043815</t>
  </si>
  <si>
    <t>KC04E1043843</t>
  </si>
  <si>
    <t>803</t>
  </si>
  <si>
    <t>KC04E1033249</t>
  </si>
  <si>
    <t>16/12/2025</t>
  </si>
  <si>
    <t>1790</t>
  </si>
  <si>
    <t>KC04E1037279</t>
  </si>
  <si>
    <t>1035</t>
  </si>
  <si>
    <t>KC04E1040137</t>
  </si>
  <si>
    <t>839</t>
  </si>
  <si>
    <t>KC04E1038088</t>
  </si>
  <si>
    <t>3404</t>
  </si>
  <si>
    <t>WEBC</t>
  </si>
  <si>
    <t>Slsh TglB Star dan WEBC</t>
  </si>
  <si>
    <t>Selisih Tgl Service</t>
  </si>
  <si>
    <t>Selisih KM</t>
  </si>
  <si>
    <t>Ket</t>
  </si>
  <si>
    <t>Link</t>
  </si>
  <si>
    <t>Hari</t>
  </si>
  <si>
    <t>Bulan Beli</t>
  </si>
  <si>
    <t>Tahun Beli</t>
  </si>
  <si>
    <t>Huruf</t>
  </si>
  <si>
    <t>KPB2</t>
  </si>
  <si>
    <t>2026-03-28</t>
  </si>
  <si>
    <t>https://hana.modakita.com/azd942/avatar/2649897020260328123625JNKFDC.jpg</t>
  </si>
  <si>
    <t>2026-03-29</t>
  </si>
  <si>
    <t>https://hana.modakita.com/azd942/avatar/2515001020260329112055KXRWL1.jpg</t>
  </si>
  <si>
    <t>KM WEBC</t>
  </si>
  <si>
    <t>FOTO KM 3447</t>
  </si>
  <si>
    <t>FOTO JMF1E</t>
  </si>
  <si>
    <t>FOTO JMF2E</t>
  </si>
  <si>
    <t>FOTO JME1E</t>
  </si>
  <si>
    <t>SALAH KM</t>
  </si>
  <si>
    <t>FOTO JMH2E</t>
  </si>
  <si>
    <t>FOTO TERLALU DEKAT</t>
  </si>
  <si>
    <t>FOTO SAMA (1)</t>
  </si>
  <si>
    <t>FOTO SAMA (2)</t>
  </si>
  <si>
    <t>FOTO SAMA (3)</t>
  </si>
  <si>
    <t>FOTO SAMA (4)</t>
  </si>
  <si>
    <t>FOTO JMJ1E</t>
  </si>
  <si>
    <t>TGL DI FOTO TIDAK SESUAI</t>
  </si>
  <si>
    <t>FOTO SAMA (5)</t>
  </si>
  <si>
    <t>FOTO KM 2472</t>
  </si>
  <si>
    <t>FOTO TERLALU GELAP</t>
  </si>
  <si>
    <t>FOTO KFF1E</t>
  </si>
  <si>
    <t>BUKAN KM TOTAL</t>
  </si>
  <si>
    <t>KC04E1041994 / https://hana.modakita.com/azd942/avatar/25150010202602161207438Y5WCM.jpg</t>
  </si>
  <si>
    <t>JBK3E1624035 / https://hana.modakita.com/azd942/avatar/2515001020260214102638ZNTF0Y.jpg</t>
  </si>
  <si>
    <t>JMJ1E1022981 / https://hana.modakita.com/azd942/avatar/25150010202602240833500QTLI5.jpg</t>
  </si>
  <si>
    <t>TGL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</si>
</sst>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14"/>
      <color rgb="FF000000"/>
      <name val="Roboto"/>
    </font>
    <font>
      <b/>
      <sz val="14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  <charset val="1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4BD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8" xfId="0" applyBorder="1"/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/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10" xfId="0" applyBorder="1"/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8" xfId="0" applyFont="1" applyBorder="1"/>
    <xf numFmtId="0" fontId="10" fillId="0" borderId="1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5" fillId="3" borderId="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0" xfId="0" applyFill="1" applyAlignment="1">
      <alignment horizontal="left"/>
    </xf>
    <xf numFmtId="0" fontId="12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scindy0050\Desktop\KPB%20Done\KPB\DIGITAL%20DAM%20SAMBAS\WEBC%20DAM%20SAMBAS.xlsx" TargetMode="External"/><Relationship Id="rId1" Type="http://schemas.openxmlformats.org/officeDocument/2006/relationships/externalLinkPath" Target="WEBC%20DAM%20SAMB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2">
          <cell r="I2" t="str">
            <v>KFE1E1305812</v>
          </cell>
          <cell r="J2" t="str">
            <v>KB5812XAA</v>
          </cell>
          <cell r="K2" t="str">
            <v>KPB1</v>
          </cell>
          <cell r="L2">
            <v>543</v>
          </cell>
          <cell r="M2" t="str">
            <v>2025-12-31</v>
          </cell>
          <cell r="N2" t="str">
            <v>2026-03-07</v>
          </cell>
          <cell r="O2" t="str">
            <v>https://hana.modakita.com/azd942/avatar/25150010202603071506077HE7UZ.jpg</v>
          </cell>
        </row>
        <row r="3">
          <cell r="I3" t="str">
            <v>JMH2E1634467</v>
          </cell>
          <cell r="J3" t="str">
            <v>KB4467P</v>
          </cell>
          <cell r="K3" t="str">
            <v>KPB2</v>
          </cell>
          <cell r="L3">
            <v>1643</v>
          </cell>
          <cell r="M3" t="str">
            <v>2026-01-09</v>
          </cell>
          <cell r="N3" t="str">
            <v>2026-03-07</v>
          </cell>
          <cell r="O3" t="str">
            <v>https://hana.modakita.com/azd942/avatar/296344012026030714195917RGUZ.jpg</v>
          </cell>
        </row>
        <row r="4">
          <cell r="I4" t="str">
            <v>JMK1E1053294</v>
          </cell>
          <cell r="J4" t="str">
            <v>KB3294XAA</v>
          </cell>
          <cell r="K4" t="str">
            <v>KPB2</v>
          </cell>
          <cell r="L4">
            <v>1844</v>
          </cell>
          <cell r="M4" t="str">
            <v>2026-02-05</v>
          </cell>
          <cell r="N4" t="str">
            <v>2026-03-07</v>
          </cell>
          <cell r="O4" t="str">
            <v>https://hana.modakita.com/azd942/avatar/2515001020260307135104I6FNVE.jpg</v>
          </cell>
        </row>
        <row r="5">
          <cell r="I5" t="str">
            <v>JMH2E1729610</v>
          </cell>
          <cell r="J5" t="str">
            <v>X123YZ</v>
          </cell>
          <cell r="K5" t="str">
            <v>KPB1</v>
          </cell>
          <cell r="L5">
            <v>738</v>
          </cell>
          <cell r="M5" t="str">
            <v>2026-02-06</v>
          </cell>
          <cell r="N5" t="str">
            <v>2026-03-07</v>
          </cell>
          <cell r="O5" t="str">
            <v>https://hana.modakita.com/azd942/avatar/2515001020260307134830J4AQ26.jpg</v>
          </cell>
        </row>
        <row r="6">
          <cell r="I6" t="str">
            <v>JBP1E2135382</v>
          </cell>
          <cell r="J6" t="str">
            <v>KB5328P</v>
          </cell>
          <cell r="K6" t="str">
            <v>KPB2</v>
          </cell>
          <cell r="L6">
            <v>3259</v>
          </cell>
          <cell r="M6" t="str">
            <v>2025-11-29</v>
          </cell>
          <cell r="N6" t="str">
            <v>2026-03-07</v>
          </cell>
          <cell r="O6" t="str">
            <v>https://hana.modakita.com/azd942/avatar/2963440120260307131839WJUJFT.jpg</v>
          </cell>
        </row>
        <row r="7">
          <cell r="I7" t="str">
            <v>JMC1E1637080</v>
          </cell>
          <cell r="J7" t="str">
            <v>KB7045PAH</v>
          </cell>
          <cell r="K7" t="str">
            <v>KPB4</v>
          </cell>
          <cell r="L7">
            <v>8083</v>
          </cell>
          <cell r="M7" t="str">
            <v>2025-06-09</v>
          </cell>
          <cell r="N7" t="str">
            <v>2026-03-07</v>
          </cell>
          <cell r="O7" t="str">
            <v>https://hana.modakita.com/azd942/avatar/2963440120260307130254LDYKYE.jpg</v>
          </cell>
        </row>
        <row r="8">
          <cell r="I8" t="str">
            <v>KFD1E1241112</v>
          </cell>
          <cell r="J8" t="str">
            <v>KB1112XAA</v>
          </cell>
          <cell r="K8" t="str">
            <v>KPB1</v>
          </cell>
          <cell r="L8">
            <v>590</v>
          </cell>
          <cell r="M8" t="str">
            <v>2026-01-31</v>
          </cell>
          <cell r="N8" t="str">
            <v>2026-03-07</v>
          </cell>
          <cell r="O8" t="str">
            <v>https://hana.modakita.com/azd942/avatar/2515001020260307085406I9UAAT.jpg</v>
          </cell>
        </row>
        <row r="9">
          <cell r="I9" t="str">
            <v>JMF1E1320322</v>
          </cell>
          <cell r="J9" t="str">
            <v>KB0322XAA</v>
          </cell>
          <cell r="K9" t="str">
            <v>KPB3</v>
          </cell>
          <cell r="L9">
            <v>5038</v>
          </cell>
          <cell r="M9" t="str">
            <v>2025-10-01</v>
          </cell>
          <cell r="N9" t="str">
            <v>2026-03-07</v>
          </cell>
          <cell r="O9" t="str">
            <v>https://hana.modakita.com/azd942/avatar/2515001020260307085038URW0ZW.jpg</v>
          </cell>
        </row>
        <row r="10">
          <cell r="I10" t="str">
            <v>KFE1E1185262</v>
          </cell>
          <cell r="J10" t="str">
            <v>KB2025PAJ</v>
          </cell>
          <cell r="K10" t="str">
            <v>KPB3</v>
          </cell>
          <cell r="L10">
            <v>5893</v>
          </cell>
          <cell r="M10" t="str">
            <v>2025-07-05</v>
          </cell>
          <cell r="N10" t="str">
            <v>2026-03-07</v>
          </cell>
          <cell r="O10" t="str">
            <v>https://hana.modakita.com/azd942/avatar/2515001020260307084604OZZ4C3.jpg</v>
          </cell>
        </row>
        <row r="11">
          <cell r="I11" t="str">
            <v>KF01E1861335</v>
          </cell>
          <cell r="J11" t="str">
            <v>X123YZ</v>
          </cell>
          <cell r="K11" t="str">
            <v>KPB3</v>
          </cell>
          <cell r="L11">
            <v>3278</v>
          </cell>
          <cell r="M11" t="str">
            <v>2025-03-17</v>
          </cell>
          <cell r="N11" t="str">
            <v>2026-03-07</v>
          </cell>
          <cell r="O11" t="str">
            <v>https://hana.modakita.com/azd942/avatar/2515001020260307083740YZUMSP.jpg</v>
          </cell>
        </row>
        <row r="12">
          <cell r="I12" t="str">
            <v>JMC1E1775697</v>
          </cell>
          <cell r="J12" t="str">
            <v>KB5120PAK</v>
          </cell>
          <cell r="K12" t="str">
            <v>KPB2</v>
          </cell>
          <cell r="L12">
            <v>2390</v>
          </cell>
          <cell r="M12" t="str">
            <v>2025-12-03</v>
          </cell>
          <cell r="N12" t="str">
            <v>2026-03-07</v>
          </cell>
          <cell r="O12" t="str">
            <v>https://hana.modakita.com/azd942/avatar/2515001020260307083613LWRLWY.jpg</v>
          </cell>
        </row>
        <row r="13">
          <cell r="I13" t="str">
            <v>JMK1E1051115</v>
          </cell>
          <cell r="J13" t="str">
            <v>X123YZ</v>
          </cell>
          <cell r="K13" t="str">
            <v>KPB1</v>
          </cell>
          <cell r="L13">
            <v>411</v>
          </cell>
          <cell r="M13" t="str">
            <v>2026-02-05</v>
          </cell>
          <cell r="N13" t="str">
            <v>2026-03-06</v>
          </cell>
          <cell r="O13" t="str">
            <v>https://hana.modakita.com/azd942/avatar/21376258920260306173112QTSU7A.jpg</v>
          </cell>
        </row>
        <row r="14">
          <cell r="I14" t="str">
            <v>JMJ1E1024924</v>
          </cell>
          <cell r="J14" t="str">
            <v>X123YZ</v>
          </cell>
          <cell r="K14" t="str">
            <v>KPB1</v>
          </cell>
          <cell r="L14">
            <v>110</v>
          </cell>
          <cell r="M14" t="str">
            <v>2026-02-13</v>
          </cell>
          <cell r="N14" t="str">
            <v>2026-03-06</v>
          </cell>
          <cell r="O14" t="str">
            <v>https://hana.modakita.com/azd942/avatar/21376258920260306172936O8UMES.jpg</v>
          </cell>
        </row>
        <row r="15">
          <cell r="I15" t="str">
            <v>JBP1E2146804</v>
          </cell>
          <cell r="J15" t="str">
            <v>X123YZ</v>
          </cell>
          <cell r="K15" t="str">
            <v>KPB1</v>
          </cell>
          <cell r="L15">
            <v>120</v>
          </cell>
          <cell r="M15" t="str">
            <v>2026-02-07</v>
          </cell>
          <cell r="N15" t="str">
            <v>2026-03-06</v>
          </cell>
          <cell r="O15" t="str">
            <v>https://hana.modakita.com/azd942/avatar/2963440120260306172839QIFQED.jpg</v>
          </cell>
        </row>
        <row r="16">
          <cell r="I16" t="str">
            <v>KFE1E1435364</v>
          </cell>
          <cell r="J16" t="str">
            <v>X123YZ</v>
          </cell>
          <cell r="K16" t="str">
            <v>KPB1</v>
          </cell>
          <cell r="L16">
            <v>395</v>
          </cell>
          <cell r="M16" t="str">
            <v>2026-02-05</v>
          </cell>
          <cell r="N16" t="str">
            <v>2026-03-06</v>
          </cell>
          <cell r="O16" t="str">
            <v>https://hana.modakita.com/azd942/avatar/21395178620260306172739YAIMKK.jpg</v>
          </cell>
        </row>
        <row r="17">
          <cell r="I17" t="str">
            <v>JMF1E1388477</v>
          </cell>
          <cell r="J17" t="str">
            <v>X123YZ</v>
          </cell>
          <cell r="K17" t="str">
            <v>KPB1</v>
          </cell>
          <cell r="L17">
            <v>237</v>
          </cell>
          <cell r="M17" t="str">
            <v>2026-02-09</v>
          </cell>
          <cell r="N17" t="str">
            <v>2026-03-06</v>
          </cell>
          <cell r="O17" t="str">
            <v>https://hana.modakita.com/azd942/avatar/2963440120260306172740J6J7KP.jpg</v>
          </cell>
        </row>
        <row r="18">
          <cell r="I18" t="str">
            <v>JMF1E1377559</v>
          </cell>
          <cell r="J18" t="str">
            <v>X123YZ</v>
          </cell>
          <cell r="K18" t="str">
            <v>KPB1</v>
          </cell>
          <cell r="L18">
            <v>972</v>
          </cell>
          <cell r="M18" t="str">
            <v>2026-02-05</v>
          </cell>
          <cell r="N18" t="str">
            <v>2026-03-06</v>
          </cell>
          <cell r="O18" t="str">
            <v>https://hana.modakita.com/azd942/avatar/21395178620260306171851H5PTN4.jpg</v>
          </cell>
        </row>
        <row r="19">
          <cell r="I19" t="str">
            <v>JMF2E1632379</v>
          </cell>
          <cell r="J19" t="str">
            <v>KB2379XAA</v>
          </cell>
          <cell r="K19" t="str">
            <v>KPB3</v>
          </cell>
          <cell r="L19">
            <v>5205</v>
          </cell>
          <cell r="M19" t="str">
            <v>2025-11-10</v>
          </cell>
          <cell r="N19" t="str">
            <v>2026-03-06</v>
          </cell>
          <cell r="O19" t="str">
            <v>https://hana.modakita.com/azd942/avatar/2515001020260306131459VXTGNR.jpg</v>
          </cell>
        </row>
        <row r="20">
          <cell r="I20" t="str">
            <v>KF01E2037272</v>
          </cell>
          <cell r="J20" t="str">
            <v>KB7272XAA</v>
          </cell>
          <cell r="K20" t="str">
            <v>KPB2</v>
          </cell>
          <cell r="L20">
            <v>1564</v>
          </cell>
          <cell r="M20" t="str">
            <v>2026-01-26</v>
          </cell>
          <cell r="N20" t="str">
            <v>2026-03-06</v>
          </cell>
          <cell r="O20" t="str">
            <v>https://hana.modakita.com/azd942/avatar/251500102026030612415953TLG1.jpg</v>
          </cell>
        </row>
        <row r="21">
          <cell r="I21" t="str">
            <v>JMH2E1244214</v>
          </cell>
          <cell r="J21" t="str">
            <v>X123YZ</v>
          </cell>
          <cell r="K21" t="str">
            <v>KPB4</v>
          </cell>
          <cell r="L21">
            <v>5373</v>
          </cell>
          <cell r="M21" t="str">
            <v>2025-04-15</v>
          </cell>
          <cell r="N21" t="str">
            <v>2026-03-06</v>
          </cell>
          <cell r="O21" t="str">
            <v>https://hana.modakita.com/azd942/avatar/2515001020260306123932JDECTB.jpg</v>
          </cell>
        </row>
        <row r="22">
          <cell r="I22" t="str">
            <v>KC04E1033249</v>
          </cell>
          <cell r="J22" t="str">
            <v>KB3249XAA</v>
          </cell>
          <cell r="K22" t="str">
            <v>KPB2</v>
          </cell>
          <cell r="L22">
            <v>1790</v>
          </cell>
          <cell r="M22" t="str">
            <v>2025-12-16</v>
          </cell>
          <cell r="N22" t="str">
            <v>2026-03-06</v>
          </cell>
          <cell r="O22" t="str">
            <v>https://hana.modakita.com/azd942/avatar/25150010202603061150583XYKW2.jpg</v>
          </cell>
        </row>
        <row r="23">
          <cell r="I23" t="str">
            <v>KFE1E1446248</v>
          </cell>
          <cell r="J23" t="str">
            <v>X123YZ</v>
          </cell>
          <cell r="K23" t="str">
            <v>KPB1</v>
          </cell>
          <cell r="L23">
            <v>943</v>
          </cell>
          <cell r="M23" t="str">
            <v>2026-02-16</v>
          </cell>
          <cell r="N23" t="str">
            <v>2026-03-06</v>
          </cell>
          <cell r="O23" t="str">
            <v>https://hana.modakita.com/azd942/avatar/25150010202603061146191UX1PG.jpg</v>
          </cell>
        </row>
        <row r="24">
          <cell r="I24" t="str">
            <v>JMF1E1331760</v>
          </cell>
          <cell r="J24" t="str">
            <v>KB1760XAA</v>
          </cell>
          <cell r="K24" t="str">
            <v>KPB2</v>
          </cell>
          <cell r="L24">
            <v>2202</v>
          </cell>
          <cell r="M24" t="str">
            <v>2025-11-03</v>
          </cell>
          <cell r="N24" t="str">
            <v>2026-03-06</v>
          </cell>
          <cell r="O24" t="str">
            <v>https://hana.modakita.com/azd942/avatar/2515001020260306114515I3ESQO.jpg</v>
          </cell>
        </row>
        <row r="25">
          <cell r="I25" t="str">
            <v>KFE1E1430814</v>
          </cell>
          <cell r="J25" t="str">
            <v>X123YZ</v>
          </cell>
          <cell r="K25" t="str">
            <v>KPB1</v>
          </cell>
          <cell r="L25">
            <v>238</v>
          </cell>
          <cell r="M25" t="str">
            <v>2026-02-04</v>
          </cell>
          <cell r="N25" t="str">
            <v>2026-03-06</v>
          </cell>
          <cell r="O25" t="str">
            <v>https://hana.modakita.com/azd942/avatar/21502451420260306093839RVYMVF.jpg</v>
          </cell>
        </row>
        <row r="26">
          <cell r="I26" t="str">
            <v>KFF1E1018101</v>
          </cell>
          <cell r="J26" t="str">
            <v>KB8101XAA</v>
          </cell>
          <cell r="K26" t="str">
            <v>KPB1</v>
          </cell>
          <cell r="L26">
            <v>93</v>
          </cell>
          <cell r="M26" t="str">
            <v>2026-02-23</v>
          </cell>
          <cell r="N26" t="str">
            <v>2026-03-06</v>
          </cell>
          <cell r="O26" t="str">
            <v>https://hana.modakita.com/azd942/avatar/2515001020260306085356JTXABJ.jpg</v>
          </cell>
        </row>
        <row r="27">
          <cell r="I27" t="str">
            <v>JME1E1962592</v>
          </cell>
          <cell r="J27" t="str">
            <v>X123YZ</v>
          </cell>
          <cell r="K27" t="str">
            <v>KPB1</v>
          </cell>
          <cell r="L27">
            <v>842</v>
          </cell>
          <cell r="M27" t="str">
            <v>2026-02-11</v>
          </cell>
          <cell r="N27" t="str">
            <v>2026-03-05</v>
          </cell>
          <cell r="O27" t="str">
            <v>https://hana.modakita.com/azd942/avatar/2515001020260305124555W2YNIE.jpg</v>
          </cell>
        </row>
        <row r="28">
          <cell r="I28" t="str">
            <v>JMH2E1736994</v>
          </cell>
          <cell r="J28" t="str">
            <v>X123YZ</v>
          </cell>
          <cell r="K28" t="str">
            <v>KPB1</v>
          </cell>
          <cell r="L28">
            <v>995</v>
          </cell>
          <cell r="M28" t="str">
            <v>2026-02-09</v>
          </cell>
          <cell r="N28" t="str">
            <v>2026-03-05</v>
          </cell>
          <cell r="O28" t="str">
            <v>https://hana.modakita.com/azd942/avatar/2515001020260305124450TS6YDJ.jpg</v>
          </cell>
        </row>
        <row r="29">
          <cell r="I29" t="str">
            <v>JMK1E1047336</v>
          </cell>
          <cell r="J29" t="str">
            <v>X123YZ</v>
          </cell>
          <cell r="K29" t="str">
            <v>KPB1</v>
          </cell>
          <cell r="L29">
            <v>232</v>
          </cell>
          <cell r="M29" t="str">
            <v>2026-02-12</v>
          </cell>
          <cell r="N29" t="str">
            <v>2026-03-05</v>
          </cell>
          <cell r="O29" t="str">
            <v>https://hana.modakita.com/azd942/avatar/2515001020260305123911IVF099.jpg</v>
          </cell>
        </row>
        <row r="30">
          <cell r="I30" t="str">
            <v>KF01E2047249</v>
          </cell>
          <cell r="J30" t="str">
            <v>KB7249XAA</v>
          </cell>
          <cell r="K30" t="str">
            <v>KPB1</v>
          </cell>
          <cell r="L30">
            <v>504</v>
          </cell>
          <cell r="M30" t="str">
            <v>2026-02-16</v>
          </cell>
          <cell r="N30" t="str">
            <v>2026-03-05</v>
          </cell>
          <cell r="O30" t="str">
            <v>https://hana.modakita.com/azd942/avatar/2515001020260305123508OFH7ZE.jpg</v>
          </cell>
        </row>
        <row r="31">
          <cell r="I31" t="str">
            <v>JMF1E1397788</v>
          </cell>
          <cell r="J31" t="str">
            <v>KB7788XAA</v>
          </cell>
          <cell r="K31" t="str">
            <v>KPB1</v>
          </cell>
          <cell r="L31">
            <v>6</v>
          </cell>
          <cell r="M31" t="str">
            <v>2026-03-02</v>
          </cell>
          <cell r="N31" t="str">
            <v>2026-03-05</v>
          </cell>
          <cell r="O31" t="str">
            <v>https://hana.modakita.com/azd942/avatar/2515001020260305113445AW9D9L.jpg</v>
          </cell>
        </row>
        <row r="32">
          <cell r="I32" t="str">
            <v>JMJ1E1030062</v>
          </cell>
          <cell r="J32" t="str">
            <v>X123YZ</v>
          </cell>
          <cell r="K32" t="str">
            <v>KPB1</v>
          </cell>
          <cell r="L32">
            <v>111</v>
          </cell>
          <cell r="M32" t="str">
            <v>2026-02-11</v>
          </cell>
          <cell r="N32" t="str">
            <v>2026-03-05</v>
          </cell>
          <cell r="O32" t="str">
            <v>https://hana.modakita.com/azd942/avatar/21502451420260305112921IAJVBT.jpg</v>
          </cell>
        </row>
        <row r="33">
          <cell r="I33" t="str">
            <v>JMJ1E1023299</v>
          </cell>
          <cell r="J33" t="str">
            <v>X123YZ</v>
          </cell>
          <cell r="K33" t="str">
            <v>KPB1</v>
          </cell>
          <cell r="L33">
            <v>355</v>
          </cell>
          <cell r="M33" t="str">
            <v>2026-02-03</v>
          </cell>
          <cell r="N33" t="str">
            <v>2026-03-05</v>
          </cell>
          <cell r="O33" t="str">
            <v>https://hana.modakita.com/azd942/avatar/21502451420260305112119PEPFZK.jpg</v>
          </cell>
        </row>
        <row r="34">
          <cell r="I34" t="str">
            <v>JBK3E1628040</v>
          </cell>
          <cell r="J34" t="str">
            <v>KB8040XAA</v>
          </cell>
          <cell r="K34" t="str">
            <v>KPB1</v>
          </cell>
          <cell r="L34">
            <v>446</v>
          </cell>
          <cell r="M34" t="str">
            <v>2026-03-02</v>
          </cell>
          <cell r="N34" t="str">
            <v>2026-03-05</v>
          </cell>
          <cell r="O34" t="str">
            <v>https://hana.modakita.com/azd942/avatar/25150010202603051111569FFXLY.jpg</v>
          </cell>
        </row>
        <row r="35">
          <cell r="I35" t="str">
            <v>JMA1E1222890</v>
          </cell>
          <cell r="J35" t="str">
            <v>KB2890XAA</v>
          </cell>
          <cell r="K35" t="str">
            <v>KPB1</v>
          </cell>
          <cell r="L35">
            <v>426</v>
          </cell>
          <cell r="M35" t="str">
            <v>2026-01-14</v>
          </cell>
          <cell r="N35" t="str">
            <v>2026-03-05</v>
          </cell>
          <cell r="O35" t="str">
            <v>https://hana.modakita.com/azd942/avatar/2515001020260305110047HNG1DN.jpg</v>
          </cell>
        </row>
        <row r="36">
          <cell r="I36" t="str">
            <v>KF01E1962904</v>
          </cell>
          <cell r="J36" t="str">
            <v>KB2904XAA</v>
          </cell>
          <cell r="K36" t="str">
            <v>KPB2</v>
          </cell>
          <cell r="L36">
            <v>2742</v>
          </cell>
          <cell r="M36" t="str">
            <v>2025-09-13</v>
          </cell>
          <cell r="N36" t="str">
            <v>2026-03-05</v>
          </cell>
          <cell r="O36" t="str">
            <v>https://hana.modakita.com/azd942/avatar/2515001020260305100635SCITFV.jpg</v>
          </cell>
        </row>
        <row r="37">
          <cell r="I37" t="str">
            <v>KFE2E1056914</v>
          </cell>
          <cell r="J37" t="str">
            <v>KB6914P</v>
          </cell>
          <cell r="K37" t="str">
            <v>KPB2</v>
          </cell>
          <cell r="L37">
            <v>1941</v>
          </cell>
          <cell r="M37" t="str">
            <v>2025-09-04</v>
          </cell>
          <cell r="N37" t="str">
            <v>2026-03-04</v>
          </cell>
          <cell r="O37" t="str">
            <v>https://hana.modakita.com/azd942/avatar/213951786202603041157578ISDBA.jpg</v>
          </cell>
        </row>
        <row r="38">
          <cell r="I38" t="str">
            <v>JMH2E1746760</v>
          </cell>
          <cell r="J38" t="str">
            <v>X123YZ</v>
          </cell>
          <cell r="K38" t="str">
            <v>KPB1</v>
          </cell>
          <cell r="L38">
            <v>228</v>
          </cell>
          <cell r="M38" t="str">
            <v>2026-02-12</v>
          </cell>
          <cell r="N38" t="str">
            <v>2026-03-03</v>
          </cell>
          <cell r="O38" t="str">
            <v>https://hana.modakita.com/azd942/avatar/2515001020260303131115YICGHE.jpg</v>
          </cell>
        </row>
        <row r="39">
          <cell r="I39" t="str">
            <v>JME1E1583626</v>
          </cell>
          <cell r="J39" t="str">
            <v>X123YZ</v>
          </cell>
          <cell r="K39" t="str">
            <v>KPB3</v>
          </cell>
          <cell r="L39">
            <v>3047</v>
          </cell>
          <cell r="M39" t="str">
            <v>2025-07-08</v>
          </cell>
          <cell r="N39" t="str">
            <v>2026-03-02</v>
          </cell>
          <cell r="O39" t="str">
            <v>https://hana.modakita.com/azd942/avatar/296344012026030216472289YQMI.jpg</v>
          </cell>
        </row>
        <row r="40">
          <cell r="I40" t="str">
            <v>KFF1E1018099</v>
          </cell>
          <cell r="J40" t="str">
            <v>X123YZ</v>
          </cell>
          <cell r="K40" t="str">
            <v>KPB1</v>
          </cell>
          <cell r="L40">
            <v>701</v>
          </cell>
          <cell r="M40" t="str">
            <v>2026-02-14</v>
          </cell>
          <cell r="N40" t="str">
            <v>2026-03-02</v>
          </cell>
          <cell r="O40" t="str">
            <v>https://hana.modakita.com/azd942/avatar/2515001020260302113612AZXRDA.jpg</v>
          </cell>
        </row>
        <row r="41">
          <cell r="I41" t="str">
            <v>JMJ1E1025882</v>
          </cell>
          <cell r="J41" t="str">
            <v>KB5882XAA</v>
          </cell>
          <cell r="K41" t="str">
            <v>KPB1</v>
          </cell>
          <cell r="L41">
            <v>521</v>
          </cell>
          <cell r="M41" t="str">
            <v>2026-02-13</v>
          </cell>
          <cell r="N41" t="str">
            <v>2026-03-02</v>
          </cell>
          <cell r="O41" t="str">
            <v>https://hana.modakita.com/azd942/avatar/21502451420260302095150EDN2PE.jpg</v>
          </cell>
        </row>
        <row r="42">
          <cell r="I42" t="str">
            <v>JMH1E1378049</v>
          </cell>
          <cell r="J42" t="str">
            <v>X123YZ</v>
          </cell>
          <cell r="K42" t="str">
            <v>KPB1</v>
          </cell>
          <cell r="L42">
            <v>478</v>
          </cell>
          <cell r="M42" t="str">
            <v>2026-02-11</v>
          </cell>
          <cell r="N42" t="str">
            <v>2026-03-09</v>
          </cell>
          <cell r="O42" t="str">
            <v>https://hana.modakita.com/azd942/avatar/2649897020260309134844HFIDRK.jpg</v>
          </cell>
        </row>
        <row r="43">
          <cell r="I43" t="str">
            <v>JMF2E1470468</v>
          </cell>
          <cell r="J43" t="str">
            <v>KB0468XAA</v>
          </cell>
          <cell r="K43" t="str">
            <v>KPB1</v>
          </cell>
          <cell r="L43">
            <v>530</v>
          </cell>
          <cell r="M43" t="str">
            <v>2026-02-24</v>
          </cell>
          <cell r="N43" t="str">
            <v>2026-03-09</v>
          </cell>
          <cell r="O43" t="str">
            <v>https://hana.modakita.com/azd942/avatar/2649897020260309134440NZYIK0.jpg</v>
          </cell>
        </row>
        <row r="44">
          <cell r="I44" t="str">
            <v>JMH1E1375460</v>
          </cell>
          <cell r="J44" t="str">
            <v>KB5460XAA</v>
          </cell>
          <cell r="K44" t="str">
            <v>KPB1</v>
          </cell>
          <cell r="L44">
            <v>810</v>
          </cell>
          <cell r="M44" t="str">
            <v>2026-02-16</v>
          </cell>
          <cell r="N44" t="str">
            <v>2026-03-09</v>
          </cell>
          <cell r="O44" t="str">
            <v>https://hana.modakita.com/azd942/avatar/2649897020260309132604D046ZS.jpg</v>
          </cell>
        </row>
        <row r="45">
          <cell r="I45" t="str">
            <v>JMF1E1388450</v>
          </cell>
          <cell r="J45" t="str">
            <v>KB8460XAA</v>
          </cell>
          <cell r="K45" t="str">
            <v>KPB1</v>
          </cell>
          <cell r="L45">
            <v>1014</v>
          </cell>
          <cell r="M45" t="str">
            <v>2026-02-21</v>
          </cell>
          <cell r="N45" t="str">
            <v>2026-03-09</v>
          </cell>
          <cell r="O45" t="str">
            <v>https://hana.modakita.com/azd942/avatar/26498970202603091319487CSV2F.jpg</v>
          </cell>
        </row>
        <row r="46">
          <cell r="I46" t="str">
            <v>JMC1E1737146</v>
          </cell>
          <cell r="J46" t="str">
            <v>KB7146XAA</v>
          </cell>
          <cell r="K46" t="str">
            <v>KPB3</v>
          </cell>
          <cell r="L46">
            <v>1860</v>
          </cell>
          <cell r="M46" t="str">
            <v>2025-10-10</v>
          </cell>
          <cell r="N46" t="str">
            <v>2026-03-09</v>
          </cell>
          <cell r="O46" t="str">
            <v>https://hana.modakita.com/azd942/avatar/2515001020260309131004OHX6NQ.jpg</v>
          </cell>
        </row>
        <row r="47">
          <cell r="I47" t="str">
            <v>JMH1E1319779</v>
          </cell>
          <cell r="J47" t="str">
            <v>KB9779XAA</v>
          </cell>
          <cell r="K47" t="str">
            <v>KPB2</v>
          </cell>
          <cell r="L47">
            <v>2019</v>
          </cell>
          <cell r="M47" t="str">
            <v>2025-12-18</v>
          </cell>
          <cell r="N47" t="str">
            <v>2026-03-09</v>
          </cell>
          <cell r="O47" t="str">
            <v>https://hana.modakita.com/azd942/avatar/2515001020260309130745WJOVRT.jpg</v>
          </cell>
        </row>
        <row r="48">
          <cell r="I48" t="str">
            <v>JMF2E1714326</v>
          </cell>
          <cell r="J48" t="str">
            <v>X123YZ</v>
          </cell>
          <cell r="K48" t="str">
            <v>KPB1</v>
          </cell>
          <cell r="L48">
            <v>906</v>
          </cell>
          <cell r="M48" t="str">
            <v>2026-03-03</v>
          </cell>
          <cell r="N48" t="str">
            <v>2026-03-10</v>
          </cell>
          <cell r="O48" t="str">
            <v>https://hana.modakita.com/azd942/avatar/2649897020260310111119XVDRQX.jpg</v>
          </cell>
        </row>
        <row r="49">
          <cell r="I49" t="str">
            <v>KFE1E1435551</v>
          </cell>
          <cell r="J49" t="str">
            <v>KB5551XAA</v>
          </cell>
          <cell r="K49" t="str">
            <v>KPB1</v>
          </cell>
          <cell r="L49">
            <v>1034</v>
          </cell>
          <cell r="M49" t="str">
            <v>2026-02-11</v>
          </cell>
          <cell r="N49" t="str">
            <v>2026-03-10</v>
          </cell>
          <cell r="O49" t="str">
            <v>https://hana.modakita.com/azd942/avatar/2515001020260310101956AMHCRI.jpg</v>
          </cell>
        </row>
        <row r="50">
          <cell r="I50" t="str">
            <v>JMH2E1761974</v>
          </cell>
          <cell r="J50" t="str">
            <v>KB1974XAA</v>
          </cell>
          <cell r="K50" t="str">
            <v>KPB1</v>
          </cell>
          <cell r="L50">
            <v>97</v>
          </cell>
          <cell r="M50" t="str">
            <v>2026-03-02</v>
          </cell>
          <cell r="N50" t="str">
            <v>2026-03-10</v>
          </cell>
          <cell r="O50" t="str">
            <v>https://hana.modakita.com/azd942/avatar/2515001020260310100326HBIJIM.jpg</v>
          </cell>
        </row>
        <row r="51">
          <cell r="I51" t="str">
            <v>JMH1E1113930</v>
          </cell>
          <cell r="J51" t="str">
            <v>KB3930P</v>
          </cell>
          <cell r="K51" t="str">
            <v>KPB4</v>
          </cell>
          <cell r="L51">
            <v>8330</v>
          </cell>
          <cell r="M51" t="str">
            <v>2025-03-13</v>
          </cell>
          <cell r="N51" t="str">
            <v>2026-03-11</v>
          </cell>
          <cell r="O51" t="str">
            <v>https://hana.modakita.com/azd942/avatar/213951786202603111735246BWOSP.jpg</v>
          </cell>
        </row>
        <row r="52">
          <cell r="I52" t="str">
            <v>JBK1E2089974</v>
          </cell>
          <cell r="J52" t="str">
            <v>KB3423PAI</v>
          </cell>
          <cell r="K52" t="str">
            <v>KPB4</v>
          </cell>
          <cell r="L52">
            <v>9407</v>
          </cell>
          <cell r="M52" t="str">
            <v>2025-03-22</v>
          </cell>
          <cell r="N52" t="str">
            <v>2026-03-11</v>
          </cell>
          <cell r="O52" t="str">
            <v>https://hana.modakita.com/azd942/avatar/2963440120260311142555LG2TBV.jpg</v>
          </cell>
        </row>
        <row r="53">
          <cell r="I53" t="str">
            <v>JMH2E1120877</v>
          </cell>
          <cell r="J53" t="str">
            <v>X123YZ</v>
          </cell>
          <cell r="K53" t="str">
            <v>KPB3</v>
          </cell>
          <cell r="L53">
            <v>6458</v>
          </cell>
          <cell r="M53" t="str">
            <v>2025-07-22</v>
          </cell>
          <cell r="N53" t="str">
            <v>2026-03-11</v>
          </cell>
          <cell r="O53" t="str">
            <v>https://hana.modakita.com/azd942/avatar/21395178620260311142448OXNTCB.jpg</v>
          </cell>
        </row>
        <row r="54">
          <cell r="I54" t="str">
            <v>JME1E1601836</v>
          </cell>
          <cell r="J54" t="str">
            <v>KB1836P</v>
          </cell>
          <cell r="K54" t="str">
            <v>KPB2</v>
          </cell>
          <cell r="L54">
            <v>1037</v>
          </cell>
          <cell r="M54" t="str">
            <v>2026-01-06</v>
          </cell>
          <cell r="N54" t="str">
            <v>2026-03-11</v>
          </cell>
          <cell r="O54" t="str">
            <v>https://hana.modakita.com/azd942/avatar/21395178620260311142321ZQ3VWX.jpg</v>
          </cell>
        </row>
        <row r="55">
          <cell r="I55" t="str">
            <v>JMH1E1379743</v>
          </cell>
          <cell r="J55" t="str">
            <v>KB9743XAA</v>
          </cell>
          <cell r="K55" t="str">
            <v>KPB1</v>
          </cell>
          <cell r="L55">
            <v>756</v>
          </cell>
          <cell r="M55" t="str">
            <v>2026-02-27</v>
          </cell>
          <cell r="N55" t="str">
            <v>2026-03-11</v>
          </cell>
          <cell r="O55" t="str">
            <v>https://hana.modakita.com/azd942/avatar/2649897020260311103303CVYGUW.jpg</v>
          </cell>
        </row>
        <row r="56">
          <cell r="I56" t="str">
            <v>JMJ1E1013631</v>
          </cell>
          <cell r="J56" t="str">
            <v>KB3631XAA</v>
          </cell>
          <cell r="K56" t="str">
            <v>KPB2</v>
          </cell>
          <cell r="L56">
            <v>1684</v>
          </cell>
          <cell r="M56" t="str">
            <v>2026-01-09</v>
          </cell>
          <cell r="N56" t="str">
            <v>2026-03-12</v>
          </cell>
          <cell r="O56" t="str">
            <v>https://hana.modakita.com/azd942/avatar/2515001020260312150916TZJ1IR.jpg</v>
          </cell>
        </row>
        <row r="57">
          <cell r="I57" t="str">
            <v>JMK1E1032420</v>
          </cell>
          <cell r="J57" t="str">
            <v>KB2420XAA</v>
          </cell>
          <cell r="K57" t="str">
            <v>KPB1</v>
          </cell>
          <cell r="L57">
            <v>679</v>
          </cell>
          <cell r="M57" t="str">
            <v>2026-02-10</v>
          </cell>
          <cell r="N57" t="str">
            <v>2026-03-12</v>
          </cell>
          <cell r="O57" t="str">
            <v>https://hana.modakita.com/azd942/avatar/2515001020260312114959RYODYJ.jpg</v>
          </cell>
        </row>
        <row r="58">
          <cell r="I58" t="str">
            <v>KFC1E1258115</v>
          </cell>
          <cell r="J58" t="str">
            <v>X123YZ</v>
          </cell>
          <cell r="K58" t="str">
            <v>KPB1</v>
          </cell>
          <cell r="L58">
            <v>946</v>
          </cell>
          <cell r="M58" t="str">
            <v>2026-02-11</v>
          </cell>
          <cell r="N58" t="str">
            <v>2026-03-12</v>
          </cell>
          <cell r="O58" t="str">
            <v>https://hana.modakita.com/azd942/avatar/26498970202603121144238ZIW7R.jpg</v>
          </cell>
        </row>
        <row r="59">
          <cell r="I59" t="str">
            <v>KFD1E1245842</v>
          </cell>
          <cell r="J59" t="str">
            <v>X123YZ</v>
          </cell>
          <cell r="K59" t="str">
            <v>KPB1</v>
          </cell>
          <cell r="L59">
            <v>180</v>
          </cell>
          <cell r="M59" t="str">
            <v>2026-02-11</v>
          </cell>
          <cell r="N59" t="str">
            <v>2026-03-12</v>
          </cell>
          <cell r="O59" t="str">
            <v>https://hana.modakita.com/azd942/avatar/2649897020260312112330U0JPCA.jpg</v>
          </cell>
        </row>
        <row r="60">
          <cell r="I60" t="str">
            <v>KFC1E1247683</v>
          </cell>
          <cell r="J60" t="str">
            <v>KB7683XAA</v>
          </cell>
          <cell r="K60" t="str">
            <v>KPB1</v>
          </cell>
          <cell r="L60">
            <v>1242</v>
          </cell>
          <cell r="M60" t="str">
            <v>2026-01-19</v>
          </cell>
          <cell r="N60" t="str">
            <v>2026-03-12</v>
          </cell>
          <cell r="O60" t="str">
            <v>https://hana.modakita.com/azd942/avatar/2515001020260312111902ED6EQV.jpg</v>
          </cell>
        </row>
        <row r="61">
          <cell r="I61" t="str">
            <v>JME1E1545383</v>
          </cell>
          <cell r="J61" t="str">
            <v>KB5762PAI</v>
          </cell>
          <cell r="K61" t="str">
            <v>KPB4</v>
          </cell>
          <cell r="L61">
            <v>4320</v>
          </cell>
          <cell r="M61" t="str">
            <v>2025-06-16</v>
          </cell>
          <cell r="N61" t="str">
            <v>2026-03-12</v>
          </cell>
          <cell r="O61" t="str">
            <v>https://hana.modakita.com/azd942/avatar/2515001020260312111314DEJAWB.jpg</v>
          </cell>
        </row>
        <row r="62">
          <cell r="I62" t="str">
            <v>JMF1E1385634</v>
          </cell>
          <cell r="J62" t="str">
            <v>KB5634P</v>
          </cell>
          <cell r="K62" t="str">
            <v>KPB2</v>
          </cell>
          <cell r="L62">
            <v>942</v>
          </cell>
          <cell r="M62" t="str">
            <v>2026-01-28</v>
          </cell>
          <cell r="N62" t="str">
            <v>2026-03-13</v>
          </cell>
          <cell r="O62" t="str">
            <v>https://hana.modakita.com/azd942/avatar/21395178620260313175323SEF9UV.jpg</v>
          </cell>
        </row>
        <row r="63">
          <cell r="I63" t="str">
            <v>KF01E1999528</v>
          </cell>
          <cell r="J63" t="str">
            <v>KB9528P</v>
          </cell>
          <cell r="K63" t="str">
            <v>KPB2</v>
          </cell>
          <cell r="L63">
            <v>1333</v>
          </cell>
          <cell r="M63" t="str">
            <v>2025-12-25</v>
          </cell>
          <cell r="N63" t="str">
            <v>2026-03-13</v>
          </cell>
          <cell r="O63" t="str">
            <v>https://hana.modakita.com/azd942/avatar/213951786202603131752045D9D1M.jpg</v>
          </cell>
        </row>
        <row r="64">
          <cell r="I64" t="str">
            <v>KFD1E1160648</v>
          </cell>
          <cell r="J64" t="str">
            <v>KB7604KU</v>
          </cell>
          <cell r="K64" t="str">
            <v>KPB3</v>
          </cell>
          <cell r="L64">
            <v>2735</v>
          </cell>
          <cell r="M64" t="str">
            <v>2025-08-29</v>
          </cell>
          <cell r="N64" t="str">
            <v>2026-03-13</v>
          </cell>
          <cell r="O64" t="str">
            <v>https://hana.modakita.com/azd942/avatar/21395178620260313175034TLNDPR.jpg</v>
          </cell>
        </row>
        <row r="65">
          <cell r="I65" t="str">
            <v>JMF2E1572613</v>
          </cell>
          <cell r="J65" t="str">
            <v>KB2613P</v>
          </cell>
          <cell r="K65" t="str">
            <v>KPB3</v>
          </cell>
          <cell r="L65">
            <v>4000</v>
          </cell>
          <cell r="M65" t="str">
            <v>2025-11-07</v>
          </cell>
          <cell r="N65" t="str">
            <v>2026-03-13</v>
          </cell>
          <cell r="O65" t="str">
            <v>https://hana.modakita.com/azd942/avatar/2963440120260313174018ODJIVU.jpg</v>
          </cell>
        </row>
        <row r="66">
          <cell r="I66" t="str">
            <v>JMF2E1437385</v>
          </cell>
          <cell r="J66" t="str">
            <v>KB5169PAI</v>
          </cell>
          <cell r="K66" t="str">
            <v>KPB4</v>
          </cell>
          <cell r="L66">
            <v>2712</v>
          </cell>
          <cell r="M66" t="str">
            <v>2025-06-04</v>
          </cell>
          <cell r="N66" t="str">
            <v>2026-03-13</v>
          </cell>
          <cell r="O66" t="str">
            <v>https://hana.modakita.com/azd942/avatar/2649897020260313124829MCCWZF.jpg</v>
          </cell>
        </row>
        <row r="67">
          <cell r="I67" t="str">
            <v>JMJ1E1027008</v>
          </cell>
          <cell r="J67" t="str">
            <v>KB4534YS</v>
          </cell>
          <cell r="K67" t="str">
            <v>KPB1</v>
          </cell>
          <cell r="L67">
            <v>982</v>
          </cell>
          <cell r="M67" t="str">
            <v>2026-02-12</v>
          </cell>
          <cell r="N67" t="str">
            <v>2026-03-13</v>
          </cell>
          <cell r="O67" t="str">
            <v>https://hana.modakita.com/azd942/avatar/2963440120260313121051YXYXDG.jpg</v>
          </cell>
        </row>
        <row r="68">
          <cell r="I68" t="str">
            <v>JMH1E1308340</v>
          </cell>
          <cell r="J68" t="str">
            <v>KB6933XP</v>
          </cell>
          <cell r="K68" t="str">
            <v>KPB3</v>
          </cell>
          <cell r="L68">
            <v>8009</v>
          </cell>
          <cell r="M68" t="str">
            <v>2025-12-29</v>
          </cell>
          <cell r="N68" t="str">
            <v>2026-03-13</v>
          </cell>
          <cell r="O68" t="str">
            <v>https://hana.modakita.com/azd942/avatar/2515001020260313105548ARG31R.jpg</v>
          </cell>
        </row>
        <row r="69">
          <cell r="I69" t="str">
            <v>JMH1E1379741</v>
          </cell>
          <cell r="J69" t="str">
            <v>KB9741XY</v>
          </cell>
          <cell r="K69" t="str">
            <v>KPB1</v>
          </cell>
          <cell r="L69">
            <v>2</v>
          </cell>
          <cell r="M69" t="str">
            <v>2026-03-11</v>
          </cell>
          <cell r="N69" t="str">
            <v>2026-03-13</v>
          </cell>
          <cell r="O69" t="str">
            <v>https://hana.modakita.com/azd942/avatar/2515001020260313090545PPX1KZ.jpg</v>
          </cell>
        </row>
        <row r="70">
          <cell r="I70" t="str">
            <v>JMH2E1703368</v>
          </cell>
          <cell r="J70" t="str">
            <v>KB3368P</v>
          </cell>
          <cell r="K70" t="str">
            <v>KPB1</v>
          </cell>
          <cell r="L70">
            <v>1004</v>
          </cell>
          <cell r="M70" t="str">
            <v>2026-01-19</v>
          </cell>
          <cell r="N70" t="str">
            <v>2026-03-15</v>
          </cell>
          <cell r="O70" t="str">
            <v>https://hana.modakita.com/azd942/avatar/21222168520260315130108JS9KYV.jpg</v>
          </cell>
        </row>
        <row r="71">
          <cell r="I71" t="str">
            <v>JMF1E1395825</v>
          </cell>
          <cell r="J71" t="str">
            <v>KB5825P</v>
          </cell>
          <cell r="K71" t="str">
            <v>KPB1</v>
          </cell>
          <cell r="L71">
            <v>1097</v>
          </cell>
          <cell r="M71" t="str">
            <v>2026-02-26</v>
          </cell>
          <cell r="N71" t="str">
            <v>2026-03-15</v>
          </cell>
          <cell r="O71" t="str">
            <v>https://hana.modakita.com/azd942/avatar/21222168520260315125549BVFFCI.jpg</v>
          </cell>
        </row>
        <row r="72">
          <cell r="I72" t="str">
            <v>JMH2E1747283</v>
          </cell>
          <cell r="J72" t="str">
            <v>KB7283XAA</v>
          </cell>
          <cell r="K72" t="str">
            <v>KPB1</v>
          </cell>
          <cell r="L72">
            <v>692</v>
          </cell>
          <cell r="M72" t="str">
            <v>2026-03-07</v>
          </cell>
          <cell r="N72" t="str">
            <v>2026-03-14</v>
          </cell>
          <cell r="O72" t="str">
            <v>https://hana.modakita.com/azd942/avatar/2649897020260314134416M6OHSK.jpg</v>
          </cell>
        </row>
        <row r="73">
          <cell r="I73" t="str">
            <v>JMF2E1619871</v>
          </cell>
          <cell r="J73" t="str">
            <v>KB9871XAA</v>
          </cell>
          <cell r="K73" t="str">
            <v>KPB1</v>
          </cell>
          <cell r="L73">
            <v>281</v>
          </cell>
          <cell r="M73" t="str">
            <v>2026-02-24</v>
          </cell>
          <cell r="N73" t="str">
            <v>2026-03-14</v>
          </cell>
          <cell r="O73" t="str">
            <v>https://hana.modakita.com/azd942/avatar/2649897020260314133858MTV479.jpg</v>
          </cell>
        </row>
        <row r="74">
          <cell r="I74" t="str">
            <v>JMK1E1047371</v>
          </cell>
          <cell r="J74" t="str">
            <v>X123YZ</v>
          </cell>
          <cell r="K74" t="str">
            <v>KPB1</v>
          </cell>
          <cell r="L74">
            <v>199</v>
          </cell>
          <cell r="M74" t="str">
            <v>2026-02-18</v>
          </cell>
          <cell r="N74" t="str">
            <v>2026-03-14</v>
          </cell>
          <cell r="O74" t="str">
            <v>https://hana.modakita.com/azd942/avatar/2515001020260314124138WQDFAV.jpg</v>
          </cell>
        </row>
        <row r="75">
          <cell r="I75" t="str">
            <v>KFE1E1454073</v>
          </cell>
          <cell r="J75" t="str">
            <v>KB4073XAA</v>
          </cell>
          <cell r="K75" t="str">
            <v>KPB1</v>
          </cell>
          <cell r="L75">
            <v>635</v>
          </cell>
          <cell r="M75" t="str">
            <v>2026-02-23</v>
          </cell>
          <cell r="N75" t="str">
            <v>2026-03-14</v>
          </cell>
          <cell r="O75" t="str">
            <v>https://hana.modakita.com/azd942/avatar/2515001020260314122840LPXFQ3.jpg</v>
          </cell>
        </row>
        <row r="76">
          <cell r="I76" t="str">
            <v>JMH1E1283101</v>
          </cell>
          <cell r="J76" t="str">
            <v>KB3101XAA</v>
          </cell>
          <cell r="K76" t="str">
            <v>KPB2</v>
          </cell>
          <cell r="L76">
            <v>979</v>
          </cell>
          <cell r="M76" t="str">
            <v>2025-12-03</v>
          </cell>
          <cell r="N76" t="str">
            <v>2026-03-14</v>
          </cell>
          <cell r="O76" t="str">
            <v>https://hana.modakita.com/azd942/avatar/2515001020260314114438ESHUTD.jpg</v>
          </cell>
        </row>
        <row r="77">
          <cell r="I77" t="str">
            <v>JMH1E1385507</v>
          </cell>
          <cell r="J77" t="str">
            <v>KB5507XAA</v>
          </cell>
          <cell r="K77" t="str">
            <v>KPB1</v>
          </cell>
          <cell r="L77">
            <v>650</v>
          </cell>
          <cell r="M77" t="str">
            <v>2026-02-13</v>
          </cell>
          <cell r="N77" t="str">
            <v>2026-03-14</v>
          </cell>
          <cell r="O77" t="str">
            <v>https://hana.modakita.com/azd942/avatar/2515001020260314114005YE75G2.jpg</v>
          </cell>
        </row>
        <row r="78">
          <cell r="I78" t="str">
            <v>JBP1E2147166</v>
          </cell>
          <cell r="J78" t="str">
            <v>X123YZ</v>
          </cell>
          <cell r="K78" t="str">
            <v>KPB1</v>
          </cell>
          <cell r="L78">
            <v>265</v>
          </cell>
          <cell r="M78" t="str">
            <v>2026-02-03</v>
          </cell>
          <cell r="N78" t="str">
            <v>2026-03-14</v>
          </cell>
          <cell r="O78" t="str">
            <v>https://hana.modakita.com/azd942/avatar/2515001020260314091249CPVKLM.jpg</v>
          </cell>
        </row>
        <row r="79">
          <cell r="I79" t="str">
            <v>JMH1E1354478</v>
          </cell>
          <cell r="J79" t="str">
            <v>KB3021PAL</v>
          </cell>
          <cell r="K79" t="str">
            <v>KPB1</v>
          </cell>
          <cell r="L79">
            <v>975</v>
          </cell>
          <cell r="M79" t="str">
            <v>2026-01-19</v>
          </cell>
          <cell r="N79" t="str">
            <v>2026-03-14</v>
          </cell>
          <cell r="O79" t="str">
            <v>https://hana.modakita.com/azd942/avatar/2515001020260314091031AFJ6C8.jpg</v>
          </cell>
        </row>
        <row r="80">
          <cell r="I80" t="str">
            <v>JMH2E1699594</v>
          </cell>
          <cell r="J80" t="str">
            <v>KB9594XAA</v>
          </cell>
          <cell r="K80" t="str">
            <v>KPB1</v>
          </cell>
          <cell r="L80">
            <v>204</v>
          </cell>
          <cell r="M80" t="str">
            <v>2026-01-27</v>
          </cell>
          <cell r="N80" t="str">
            <v>2026-03-14</v>
          </cell>
          <cell r="O80" t="str">
            <v>https://hana.modakita.com/azd942/avatar/2649897020260314090649PZNJUF.jpg</v>
          </cell>
        </row>
        <row r="81">
          <cell r="I81" t="str">
            <v>JMF1E1397692</v>
          </cell>
          <cell r="J81" t="str">
            <v>KB7692XAA</v>
          </cell>
          <cell r="K81" t="str">
            <v>KPB1</v>
          </cell>
          <cell r="L81">
            <v>716</v>
          </cell>
          <cell r="M81" t="str">
            <v>2026-02-25</v>
          </cell>
          <cell r="N81" t="str">
            <v>2026-03-16</v>
          </cell>
          <cell r="O81" t="str">
            <v>https://hana.modakita.com/azd942/avatar/2515001020260316135245E90Z6I.jpg</v>
          </cell>
        </row>
        <row r="82">
          <cell r="I82" t="str">
            <v>JMH1E1403400</v>
          </cell>
          <cell r="J82" t="str">
            <v>KB3400XAA</v>
          </cell>
          <cell r="K82" t="str">
            <v>KPB1</v>
          </cell>
          <cell r="L82">
            <v>297</v>
          </cell>
          <cell r="M82" t="str">
            <v>2026-02-28</v>
          </cell>
          <cell r="N82" t="str">
            <v>2026-03-16</v>
          </cell>
          <cell r="O82" t="str">
            <v>https://hana.modakita.com/azd942/avatar/2649897020260316134621XU8Q8H.jpg</v>
          </cell>
        </row>
        <row r="83">
          <cell r="I83" t="str">
            <v>JMD1E2161463</v>
          </cell>
          <cell r="J83" t="str">
            <v>KB1463XAA</v>
          </cell>
          <cell r="K83" t="str">
            <v>KPB2</v>
          </cell>
          <cell r="L83">
            <v>3766</v>
          </cell>
          <cell r="M83" t="str">
            <v>2025-12-06</v>
          </cell>
          <cell r="N83" t="str">
            <v>2026-03-16</v>
          </cell>
          <cell r="O83" t="str">
            <v>https://hana.modakita.com/azd942/avatar/2515001020260316134428EE4FBH.jpg</v>
          </cell>
        </row>
        <row r="84">
          <cell r="I84" t="str">
            <v>JMC1E1786361</v>
          </cell>
          <cell r="J84" t="str">
            <v>KB6361P</v>
          </cell>
          <cell r="K84" t="str">
            <v>KPB3</v>
          </cell>
          <cell r="L84">
            <v>2547</v>
          </cell>
          <cell r="M84" t="str">
            <v>2025-12-05</v>
          </cell>
          <cell r="N84" t="str">
            <v>2026-03-16</v>
          </cell>
          <cell r="O84" t="str">
            <v>https://hana.modakita.com/azd942/avatar/21393666120260316132657FQRBJL.jpg</v>
          </cell>
        </row>
        <row r="85">
          <cell r="I85" t="str">
            <v>KFE1E1364342</v>
          </cell>
          <cell r="J85" t="str">
            <v>KB5279PAK</v>
          </cell>
          <cell r="K85" t="str">
            <v>KPB2</v>
          </cell>
          <cell r="L85">
            <v>2525</v>
          </cell>
          <cell r="M85" t="str">
            <v>2025-12-06</v>
          </cell>
          <cell r="N85" t="str">
            <v>2026-03-16</v>
          </cell>
          <cell r="O85" t="str">
            <v>https://hana.modakita.com/azd942/avatar/2649897020260316125803VFDRGV.jpg</v>
          </cell>
        </row>
        <row r="86">
          <cell r="I86" t="str">
            <v>JMH2E1547635</v>
          </cell>
          <cell r="J86" t="str">
            <v>KB7635XAA</v>
          </cell>
          <cell r="K86" t="str">
            <v>KPB3</v>
          </cell>
          <cell r="L86">
            <v>3922</v>
          </cell>
          <cell r="M86" t="str">
            <v>2025-10-24</v>
          </cell>
          <cell r="N86" t="str">
            <v>2026-03-16</v>
          </cell>
          <cell r="O86" t="str">
            <v>https://hana.modakita.com/azd942/avatar/2515001020260316125501PPMS8O.jpg</v>
          </cell>
        </row>
        <row r="87">
          <cell r="I87" t="str">
            <v>JMH2E1699564</v>
          </cell>
          <cell r="J87" t="str">
            <v>KB9564XAA</v>
          </cell>
          <cell r="K87" t="str">
            <v>KPB1</v>
          </cell>
          <cell r="L87">
            <v>214</v>
          </cell>
          <cell r="M87" t="str">
            <v>2026-02-18</v>
          </cell>
          <cell r="N87" t="str">
            <v>2026-03-16</v>
          </cell>
          <cell r="O87" t="str">
            <v>https://hana.modakita.com/azd942/avatar/2515001020260316111332PXVGA2.jpg</v>
          </cell>
        </row>
        <row r="88">
          <cell r="I88" t="str">
            <v>JMH1E1393189</v>
          </cell>
          <cell r="J88" t="str">
            <v>KB3189XAA</v>
          </cell>
          <cell r="K88" t="str">
            <v>KPB1</v>
          </cell>
          <cell r="L88">
            <v>714</v>
          </cell>
          <cell r="M88" t="str">
            <v>2026-03-05</v>
          </cell>
          <cell r="N88" t="str">
            <v>2026-03-16</v>
          </cell>
          <cell r="O88" t="str">
            <v>https://hana.modakita.com/azd942/avatar/2515001020260316110534WHRBEQ.jpg</v>
          </cell>
        </row>
        <row r="89">
          <cell r="I89" t="str">
            <v>JBK1E2166586</v>
          </cell>
          <cell r="J89" t="str">
            <v>KB6586XAA</v>
          </cell>
          <cell r="K89" t="str">
            <v>KPB1</v>
          </cell>
          <cell r="L89">
            <v>519</v>
          </cell>
          <cell r="M89" t="str">
            <v>2026-02-25</v>
          </cell>
          <cell r="N89" t="str">
            <v>2026-03-16</v>
          </cell>
          <cell r="O89" t="str">
            <v>https://hana.modakita.com/azd942/avatar/2649897020260316105753F4U3TD.jpg</v>
          </cell>
        </row>
        <row r="90">
          <cell r="I90" t="str">
            <v>JMD1E2166576</v>
          </cell>
          <cell r="J90" t="str">
            <v>KB5291PAK</v>
          </cell>
          <cell r="K90" t="str">
            <v>KPB2</v>
          </cell>
          <cell r="L90">
            <v>940</v>
          </cell>
          <cell r="M90" t="str">
            <v>2025-12-08</v>
          </cell>
          <cell r="N90" t="str">
            <v>2026-03-16</v>
          </cell>
          <cell r="O90" t="str">
            <v>https://hana.modakita.com/azd942/avatar/2515001020260316103948MIAHPU.jpg</v>
          </cell>
        </row>
        <row r="91">
          <cell r="I91" t="str">
            <v>JMC1E1788972</v>
          </cell>
          <cell r="J91" t="str">
            <v>13618870I</v>
          </cell>
          <cell r="K91" t="str">
            <v>KPB2</v>
          </cell>
          <cell r="L91">
            <v>3414</v>
          </cell>
          <cell r="M91" t="str">
            <v>2025-12-11</v>
          </cell>
          <cell r="N91" t="str">
            <v>2026-03-16</v>
          </cell>
          <cell r="O91" t="str">
            <v>https://hana.modakita.com/azd942/avatar/2515001020260316102711O9XGCO.jpg</v>
          </cell>
        </row>
        <row r="92">
          <cell r="I92" t="str">
            <v>JME1E1938800</v>
          </cell>
          <cell r="J92" t="str">
            <v>X123YZ</v>
          </cell>
          <cell r="K92" t="str">
            <v>KPB1</v>
          </cell>
          <cell r="L92">
            <v>630</v>
          </cell>
          <cell r="M92" t="str">
            <v>2026-02-06</v>
          </cell>
          <cell r="N92" t="str">
            <v>2026-03-16</v>
          </cell>
          <cell r="O92" t="str">
            <v>https://hana.modakita.com/azd942/avatar/2649897020260316101829QG5OM7.jpg</v>
          </cell>
        </row>
        <row r="93">
          <cell r="I93" t="str">
            <v>KFC1E1264085</v>
          </cell>
          <cell r="J93" t="str">
            <v>X123YZ</v>
          </cell>
          <cell r="K93" t="str">
            <v>KPB1</v>
          </cell>
          <cell r="L93">
            <v>401</v>
          </cell>
          <cell r="M93" t="str">
            <v>2026-02-14</v>
          </cell>
          <cell r="N93" t="str">
            <v>2026-03-16</v>
          </cell>
          <cell r="O93" t="str">
            <v>https://hana.modakita.com/azd942/avatar/2515001020260316100631K8IFDP.jpg</v>
          </cell>
        </row>
        <row r="94">
          <cell r="I94" t="str">
            <v>KFE3E1100429</v>
          </cell>
          <cell r="J94" t="str">
            <v>KB0429XAA</v>
          </cell>
          <cell r="K94" t="str">
            <v>KPB1</v>
          </cell>
          <cell r="L94">
            <v>451</v>
          </cell>
          <cell r="M94" t="str">
            <v>2026-02-14</v>
          </cell>
          <cell r="N94" t="str">
            <v>2026-03-16</v>
          </cell>
          <cell r="O94" t="str">
            <v>https://hana.modakita.com/azd942/avatar/2515001020260316095220NOQ8EV.jpg</v>
          </cell>
        </row>
        <row r="95">
          <cell r="I95" t="str">
            <v>KC04E1045451</v>
          </cell>
          <cell r="J95" t="str">
            <v>KB5451XAA</v>
          </cell>
          <cell r="K95" t="str">
            <v>KPB1</v>
          </cell>
          <cell r="L95">
            <v>784</v>
          </cell>
          <cell r="M95" t="str">
            <v>2026-03-13</v>
          </cell>
          <cell r="N95" t="str">
            <v>2026-03-17</v>
          </cell>
          <cell r="O95" t="str">
            <v>https://hana.modakita.com/azd942/avatar/2649897020260317121655C2WECQ.jpg</v>
          </cell>
        </row>
        <row r="96">
          <cell r="I96" t="str">
            <v>KFA1E1358418</v>
          </cell>
          <cell r="J96" t="str">
            <v>KB8418XAA</v>
          </cell>
          <cell r="K96" t="str">
            <v>KPB1</v>
          </cell>
          <cell r="L96">
            <v>446</v>
          </cell>
          <cell r="M96" t="str">
            <v>2026-02-23</v>
          </cell>
          <cell r="N96" t="str">
            <v>2026-03-17</v>
          </cell>
          <cell r="O96" t="str">
            <v>https://hana.modakita.com/azd942/avatar/2649897020260317120654KWMTYE.jpg</v>
          </cell>
        </row>
        <row r="97">
          <cell r="I97" t="str">
            <v>JMH1E1378538</v>
          </cell>
          <cell r="J97" t="str">
            <v>X123YZ</v>
          </cell>
          <cell r="K97" t="str">
            <v>KPB1</v>
          </cell>
          <cell r="L97">
            <v>707</v>
          </cell>
          <cell r="M97" t="str">
            <v>2026-02-14</v>
          </cell>
          <cell r="N97" t="str">
            <v>2026-03-17</v>
          </cell>
          <cell r="O97" t="str">
            <v>https://hana.modakita.com/azd942/avatar/251500102026031711520848AQ35.jpg</v>
          </cell>
        </row>
        <row r="98">
          <cell r="I98" t="str">
            <v>JMK1E1046672</v>
          </cell>
          <cell r="J98" t="str">
            <v>X123YZ</v>
          </cell>
          <cell r="K98" t="str">
            <v>KPB1</v>
          </cell>
          <cell r="L98">
            <v>707</v>
          </cell>
          <cell r="M98" t="str">
            <v>2026-02-12</v>
          </cell>
          <cell r="N98" t="str">
            <v>2026-03-17</v>
          </cell>
          <cell r="O98" t="str">
            <v>https://hana.modakita.com/azd942/avatar/25150010202603171148210APW1W.jpg</v>
          </cell>
        </row>
        <row r="99">
          <cell r="I99" t="str">
            <v>JBK1E2166459</v>
          </cell>
          <cell r="J99" t="str">
            <v>KB6459XAA</v>
          </cell>
          <cell r="K99" t="str">
            <v>KPB1</v>
          </cell>
          <cell r="L99">
            <v>286</v>
          </cell>
          <cell r="M99" t="str">
            <v>2026-03-09</v>
          </cell>
          <cell r="N99" t="str">
            <v>2026-03-17</v>
          </cell>
          <cell r="O99" t="str">
            <v>https://hana.modakita.com/azd942/avatar/2515001020260317112506OCBBJE.jpg</v>
          </cell>
        </row>
        <row r="100">
          <cell r="I100" t="str">
            <v>KFA1E1360139</v>
          </cell>
          <cell r="J100" t="str">
            <v>KB0139XAA</v>
          </cell>
          <cell r="K100" t="str">
            <v>KPB1</v>
          </cell>
          <cell r="L100">
            <v>596</v>
          </cell>
          <cell r="M100" t="str">
            <v>2026-03-13</v>
          </cell>
          <cell r="N100" t="str">
            <v>2026-03-17</v>
          </cell>
          <cell r="O100" t="str">
            <v>https://hana.modakita.com/azd942/avatar/25150010202603171120241PZYE3.jpg</v>
          </cell>
        </row>
        <row r="101">
          <cell r="I101" t="str">
            <v>JMK1E1059952</v>
          </cell>
          <cell r="J101" t="str">
            <v>KB9952XKB</v>
          </cell>
          <cell r="K101" t="str">
            <v>KPB1</v>
          </cell>
          <cell r="L101">
            <v>548</v>
          </cell>
          <cell r="M101" t="str">
            <v>2026-02-26</v>
          </cell>
          <cell r="N101" t="str">
            <v>2026-03-24</v>
          </cell>
          <cell r="O101" t="str">
            <v>https://hana.modakita.com/azd942/avatar/2515001020260324135530BA2W6J.jpg</v>
          </cell>
        </row>
        <row r="102">
          <cell r="I102" t="str">
            <v>JMH2E1474167</v>
          </cell>
          <cell r="J102" t="str">
            <v>KB4167XAA</v>
          </cell>
          <cell r="K102" t="str">
            <v>KPB3</v>
          </cell>
          <cell r="L102">
            <v>3922</v>
          </cell>
          <cell r="M102" t="str">
            <v>2025-10-14</v>
          </cell>
          <cell r="N102" t="str">
            <v>2026-03-24</v>
          </cell>
          <cell r="O102" t="str">
            <v>https://hana.modakita.com/azd942/avatar/2649897020260324104856E6RCZE.jpg</v>
          </cell>
        </row>
        <row r="103">
          <cell r="I103" t="str">
            <v>JMC1E1629897</v>
          </cell>
          <cell r="J103" t="str">
            <v>KB4873PAI</v>
          </cell>
          <cell r="K103" t="str">
            <v>KPB4</v>
          </cell>
          <cell r="L103">
            <v>10760</v>
          </cell>
          <cell r="M103" t="str">
            <v>2025-05-22</v>
          </cell>
          <cell r="N103" t="str">
            <v>2026-03-24</v>
          </cell>
          <cell r="O103" t="str">
            <v>https://hana.modakita.com/azd942/avatar/26498970202603241042175CR49I.jpg</v>
          </cell>
        </row>
        <row r="104">
          <cell r="I104" t="str">
            <v>JMK1E1053321</v>
          </cell>
          <cell r="J104" t="str">
            <v>X123YZ</v>
          </cell>
          <cell r="K104" t="str">
            <v>KPB1</v>
          </cell>
          <cell r="L104">
            <v>740</v>
          </cell>
          <cell r="M104" t="str">
            <v>2026-02-16</v>
          </cell>
          <cell r="N104" t="str">
            <v>2026-03-20</v>
          </cell>
          <cell r="O104" t="str">
            <v>https://hana.modakita.com/azd942/avatar/2649897020260320083305BZ1LRL.jpg</v>
          </cell>
        </row>
        <row r="105">
          <cell r="I105" t="str">
            <v>JMF1E1355501</v>
          </cell>
          <cell r="J105" t="str">
            <v>KB5501XAA</v>
          </cell>
          <cell r="K105" t="str">
            <v>KPB2</v>
          </cell>
          <cell r="L105">
            <v>3385</v>
          </cell>
          <cell r="M105" t="str">
            <v>2026-01-06</v>
          </cell>
          <cell r="N105" t="str">
            <v>2026-03-20</v>
          </cell>
          <cell r="O105" t="str">
            <v>https://hana.modakita.com/azd942/avatar/25150010202603200826351NBZ7X.jpg</v>
          </cell>
        </row>
        <row r="106">
          <cell r="I106" t="str">
            <v>JMJ1E1029940</v>
          </cell>
          <cell r="J106" t="str">
            <v>KB9940P</v>
          </cell>
          <cell r="K106" t="str">
            <v>KPB2</v>
          </cell>
          <cell r="L106">
            <v>399</v>
          </cell>
          <cell r="M106" t="str">
            <v>2026-02-20</v>
          </cell>
          <cell r="N106" t="str">
            <v>2026-03-19</v>
          </cell>
          <cell r="O106" t="str">
            <v>https://hana.modakita.com/azd942/avatar/21395178620260319155825LASQCN.jpg</v>
          </cell>
        </row>
        <row r="107">
          <cell r="I107" t="str">
            <v>JME1E1674210</v>
          </cell>
          <cell r="J107" t="str">
            <v>KB4210P</v>
          </cell>
          <cell r="K107" t="str">
            <v>KPB3</v>
          </cell>
          <cell r="L107">
            <v>7074</v>
          </cell>
          <cell r="M107" t="str">
            <v>2025-08-15</v>
          </cell>
          <cell r="N107" t="str">
            <v>2026-03-19</v>
          </cell>
          <cell r="O107" t="str">
            <v>https://hana.modakita.com/azd942/avatar/29634401202603191551496EKYQD.jpg</v>
          </cell>
        </row>
        <row r="108">
          <cell r="I108" t="str">
            <v>KFD1E1247636</v>
          </cell>
          <cell r="J108" t="str">
            <v>KB7636XAA</v>
          </cell>
          <cell r="K108" t="str">
            <v>KPB1</v>
          </cell>
          <cell r="L108">
            <v>1246</v>
          </cell>
          <cell r="M108" t="str">
            <v>2026-02-23</v>
          </cell>
          <cell r="N108" t="str">
            <v>2026-03-19</v>
          </cell>
          <cell r="O108" t="str">
            <v>https://hana.modakita.com/azd942/avatar/2515001020260319110740XG1LOU.jpg</v>
          </cell>
        </row>
        <row r="109">
          <cell r="I109" t="str">
            <v>JMJ1E1018347</v>
          </cell>
          <cell r="J109" t="str">
            <v>KB8347XAA</v>
          </cell>
          <cell r="K109" t="str">
            <v>KPB1</v>
          </cell>
          <cell r="L109">
            <v>220</v>
          </cell>
          <cell r="M109" t="str">
            <v>2026-01-24</v>
          </cell>
          <cell r="N109" t="str">
            <v>2026-03-19</v>
          </cell>
          <cell r="O109" t="str">
            <v>https://hana.modakita.com/azd942/avatar/2515001020260319081506ZUVPPE.jpg</v>
          </cell>
        </row>
        <row r="110">
          <cell r="I110" t="str">
            <v>JMF1E1395644</v>
          </cell>
          <cell r="J110" t="str">
            <v>KB5644XAA</v>
          </cell>
          <cell r="K110" t="str">
            <v>KPB1</v>
          </cell>
          <cell r="L110">
            <v>459</v>
          </cell>
          <cell r="M110" t="str">
            <v>2026-02-28</v>
          </cell>
          <cell r="N110" t="str">
            <v>2026-03-19</v>
          </cell>
          <cell r="O110" t="str">
            <v>https://hana.modakita.com/azd942/avatar/25150010202603190811230JBL44.jpg</v>
          </cell>
        </row>
        <row r="111">
          <cell r="I111" t="str">
            <v>KFE1E1452617</v>
          </cell>
          <cell r="J111" t="str">
            <v>KB2617XAA</v>
          </cell>
          <cell r="K111" t="str">
            <v>KPB1</v>
          </cell>
          <cell r="L111">
            <v>321</v>
          </cell>
          <cell r="M111" t="str">
            <v>2026-02-23</v>
          </cell>
          <cell r="N111" t="str">
            <v>2026-03-19</v>
          </cell>
          <cell r="O111" t="str">
            <v>https://hana.modakita.com/azd942/avatar/2515001020260319080754AQF4UG.jpg</v>
          </cell>
        </row>
        <row r="112">
          <cell r="I112" t="str">
            <v>JMK1E1047181</v>
          </cell>
          <cell r="J112" t="str">
            <v>X123YZ</v>
          </cell>
          <cell r="K112" t="str">
            <v>KPB1</v>
          </cell>
          <cell r="L112">
            <v>890</v>
          </cell>
          <cell r="M112" t="str">
            <v>2026-02-14</v>
          </cell>
          <cell r="N112" t="str">
            <v>2026-03-18</v>
          </cell>
          <cell r="O112" t="str">
            <v>https://hana.modakita.com/azd942/avatar/2649897020260318123618WD5FSX.jpg</v>
          </cell>
        </row>
        <row r="113">
          <cell r="I113" t="str">
            <v>JMK1E1059938</v>
          </cell>
          <cell r="J113" t="str">
            <v>KB9938XAA</v>
          </cell>
          <cell r="K113" t="str">
            <v>KPB1</v>
          </cell>
          <cell r="L113">
            <v>1134</v>
          </cell>
          <cell r="M113" t="str">
            <v>2026-02-24</v>
          </cell>
          <cell r="N113" t="str">
            <v>2026-03-18</v>
          </cell>
          <cell r="O113" t="str">
            <v>https://hana.modakita.com/azd942/avatar/2649897020260318123211EFUI4D.jpg</v>
          </cell>
        </row>
        <row r="114">
          <cell r="I114" t="str">
            <v>JMA1E1223626</v>
          </cell>
          <cell r="J114" t="str">
            <v>KB3626XAA</v>
          </cell>
          <cell r="K114" t="str">
            <v>KPB1</v>
          </cell>
          <cell r="L114">
            <v>89</v>
          </cell>
          <cell r="M114" t="str">
            <v>2026-01-21</v>
          </cell>
          <cell r="N114" t="str">
            <v>2026-03-18</v>
          </cell>
          <cell r="O114" t="str">
            <v>https://hana.modakita.com/azd942/avatar/2515001020260318101111Z3YJDY.jpg</v>
          </cell>
        </row>
        <row r="115">
          <cell r="I115" t="str">
            <v>JMH2E1710947</v>
          </cell>
          <cell r="J115" t="str">
            <v>X123YZ</v>
          </cell>
          <cell r="K115" t="str">
            <v>KPB1</v>
          </cell>
          <cell r="L115">
            <v>706</v>
          </cell>
          <cell r="M115" t="str">
            <v>2026-02-07</v>
          </cell>
          <cell r="N115" t="str">
            <v>2026-03-18</v>
          </cell>
          <cell r="O115" t="str">
            <v>https://hana.modakita.com/azd942/avatar/2515001020260318090029DZOCTM.jpg</v>
          </cell>
        </row>
        <row r="116">
          <cell r="I116" t="str">
            <v>KFD1E1191402</v>
          </cell>
          <cell r="J116" t="str">
            <v>KB1402XAA</v>
          </cell>
          <cell r="K116" t="str">
            <v>KPB2</v>
          </cell>
          <cell r="L116">
            <v>4496</v>
          </cell>
          <cell r="M116" t="str">
            <v>2025-11-01</v>
          </cell>
          <cell r="N116" t="str">
            <v>2026-03-18</v>
          </cell>
          <cell r="O116" t="str">
            <v>https://hana.modakita.com/azd942/avatar/2515001020260318085012VC52RP.jpg</v>
          </cell>
        </row>
        <row r="117">
          <cell r="I117" t="str">
            <v>JME1E1817427</v>
          </cell>
          <cell r="J117" t="str">
            <v>KB7427XAA</v>
          </cell>
          <cell r="K117" t="str">
            <v>KPB2</v>
          </cell>
          <cell r="L117">
            <v>1693</v>
          </cell>
          <cell r="M117" t="str">
            <v>2025-11-27</v>
          </cell>
          <cell r="N117" t="str">
            <v>2026-03-18</v>
          </cell>
          <cell r="O117" t="str">
            <v>https://hana.modakita.com/azd942/avatar/2649897020260318084616LTMVTB.jpg</v>
          </cell>
        </row>
        <row r="118">
          <cell r="I118" t="str">
            <v>JMH1E1255635</v>
          </cell>
          <cell r="J118" t="str">
            <v>X123YZ</v>
          </cell>
          <cell r="K118" t="str">
            <v>KPB4</v>
          </cell>
          <cell r="L118">
            <v>11522</v>
          </cell>
          <cell r="M118" t="str">
            <v>2025-09-22</v>
          </cell>
          <cell r="N118" t="str">
            <v>2026-03-25</v>
          </cell>
          <cell r="O118" t="str">
            <v>https://hana.modakita.com/azd942/avatar/21395178620260325164412FF2TFB.jpg</v>
          </cell>
        </row>
        <row r="119">
          <cell r="I119" t="str">
            <v>JMH2E1114551</v>
          </cell>
          <cell r="J119" t="str">
            <v>KB6093PAJ</v>
          </cell>
          <cell r="K119" t="str">
            <v>KPB4</v>
          </cell>
          <cell r="L119">
            <v>9853</v>
          </cell>
          <cell r="M119" t="str">
            <v>2025-09-30</v>
          </cell>
          <cell r="N119" t="str">
            <v>2026-03-25</v>
          </cell>
          <cell r="O119" t="str">
            <v>https://hana.modakita.com/azd942/avatar/213951786202603251640157JUYKN.jpg</v>
          </cell>
        </row>
        <row r="120">
          <cell r="I120" t="str">
            <v>JMC1E1757672</v>
          </cell>
          <cell r="J120" t="str">
            <v>KB7672P</v>
          </cell>
          <cell r="K120" t="str">
            <v>KPB3</v>
          </cell>
          <cell r="L120">
            <v>4186</v>
          </cell>
          <cell r="M120" t="str">
            <v>2025-11-06</v>
          </cell>
          <cell r="N120" t="str">
            <v>2026-03-25</v>
          </cell>
          <cell r="O120" t="str">
            <v>https://hana.modakita.com/azd942/avatar/2963440120260325163923SHG2Q0.jpg</v>
          </cell>
        </row>
        <row r="121">
          <cell r="I121" t="str">
            <v>JMH2E1413672</v>
          </cell>
          <cell r="J121" t="str">
            <v>KB3067PAK</v>
          </cell>
          <cell r="K121" t="str">
            <v>KPB3</v>
          </cell>
          <cell r="L121">
            <v>7520</v>
          </cell>
          <cell r="M121" t="str">
            <v>2025-11-19</v>
          </cell>
          <cell r="N121" t="str">
            <v>2026-03-25</v>
          </cell>
          <cell r="O121" t="str">
            <v>https://hana.modakita.com/azd942/avatar/21395178620260325163903652TOA.jpg</v>
          </cell>
        </row>
        <row r="122">
          <cell r="I122" t="str">
            <v>JME1E1783327</v>
          </cell>
          <cell r="J122" t="str">
            <v>KB3327P</v>
          </cell>
          <cell r="K122" t="str">
            <v>KPB3</v>
          </cell>
          <cell r="L122">
            <v>3982</v>
          </cell>
          <cell r="M122" t="str">
            <v>2025-11-05</v>
          </cell>
          <cell r="N122" t="str">
            <v>2026-03-25</v>
          </cell>
          <cell r="O122" t="str">
            <v>https://hana.modakita.com/azd942/avatar/2963440120260325163222MQRH26.jpg</v>
          </cell>
        </row>
        <row r="123">
          <cell r="I123" t="str">
            <v>JMK2E1011210</v>
          </cell>
          <cell r="J123" t="str">
            <v>X123YZ</v>
          </cell>
          <cell r="K123" t="str">
            <v>KPB2</v>
          </cell>
          <cell r="L123">
            <v>1177</v>
          </cell>
          <cell r="M123" t="str">
            <v>2026-02-12</v>
          </cell>
          <cell r="N123" t="str">
            <v>2026-03-25</v>
          </cell>
          <cell r="O123" t="str">
            <v>https://hana.modakita.com/azd942/avatar/2963440120260325162539WTCQQ6.jpg</v>
          </cell>
        </row>
        <row r="124">
          <cell r="I124" t="str">
            <v>JMF1E1327410</v>
          </cell>
          <cell r="J124" t="str">
            <v>KB2993PAK</v>
          </cell>
          <cell r="K124" t="str">
            <v>KPB3</v>
          </cell>
          <cell r="L124">
            <v>4564</v>
          </cell>
          <cell r="M124" t="str">
            <v>2025-11-07</v>
          </cell>
          <cell r="N124" t="str">
            <v>2026-03-25</v>
          </cell>
          <cell r="O124" t="str">
            <v>https://hana.modakita.com/azd942/avatar/2963440120260325162131OBCFP7.jpg</v>
          </cell>
        </row>
        <row r="125">
          <cell r="I125" t="str">
            <v>JMH1E1314559</v>
          </cell>
          <cell r="J125" t="str">
            <v>X4559YZ</v>
          </cell>
          <cell r="K125" t="str">
            <v>KPB3</v>
          </cell>
          <cell r="L125">
            <v>5842</v>
          </cell>
          <cell r="M125" t="str">
            <v>2025-12-08</v>
          </cell>
          <cell r="N125" t="str">
            <v>2026-03-25</v>
          </cell>
          <cell r="O125" t="str">
            <v>https://hana.modakita.com/azd942/avatar/21393666120260325161504ELBTEE.jpg</v>
          </cell>
        </row>
        <row r="126">
          <cell r="I126" t="str">
            <v>KFE1E1456017</v>
          </cell>
          <cell r="J126" t="str">
            <v>KB6017XAA</v>
          </cell>
          <cell r="K126" t="str">
            <v>KPB1</v>
          </cell>
          <cell r="L126">
            <v>628</v>
          </cell>
          <cell r="M126" t="str">
            <v>2026-03-02</v>
          </cell>
          <cell r="N126" t="str">
            <v>2026-03-25</v>
          </cell>
          <cell r="O126" t="str">
            <v>https://hana.modakita.com/azd942/avatar/2515001020260325155532PUVBIU.jpg</v>
          </cell>
        </row>
        <row r="127">
          <cell r="I127" t="str">
            <v>KFE1E1455975</v>
          </cell>
          <cell r="J127" t="str">
            <v>KB5975XAA</v>
          </cell>
          <cell r="K127" t="str">
            <v>KPB1</v>
          </cell>
          <cell r="L127">
            <v>266</v>
          </cell>
          <cell r="M127" t="str">
            <v>2026-03-03</v>
          </cell>
          <cell r="N127" t="str">
            <v>2026-03-25</v>
          </cell>
          <cell r="O127" t="str">
            <v>https://hana.modakita.com/azd942/avatar/26498970202603251437397QVFS6.jpg</v>
          </cell>
        </row>
        <row r="128">
          <cell r="I128" t="str">
            <v>JME1E1994840</v>
          </cell>
          <cell r="J128" t="str">
            <v>KB4840XAA</v>
          </cell>
          <cell r="K128" t="str">
            <v>KPB1</v>
          </cell>
          <cell r="L128">
            <v>127</v>
          </cell>
          <cell r="M128" t="str">
            <v>2026-03-16</v>
          </cell>
          <cell r="N128" t="str">
            <v>2026-03-25</v>
          </cell>
          <cell r="O128" t="str">
            <v>https://hana.modakita.com/azd942/avatar/2515001020260325143358ENXLAA.jpg</v>
          </cell>
        </row>
        <row r="129">
          <cell r="I129" t="str">
            <v>JMH2E1765067</v>
          </cell>
          <cell r="J129" t="str">
            <v>KB5067XAA</v>
          </cell>
          <cell r="K129" t="str">
            <v>KPB1</v>
          </cell>
          <cell r="L129">
            <v>517</v>
          </cell>
          <cell r="M129" t="str">
            <v>2026-02-27</v>
          </cell>
          <cell r="N129" t="str">
            <v>2026-03-25</v>
          </cell>
          <cell r="O129" t="str">
            <v>https://hana.modakita.com/azd942/avatar/2649897020260325142653SCRUCZ.jpg</v>
          </cell>
        </row>
        <row r="130">
          <cell r="I130" t="str">
            <v>JMJ1E1026868</v>
          </cell>
          <cell r="J130" t="str">
            <v>X123YZ</v>
          </cell>
          <cell r="K130" t="str">
            <v>KPB1</v>
          </cell>
          <cell r="L130">
            <v>635</v>
          </cell>
          <cell r="M130" t="str">
            <v>2026-02-09</v>
          </cell>
          <cell r="N130" t="str">
            <v>2026-03-25</v>
          </cell>
          <cell r="O130" t="str">
            <v>https://hana.modakita.com/azd942/avatar/2515001020260325142103CSPO90.jpg</v>
          </cell>
        </row>
        <row r="131">
          <cell r="I131" t="str">
            <v>JMH2E1747055</v>
          </cell>
          <cell r="J131" t="str">
            <v>KB7055XAA</v>
          </cell>
          <cell r="K131" t="str">
            <v>KPB1</v>
          </cell>
          <cell r="L131">
            <v>887</v>
          </cell>
          <cell r="M131" t="str">
            <v>2026-03-02</v>
          </cell>
          <cell r="N131" t="str">
            <v>2026-03-25</v>
          </cell>
          <cell r="O131" t="str">
            <v>https://hana.modakita.com/azd942/avatar/2515001020260325141723GKA2JP.jpg</v>
          </cell>
        </row>
        <row r="132">
          <cell r="I132" t="str">
            <v>JMF2E1696258</v>
          </cell>
          <cell r="J132" t="str">
            <v>KB6258XAA</v>
          </cell>
          <cell r="K132" t="str">
            <v>KPB1</v>
          </cell>
          <cell r="L132">
            <v>430</v>
          </cell>
          <cell r="M132" t="str">
            <v>2026-02-21</v>
          </cell>
          <cell r="N132" t="str">
            <v>2026-03-25</v>
          </cell>
          <cell r="O132" t="str">
            <v>https://hana.modakita.com/azd942/avatar/2515001020260325141408S5QR8T.jpg</v>
          </cell>
        </row>
        <row r="133">
          <cell r="I133" t="str">
            <v>JMH1E1403518</v>
          </cell>
          <cell r="J133" t="str">
            <v>KB2518XAA</v>
          </cell>
          <cell r="K133" t="str">
            <v>KPB1</v>
          </cell>
          <cell r="L133">
            <v>336</v>
          </cell>
          <cell r="M133" t="str">
            <v>2026-02-27</v>
          </cell>
          <cell r="N133" t="str">
            <v>2026-03-25</v>
          </cell>
          <cell r="O133" t="str">
            <v>https://hana.modakita.com/azd942/avatar/2515001020260325141125MVEMYQ.jpg</v>
          </cell>
        </row>
        <row r="134">
          <cell r="I134" t="str">
            <v>KF01E1957526</v>
          </cell>
          <cell r="J134" t="str">
            <v>X123YZ</v>
          </cell>
          <cell r="K134" t="str">
            <v>KPB2</v>
          </cell>
          <cell r="L134">
            <v>3999</v>
          </cell>
          <cell r="M134" t="str">
            <v>2026-01-22</v>
          </cell>
          <cell r="N134" t="str">
            <v>2026-03-26</v>
          </cell>
          <cell r="O134" t="str">
            <v>https://hana.modakita.com/azd942/avatar/2963440120260326172947ANVBR9.jpg</v>
          </cell>
        </row>
        <row r="135">
          <cell r="I135" t="str">
            <v>KFE1E1456541</v>
          </cell>
          <cell r="J135" t="str">
            <v>X123YZ</v>
          </cell>
          <cell r="K135" t="str">
            <v>KPB1</v>
          </cell>
          <cell r="L135">
            <v>893</v>
          </cell>
          <cell r="M135" t="str">
            <v>2026-03-12</v>
          </cell>
          <cell r="N135" t="str">
            <v>2026-03-26</v>
          </cell>
          <cell r="O135" t="str">
            <v>https://hana.modakita.com/azd942/avatar/2963440120260326172908YWGBTX.jpg</v>
          </cell>
        </row>
        <row r="136">
          <cell r="I136" t="str">
            <v>JMC1E1760161</v>
          </cell>
          <cell r="J136" t="str">
            <v>KB3798PAK</v>
          </cell>
          <cell r="K136" t="str">
            <v>KPB3</v>
          </cell>
          <cell r="L136">
            <v>3696</v>
          </cell>
          <cell r="M136" t="str">
            <v>2025-11-06</v>
          </cell>
          <cell r="N136" t="str">
            <v>2026-03-26</v>
          </cell>
          <cell r="O136" t="str">
            <v>https://hana.modakita.com/azd942/avatar/21393666120260326172902NYUIBQ.jpg</v>
          </cell>
        </row>
        <row r="137">
          <cell r="I137" t="str">
            <v>JMJ1E1046101</v>
          </cell>
          <cell r="J137" t="str">
            <v>X123YZ</v>
          </cell>
          <cell r="K137" t="str">
            <v>KPB1</v>
          </cell>
          <cell r="L137">
            <v>1062</v>
          </cell>
          <cell r="M137" t="str">
            <v>2026-03-12</v>
          </cell>
          <cell r="N137" t="str">
            <v>2026-03-26</v>
          </cell>
          <cell r="O137" t="str">
            <v>https://hana.modakita.com/azd942/avatar/2963440120260326172814JV1RE8.jpg</v>
          </cell>
        </row>
        <row r="138">
          <cell r="I138" t="str">
            <v>JMH1E1334504</v>
          </cell>
          <cell r="J138" t="str">
            <v>X123YZ</v>
          </cell>
          <cell r="K138" t="str">
            <v>KPB2</v>
          </cell>
          <cell r="L138">
            <v>2904</v>
          </cell>
          <cell r="M138" t="str">
            <v>2026-01-08</v>
          </cell>
          <cell r="N138" t="str">
            <v>2026-03-26</v>
          </cell>
          <cell r="O138" t="str">
            <v>https://hana.modakita.com/azd942/avatar/2963440120260326172743ASBI6R.jpg</v>
          </cell>
        </row>
        <row r="139">
          <cell r="I139" t="str">
            <v>JMD1E1921337</v>
          </cell>
          <cell r="J139" t="str">
            <v>X123YZ</v>
          </cell>
          <cell r="K139" t="str">
            <v>KPB4</v>
          </cell>
          <cell r="L139">
            <v>11538</v>
          </cell>
          <cell r="M139" t="str">
            <v>2025-05-23</v>
          </cell>
          <cell r="N139" t="str">
            <v>2026-03-26</v>
          </cell>
          <cell r="O139" t="str">
            <v>https://hana.modakita.com/azd942/avatar/2963440120260326172708IQPCMS.jpg</v>
          </cell>
        </row>
        <row r="140">
          <cell r="I140" t="str">
            <v>JMH1E1401658</v>
          </cell>
          <cell r="J140" t="str">
            <v>KB1658P</v>
          </cell>
          <cell r="K140" t="str">
            <v>KPB2</v>
          </cell>
          <cell r="L140">
            <v>1043</v>
          </cell>
          <cell r="M140" t="str">
            <v>2026-02-27</v>
          </cell>
          <cell r="N140" t="str">
            <v>2026-03-26</v>
          </cell>
          <cell r="O140" t="str">
            <v>https://hana.modakita.com/azd942/avatar/2963440120260326172628M1VAQF.jpg</v>
          </cell>
        </row>
        <row r="141">
          <cell r="I141" t="str">
            <v>JBK3E1585255</v>
          </cell>
          <cell r="J141" t="str">
            <v>KB5255P</v>
          </cell>
          <cell r="K141" t="str">
            <v>KPB4</v>
          </cell>
          <cell r="L141">
            <v>11212</v>
          </cell>
          <cell r="M141" t="str">
            <v>2025-07-16</v>
          </cell>
          <cell r="N141" t="str">
            <v>2026-03-26</v>
          </cell>
          <cell r="O141" t="str">
            <v>https://hana.modakita.com/azd942/avatar/2963440120260326172530PBDPHP.jpg</v>
          </cell>
        </row>
        <row r="142">
          <cell r="I142" t="str">
            <v>JMF1E1338146</v>
          </cell>
          <cell r="J142" t="str">
            <v>X123YZ</v>
          </cell>
          <cell r="K142" t="str">
            <v>KPB3</v>
          </cell>
          <cell r="L142">
            <v>7912</v>
          </cell>
          <cell r="M142" t="str">
            <v>2025-11-04</v>
          </cell>
          <cell r="N142" t="str">
            <v>2026-03-26</v>
          </cell>
          <cell r="O142" t="str">
            <v>https://hana.modakita.com/azd942/avatar/2963440120260326170302ASYBON.jpg</v>
          </cell>
        </row>
        <row r="143">
          <cell r="I143" t="str">
            <v>JMK1E1090272</v>
          </cell>
          <cell r="J143" t="str">
            <v>X123YZ</v>
          </cell>
          <cell r="K143" t="str">
            <v>KPB1</v>
          </cell>
          <cell r="L143">
            <v>1024</v>
          </cell>
          <cell r="M143" t="str">
            <v>2026-03-13</v>
          </cell>
          <cell r="N143" t="str">
            <v>2026-03-26</v>
          </cell>
          <cell r="O143" t="str">
            <v>https://hana.modakita.com/azd942/avatar/2963440120260326165852QZ9QUQ.jpg</v>
          </cell>
        </row>
        <row r="144">
          <cell r="I144" t="str">
            <v>JMF1E1395538</v>
          </cell>
          <cell r="J144" t="str">
            <v>KB5538XAA</v>
          </cell>
          <cell r="K144" t="str">
            <v>KPB1</v>
          </cell>
          <cell r="L144">
            <v>628</v>
          </cell>
          <cell r="M144" t="str">
            <v>2026-03-10</v>
          </cell>
          <cell r="N144" t="str">
            <v>2026-03-26</v>
          </cell>
          <cell r="O144" t="str">
            <v>https://hana.modakita.com/azd942/avatar/2649897020260326145226BETPUE.jpg</v>
          </cell>
        </row>
        <row r="145">
          <cell r="I145" t="str">
            <v>JMD1E1874800</v>
          </cell>
          <cell r="J145" t="str">
            <v>X123YZ</v>
          </cell>
          <cell r="K145" t="str">
            <v>KPB4</v>
          </cell>
          <cell r="L145">
            <v>8042</v>
          </cell>
          <cell r="M145" t="str">
            <v>2025-03-27</v>
          </cell>
          <cell r="N145" t="str">
            <v>2026-03-26</v>
          </cell>
          <cell r="O145" t="str">
            <v>https://hana.modakita.com/azd942/avatar/2515001020260326132613EMHUSL.jpg</v>
          </cell>
        </row>
        <row r="146">
          <cell r="I146" t="str">
            <v>KF01E1929689</v>
          </cell>
          <cell r="J146" t="str">
            <v>KB3485PAJ</v>
          </cell>
          <cell r="K146" t="str">
            <v>KPB3</v>
          </cell>
          <cell r="L146">
            <v>6125</v>
          </cell>
          <cell r="M146" t="str">
            <v>2025-08-06</v>
          </cell>
          <cell r="N146" t="str">
            <v>2026-03-26</v>
          </cell>
          <cell r="O146" t="str">
            <v>https://hana.modakita.com/azd942/avatar/2515001020260326124611PQDPJN.jpg</v>
          </cell>
        </row>
        <row r="147">
          <cell r="I147" t="str">
            <v>KFE1E1455984</v>
          </cell>
          <cell r="J147" t="str">
            <v>X123YZ</v>
          </cell>
          <cell r="K147" t="str">
            <v>KPB1</v>
          </cell>
          <cell r="L147">
            <v>702</v>
          </cell>
          <cell r="M147" t="str">
            <v>2026-03-07</v>
          </cell>
          <cell r="N147" t="str">
            <v>2026-03-26</v>
          </cell>
          <cell r="O147" t="str">
            <v>https://hana.modakita.com/azd942/avatar/2515001020260326114427PNYMFU.jpg</v>
          </cell>
        </row>
        <row r="148">
          <cell r="I148" t="str">
            <v>JMK1E1059985</v>
          </cell>
          <cell r="J148" t="str">
            <v>KB9985XAA</v>
          </cell>
          <cell r="K148" t="str">
            <v>KPB1</v>
          </cell>
          <cell r="L148">
            <v>762</v>
          </cell>
          <cell r="M148" t="str">
            <v>2026-02-25</v>
          </cell>
          <cell r="N148" t="str">
            <v>2026-03-26</v>
          </cell>
          <cell r="O148" t="str">
            <v>https://hana.modakita.com/azd942/avatar/2515001020260326113928NOUJCM.jpg</v>
          </cell>
        </row>
        <row r="149">
          <cell r="I149" t="str">
            <v>KF01E1989160</v>
          </cell>
          <cell r="J149" t="str">
            <v>KB9160XAA</v>
          </cell>
          <cell r="K149" t="str">
            <v>KPB1</v>
          </cell>
          <cell r="L149">
            <v>799</v>
          </cell>
          <cell r="M149" t="str">
            <v>2026-03-13</v>
          </cell>
          <cell r="N149" t="str">
            <v>2026-03-26</v>
          </cell>
          <cell r="O149" t="str">
            <v>https://hana.modakita.com/azd942/avatar/25150010202603261112268NM72K.jpg</v>
          </cell>
        </row>
        <row r="150">
          <cell r="I150" t="str">
            <v>JMH1E1396615</v>
          </cell>
          <cell r="J150" t="str">
            <v>X6615YZ</v>
          </cell>
          <cell r="K150" t="str">
            <v>KPB1</v>
          </cell>
          <cell r="L150">
            <v>73</v>
          </cell>
          <cell r="M150" t="str">
            <v>2026-03-17</v>
          </cell>
          <cell r="N150" t="str">
            <v>2026-03-26</v>
          </cell>
          <cell r="O150" t="str">
            <v>https://hana.modakita.com/azd942/avatar/2515001020260326105630ZMUQDP.jpg</v>
          </cell>
        </row>
        <row r="151">
          <cell r="I151" t="str">
            <v>KF01E1939883</v>
          </cell>
          <cell r="J151" t="str">
            <v>KB3472PAJ</v>
          </cell>
          <cell r="K151" t="str">
            <v>KPB3</v>
          </cell>
          <cell r="L151">
            <v>8133</v>
          </cell>
          <cell r="M151" t="str">
            <v>2025-08-08</v>
          </cell>
          <cell r="N151" t="str">
            <v>2026-03-26</v>
          </cell>
          <cell r="O151" t="str">
            <v>https://hana.modakita.com/azd942/avatar/25150010202603261051189WN3AU.jpg</v>
          </cell>
        </row>
        <row r="152">
          <cell r="I152" t="str">
            <v>JMF2E1721931</v>
          </cell>
          <cell r="J152" t="str">
            <v>KB1931XAA</v>
          </cell>
          <cell r="K152" t="str">
            <v>KPB1</v>
          </cell>
          <cell r="L152">
            <v>1102</v>
          </cell>
          <cell r="M152" t="str">
            <v>2026-03-16</v>
          </cell>
          <cell r="N152" t="str">
            <v>2026-03-26</v>
          </cell>
          <cell r="O152" t="str">
            <v>https://hana.modakita.com/azd942/avatar/2515001020260326104802NLNG97.jpg</v>
          </cell>
        </row>
        <row r="153">
          <cell r="I153" t="str">
            <v>JMH2E1749047</v>
          </cell>
          <cell r="J153" t="str">
            <v>KB9047XAA</v>
          </cell>
          <cell r="K153" t="str">
            <v>KPB1</v>
          </cell>
          <cell r="L153">
            <v>460</v>
          </cell>
          <cell r="M153" t="str">
            <v>2026-02-25</v>
          </cell>
          <cell r="N153" t="str">
            <v>2026-03-26</v>
          </cell>
          <cell r="O153" t="str">
            <v>https://hana.modakita.com/azd942/avatar/2649897020260326103524CIYF3U.jpg</v>
          </cell>
        </row>
        <row r="154">
          <cell r="I154" t="str">
            <v>JMJ1E1029135</v>
          </cell>
          <cell r="J154" t="str">
            <v>X123YZ</v>
          </cell>
          <cell r="K154" t="str">
            <v>KPB1</v>
          </cell>
          <cell r="L154">
            <v>1199</v>
          </cell>
          <cell r="M154" t="str">
            <v>2026-02-05</v>
          </cell>
          <cell r="N154" t="str">
            <v>2026-03-26</v>
          </cell>
          <cell r="O154" t="str">
            <v>https://hana.modakita.com/azd942/avatar/2649897020260326103102YG5MEQ.jpg</v>
          </cell>
        </row>
        <row r="155">
          <cell r="I155" t="str">
            <v>JMH1E1277940</v>
          </cell>
          <cell r="J155" t="str">
            <v>KB2554PAK</v>
          </cell>
          <cell r="K155" t="str">
            <v>KPB3</v>
          </cell>
          <cell r="L155">
            <v>5222</v>
          </cell>
          <cell r="M155" t="str">
            <v>2025-10-28</v>
          </cell>
          <cell r="N155" t="str">
            <v>2026-03-27</v>
          </cell>
          <cell r="O155" t="str">
            <v>https://hana.modakita.com/azd942/avatar/21395178620260327173339QTDFMB.jpg</v>
          </cell>
        </row>
        <row r="156">
          <cell r="I156" t="str">
            <v>JBK1E2124170</v>
          </cell>
          <cell r="J156" t="str">
            <v>KB4170P</v>
          </cell>
          <cell r="K156" t="str">
            <v>KPB3</v>
          </cell>
          <cell r="L156">
            <v>7014</v>
          </cell>
          <cell r="M156" t="str">
            <v>2025-10-22</v>
          </cell>
          <cell r="N156" t="str">
            <v>2026-03-27</v>
          </cell>
          <cell r="O156" t="str">
            <v>https://hana.modakita.com/azd942/avatar/213542927202603271733487EI7CZ.jpg</v>
          </cell>
        </row>
        <row r="157">
          <cell r="I157" t="str">
            <v>JMD1E2111678</v>
          </cell>
          <cell r="J157" t="str">
            <v>KB1678P</v>
          </cell>
          <cell r="K157" t="str">
            <v>KPB3</v>
          </cell>
          <cell r="L157">
            <v>8000</v>
          </cell>
          <cell r="M157" t="str">
            <v>2025-10-30</v>
          </cell>
          <cell r="N157" t="str">
            <v>2026-03-27</v>
          </cell>
          <cell r="O157" t="str">
            <v>https://hana.modakita.com/azd942/avatar/21354292720260327173245CCTUPU.jpg</v>
          </cell>
        </row>
        <row r="158">
          <cell r="I158" t="str">
            <v>JMH1E1274534</v>
          </cell>
          <cell r="J158" t="str">
            <v>KB6906PAJ</v>
          </cell>
          <cell r="K158" t="str">
            <v>KPB3</v>
          </cell>
          <cell r="L158">
            <v>6212</v>
          </cell>
          <cell r="M158" t="str">
            <v>2025-10-15</v>
          </cell>
          <cell r="N158" t="str">
            <v>2026-03-27</v>
          </cell>
          <cell r="O158" t="str">
            <v>https://hana.modakita.com/azd942/avatar/21376258920260327173136H6BNKE.jpg</v>
          </cell>
        </row>
        <row r="159">
          <cell r="I159" t="str">
            <v>JME1E1743382</v>
          </cell>
          <cell r="J159" t="str">
            <v>X123YZ</v>
          </cell>
          <cell r="K159" t="str">
            <v>KPB3</v>
          </cell>
          <cell r="L159">
            <v>7314</v>
          </cell>
          <cell r="M159" t="str">
            <v>2025-10-29</v>
          </cell>
          <cell r="N159" t="str">
            <v>2026-03-27</v>
          </cell>
          <cell r="O159" t="str">
            <v>https://hana.modakita.com/azd942/avatar/21354292720260327172910A58D44.jpg</v>
          </cell>
        </row>
        <row r="160">
          <cell r="I160" t="str">
            <v>KFF3E1008164</v>
          </cell>
          <cell r="J160" t="str">
            <v>X123YZ</v>
          </cell>
          <cell r="K160" t="str">
            <v>KPB1</v>
          </cell>
          <cell r="L160">
            <v>80</v>
          </cell>
          <cell r="M160" t="str">
            <v>2026-03-04</v>
          </cell>
          <cell r="N160" t="str">
            <v>2026-03-27</v>
          </cell>
          <cell r="O160" t="str">
            <v>https://hana.modakita.com/azd942/avatar/2515001020260327135552WMWC5K.jpg</v>
          </cell>
        </row>
        <row r="161">
          <cell r="I161" t="str">
            <v>JMH1E1407390</v>
          </cell>
          <cell r="J161" t="str">
            <v>X123YZ</v>
          </cell>
          <cell r="K161" t="str">
            <v>KPB1</v>
          </cell>
          <cell r="L161">
            <v>214</v>
          </cell>
          <cell r="M161" t="str">
            <v>2026-03-05</v>
          </cell>
          <cell r="N161" t="str">
            <v>2026-03-27</v>
          </cell>
          <cell r="O161" t="str">
            <v>https://hana.modakita.com/azd942/avatar/2515001020260327133822DPGXYN.jpg</v>
          </cell>
        </row>
        <row r="162">
          <cell r="I162" t="str">
            <v>KC04E1045460</v>
          </cell>
          <cell r="J162" t="str">
            <v>KB5460XAA</v>
          </cell>
          <cell r="K162" t="str">
            <v>KPB1</v>
          </cell>
          <cell r="L162">
            <v>531</v>
          </cell>
          <cell r="M162" t="str">
            <v>2026-03-14</v>
          </cell>
          <cell r="N162" t="str">
            <v>2026-03-27</v>
          </cell>
          <cell r="O162" t="str">
            <v>https://hana.modakita.com/azd942/avatar/2515001020260327133239DSSPPN.jpg</v>
          </cell>
        </row>
        <row r="163">
          <cell r="I163" t="str">
            <v>KFA1E1359094</v>
          </cell>
          <cell r="J163" t="str">
            <v>KB9094XAA</v>
          </cell>
          <cell r="K163" t="str">
            <v>KPB1</v>
          </cell>
          <cell r="L163">
            <v>780</v>
          </cell>
          <cell r="M163" t="str">
            <v>2026-03-04</v>
          </cell>
          <cell r="N163" t="str">
            <v>2026-03-27</v>
          </cell>
          <cell r="O163" t="str">
            <v>https://hana.modakita.com/azd942/avatar/2649897020260327132504OD1GR0.jpg</v>
          </cell>
        </row>
        <row r="164">
          <cell r="I164" t="str">
            <v>JMJ1E1046018</v>
          </cell>
          <cell r="J164" t="str">
            <v>KB6018XAA</v>
          </cell>
          <cell r="K164" t="str">
            <v>KPB1</v>
          </cell>
          <cell r="L164">
            <v>513</v>
          </cell>
          <cell r="M164" t="str">
            <v>2026-03-14</v>
          </cell>
          <cell r="N164" t="str">
            <v>2026-03-27</v>
          </cell>
          <cell r="O164" t="str">
            <v>https://hana.modakita.com/azd942/avatar/26498970202603271319369SUIKT.jpg</v>
          </cell>
        </row>
        <row r="165">
          <cell r="I165" t="str">
            <v>JBP1E2152246</v>
          </cell>
          <cell r="J165" t="str">
            <v>KB2246XAA</v>
          </cell>
          <cell r="K165" t="str">
            <v>KPB1</v>
          </cell>
          <cell r="L165">
            <v>388</v>
          </cell>
          <cell r="M165" t="str">
            <v>2026-02-24</v>
          </cell>
          <cell r="N165" t="str">
            <v>2026-03-27</v>
          </cell>
          <cell r="O165" t="str">
            <v>https://hana.modakita.com/azd942/avatar/2515001020260327130644GZFS1V.jpg</v>
          </cell>
        </row>
        <row r="166">
          <cell r="I166" t="str">
            <v>KF01E1992198</v>
          </cell>
          <cell r="J166" t="str">
            <v>KB2198XAA</v>
          </cell>
          <cell r="K166" t="str">
            <v>KPB2</v>
          </cell>
          <cell r="L166">
            <v>4973</v>
          </cell>
          <cell r="M166" t="str">
            <v>2025-11-21</v>
          </cell>
          <cell r="N166" t="str">
            <v>2026-03-27</v>
          </cell>
          <cell r="O166" t="str">
            <v>https://hana.modakita.com/azd942/avatar/2515001020260327130222PSSQH4.jpg</v>
          </cell>
        </row>
        <row r="167">
          <cell r="I167" t="str">
            <v>KFE1E1456197</v>
          </cell>
          <cell r="J167" t="str">
            <v>KB6197XAA</v>
          </cell>
          <cell r="K167" t="str">
            <v>KPB1</v>
          </cell>
          <cell r="L167">
            <v>986</v>
          </cell>
          <cell r="M167" t="str">
            <v>2026-02-28</v>
          </cell>
          <cell r="N167" t="str">
            <v>2026-03-27</v>
          </cell>
          <cell r="O167" t="str">
            <v>https://hana.modakita.com/azd942/avatar/25150010202603271253442KZQUD.jpg</v>
          </cell>
        </row>
        <row r="168">
          <cell r="I168" t="str">
            <v>KC04E1004300</v>
          </cell>
          <cell r="J168" t="str">
            <v>KB4300P</v>
          </cell>
          <cell r="K168" t="str">
            <v>KPB4</v>
          </cell>
          <cell r="L168">
            <v>8901</v>
          </cell>
          <cell r="M168" t="str">
            <v>2025-06-11</v>
          </cell>
          <cell r="N168" t="str">
            <v>2026-03-27</v>
          </cell>
          <cell r="O168" t="str">
            <v>https://hana.modakita.com/azd942/avatar/21395178620260327115155H7ROGN.jpg</v>
          </cell>
        </row>
        <row r="169">
          <cell r="I169" t="str">
            <v>JBK3E1577573</v>
          </cell>
          <cell r="J169" t="str">
            <v>KB7573P</v>
          </cell>
          <cell r="K169" t="str">
            <v>KPB4</v>
          </cell>
          <cell r="L169">
            <v>9870</v>
          </cell>
          <cell r="M169" t="str">
            <v>2025-06-09</v>
          </cell>
          <cell r="N169" t="str">
            <v>2026-03-27</v>
          </cell>
          <cell r="O169" t="str">
            <v>https://hana.modakita.com/azd942/avatar/2963440120260327114842YGLUXS.jpg</v>
          </cell>
        </row>
        <row r="170">
          <cell r="I170" t="str">
            <v>JMD1E1937877</v>
          </cell>
          <cell r="J170" t="str">
            <v>KB7877P</v>
          </cell>
          <cell r="K170" t="str">
            <v>KPB4</v>
          </cell>
          <cell r="L170">
            <v>11000</v>
          </cell>
          <cell r="M170" t="str">
            <v>2025-06-02</v>
          </cell>
          <cell r="N170" t="str">
            <v>2026-03-27</v>
          </cell>
          <cell r="O170" t="str">
            <v>https://hana.modakita.com/azd942/avatar/2963440120260327114543VCXJY8.jpg</v>
          </cell>
        </row>
        <row r="171">
          <cell r="I171" t="str">
            <v>JMH1E1163529</v>
          </cell>
          <cell r="J171" t="str">
            <v>KB6347PAH</v>
          </cell>
          <cell r="K171" t="str">
            <v>KPB4</v>
          </cell>
          <cell r="L171">
            <v>10177</v>
          </cell>
          <cell r="M171" t="str">
            <v>2025-06-24</v>
          </cell>
          <cell r="N171" t="str">
            <v>2026-03-27</v>
          </cell>
          <cell r="O171" t="str">
            <v>https://hana.modakita.com/azd942/avatar/21393666120260327114251Y9YISF.jpg</v>
          </cell>
        </row>
        <row r="172">
          <cell r="I172" t="str">
            <v>JMH1E1159317</v>
          </cell>
          <cell r="J172" t="str">
            <v>KB9317P</v>
          </cell>
          <cell r="K172" t="str">
            <v>KPB4</v>
          </cell>
          <cell r="L172">
            <v>7901</v>
          </cell>
          <cell r="M172" t="str">
            <v>2025-06-07</v>
          </cell>
          <cell r="N172" t="str">
            <v>2026-03-27</v>
          </cell>
          <cell r="O172" t="str">
            <v>https://hana.modakita.com/azd942/avatar/213936661202603271141504V7MP4.jpg</v>
          </cell>
        </row>
        <row r="173">
          <cell r="I173" t="str">
            <v>JMH2E1174645</v>
          </cell>
          <cell r="J173" t="str">
            <v>KB4645P</v>
          </cell>
          <cell r="K173" t="str">
            <v>KPB4</v>
          </cell>
          <cell r="L173">
            <v>9731</v>
          </cell>
          <cell r="M173" t="str">
            <v>2025-06-05</v>
          </cell>
          <cell r="N173" t="str">
            <v>2026-03-27</v>
          </cell>
          <cell r="O173" t="str">
            <v>https://hana.modakita.com/azd942/avatar/21354292720260327113410WXY0Y3.jpg</v>
          </cell>
        </row>
        <row r="174">
          <cell r="I174" t="str">
            <v>JMF1E1383012</v>
          </cell>
          <cell r="J174" t="str">
            <v>KB5892PAL</v>
          </cell>
          <cell r="K174" t="str">
            <v>KPB1</v>
          </cell>
          <cell r="L174">
            <v>245</v>
          </cell>
          <cell r="M174" t="str">
            <v>2026-03-03</v>
          </cell>
          <cell r="N174" t="str">
            <v>2026-03-29</v>
          </cell>
          <cell r="O174" t="str">
            <v>https://hana.modakita.com/azd942/avatar/21393666120260329142803IND9GD.jpg</v>
          </cell>
        </row>
        <row r="175">
          <cell r="I175" t="str">
            <v>KFE1E1456442</v>
          </cell>
          <cell r="J175" t="str">
            <v>KB6442P</v>
          </cell>
          <cell r="K175" t="str">
            <v>KPB1</v>
          </cell>
          <cell r="L175">
            <v>724</v>
          </cell>
          <cell r="M175" t="str">
            <v>2026-03-10</v>
          </cell>
          <cell r="N175" t="str">
            <v>2026-03-29</v>
          </cell>
          <cell r="O175" t="str">
            <v>https://hana.modakita.com/azd942/avatar/21393666120260329142713T9OGGL.jpg</v>
          </cell>
        </row>
        <row r="176">
          <cell r="I176" t="str">
            <v>JMD1E2073116</v>
          </cell>
          <cell r="J176" t="str">
            <v>KB6370PAJ</v>
          </cell>
          <cell r="K176" t="str">
            <v>KPB3</v>
          </cell>
          <cell r="L176">
            <v>5020</v>
          </cell>
          <cell r="M176" t="str">
            <v>2025-10-02</v>
          </cell>
          <cell r="N176" t="str">
            <v>2026-03-29</v>
          </cell>
          <cell r="O176" t="str">
            <v>https://hana.modakita.com/azd942/avatar/213936661202603291425304JLFDJ.jpg</v>
          </cell>
        </row>
        <row r="177">
          <cell r="I177" t="str">
            <v>JMF1E1414790</v>
          </cell>
          <cell r="J177" t="str">
            <v>X123YZ</v>
          </cell>
          <cell r="K177" t="str">
            <v>KPB1</v>
          </cell>
          <cell r="L177">
            <v>100</v>
          </cell>
          <cell r="M177" t="str">
            <v>2026-03-27</v>
          </cell>
          <cell r="N177" t="str">
            <v>2026-03-29</v>
          </cell>
          <cell r="O177" t="str">
            <v>https://hana.modakita.com/azd942/avatar/2963440120260329141536MVOQYD.jpg</v>
          </cell>
        </row>
        <row r="178">
          <cell r="I178" t="str">
            <v>JMC1E1749982</v>
          </cell>
          <cell r="J178" t="str">
            <v>KB9982P</v>
          </cell>
          <cell r="K178" t="str">
            <v>KPB3</v>
          </cell>
          <cell r="L178">
            <v>8000</v>
          </cell>
          <cell r="M178" t="str">
            <v>2025-10-30</v>
          </cell>
          <cell r="N178" t="str">
            <v>2026-03-29</v>
          </cell>
          <cell r="O178" t="str">
            <v>https://hana.modakita.com/azd942/avatar/21376258920260329140755ZVMGBQ.jpg</v>
          </cell>
        </row>
        <row r="179">
          <cell r="I179" t="str">
            <v>JMF1E1319470</v>
          </cell>
          <cell r="J179" t="str">
            <v>X123YZ</v>
          </cell>
          <cell r="K179" t="str">
            <v>KPB3</v>
          </cell>
          <cell r="L179">
            <v>6234</v>
          </cell>
          <cell r="M179" t="str">
            <v>2025-10-03</v>
          </cell>
          <cell r="N179" t="str">
            <v>2026-03-29</v>
          </cell>
          <cell r="O179" t="str">
            <v>https://hana.modakita.com/azd942/avatar/21376258920260329140558IRWGYN.jpg</v>
          </cell>
        </row>
        <row r="180">
          <cell r="I180" t="str">
            <v>JBK3E1604044</v>
          </cell>
          <cell r="J180" t="str">
            <v>X123YZ</v>
          </cell>
          <cell r="K180" t="str">
            <v>KPB3</v>
          </cell>
          <cell r="L180">
            <v>7901</v>
          </cell>
          <cell r="M180" t="str">
            <v>2025-10-28</v>
          </cell>
          <cell r="N180" t="str">
            <v>2026-03-29</v>
          </cell>
          <cell r="O180" t="str">
            <v>https://hana.modakita.com/azd942/avatar/2963440120260329135639NJ4MNW.jpg</v>
          </cell>
        </row>
        <row r="181">
          <cell r="I181" t="str">
            <v>KD11E1647989</v>
          </cell>
          <cell r="J181" t="str">
            <v>KB5246KL</v>
          </cell>
          <cell r="K181" t="str">
            <v>KPB2</v>
          </cell>
          <cell r="L181">
            <v>3201</v>
          </cell>
          <cell r="M181" t="str">
            <v>2025-12-18</v>
          </cell>
          <cell r="N181" t="str">
            <v>2026-03-29</v>
          </cell>
          <cell r="O181" t="str">
            <v>https://hana.modakita.com/azd942/avatar/213951786202603291355363VE7JG.jpg</v>
          </cell>
        </row>
        <row r="182">
          <cell r="I182" t="str">
            <v>JMC1E1760155</v>
          </cell>
          <cell r="J182" t="str">
            <v>KB0155XAA</v>
          </cell>
          <cell r="K182" t="str">
            <v>KPB3</v>
          </cell>
          <cell r="L182">
            <v>7994</v>
          </cell>
          <cell r="M182" t="str">
            <v>2025-11-07</v>
          </cell>
          <cell r="N182" t="str">
            <v>2026-03-29</v>
          </cell>
          <cell r="O182" t="str">
            <v>https://hana.modakita.com/azd942/avatar/2515001020260329113259SENX9O.jpg</v>
          </cell>
        </row>
        <row r="183">
          <cell r="I183" t="str">
            <v>JMC1E1716531</v>
          </cell>
          <cell r="J183" t="str">
            <v>KB6108PAJ</v>
          </cell>
          <cell r="K183" t="str">
            <v>KPB3</v>
          </cell>
          <cell r="L183">
            <v>4458</v>
          </cell>
          <cell r="M183" t="str">
            <v>2025-09-19</v>
          </cell>
          <cell r="N183" t="str">
            <v>2026-03-29</v>
          </cell>
          <cell r="O183" t="str">
            <v>https://hana.modakita.com/azd942/avatar/264989702026032911295317KRTB.jpg</v>
          </cell>
        </row>
        <row r="184">
          <cell r="I184" t="str">
            <v>JMH1E1403518</v>
          </cell>
          <cell r="J184" t="str">
            <v>KB2518XAA</v>
          </cell>
          <cell r="K184" t="str">
            <v>KPB2</v>
          </cell>
          <cell r="L184">
            <v>1970</v>
          </cell>
          <cell r="M184" t="str">
            <v>2026-02-27</v>
          </cell>
          <cell r="N184" t="str">
            <v>2026-03-29</v>
          </cell>
          <cell r="O184" t="str">
            <v>https://hana.modakita.com/azd942/avatar/2515001020260329112135S8QUXM.jpg</v>
          </cell>
        </row>
        <row r="185">
          <cell r="I185" t="str">
            <v>JMH2E1710947</v>
          </cell>
          <cell r="J185" t="str">
            <v>X123YZ</v>
          </cell>
          <cell r="K185" t="str">
            <v>KPB2</v>
          </cell>
          <cell r="L185">
            <v>1432</v>
          </cell>
          <cell r="M185" t="str">
            <v>2026-02-07</v>
          </cell>
          <cell r="N185" t="str">
            <v>2026-03-29</v>
          </cell>
          <cell r="O185" t="str">
            <v>https://hana.modakita.com/azd942/avatar/2515001020260329112055KXRWL1.jpg</v>
          </cell>
        </row>
        <row r="186">
          <cell r="I186" t="str">
            <v>JMH1E1354437</v>
          </cell>
          <cell r="J186" t="str">
            <v>KB4437XAA</v>
          </cell>
          <cell r="K186" t="str">
            <v>KPB2</v>
          </cell>
          <cell r="L186">
            <v>1969</v>
          </cell>
          <cell r="M186" t="str">
            <v>2026-01-17</v>
          </cell>
          <cell r="N186" t="str">
            <v>2026-03-29</v>
          </cell>
          <cell r="O186" t="str">
            <v>https://hana.modakita.com/azd942/avatar/2515001020260329111742OJSBYU.jpg</v>
          </cell>
        </row>
        <row r="187">
          <cell r="I187" t="str">
            <v>KFE1E1453607</v>
          </cell>
          <cell r="J187" t="str">
            <v>KB3607XAA</v>
          </cell>
          <cell r="K187" t="str">
            <v>KPB1</v>
          </cell>
          <cell r="L187">
            <v>667</v>
          </cell>
          <cell r="M187" t="str">
            <v>2026-02-16</v>
          </cell>
          <cell r="N187" t="str">
            <v>2026-03-29</v>
          </cell>
          <cell r="O187" t="str">
            <v>https://hana.modakita.com/azd942/avatar/2515001020260329110053KKBHVL.jpg</v>
          </cell>
        </row>
        <row r="188">
          <cell r="I188" t="str">
            <v>KFE1E1455989</v>
          </cell>
          <cell r="J188" t="str">
            <v>KB5989XAA</v>
          </cell>
          <cell r="K188" t="str">
            <v>KPB1</v>
          </cell>
          <cell r="L188">
            <v>941</v>
          </cell>
          <cell r="M188" t="str">
            <v>2026-02-28</v>
          </cell>
          <cell r="N188" t="str">
            <v>2026-03-29</v>
          </cell>
          <cell r="O188" t="str">
            <v>https://hana.modakita.com/azd942/avatar/2515001020260329105823GL6QF9.jpg</v>
          </cell>
        </row>
        <row r="189">
          <cell r="I189" t="str">
            <v>JBP1E2146957</v>
          </cell>
          <cell r="J189" t="str">
            <v>X123YZ</v>
          </cell>
          <cell r="K189" t="str">
            <v>KPB1</v>
          </cell>
          <cell r="L189">
            <v>421</v>
          </cell>
          <cell r="M189" t="str">
            <v>2026-02-13</v>
          </cell>
          <cell r="N189" t="str">
            <v>2026-03-29</v>
          </cell>
          <cell r="O189" t="str">
            <v>https://hana.modakita.com/azd942/avatar/2515001020260329105352HYOXGS.jpg</v>
          </cell>
        </row>
        <row r="190">
          <cell r="I190" t="str">
            <v>KFA1E1358560</v>
          </cell>
          <cell r="J190" t="str">
            <v>X123YZ</v>
          </cell>
          <cell r="K190" t="str">
            <v>KPB1</v>
          </cell>
          <cell r="L190">
            <v>529</v>
          </cell>
          <cell r="M190" t="str">
            <v>2026-03-06</v>
          </cell>
          <cell r="N190" t="str">
            <v>2026-03-29</v>
          </cell>
          <cell r="O190" t="str">
            <v>https://hana.modakita.com/azd942/avatar/25150010202603291050495QIFMI.jpg</v>
          </cell>
        </row>
        <row r="191">
          <cell r="I191" t="str">
            <v>JMH1E1419502</v>
          </cell>
          <cell r="J191" t="str">
            <v>X123YZ</v>
          </cell>
          <cell r="K191" t="str">
            <v>KPB1</v>
          </cell>
          <cell r="L191">
            <v>292</v>
          </cell>
          <cell r="M191" t="str">
            <v>2026-03-16</v>
          </cell>
          <cell r="N191" t="str">
            <v>2026-03-28</v>
          </cell>
          <cell r="O191" t="str">
            <v>https://hana.modakita.com/azd942/avatar/21395178620260328160407R1D1ZD.jpg</v>
          </cell>
        </row>
        <row r="192">
          <cell r="I192" t="str">
            <v>JMH1E1378531</v>
          </cell>
          <cell r="J192" t="str">
            <v>KB8531P</v>
          </cell>
          <cell r="K192" t="str">
            <v>KPB2</v>
          </cell>
          <cell r="L192">
            <v>1620</v>
          </cell>
          <cell r="M192" t="str">
            <v>2026-02-20</v>
          </cell>
          <cell r="N192" t="str">
            <v>2026-03-28</v>
          </cell>
          <cell r="O192" t="str">
            <v>https://hana.modakita.com/azd942/avatar/21395178620260328160257MXRFTM.jpg</v>
          </cell>
        </row>
        <row r="193">
          <cell r="I193" t="str">
            <v>JMC1E1757672</v>
          </cell>
          <cell r="J193" t="str">
            <v>KB7672P</v>
          </cell>
          <cell r="K193" t="str">
            <v>KPB4</v>
          </cell>
          <cell r="L193">
            <v>12000</v>
          </cell>
          <cell r="M193" t="str">
            <v>2025-11-06</v>
          </cell>
          <cell r="N193" t="str">
            <v>2026-03-28</v>
          </cell>
          <cell r="O193" t="str">
            <v>https://hana.modakita.com/azd942/avatar/2963440120260328155822HUUV69.jpg</v>
          </cell>
        </row>
        <row r="194">
          <cell r="I194" t="str">
            <v>JMH2E1607534</v>
          </cell>
          <cell r="J194" t="str">
            <v>KB7534XAA</v>
          </cell>
          <cell r="K194" t="str">
            <v>KPB3</v>
          </cell>
          <cell r="L194">
            <v>2626</v>
          </cell>
          <cell r="M194" t="str">
            <v>2025-11-08</v>
          </cell>
          <cell r="N194" t="str">
            <v>2026-03-28</v>
          </cell>
          <cell r="O194" t="str">
            <v>https://hana.modakita.com/azd942/avatar/2649897020260328123828ZOS0ZH.jpg</v>
          </cell>
        </row>
        <row r="195">
          <cell r="I195" t="str">
            <v>JMF2E1470468</v>
          </cell>
          <cell r="J195" t="str">
            <v>KB0468XAA</v>
          </cell>
          <cell r="K195" t="str">
            <v>KPB2</v>
          </cell>
          <cell r="L195">
            <v>1635</v>
          </cell>
          <cell r="M195" t="str">
            <v>2026-02-24</v>
          </cell>
          <cell r="N195" t="str">
            <v>2026-03-28</v>
          </cell>
          <cell r="O195" t="str">
            <v>https://hana.modakita.com/azd942/avatar/2649897020260328123625JNKFDC.jpg</v>
          </cell>
        </row>
        <row r="196">
          <cell r="I196" t="str">
            <v>JMJ1E1039612</v>
          </cell>
          <cell r="J196" t="str">
            <v>KB9612XAA</v>
          </cell>
          <cell r="K196" t="str">
            <v>KPB1</v>
          </cell>
          <cell r="L196">
            <v>408</v>
          </cell>
          <cell r="M196" t="str">
            <v>2026-03-05</v>
          </cell>
          <cell r="N196" t="str">
            <v>2026-03-28</v>
          </cell>
          <cell r="O196" t="str">
            <v>https://hana.modakita.com/azd942/avatar/2649897020260328123212VWBQRH.jpg</v>
          </cell>
        </row>
        <row r="197">
          <cell r="I197" t="str">
            <v>KF01E2052659</v>
          </cell>
          <cell r="J197" t="str">
            <v>KB2659XAA</v>
          </cell>
          <cell r="K197" t="str">
            <v>KPB1</v>
          </cell>
          <cell r="L197">
            <v>821</v>
          </cell>
          <cell r="M197" t="str">
            <v>2026-03-13</v>
          </cell>
          <cell r="N197" t="str">
            <v>2026-03-28</v>
          </cell>
          <cell r="O197" t="str">
            <v>https://hana.modakita.com/azd942/avatar/26498970202603281217009TTX0O.jpg</v>
          </cell>
        </row>
        <row r="198">
          <cell r="I198" t="str">
            <v>KFE1E1485577</v>
          </cell>
          <cell r="J198" t="str">
            <v>X5577YZ</v>
          </cell>
          <cell r="K198" t="str">
            <v>KPB1</v>
          </cell>
          <cell r="L198">
            <v>872</v>
          </cell>
          <cell r="M198" t="str">
            <v>2026-03-17</v>
          </cell>
          <cell r="N198" t="str">
            <v>2026-03-28</v>
          </cell>
          <cell r="O198" t="str">
            <v>https://hana.modakita.com/azd942/avatar/26498970202603281145420I9BJI.jpg</v>
          </cell>
        </row>
        <row r="199">
          <cell r="I199" t="str">
            <v>KFA1E1357241</v>
          </cell>
          <cell r="J199" t="str">
            <v>KB7241XAA</v>
          </cell>
          <cell r="K199" t="str">
            <v>KPB1</v>
          </cell>
          <cell r="L199">
            <v>201</v>
          </cell>
          <cell r="M199" t="str">
            <v>2026-02-24</v>
          </cell>
          <cell r="N199" t="str">
            <v>2026-03-28</v>
          </cell>
          <cell r="O199" t="str">
            <v>https://hana.modakita.com/azd942/avatar/2515001020260328113959FFRHEN.jpg</v>
          </cell>
        </row>
        <row r="200">
          <cell r="I200" t="str">
            <v>JMH1E1417048</v>
          </cell>
          <cell r="J200" t="str">
            <v>X7048YZ</v>
          </cell>
          <cell r="K200" t="str">
            <v>KPB1</v>
          </cell>
          <cell r="L200">
            <v>900</v>
          </cell>
          <cell r="M200" t="str">
            <v>2026-03-19</v>
          </cell>
          <cell r="N200" t="str">
            <v>2026-03-28</v>
          </cell>
          <cell r="O200" t="str">
            <v>https://hana.modakita.com/azd942/avatar/2649897020260328113130NX2HOL.jpg</v>
          </cell>
        </row>
        <row r="201">
          <cell r="I201" t="str">
            <v>JMC1E1695906</v>
          </cell>
          <cell r="J201" t="str">
            <v>KB4429PAJ</v>
          </cell>
          <cell r="K201" t="str">
            <v>KPB3</v>
          </cell>
          <cell r="L201">
            <v>4948</v>
          </cell>
          <cell r="M201" t="str">
            <v>2025-08-20</v>
          </cell>
          <cell r="N201" t="str">
            <v>2026-03-28</v>
          </cell>
          <cell r="O201" t="str">
            <v>https://hana.modakita.com/azd942/avatar/2515001020260328111831SFLV1Y.jpg</v>
          </cell>
        </row>
        <row r="202">
          <cell r="I202" t="str">
            <v>JMF1E1392875</v>
          </cell>
          <cell r="J202" t="str">
            <v>X123YZ</v>
          </cell>
          <cell r="K202" t="str">
            <v>KPB1</v>
          </cell>
          <cell r="L202">
            <v>670</v>
          </cell>
          <cell r="M202" t="str">
            <v>2026-03-13</v>
          </cell>
          <cell r="N202" t="str">
            <v>2026-03-30</v>
          </cell>
          <cell r="O202" t="str">
            <v>https://hana.modakita.com/azd942/avatar/21395178620260330173607LUCDHO.jpg</v>
          </cell>
        </row>
        <row r="203">
          <cell r="I203" t="str">
            <v>JMH1E1431920</v>
          </cell>
          <cell r="J203" t="str">
            <v>KB1920P</v>
          </cell>
          <cell r="K203" t="str">
            <v>KPB1</v>
          </cell>
          <cell r="L203">
            <v>522</v>
          </cell>
          <cell r="M203" t="str">
            <v>2026-03-18</v>
          </cell>
          <cell r="N203" t="str">
            <v>2026-03-30</v>
          </cell>
          <cell r="O203" t="str">
            <v>https://hana.modakita.com/azd942/avatar/21395178620260330173406OOSQGE.jpg</v>
          </cell>
        </row>
        <row r="204">
          <cell r="I204" t="str">
            <v>JMH2E1634708</v>
          </cell>
          <cell r="J204" t="str">
            <v>X123YZ</v>
          </cell>
          <cell r="K204" t="str">
            <v>KPB2</v>
          </cell>
          <cell r="L204">
            <v>1074</v>
          </cell>
          <cell r="M204" t="str">
            <v>2025-12-04</v>
          </cell>
          <cell r="N204" t="str">
            <v>2026-03-30</v>
          </cell>
          <cell r="O204" t="str">
            <v>https://hana.modakita.com/azd942/avatar/2963440120260330144922SFXS6W.jpg</v>
          </cell>
        </row>
        <row r="205">
          <cell r="I205" t="str">
            <v>JMB1E1235255</v>
          </cell>
          <cell r="J205" t="str">
            <v>KB5255XAA</v>
          </cell>
          <cell r="K205" t="str">
            <v>KPB2</v>
          </cell>
          <cell r="L205">
            <v>2734</v>
          </cell>
          <cell r="M205" t="str">
            <v>2026-02-11</v>
          </cell>
          <cell r="N205" t="str">
            <v>2026-03-30</v>
          </cell>
          <cell r="O205" t="str">
            <v>https://hana.modakita.com/azd942/avatar/2963440120260330144700XTWBE4.jpg</v>
          </cell>
        </row>
        <row r="206">
          <cell r="I206" t="str">
            <v>JMH1E1281864</v>
          </cell>
          <cell r="J206" t="str">
            <v>K1864XAA</v>
          </cell>
          <cell r="K206" t="str">
            <v>KPB2</v>
          </cell>
          <cell r="L206">
            <v>2059</v>
          </cell>
          <cell r="M206" t="str">
            <v>2025-11-20</v>
          </cell>
          <cell r="N206" t="str">
            <v>2026-03-30</v>
          </cell>
          <cell r="O206" t="str">
            <v>https://hana.modakita.com/azd942/avatar/2515001020260330140310BJ8WHM.jpg</v>
          </cell>
        </row>
        <row r="207">
          <cell r="I207" t="str">
            <v>JMJ1E1035608</v>
          </cell>
          <cell r="J207" t="str">
            <v>X123YZ</v>
          </cell>
          <cell r="K207" t="str">
            <v>KPB1</v>
          </cell>
          <cell r="L207">
            <v>1199</v>
          </cell>
          <cell r="M207" t="str">
            <v>2026-02-18</v>
          </cell>
          <cell r="N207" t="str">
            <v>2026-03-30</v>
          </cell>
          <cell r="O207" t="str">
            <v>https://hana.modakita.com/azd942/avatar/21502451420260330132852TYS55U.jpg</v>
          </cell>
        </row>
        <row r="208">
          <cell r="I208" t="str">
            <v>JMK1E1047403</v>
          </cell>
          <cell r="J208" t="str">
            <v>X123YZ</v>
          </cell>
          <cell r="K208" t="str">
            <v>KPB1</v>
          </cell>
          <cell r="L208">
            <v>762</v>
          </cell>
          <cell r="M208" t="str">
            <v>2026-02-12</v>
          </cell>
          <cell r="N208" t="str">
            <v>2026-03-30</v>
          </cell>
          <cell r="O208" t="str">
            <v>https://hana.modakita.com/azd942/avatar/2515001020260330130537A1LFPH.jpg</v>
          </cell>
        </row>
        <row r="209">
          <cell r="I209" t="str">
            <v>JMJ1E1029002</v>
          </cell>
          <cell r="J209" t="str">
            <v>X123YZ</v>
          </cell>
          <cell r="K209" t="str">
            <v>KPB1</v>
          </cell>
          <cell r="L209">
            <v>375</v>
          </cell>
          <cell r="M209" t="str">
            <v>2026-02-12</v>
          </cell>
          <cell r="N209" t="str">
            <v>2026-03-30</v>
          </cell>
          <cell r="O209" t="str">
            <v>https://hana.modakita.com/azd942/avatar/2649897020260330120712H02TV1.jpg</v>
          </cell>
        </row>
        <row r="210">
          <cell r="I210" t="str">
            <v>JMK1E1069441</v>
          </cell>
          <cell r="J210" t="str">
            <v>KB9441XAA</v>
          </cell>
          <cell r="K210" t="str">
            <v>KPB1</v>
          </cell>
          <cell r="L210">
            <v>740</v>
          </cell>
          <cell r="M210" t="str">
            <v>2026-03-04</v>
          </cell>
          <cell r="N210" t="str">
            <v>2026-03-30</v>
          </cell>
          <cell r="O210" t="str">
            <v>https://hana.modakita.com/azd942/avatar/2649897020260330120258HLLPAJ.jpg</v>
          </cell>
        </row>
        <row r="211">
          <cell r="I211" t="str">
            <v>JBP1E2150656</v>
          </cell>
          <cell r="J211" t="str">
            <v>KB0656XAA</v>
          </cell>
          <cell r="K211" t="str">
            <v>KPB1</v>
          </cell>
          <cell r="L211">
            <v>1016</v>
          </cell>
          <cell r="M211" t="str">
            <v>2026-02-23</v>
          </cell>
          <cell r="N211" t="str">
            <v>2026-03-30</v>
          </cell>
          <cell r="O211" t="str">
            <v>https://hana.modakita.com/azd942/avatar/2515001020260330114606IFOEX6.jpg</v>
          </cell>
        </row>
        <row r="212">
          <cell r="I212" t="str">
            <v>KC04E1043815</v>
          </cell>
          <cell r="J212" t="str">
            <v>KB3815XAA</v>
          </cell>
          <cell r="K212" t="str">
            <v>KPB1</v>
          </cell>
          <cell r="L212">
            <v>225</v>
          </cell>
          <cell r="M212" t="str">
            <v>2026-03-05</v>
          </cell>
          <cell r="N212" t="str">
            <v>2026-03-30</v>
          </cell>
          <cell r="O212" t="str">
            <v>https://hana.modakita.com/azd942/avatar/21502451420260330113947CW2VE6.jpg</v>
          </cell>
        </row>
        <row r="213">
          <cell r="I213" t="str">
            <v>KFE1E1466945</v>
          </cell>
          <cell r="J213" t="str">
            <v>KB6945XAA</v>
          </cell>
          <cell r="K213" t="str">
            <v>KPB1</v>
          </cell>
          <cell r="L213">
            <v>362</v>
          </cell>
          <cell r="M213" t="str">
            <v>2026-03-07</v>
          </cell>
          <cell r="N213" t="str">
            <v>2026-03-30</v>
          </cell>
          <cell r="O213" t="str">
            <v>https://hana.modakita.com/azd942/avatar/2649897020260330113510OWWLTM.jpg</v>
          </cell>
        </row>
        <row r="214">
          <cell r="I214" t="str">
            <v>KFF3E1009897</v>
          </cell>
          <cell r="J214" t="str">
            <v>KB9897XAA</v>
          </cell>
          <cell r="K214" t="str">
            <v>KPB1</v>
          </cell>
          <cell r="L214">
            <v>569</v>
          </cell>
          <cell r="M214" t="str">
            <v>2026-02-25</v>
          </cell>
          <cell r="N214" t="str">
            <v>2026-03-30</v>
          </cell>
          <cell r="O214" t="str">
            <v>https://hana.modakita.com/azd942/avatar/2649897020260330105453SYVLIM.jpg</v>
          </cell>
        </row>
        <row r="215">
          <cell r="I215" t="str">
            <v>KFE3E1102893</v>
          </cell>
          <cell r="J215" t="str">
            <v>KB2893XAA</v>
          </cell>
          <cell r="K215" t="str">
            <v>KPB1</v>
          </cell>
          <cell r="L215">
            <v>569</v>
          </cell>
          <cell r="M215" t="str">
            <v>2026-03-07</v>
          </cell>
          <cell r="N215" t="str">
            <v>2026-03-30</v>
          </cell>
          <cell r="O215" t="str">
            <v>https://hana.modakita.com/azd942/avatar/2515001020260330104419CJEPWK.jpg</v>
          </cell>
        </row>
        <row r="216">
          <cell r="I216" t="str">
            <v>KC04E1045486</v>
          </cell>
          <cell r="J216" t="str">
            <v>KB5486XAA</v>
          </cell>
          <cell r="K216" t="str">
            <v>KPB1</v>
          </cell>
          <cell r="L216">
            <v>748</v>
          </cell>
          <cell r="M216" t="str">
            <v>2026-03-11</v>
          </cell>
          <cell r="N216" t="str">
            <v>2026-03-30</v>
          </cell>
          <cell r="O216" t="str">
            <v>https://hana.modakita.com/azd942/avatar/21502451420260330103513TGLVTU.jpg</v>
          </cell>
        </row>
        <row r="217">
          <cell r="I217" t="str">
            <v>JMH2E1763645</v>
          </cell>
          <cell r="J217" t="str">
            <v>KB3645P</v>
          </cell>
          <cell r="K217" t="str">
            <v>KPB2</v>
          </cell>
          <cell r="L217">
            <v>1103</v>
          </cell>
          <cell r="M217" t="str">
            <v>2026-02-21</v>
          </cell>
          <cell r="N217" t="str">
            <v>2026-03-31</v>
          </cell>
          <cell r="O217" t="str">
            <v>https://hana.modakita.com/azd942/avatar/2963440120260331173528ADZ4DU.jpg</v>
          </cell>
        </row>
        <row r="218">
          <cell r="I218" t="str">
            <v>JME1E1969988</v>
          </cell>
          <cell r="J218" t="str">
            <v>KB9988P</v>
          </cell>
          <cell r="K218" t="str">
            <v>KPB1</v>
          </cell>
          <cell r="L218">
            <v>739</v>
          </cell>
          <cell r="M218" t="str">
            <v>2026-02-27</v>
          </cell>
          <cell r="N218" t="str">
            <v>2026-03-31</v>
          </cell>
          <cell r="O218" t="str">
            <v>https://hana.modakita.com/azd942/avatar/21395178620260331172428Y3UVXM.jpg</v>
          </cell>
        </row>
        <row r="219">
          <cell r="I219" t="str">
            <v>JMH2E1801195</v>
          </cell>
          <cell r="J219" t="str">
            <v>KB1195XAA</v>
          </cell>
          <cell r="K219" t="str">
            <v>KPB1</v>
          </cell>
          <cell r="L219">
            <v>1064</v>
          </cell>
          <cell r="M219" t="str">
            <v>2026-03-19</v>
          </cell>
          <cell r="N219" t="str">
            <v>2026-03-31</v>
          </cell>
          <cell r="O219" t="str">
            <v>https://hana.modakita.com/azd942/avatar/2649897020260331153815CNZHDM.jpg</v>
          </cell>
        </row>
        <row r="220">
          <cell r="I220" t="str">
            <v>JMH2E1739746</v>
          </cell>
          <cell r="J220" t="str">
            <v>KB9746XAA</v>
          </cell>
          <cell r="K220" t="str">
            <v>KPB1</v>
          </cell>
          <cell r="L220">
            <v>611</v>
          </cell>
          <cell r="M220" t="str">
            <v>2026-02-23</v>
          </cell>
          <cell r="N220" t="str">
            <v>2026-03-31</v>
          </cell>
          <cell r="O220" t="str">
            <v>https://hana.modakita.com/azd942/avatar/2515001020260331152440QTB8LJ.jpg</v>
          </cell>
        </row>
        <row r="221">
          <cell r="I221" t="str">
            <v>JMH1E1431936</v>
          </cell>
          <cell r="J221" t="str">
            <v>KB1936XAA</v>
          </cell>
          <cell r="K221" t="str">
            <v>KPB1</v>
          </cell>
          <cell r="L221">
            <v>648</v>
          </cell>
          <cell r="M221" t="str">
            <v>2026-03-19</v>
          </cell>
          <cell r="N221" t="str">
            <v>2026-03-31</v>
          </cell>
          <cell r="O221" t="str">
            <v>https://hana.modakita.com/azd942/avatar/2515001020260331151359XTS02R.jpg</v>
          </cell>
        </row>
        <row r="222">
          <cell r="I222" t="str">
            <v>JMH2E1737281</v>
          </cell>
          <cell r="J222" t="str">
            <v>KB7281XAA</v>
          </cell>
          <cell r="K222" t="str">
            <v>KPB1</v>
          </cell>
          <cell r="L222">
            <v>529</v>
          </cell>
          <cell r="M222" t="str">
            <v>2026-02-24</v>
          </cell>
          <cell r="N222" t="str">
            <v>2026-03-31</v>
          </cell>
          <cell r="O222" t="str">
            <v>https://hana.modakita.com/azd942/avatar/2649897020260331144908PFLNDA.jpg</v>
          </cell>
        </row>
        <row r="223">
          <cell r="I223" t="str">
            <v>JMK1E1090262</v>
          </cell>
          <cell r="J223" t="str">
            <v>KB0262XAA</v>
          </cell>
          <cell r="K223" t="str">
            <v>KPB1</v>
          </cell>
          <cell r="L223">
            <v>1001</v>
          </cell>
          <cell r="M223" t="str">
            <v>2026-03-13</v>
          </cell>
          <cell r="N223" t="str">
            <v>2026-03-31</v>
          </cell>
          <cell r="O223" t="str">
            <v>https://hana.modakita.com/azd942/avatar/2649897020260331144138YQ8ZIP.jpg</v>
          </cell>
        </row>
        <row r="224">
          <cell r="I224" t="str">
            <v>KF01E2056444</v>
          </cell>
          <cell r="J224" t="str">
            <v>KB6444XAA</v>
          </cell>
          <cell r="K224" t="str">
            <v>KPB1</v>
          </cell>
          <cell r="L224">
            <v>977</v>
          </cell>
          <cell r="M224" t="str">
            <v>2026-03-20</v>
          </cell>
          <cell r="N224" t="str">
            <v>2026-03-31</v>
          </cell>
          <cell r="O224" t="str">
            <v>https://hana.modakita.com/azd942/avatar/2649897020260331142139WSOYK5.jpg</v>
          </cell>
        </row>
        <row r="225">
          <cell r="I225" t="str">
            <v>KC04E1043843</v>
          </cell>
          <cell r="J225" t="str">
            <v>KB3843P</v>
          </cell>
          <cell r="K225" t="str">
            <v>KPB1</v>
          </cell>
          <cell r="L225">
            <v>803</v>
          </cell>
          <cell r="M225" t="str">
            <v>2026-03-17</v>
          </cell>
          <cell r="N225" t="str">
            <v>2026-03-31</v>
          </cell>
          <cell r="O225" t="str">
            <v>https://hana.modakita.com/azd942/avatar/21395178620260331133123HDAGJP.jpg</v>
          </cell>
        </row>
        <row r="226">
          <cell r="I226" t="str">
            <v>KFD1E1248805</v>
          </cell>
          <cell r="J226" t="str">
            <v>KB5873PAL</v>
          </cell>
          <cell r="K226" t="str">
            <v>KPB1</v>
          </cell>
          <cell r="L226">
            <v>959</v>
          </cell>
          <cell r="M226" t="str">
            <v>2026-02-28</v>
          </cell>
          <cell r="N226" t="str">
            <v>2026-03-31</v>
          </cell>
          <cell r="O226" t="str">
            <v>https://hana.modakita.com/azd942/avatar/21395178620260331132905M8GOED.jpg</v>
          </cell>
        </row>
        <row r="227">
          <cell r="I227" t="str">
            <v>JME1E2015873</v>
          </cell>
          <cell r="J227" t="str">
            <v>X123YZ</v>
          </cell>
          <cell r="K227" t="str">
            <v>KPB1</v>
          </cell>
          <cell r="L227">
            <v>279</v>
          </cell>
          <cell r="M227" t="str">
            <v>2026-03-26</v>
          </cell>
          <cell r="N227" t="str">
            <v>2026-03-31</v>
          </cell>
          <cell r="O227" t="str">
            <v>https://hana.modakita.com/azd942/avatar/21395178620260331132558KQJ5XN.jpg</v>
          </cell>
        </row>
        <row r="228">
          <cell r="I228" t="str">
            <v>KFE1E1466968</v>
          </cell>
          <cell r="J228" t="str">
            <v>KB6969P</v>
          </cell>
          <cell r="K228" t="str">
            <v>KPB1</v>
          </cell>
          <cell r="L228">
            <v>720</v>
          </cell>
          <cell r="M228" t="str">
            <v>2026-03-16</v>
          </cell>
          <cell r="N228" t="str">
            <v>2026-03-31</v>
          </cell>
          <cell r="O228" t="str">
            <v>https://hana.modakita.com/azd942/avatar/213951786202603311323468H92ST.jpg</v>
          </cell>
        </row>
        <row r="229">
          <cell r="I229" t="str">
            <v>KC04E1043440</v>
          </cell>
          <cell r="J229" t="str">
            <v>KB5898PAL</v>
          </cell>
          <cell r="K229" t="str">
            <v>KPB1</v>
          </cell>
          <cell r="L229">
            <v>920</v>
          </cell>
          <cell r="M229" t="str">
            <v>2026-02-28</v>
          </cell>
          <cell r="N229" t="str">
            <v>2026-03-31</v>
          </cell>
          <cell r="O229" t="str">
            <v>https://hana.modakita.com/azd942/avatar/2963440120260331115412KU5JLB.jpg</v>
          </cell>
        </row>
        <row r="230">
          <cell r="I230" t="str">
            <v>KC04E1037279</v>
          </cell>
          <cell r="J230" t="str">
            <v>KB2407PAL</v>
          </cell>
          <cell r="K230" t="str">
            <v>KPB2</v>
          </cell>
          <cell r="L230">
            <v>1035</v>
          </cell>
          <cell r="M230" t="str">
            <v>2026-01-08</v>
          </cell>
          <cell r="N230" t="str">
            <v>2026-03-08</v>
          </cell>
          <cell r="O230" t="str">
            <v>https://hana.modakita.com/azd942/avatar/21395178620260308113138BKLWEP.jpg</v>
          </cell>
        </row>
        <row r="231">
          <cell r="I231" t="str">
            <v>JMH2E1696872</v>
          </cell>
          <cell r="J231" t="str">
            <v>KB6872P</v>
          </cell>
          <cell r="K231" t="str">
            <v>KPB2</v>
          </cell>
          <cell r="L231">
            <v>1339</v>
          </cell>
          <cell r="M231" t="str">
            <v>2026-01-21</v>
          </cell>
          <cell r="N231" t="str">
            <v>2026-03-08</v>
          </cell>
          <cell r="O231" t="str">
            <v>https://hana.modakita.com/azd942/avatar/22801420260308112646TT1OI0.jpg</v>
          </cell>
        </row>
        <row r="232">
          <cell r="I232" t="str">
            <v>KC04E1039569</v>
          </cell>
          <cell r="J232" t="str">
            <v>X123YZ</v>
          </cell>
          <cell r="K232" t="str">
            <v>KPB1</v>
          </cell>
          <cell r="L232">
            <v>747</v>
          </cell>
          <cell r="M232" t="str">
            <v>2026-02-02</v>
          </cell>
          <cell r="N232" t="str">
            <v>2026-03-08</v>
          </cell>
          <cell r="O232" t="str">
            <v>https://hana.modakita.com/azd942/avatar/22801420260308112321DPDADN.jpg</v>
          </cell>
        </row>
        <row r="233">
          <cell r="I233" t="str">
            <v>JMK1E1050680</v>
          </cell>
          <cell r="J233" t="str">
            <v>X123YZ</v>
          </cell>
          <cell r="K233" t="str">
            <v>KPB1</v>
          </cell>
          <cell r="L233">
            <v>419</v>
          </cell>
          <cell r="M233" t="str">
            <v>2026-02-12</v>
          </cell>
          <cell r="N233" t="str">
            <v>2026-03-08</v>
          </cell>
          <cell r="O233" t="str">
            <v>https://hana.modakita.com/azd942/avatar/228014202603081122255K7E38.jpg</v>
          </cell>
        </row>
        <row r="234">
          <cell r="I234" t="str">
            <v>KFE1E1443309</v>
          </cell>
          <cell r="J234" t="str">
            <v>X123YZ</v>
          </cell>
          <cell r="K234" t="str">
            <v>KPB1</v>
          </cell>
          <cell r="L234">
            <v>597</v>
          </cell>
          <cell r="M234" t="str">
            <v>2026-02-10</v>
          </cell>
          <cell r="N234" t="str">
            <v>2026-03-08</v>
          </cell>
          <cell r="O234" t="str">
            <v>https://hana.modakita.com/azd942/avatar/22801420260308112120F5L1LB.jpg</v>
          </cell>
        </row>
        <row r="235">
          <cell r="I235" t="str">
            <v>JMH1E1375513</v>
          </cell>
          <cell r="J235" t="str">
            <v>X123YZ</v>
          </cell>
          <cell r="K235" t="str">
            <v>KPB1</v>
          </cell>
          <cell r="L235">
            <v>597</v>
          </cell>
          <cell r="M235" t="str">
            <v>2026-02-16</v>
          </cell>
          <cell r="N235" t="str">
            <v>2026-03-08</v>
          </cell>
          <cell r="O235" t="str">
            <v>https://hana.modakita.com/azd942/avatar/22801420260308112015DRM0IC.jpg</v>
          </cell>
        </row>
        <row r="236">
          <cell r="I236" t="str">
            <v>JBP1E2147001</v>
          </cell>
          <cell r="J236" t="str">
            <v>X123YZ</v>
          </cell>
          <cell r="K236" t="str">
            <v>KPB1</v>
          </cell>
          <cell r="L236">
            <v>354</v>
          </cell>
          <cell r="M236" t="str">
            <v>2026-02-10</v>
          </cell>
          <cell r="N236" t="str">
            <v>2026-03-08</v>
          </cell>
          <cell r="O236" t="str">
            <v>https://hana.modakita.com/azd942/avatar/228014202603081119182JQPCH.jpg</v>
          </cell>
        </row>
        <row r="237">
          <cell r="I237" t="str">
            <v>KF01E1972783</v>
          </cell>
          <cell r="J237" t="str">
            <v>KB2783P</v>
          </cell>
          <cell r="K237" t="str">
            <v>KPB2</v>
          </cell>
          <cell r="L237">
            <v>3494</v>
          </cell>
          <cell r="M237" t="str">
            <v>2025-09-26</v>
          </cell>
          <cell r="N237" t="str">
            <v>2026-03-08</v>
          </cell>
          <cell r="O237" t="str">
            <v>https://hana.modakita.com/azd942/avatar/2649897020260308095553WLPKIK.jpg</v>
          </cell>
        </row>
        <row r="238">
          <cell r="I238" t="str">
            <v>JMH1E1375065</v>
          </cell>
          <cell r="J238" t="str">
            <v>X123YZ</v>
          </cell>
          <cell r="K238" t="str">
            <v>KPB1</v>
          </cell>
          <cell r="L238">
            <v>501</v>
          </cell>
          <cell r="M238" t="str">
            <v>2026-02-06</v>
          </cell>
          <cell r="N238" t="str">
            <v>2026-03-07</v>
          </cell>
          <cell r="O238" t="str">
            <v>https://hana.modakita.com/azd942/avatar/21395178620260307113352ZRQY83.jpg</v>
          </cell>
        </row>
        <row r="239">
          <cell r="I239" t="str">
            <v>JMH2E1648782</v>
          </cell>
          <cell r="J239" t="str">
            <v>KB8772P</v>
          </cell>
          <cell r="K239" t="str">
            <v>KPB2</v>
          </cell>
          <cell r="L239">
            <v>1762</v>
          </cell>
          <cell r="M239" t="str">
            <v>2025-12-13</v>
          </cell>
          <cell r="N239" t="str">
            <v>2026-03-07</v>
          </cell>
          <cell r="O239" t="str">
            <v>https://hana.modakita.com/azd942/avatar/21395178620260307113108ZZSCHW.jpg</v>
          </cell>
        </row>
        <row r="240">
          <cell r="I240" t="str">
            <v>JMK1E1047436</v>
          </cell>
          <cell r="J240" t="str">
            <v>X123YZ</v>
          </cell>
          <cell r="K240" t="str">
            <v>KPB1</v>
          </cell>
          <cell r="L240">
            <v>663</v>
          </cell>
          <cell r="M240" t="str">
            <v>2026-02-11</v>
          </cell>
          <cell r="N240" t="str">
            <v>2026-03-07</v>
          </cell>
          <cell r="O240" t="str">
            <v>https://hana.modakita.com/azd942/avatar/21395178620260307112823MLDUMG.jpg</v>
          </cell>
        </row>
        <row r="241">
          <cell r="I241" t="str">
            <v>JMH1E1375716</v>
          </cell>
          <cell r="J241" t="str">
            <v>X123YZ</v>
          </cell>
          <cell r="K241" t="str">
            <v>KPB1</v>
          </cell>
          <cell r="L241">
            <v>420</v>
          </cell>
          <cell r="M241" t="str">
            <v>2026-02-09</v>
          </cell>
          <cell r="N241" t="str">
            <v>2026-03-07</v>
          </cell>
          <cell r="O241" t="str">
            <v>https://hana.modakita.com/azd942/avatar/21395178620260307112450LXUL3N.jpg</v>
          </cell>
        </row>
        <row r="242">
          <cell r="I242" t="str">
            <v>JMF1E1306676</v>
          </cell>
          <cell r="J242" t="str">
            <v>KB6676P</v>
          </cell>
          <cell r="K242" t="str">
            <v>KPB3</v>
          </cell>
          <cell r="L242">
            <v>3316</v>
          </cell>
          <cell r="M242" t="str">
            <v>2025-09-03</v>
          </cell>
          <cell r="N242" t="str">
            <v>2026-03-07</v>
          </cell>
          <cell r="O242" t="str">
            <v>https://hana.modakita.com/azd942/avatar/21393666120260307100613XCF3IJ.jpg</v>
          </cell>
        </row>
        <row r="243">
          <cell r="I243" t="str">
            <v>KFC1E1226564</v>
          </cell>
          <cell r="J243" t="str">
            <v>KB6564XAA</v>
          </cell>
          <cell r="K243" t="str">
            <v>KPB2</v>
          </cell>
          <cell r="L243">
            <v>3095</v>
          </cell>
          <cell r="M243" t="str">
            <v>2025-12-01</v>
          </cell>
          <cell r="N243" t="str">
            <v>2026-03-06</v>
          </cell>
          <cell r="O243" t="str">
            <v>https://hana.modakita.com/azd942/avatar/2515001020260306132319MXO98R.jpg</v>
          </cell>
        </row>
        <row r="244">
          <cell r="I244" t="str">
            <v>KFC1E1224341</v>
          </cell>
          <cell r="J244" t="str">
            <v>KB4341XAA</v>
          </cell>
          <cell r="K244" t="str">
            <v>KPB2</v>
          </cell>
          <cell r="L244">
            <v>5118</v>
          </cell>
          <cell r="M244" t="str">
            <v>2025-11-27</v>
          </cell>
          <cell r="N244" t="str">
            <v>2026-03-06</v>
          </cell>
          <cell r="O244" t="str">
            <v>https://hana.modakita.com/azd942/avatar/2515001020260306131839SEV8RL.jpg</v>
          </cell>
        </row>
        <row r="245">
          <cell r="I245" t="str">
            <v>JMH2E1609074</v>
          </cell>
          <cell r="J245" t="str">
            <v>KB9074XAA</v>
          </cell>
          <cell r="K245" t="str">
            <v>KPB2</v>
          </cell>
          <cell r="L245">
            <v>888</v>
          </cell>
          <cell r="M245" t="str">
            <v>2025-11-17</v>
          </cell>
          <cell r="N245" t="str">
            <v>2026-03-06</v>
          </cell>
          <cell r="O245" t="str">
            <v>https://hana.modakita.com/azd942/avatar/2515001020260306125933LWLJD8.jpg</v>
          </cell>
        </row>
        <row r="246">
          <cell r="I246" t="str">
            <v>JME1E1928968</v>
          </cell>
          <cell r="J246" t="str">
            <v>KB8968XAA</v>
          </cell>
          <cell r="K246" t="str">
            <v>KPB1</v>
          </cell>
          <cell r="L246">
            <v>53</v>
          </cell>
          <cell r="M246" t="str">
            <v>2026-01-23</v>
          </cell>
          <cell r="N246" t="str">
            <v>2026-03-06</v>
          </cell>
          <cell r="O246" t="str">
            <v>https://hana.modakita.com/azd942/avatar/25150010202603061249052GLWJP.jpg</v>
          </cell>
        </row>
        <row r="247">
          <cell r="I247" t="str">
            <v>JMH1E1346232</v>
          </cell>
          <cell r="J247" t="str">
            <v>KB6233P</v>
          </cell>
          <cell r="K247" t="str">
            <v>KPB1</v>
          </cell>
          <cell r="L247">
            <v>71</v>
          </cell>
          <cell r="M247" t="str">
            <v>2026-01-23</v>
          </cell>
          <cell r="N247" t="str">
            <v>2026-03-06</v>
          </cell>
          <cell r="O247" t="str">
            <v>https://hana.modakita.com/azd942/avatar/2963440120260306111417TJ3L12.jpg</v>
          </cell>
        </row>
        <row r="248">
          <cell r="I248" t="str">
            <v>JMH1E1362578</v>
          </cell>
          <cell r="J248" t="str">
            <v>X123YZ</v>
          </cell>
          <cell r="K248" t="str">
            <v>KPB1</v>
          </cell>
          <cell r="L248">
            <v>213</v>
          </cell>
          <cell r="M248" t="str">
            <v>2026-02-05</v>
          </cell>
          <cell r="N248" t="str">
            <v>2026-03-06</v>
          </cell>
          <cell r="O248" t="str">
            <v>https://hana.modakita.com/azd942/avatar/2963440120260306111241SHQHNT.jpg</v>
          </cell>
        </row>
        <row r="249">
          <cell r="I249" t="str">
            <v>KFE1E1433872</v>
          </cell>
          <cell r="J249" t="str">
            <v>X123YZ</v>
          </cell>
          <cell r="K249" t="str">
            <v>KPB1</v>
          </cell>
          <cell r="L249">
            <v>1004</v>
          </cell>
          <cell r="M249" t="str">
            <v>2026-02-04</v>
          </cell>
          <cell r="N249" t="str">
            <v>2026-03-06</v>
          </cell>
          <cell r="O249" t="str">
            <v>https://hana.modakita.com/azd942/avatar/296344012026030611023320VJMO.jpg</v>
          </cell>
        </row>
        <row r="250">
          <cell r="I250" t="str">
            <v>JMF2E1439832</v>
          </cell>
          <cell r="J250" t="str">
            <v>KB9832XAA</v>
          </cell>
          <cell r="K250" t="str">
            <v>KPB1</v>
          </cell>
          <cell r="L250">
            <v>721</v>
          </cell>
          <cell r="M250" t="str">
            <v>2026-01-26</v>
          </cell>
          <cell r="N250" t="str">
            <v>2026-03-05</v>
          </cell>
          <cell r="O250" t="str">
            <v>https://hana.modakita.com/azd942/avatar/2515001020260305132107ULYE6A.jpg</v>
          </cell>
        </row>
        <row r="251">
          <cell r="I251" t="str">
            <v>JMD1E2047733</v>
          </cell>
          <cell r="J251" t="str">
            <v>KB7733P</v>
          </cell>
          <cell r="K251" t="str">
            <v>KPB3</v>
          </cell>
          <cell r="L251">
            <v>2435</v>
          </cell>
          <cell r="M251" t="str">
            <v>2025-09-10</v>
          </cell>
          <cell r="N251" t="str">
            <v>2026-03-05</v>
          </cell>
          <cell r="O251" t="str">
            <v>https://hana.modakita.com/azd942/avatar/21395178620260305105126T0BO44.jpg</v>
          </cell>
        </row>
        <row r="252">
          <cell r="I252" t="str">
            <v>KFF1E1016377</v>
          </cell>
          <cell r="J252" t="str">
            <v>X123YZ</v>
          </cell>
          <cell r="K252" t="str">
            <v>KPB1</v>
          </cell>
          <cell r="L252">
            <v>815</v>
          </cell>
          <cell r="M252" t="str">
            <v>2026-02-04</v>
          </cell>
          <cell r="N252" t="str">
            <v>2026-03-05</v>
          </cell>
          <cell r="O252" t="str">
            <v>https://hana.modakita.com/azd942/avatar/213951786202603051049485XFZYI.jpg</v>
          </cell>
        </row>
        <row r="253">
          <cell r="I253" t="str">
            <v>JMC1E1749853</v>
          </cell>
          <cell r="J253" t="str">
            <v>KB9853P</v>
          </cell>
          <cell r="K253" t="str">
            <v>KPB3</v>
          </cell>
          <cell r="L253">
            <v>4773</v>
          </cell>
          <cell r="M253" t="str">
            <v>2025-10-27</v>
          </cell>
          <cell r="N253" t="str">
            <v>2026-03-05</v>
          </cell>
          <cell r="O253" t="str">
            <v>https://hana.modakita.com/azd942/avatar/21450490120260305104823AUU2OM.jpg</v>
          </cell>
        </row>
        <row r="254">
          <cell r="I254" t="str">
            <v>JME1E1936543</v>
          </cell>
          <cell r="J254" t="str">
            <v>X123YZ</v>
          </cell>
          <cell r="K254" t="str">
            <v>KPB1</v>
          </cell>
          <cell r="L254">
            <v>183</v>
          </cell>
          <cell r="M254" t="str">
            <v>2026-02-06</v>
          </cell>
          <cell r="N254" t="str">
            <v>2026-03-05</v>
          </cell>
          <cell r="O254" t="str">
            <v>https://hana.modakita.com/azd942/avatar/2963440120260305103858FMBV7T.jpg</v>
          </cell>
        </row>
        <row r="255">
          <cell r="I255" t="str">
            <v>KFB2E1076228</v>
          </cell>
          <cell r="J255" t="str">
            <v>KB2422XY</v>
          </cell>
          <cell r="K255" t="str">
            <v>KPB3</v>
          </cell>
          <cell r="L255">
            <v>11667</v>
          </cell>
          <cell r="M255" t="str">
            <v>2025-08-19</v>
          </cell>
          <cell r="N255" t="str">
            <v>2026-03-05</v>
          </cell>
          <cell r="O255" t="str">
            <v>https://hana.modakita.com/azd942/avatar/29634401202603051035153XC2EG.jpg</v>
          </cell>
        </row>
        <row r="256">
          <cell r="I256" t="str">
            <v>JMD1E1951462</v>
          </cell>
          <cell r="J256" t="str">
            <v>KB1462P</v>
          </cell>
          <cell r="K256" t="str">
            <v>KPB3</v>
          </cell>
          <cell r="L256">
            <v>1462</v>
          </cell>
          <cell r="M256" t="str">
            <v>2025-07-11</v>
          </cell>
          <cell r="N256" t="str">
            <v>2026-03-05</v>
          </cell>
          <cell r="O256" t="str">
            <v>https://hana.modakita.com/azd942/avatar/2963440120260305102949QSAMF7.jpg</v>
          </cell>
        </row>
        <row r="257">
          <cell r="I257" t="str">
            <v>JMF2E1602635</v>
          </cell>
          <cell r="J257" t="str">
            <v>X123YZ</v>
          </cell>
          <cell r="K257" t="str">
            <v>KPB3</v>
          </cell>
          <cell r="L257">
            <v>5593</v>
          </cell>
          <cell r="M257" t="str">
            <v>2025-11-05</v>
          </cell>
          <cell r="N257" t="str">
            <v>2026-03-04</v>
          </cell>
          <cell r="O257" t="str">
            <v>https://hana.modakita.com/azd942/avatar/21395178620260304115606PMHG8P.jpg</v>
          </cell>
        </row>
        <row r="258">
          <cell r="I258" t="str">
            <v>KFC1E1188189</v>
          </cell>
          <cell r="J258" t="str">
            <v>X123YZ</v>
          </cell>
          <cell r="K258" t="str">
            <v>KPB2</v>
          </cell>
          <cell r="L258">
            <v>2695</v>
          </cell>
          <cell r="M258" t="str">
            <v>2025-09-13</v>
          </cell>
          <cell r="N258" t="str">
            <v>2026-03-04</v>
          </cell>
          <cell r="O258" t="str">
            <v>https://hana.modakita.com/azd942/avatar/29634401202603041117384VIBRP.jpg</v>
          </cell>
        </row>
        <row r="259">
          <cell r="I259" t="str">
            <v>KFE1E1449694</v>
          </cell>
          <cell r="J259" t="str">
            <v>KB9694XAA</v>
          </cell>
          <cell r="K259" t="str">
            <v>KPB1</v>
          </cell>
          <cell r="L259">
            <v>1158</v>
          </cell>
          <cell r="M259" t="str">
            <v>2026-02-12</v>
          </cell>
          <cell r="N259" t="str">
            <v>2026-03-03</v>
          </cell>
          <cell r="O259" t="str">
            <v>https://hana.modakita.com/azd942/avatar/2515001020260303130709THMMZQ.jpg</v>
          </cell>
        </row>
        <row r="260">
          <cell r="I260" t="str">
            <v>JMF1E1380315</v>
          </cell>
          <cell r="J260" t="str">
            <v>X123YZ</v>
          </cell>
          <cell r="K260" t="str">
            <v>KPB2</v>
          </cell>
          <cell r="L260">
            <v>1319</v>
          </cell>
          <cell r="M260" t="str">
            <v>2026-02-05</v>
          </cell>
          <cell r="N260" t="str">
            <v>2026-03-03</v>
          </cell>
          <cell r="O260" t="str">
            <v>https://hana.modakita.com/azd942/avatar/21376258920260303123159SSGBPW.jpg</v>
          </cell>
        </row>
        <row r="261">
          <cell r="I261" t="str">
            <v>JMH2E1716110</v>
          </cell>
          <cell r="J261" t="str">
            <v>X123YZ</v>
          </cell>
          <cell r="K261" t="str">
            <v>KPB2</v>
          </cell>
          <cell r="L261">
            <v>1519</v>
          </cell>
          <cell r="M261" t="str">
            <v>2026-02-07</v>
          </cell>
          <cell r="N261" t="str">
            <v>2026-03-03</v>
          </cell>
          <cell r="O261" t="str">
            <v>https://hana.modakita.com/azd942/avatar/21376258920260303123043YDUDAE.jpg</v>
          </cell>
        </row>
        <row r="262">
          <cell r="I262" t="str">
            <v>JMC1E1763635</v>
          </cell>
          <cell r="J262" t="str">
            <v>KB4029PAK</v>
          </cell>
          <cell r="K262" t="str">
            <v>KPB2</v>
          </cell>
          <cell r="L262">
            <v>2565</v>
          </cell>
          <cell r="M262" t="str">
            <v>2025-11-17</v>
          </cell>
          <cell r="N262" t="str">
            <v>2026-03-03</v>
          </cell>
          <cell r="O262" t="str">
            <v>https://hana.modakita.com/azd942/avatar/296344012026030312075888OMFY.jpg</v>
          </cell>
        </row>
        <row r="263">
          <cell r="I263" t="str">
            <v>JMH2E1621314</v>
          </cell>
          <cell r="J263" t="str">
            <v>KB4864PAK</v>
          </cell>
          <cell r="K263" t="str">
            <v>KPB2</v>
          </cell>
          <cell r="L263">
            <v>2294</v>
          </cell>
          <cell r="M263" t="str">
            <v>2025-12-02</v>
          </cell>
          <cell r="N263" t="str">
            <v>2026-03-03</v>
          </cell>
          <cell r="O263" t="str">
            <v>https://hana.modakita.com/azd942/avatar/2963440120260303120630IXZM7A.jpg</v>
          </cell>
        </row>
        <row r="264">
          <cell r="I264" t="str">
            <v>JMJ1E1025978</v>
          </cell>
          <cell r="J264" t="str">
            <v>KB5978XAA</v>
          </cell>
          <cell r="K264" t="str">
            <v>KPB1</v>
          </cell>
          <cell r="L264">
            <v>496</v>
          </cell>
          <cell r="M264" t="str">
            <v>2026-02-05</v>
          </cell>
          <cell r="N264" t="str">
            <v>2026-03-03</v>
          </cell>
          <cell r="O264" t="str">
            <v>https://hana.modakita.com/azd942/avatar/2515001020260303112334DPEGAY.jpg</v>
          </cell>
        </row>
        <row r="265">
          <cell r="I265" t="str">
            <v>JBK1E2163835</v>
          </cell>
          <cell r="J265" t="str">
            <v>KB3835XAA</v>
          </cell>
          <cell r="K265" t="str">
            <v>KPB1</v>
          </cell>
          <cell r="L265">
            <v>852</v>
          </cell>
          <cell r="M265" t="str">
            <v>2026-02-24</v>
          </cell>
          <cell r="N265" t="str">
            <v>2026-03-03</v>
          </cell>
          <cell r="O265" t="str">
            <v>https://hana.modakita.com/azd942/avatar/2515001020260303111321HCGVLY.jpg</v>
          </cell>
        </row>
        <row r="266">
          <cell r="I266" t="str">
            <v>KFA1E1295805</v>
          </cell>
          <cell r="J266" t="str">
            <v>X123YZ</v>
          </cell>
          <cell r="K266" t="str">
            <v>KPB3</v>
          </cell>
          <cell r="L266">
            <v>2298</v>
          </cell>
          <cell r="M266" t="str">
            <v>2025-03-18</v>
          </cell>
          <cell r="N266" t="str">
            <v>2026-03-03</v>
          </cell>
          <cell r="O266" t="str">
            <v>https://hana.modakita.com/azd942/avatar/25150010202603030907003WJFXY.jpg</v>
          </cell>
        </row>
        <row r="267">
          <cell r="I267" t="str">
            <v>JME1E1636179</v>
          </cell>
          <cell r="J267" t="str">
            <v>KB2586PAJ</v>
          </cell>
          <cell r="K267" t="str">
            <v>KPB3</v>
          </cell>
          <cell r="L267">
            <v>6517</v>
          </cell>
          <cell r="M267" t="str">
            <v>2025-07-19</v>
          </cell>
          <cell r="N267" t="str">
            <v>2026-03-03</v>
          </cell>
          <cell r="O267" t="str">
            <v>https://hana.modakita.com/azd942/avatar/2515001020260303090500E3QFYY.jpg</v>
          </cell>
        </row>
        <row r="268">
          <cell r="I268" t="str">
            <v>JMH2E1735812</v>
          </cell>
          <cell r="J268" t="str">
            <v>KB5812XAA</v>
          </cell>
          <cell r="K268" t="str">
            <v>KPB1</v>
          </cell>
          <cell r="L268">
            <v>437</v>
          </cell>
          <cell r="M268" t="str">
            <v>2026-02-12</v>
          </cell>
          <cell r="N268" t="str">
            <v>2026-03-03</v>
          </cell>
          <cell r="O268" t="str">
            <v>https://hana.modakita.com/azd942/avatar/2515001020260303083636WEHLKJ.jpg</v>
          </cell>
        </row>
        <row r="269">
          <cell r="I269" t="str">
            <v>JMH2E1744404</v>
          </cell>
          <cell r="J269" t="str">
            <v>KB4404XAA</v>
          </cell>
          <cell r="K269" t="str">
            <v>KPB1</v>
          </cell>
          <cell r="L269">
            <v>206</v>
          </cell>
          <cell r="M269" t="str">
            <v>2026-02-12</v>
          </cell>
          <cell r="N269" t="str">
            <v>2026-03-02</v>
          </cell>
          <cell r="O269" t="str">
            <v>https://hana.modakita.com/azd942/avatar/2515001020260302131038EWBMJQ.jpg</v>
          </cell>
        </row>
        <row r="270">
          <cell r="I270" t="str">
            <v>KFE1E1443680</v>
          </cell>
          <cell r="J270" t="str">
            <v>KB3680XAA</v>
          </cell>
          <cell r="K270" t="str">
            <v>KPB1</v>
          </cell>
          <cell r="L270">
            <v>918</v>
          </cell>
          <cell r="M270" t="str">
            <v>2026-02-16</v>
          </cell>
          <cell r="N270" t="str">
            <v>2026-03-02</v>
          </cell>
          <cell r="O270" t="str">
            <v>https://hana.modakita.com/azd942/avatar/2515001020260302130610JSAQEY.jpg</v>
          </cell>
        </row>
        <row r="271">
          <cell r="I271" t="str">
            <v>JME1E1919471</v>
          </cell>
          <cell r="J271" t="str">
            <v>KB9471XAA</v>
          </cell>
          <cell r="K271" t="str">
            <v>KPB1</v>
          </cell>
          <cell r="L271">
            <v>144</v>
          </cell>
          <cell r="M271" t="str">
            <v>2026-01-26</v>
          </cell>
          <cell r="N271" t="str">
            <v>2026-03-02</v>
          </cell>
          <cell r="O271" t="str">
            <v>https://hana.modakita.com/azd942/avatar/25150010202603021302241QY528.jpg</v>
          </cell>
        </row>
        <row r="272">
          <cell r="I272" t="str">
            <v>JME1E1940465</v>
          </cell>
          <cell r="J272" t="str">
            <v>KB0465XAA</v>
          </cell>
          <cell r="K272" t="str">
            <v>KPB1</v>
          </cell>
          <cell r="L272">
            <v>1186</v>
          </cell>
          <cell r="M272" t="str">
            <v>2026-01-27</v>
          </cell>
          <cell r="N272" t="str">
            <v>2026-03-02</v>
          </cell>
          <cell r="O272" t="str">
            <v>https://hana.modakita.com/azd942/avatar/21502451420260302102005ESFMCR.jpg</v>
          </cell>
        </row>
        <row r="273">
          <cell r="I273" t="str">
            <v>JMC1E1583516</v>
          </cell>
          <cell r="J273" t="str">
            <v>KB3516XX</v>
          </cell>
          <cell r="K273" t="str">
            <v>KPB4</v>
          </cell>
          <cell r="L273">
            <v>7082</v>
          </cell>
          <cell r="M273" t="str">
            <v>2025-03-15</v>
          </cell>
          <cell r="N273" t="str">
            <v>2026-03-02</v>
          </cell>
          <cell r="O273" t="str">
            <v>https://hana.modakita.com/azd942/avatar/215024514202603021012281MCUJZ.jpg</v>
          </cell>
        </row>
        <row r="274">
          <cell r="I274" t="str">
            <v>JMC1E1738052</v>
          </cell>
          <cell r="J274" t="str">
            <v>KB2271PAK</v>
          </cell>
          <cell r="K274" t="str">
            <v>KPB3</v>
          </cell>
          <cell r="L274">
            <v>1404</v>
          </cell>
          <cell r="M274" t="str">
            <v>2025-10-18</v>
          </cell>
          <cell r="N274" t="str">
            <v>2026-03-09</v>
          </cell>
          <cell r="O274" t="str">
            <v>https://hana.modakita.com/azd942/avatar/21393666120260309121407NF22WV.jpg</v>
          </cell>
        </row>
        <row r="275">
          <cell r="I275" t="str">
            <v>KFD1E1243294</v>
          </cell>
          <cell r="J275" t="str">
            <v>X123YZ</v>
          </cell>
          <cell r="K275" t="str">
            <v>KPB1</v>
          </cell>
          <cell r="L275">
            <v>444</v>
          </cell>
          <cell r="M275" t="str">
            <v>2026-02-07</v>
          </cell>
          <cell r="N275" t="str">
            <v>2026-03-09</v>
          </cell>
          <cell r="O275" t="str">
            <v>https://hana.modakita.com/azd942/avatar/21395178620260309121212AQVRQL.jpg</v>
          </cell>
        </row>
        <row r="276">
          <cell r="I276" t="str">
            <v>JMH1E1375496</v>
          </cell>
          <cell r="J276" t="str">
            <v>X123YZ</v>
          </cell>
          <cell r="K276" t="str">
            <v>KPB1</v>
          </cell>
          <cell r="L276">
            <v>994</v>
          </cell>
          <cell r="M276" t="str">
            <v>2026-02-09</v>
          </cell>
          <cell r="N276" t="str">
            <v>2026-03-09</v>
          </cell>
          <cell r="O276" t="str">
            <v>https://hana.modakita.com/azd942/avatar/21395178620260309121004WK3Y2P.jpg</v>
          </cell>
        </row>
        <row r="277">
          <cell r="I277" t="str">
            <v>JMH1E1367370</v>
          </cell>
          <cell r="J277" t="str">
            <v>X123YZ</v>
          </cell>
          <cell r="K277" t="str">
            <v>KPB1</v>
          </cell>
          <cell r="L277">
            <v>71</v>
          </cell>
          <cell r="M277" t="str">
            <v>2026-02-14</v>
          </cell>
          <cell r="N277" t="str">
            <v>2026-03-09</v>
          </cell>
          <cell r="O277" t="str">
            <v>https://hana.modakita.com/azd942/avatar/21395178620260309120805X2K6G5.jpg</v>
          </cell>
        </row>
        <row r="278">
          <cell r="I278" t="str">
            <v>JBP1E2151580</v>
          </cell>
          <cell r="J278" t="str">
            <v>KB1580P</v>
          </cell>
          <cell r="K278" t="str">
            <v>KPB1</v>
          </cell>
          <cell r="L278">
            <v>146</v>
          </cell>
          <cell r="M278" t="str">
            <v>2026-02-23</v>
          </cell>
          <cell r="N278" t="str">
            <v>2026-03-09</v>
          </cell>
          <cell r="O278" t="str">
            <v>https://hana.modakita.com/azd942/avatar/2963440120260309120442ZGYGQ2.jpg</v>
          </cell>
        </row>
        <row r="279">
          <cell r="I279" t="str">
            <v>KC04E1041089</v>
          </cell>
          <cell r="J279" t="str">
            <v>X123YZ</v>
          </cell>
          <cell r="K279" t="str">
            <v>KPB1</v>
          </cell>
          <cell r="L279">
            <v>201</v>
          </cell>
          <cell r="M279" t="str">
            <v>2026-02-09</v>
          </cell>
          <cell r="N279" t="str">
            <v>2026-03-09</v>
          </cell>
          <cell r="O279" t="str">
            <v>https://hana.modakita.com/azd942/avatar/2963440120260309120311GZLSGW.jpg</v>
          </cell>
        </row>
        <row r="280">
          <cell r="I280" t="str">
            <v>JMJ1E1029133</v>
          </cell>
          <cell r="J280" t="str">
            <v>X123YZ</v>
          </cell>
          <cell r="K280" t="str">
            <v>KPB1</v>
          </cell>
          <cell r="L280">
            <v>698</v>
          </cell>
          <cell r="M280" t="str">
            <v>2026-02-05</v>
          </cell>
          <cell r="N280" t="str">
            <v>2026-03-09</v>
          </cell>
          <cell r="O280" t="str">
            <v>https://hana.modakita.com/azd942/avatar/2963440120260309120218YEBHXR.jpg</v>
          </cell>
        </row>
        <row r="281">
          <cell r="I281" t="str">
            <v>JMK1E1053121</v>
          </cell>
          <cell r="J281" t="str">
            <v>KB3121P</v>
          </cell>
          <cell r="K281" t="str">
            <v>KPB1</v>
          </cell>
          <cell r="L281">
            <v>494</v>
          </cell>
          <cell r="M281" t="str">
            <v>2026-02-19</v>
          </cell>
          <cell r="N281" t="str">
            <v>2026-03-09</v>
          </cell>
          <cell r="O281" t="str">
            <v>https://hana.modakita.com/azd942/avatar/2963440120260309120137ALR2UU.jpg</v>
          </cell>
        </row>
        <row r="282">
          <cell r="I282" t="str">
            <v>KFE1E1450982</v>
          </cell>
          <cell r="J282" t="str">
            <v>KB0982XAA</v>
          </cell>
          <cell r="K282" t="str">
            <v>KPB1</v>
          </cell>
          <cell r="L282">
            <v>543</v>
          </cell>
          <cell r="M282" t="str">
            <v>2026-02-18</v>
          </cell>
          <cell r="N282" t="str">
            <v>2026-03-10</v>
          </cell>
          <cell r="O282" t="str">
            <v>https://hana.modakita.com/azd942/avatar/2515001020260310135624TUMELS.jpg</v>
          </cell>
        </row>
        <row r="283">
          <cell r="I283" t="str">
            <v>JMF1E1388308</v>
          </cell>
          <cell r="J283" t="str">
            <v>KB8308P</v>
          </cell>
          <cell r="K283" t="str">
            <v>KPB1</v>
          </cell>
          <cell r="L283">
            <v>482</v>
          </cell>
          <cell r="M283" t="str">
            <v>2026-02-20</v>
          </cell>
          <cell r="N283" t="str">
            <v>2026-03-10</v>
          </cell>
          <cell r="O283" t="str">
            <v>https://hana.modakita.com/azd942/avatar/213951786202603101241305C9JLV.jpg</v>
          </cell>
        </row>
        <row r="284">
          <cell r="I284" t="str">
            <v>JMC1E1625327</v>
          </cell>
          <cell r="J284" t="str">
            <v>KB2594PAI</v>
          </cell>
          <cell r="K284" t="str">
            <v>KPB4</v>
          </cell>
          <cell r="L284">
            <v>5346</v>
          </cell>
          <cell r="M284" t="str">
            <v>2025-05-18</v>
          </cell>
          <cell r="N284" t="str">
            <v>2026-03-10</v>
          </cell>
          <cell r="O284" t="str">
            <v>https://hana.modakita.com/azd942/avatar/212221685202603101239393JI9VI.jpg</v>
          </cell>
        </row>
        <row r="285">
          <cell r="I285" t="str">
            <v>KFE1E1456768</v>
          </cell>
          <cell r="J285" t="str">
            <v>X123YZ</v>
          </cell>
          <cell r="K285" t="str">
            <v>KPB1</v>
          </cell>
          <cell r="L285">
            <v>93</v>
          </cell>
          <cell r="M285" t="str">
            <v>2026-03-05</v>
          </cell>
          <cell r="N285" t="str">
            <v>2026-03-10</v>
          </cell>
          <cell r="O285" t="str">
            <v>https://hana.modakita.com/azd942/avatar/21395178620260310123920WZWZ6S.jpg</v>
          </cell>
        </row>
        <row r="286">
          <cell r="I286" t="str">
            <v>JMH1E1378198</v>
          </cell>
          <cell r="J286" t="str">
            <v>KB8198P</v>
          </cell>
          <cell r="K286" t="str">
            <v>KPB1</v>
          </cell>
          <cell r="L286">
            <v>246</v>
          </cell>
          <cell r="M286" t="str">
            <v>2026-02-21</v>
          </cell>
          <cell r="N286" t="str">
            <v>2026-03-10</v>
          </cell>
          <cell r="O286" t="str">
            <v>https://hana.modakita.com/azd942/avatar/21395178620260310123547QDZSEM.jpg</v>
          </cell>
        </row>
        <row r="287">
          <cell r="I287" t="str">
            <v>JMH2E1730179</v>
          </cell>
          <cell r="J287" t="str">
            <v>X123YZ</v>
          </cell>
          <cell r="K287" t="str">
            <v>KPB1</v>
          </cell>
          <cell r="L287">
            <v>962</v>
          </cell>
          <cell r="M287" t="str">
            <v>2026-02-19</v>
          </cell>
          <cell r="N287" t="str">
            <v>2026-03-10</v>
          </cell>
          <cell r="O287" t="str">
            <v>https://hana.modakita.com/azd942/avatar/2963440120260310123239LQ89OY.jpg</v>
          </cell>
        </row>
        <row r="288">
          <cell r="I288" t="str">
            <v>JMJ1E1035595</v>
          </cell>
          <cell r="J288" t="str">
            <v>X123YZ</v>
          </cell>
          <cell r="K288" t="str">
            <v>KPB1</v>
          </cell>
          <cell r="L288">
            <v>590</v>
          </cell>
          <cell r="M288" t="str">
            <v>2026-02-19</v>
          </cell>
          <cell r="N288" t="str">
            <v>2026-03-10</v>
          </cell>
          <cell r="O288" t="str">
            <v>https://hana.modakita.com/azd942/avatar/2963440120260310122540KOEAJA.jpg</v>
          </cell>
        </row>
        <row r="289">
          <cell r="I289" t="str">
            <v>JMH1E1359289</v>
          </cell>
          <cell r="J289" t="str">
            <v>X123YZ</v>
          </cell>
          <cell r="K289" t="str">
            <v>KPB1</v>
          </cell>
          <cell r="L289">
            <v>371</v>
          </cell>
          <cell r="M289" t="str">
            <v>2026-02-05</v>
          </cell>
          <cell r="N289" t="str">
            <v>2026-03-10</v>
          </cell>
          <cell r="O289" t="str">
            <v>https://hana.modakita.com/azd942/avatar/2963440120260310122359EBHYD2.jpg</v>
          </cell>
        </row>
        <row r="290">
          <cell r="I290" t="str">
            <v>JMH1E1327292</v>
          </cell>
          <cell r="J290" t="str">
            <v>KB7292XAA</v>
          </cell>
          <cell r="K290" t="str">
            <v>KPB2</v>
          </cell>
          <cell r="L290">
            <v>2286</v>
          </cell>
          <cell r="M290" t="str">
            <v>2025-12-18</v>
          </cell>
          <cell r="N290" t="str">
            <v>2026-03-11</v>
          </cell>
          <cell r="O290" t="str">
            <v>https://hana.modakita.com/azd942/avatar/2649897020260311132620E8CJPM.jpg</v>
          </cell>
        </row>
        <row r="291">
          <cell r="I291" t="str">
            <v>JBP1E2149000</v>
          </cell>
          <cell r="J291" t="str">
            <v>X123YZ</v>
          </cell>
          <cell r="K291" t="str">
            <v>KPB1</v>
          </cell>
          <cell r="L291">
            <v>926</v>
          </cell>
          <cell r="M291" t="str">
            <v>2026-02-16</v>
          </cell>
          <cell r="N291" t="str">
            <v>2026-03-11</v>
          </cell>
          <cell r="O291" t="str">
            <v>https://hana.modakita.com/azd942/avatar/21395178620260311120540GJSWAH.jpg</v>
          </cell>
        </row>
        <row r="292">
          <cell r="I292" t="str">
            <v>KC04E1043444</v>
          </cell>
          <cell r="J292" t="str">
            <v>KB3412P</v>
          </cell>
          <cell r="K292" t="str">
            <v>KPB1</v>
          </cell>
          <cell r="L292">
            <v>142</v>
          </cell>
          <cell r="M292" t="str">
            <v>2026-03-03</v>
          </cell>
          <cell r="N292" t="str">
            <v>2026-03-11</v>
          </cell>
          <cell r="O292" t="str">
            <v>https://hana.modakita.com/azd942/avatar/21395178620260311120420AWSQLZ.jpg</v>
          </cell>
        </row>
        <row r="293">
          <cell r="I293" t="str">
            <v>KFE1E1452619</v>
          </cell>
          <cell r="J293" t="str">
            <v>X123YZ</v>
          </cell>
          <cell r="K293" t="str">
            <v>KPB1</v>
          </cell>
          <cell r="L293">
            <v>320</v>
          </cell>
          <cell r="M293" t="str">
            <v>2026-02-16</v>
          </cell>
          <cell r="N293" t="str">
            <v>2026-03-11</v>
          </cell>
          <cell r="O293" t="str">
            <v>https://hana.modakita.com/azd942/avatar/2963440120260311115930RYENK9.jpg</v>
          </cell>
        </row>
        <row r="294">
          <cell r="I294" t="str">
            <v>KFE3E1099224</v>
          </cell>
          <cell r="J294" t="str">
            <v>KB9224PAL</v>
          </cell>
          <cell r="K294" t="str">
            <v>KPB1</v>
          </cell>
          <cell r="L294">
            <v>311</v>
          </cell>
          <cell r="M294" t="str">
            <v>2026-02-24</v>
          </cell>
          <cell r="N294" t="str">
            <v>2026-03-11</v>
          </cell>
          <cell r="O294" t="str">
            <v>https://hana.modakita.com/azd942/avatar/2963440120260311115840HQT4BE.jpg</v>
          </cell>
        </row>
        <row r="295">
          <cell r="I295" t="str">
            <v>KC04E1040137</v>
          </cell>
          <cell r="J295" t="str">
            <v>KB0137PAL</v>
          </cell>
          <cell r="K295" t="str">
            <v>KPB2</v>
          </cell>
          <cell r="L295">
            <v>839</v>
          </cell>
          <cell r="M295" t="str">
            <v>2026-02-20</v>
          </cell>
          <cell r="N295" t="str">
            <v>2026-03-11</v>
          </cell>
          <cell r="O295" t="str">
            <v>https://hana.modakita.com/azd942/avatar/2963440120260311115731WBLQZ8.jpg</v>
          </cell>
        </row>
        <row r="296">
          <cell r="I296" t="str">
            <v>KC04E1042218</v>
          </cell>
          <cell r="J296" t="str">
            <v>KB4562PAL</v>
          </cell>
          <cell r="K296" t="str">
            <v>KPB1</v>
          </cell>
          <cell r="L296">
            <v>1091</v>
          </cell>
          <cell r="M296" t="str">
            <v>2026-02-16</v>
          </cell>
          <cell r="N296" t="str">
            <v>2026-03-11</v>
          </cell>
          <cell r="O296" t="str">
            <v>https://hana.modakita.com/azd942/avatar/2963440120260311115608UCNCXY.jpg</v>
          </cell>
        </row>
        <row r="297">
          <cell r="I297" t="str">
            <v>KFF2E1008266</v>
          </cell>
          <cell r="J297" t="str">
            <v>X123YZ</v>
          </cell>
          <cell r="K297" t="str">
            <v>KPB1</v>
          </cell>
          <cell r="L297">
            <v>565</v>
          </cell>
          <cell r="M297" t="str">
            <v>2026-02-03</v>
          </cell>
          <cell r="N297" t="str">
            <v>2026-03-11</v>
          </cell>
          <cell r="O297" t="str">
            <v>https://hana.modakita.com/azd942/avatar/2963440120260311115516T1QVHL.jpg</v>
          </cell>
        </row>
        <row r="298">
          <cell r="I298" t="str">
            <v>JBK3E1629642</v>
          </cell>
          <cell r="J298" t="str">
            <v>KB9642P</v>
          </cell>
          <cell r="K298" t="str">
            <v>KPB1</v>
          </cell>
          <cell r="L298">
            <v>55</v>
          </cell>
          <cell r="M298" t="str">
            <v>2026-03-07</v>
          </cell>
          <cell r="N298" t="str">
            <v>2026-03-11</v>
          </cell>
          <cell r="O298" t="str">
            <v>https://hana.modakita.com/azd942/avatar/2963440120260311115336OTSFJU.jpg</v>
          </cell>
        </row>
        <row r="299">
          <cell r="I299" t="str">
            <v>JBP1E2132954</v>
          </cell>
          <cell r="J299" t="str">
            <v>X123YZ</v>
          </cell>
          <cell r="K299" t="str">
            <v>KPB4</v>
          </cell>
          <cell r="L299">
            <v>3035</v>
          </cell>
          <cell r="M299" t="str">
            <v>2025-11-13</v>
          </cell>
          <cell r="N299" t="str">
            <v>2026-03-11</v>
          </cell>
          <cell r="O299" t="str">
            <v>https://hana.modakita.com/azd942/avatar/21393666120260311114737UTRENO.jpg</v>
          </cell>
        </row>
        <row r="300">
          <cell r="I300" t="str">
            <v>KFA1E1352930</v>
          </cell>
          <cell r="J300" t="str">
            <v>KB2930XAA</v>
          </cell>
          <cell r="K300" t="str">
            <v>KPB1</v>
          </cell>
          <cell r="L300">
            <v>286</v>
          </cell>
          <cell r="M300" t="str">
            <v>2026-02-13</v>
          </cell>
          <cell r="N300" t="str">
            <v>2026-03-11</v>
          </cell>
          <cell r="O300" t="str">
            <v>https://hana.modakita.com/azd942/avatar/2515001020260311102355OKCNVH.jpg</v>
          </cell>
        </row>
        <row r="301">
          <cell r="I301" t="str">
            <v>JMH2E1717593</v>
          </cell>
          <cell r="J301" t="str">
            <v>KB7593XAA</v>
          </cell>
          <cell r="K301" t="str">
            <v>KPB1</v>
          </cell>
          <cell r="L301">
            <v>124</v>
          </cell>
          <cell r="M301" t="str">
            <v>2026-02-06</v>
          </cell>
          <cell r="N301" t="str">
            <v>2026-03-11</v>
          </cell>
          <cell r="O301" t="str">
            <v>https://hana.modakita.com/azd942/avatar/2515001020260311102303QYNATU.jpg</v>
          </cell>
        </row>
        <row r="302">
          <cell r="I302" t="str">
            <v>JMH2E1729644</v>
          </cell>
          <cell r="J302" t="str">
            <v>KB9644XXA</v>
          </cell>
          <cell r="K302" t="str">
            <v>KPB1</v>
          </cell>
          <cell r="L302">
            <v>579</v>
          </cell>
          <cell r="M302" t="str">
            <v>2026-02-16</v>
          </cell>
          <cell r="N302" t="str">
            <v>2026-03-11</v>
          </cell>
          <cell r="O302" t="str">
            <v>https://hana.modakita.com/azd942/avatar/2515001020260311102119D8JUJO.jpg</v>
          </cell>
        </row>
        <row r="303">
          <cell r="I303" t="str">
            <v>JMJ1E1030679</v>
          </cell>
          <cell r="J303" t="str">
            <v>KB0679XAA</v>
          </cell>
          <cell r="K303" t="str">
            <v>KPB1</v>
          </cell>
          <cell r="L303">
            <v>772</v>
          </cell>
          <cell r="M303" t="str">
            <v>2026-02-19</v>
          </cell>
          <cell r="N303" t="str">
            <v>2026-03-11</v>
          </cell>
          <cell r="O303" t="str">
            <v>https://hana.modakita.com/azd942/avatar/2515001020260311083538RFG37I.jpg</v>
          </cell>
        </row>
        <row r="304">
          <cell r="I304" t="str">
            <v>JMF1E1326880</v>
          </cell>
          <cell r="J304" t="str">
            <v>KB2149PAL</v>
          </cell>
          <cell r="K304" t="str">
            <v>KPB2</v>
          </cell>
          <cell r="L304">
            <v>1693</v>
          </cell>
          <cell r="M304" t="str">
            <v>2026-01-05</v>
          </cell>
          <cell r="N304" t="str">
            <v>2026-03-11</v>
          </cell>
          <cell r="O304" t="str">
            <v>https://hana.modakita.com/azd942/avatar/2649897020260311082158CGQJAR.jpg</v>
          </cell>
        </row>
        <row r="305">
          <cell r="I305" t="str">
            <v>KFE3E1061640</v>
          </cell>
          <cell r="J305" t="str">
            <v>KB1640XAA</v>
          </cell>
          <cell r="K305" t="str">
            <v>KPB2</v>
          </cell>
          <cell r="L305">
            <v>2986</v>
          </cell>
          <cell r="M305" t="str">
            <v>2025-09-28</v>
          </cell>
          <cell r="N305" t="str">
            <v>2026-03-12</v>
          </cell>
          <cell r="O305" t="str">
            <v>https://hana.modakita.com/azd942/avatar/2649897020260312134324GMIVMI.jpg</v>
          </cell>
        </row>
        <row r="306">
          <cell r="I306" t="str">
            <v>JME1E1966590</v>
          </cell>
          <cell r="J306" t="str">
            <v>KB6590XAA</v>
          </cell>
          <cell r="K306" t="str">
            <v>KPB1</v>
          </cell>
          <cell r="L306">
            <v>567</v>
          </cell>
          <cell r="M306" t="str">
            <v>2026-02-12</v>
          </cell>
          <cell r="N306" t="str">
            <v>2026-03-12</v>
          </cell>
          <cell r="O306" t="str">
            <v>https://hana.modakita.com/azd942/avatar/2515001020260312133737IZUH6I.jpg</v>
          </cell>
        </row>
        <row r="307">
          <cell r="I307" t="str">
            <v>KFA1E1357123</v>
          </cell>
          <cell r="J307" t="str">
            <v>KB7123XAA</v>
          </cell>
          <cell r="K307" t="str">
            <v>KPB1</v>
          </cell>
          <cell r="L307">
            <v>468</v>
          </cell>
          <cell r="M307" t="str">
            <v>2026-02-18</v>
          </cell>
          <cell r="N307" t="str">
            <v>2026-03-12</v>
          </cell>
          <cell r="O307" t="str">
            <v>https://hana.modakita.com/azd942/avatar/2515001020260312131810NSECXD.jpg</v>
          </cell>
        </row>
        <row r="308">
          <cell r="I308" t="str">
            <v>KFE1E1447373</v>
          </cell>
          <cell r="J308" t="str">
            <v>KB7373XAA</v>
          </cell>
          <cell r="K308" t="str">
            <v>KPB1</v>
          </cell>
          <cell r="L308">
            <v>186</v>
          </cell>
          <cell r="M308" t="str">
            <v>2026-02-14</v>
          </cell>
          <cell r="N308" t="str">
            <v>2026-03-12</v>
          </cell>
          <cell r="O308" t="str">
            <v>https://hana.modakita.com/azd942/avatar/2515001020260312131314YH7EWU.jpg</v>
          </cell>
        </row>
        <row r="309">
          <cell r="I309" t="str">
            <v>JMK1E1047335</v>
          </cell>
          <cell r="J309" t="str">
            <v>KB7335XAA</v>
          </cell>
          <cell r="K309" t="str">
            <v>KPB1</v>
          </cell>
          <cell r="L309">
            <v>293</v>
          </cell>
          <cell r="M309" t="str">
            <v>2026-02-18</v>
          </cell>
          <cell r="N309" t="str">
            <v>2026-03-12</v>
          </cell>
          <cell r="O309" t="str">
            <v>https://hana.modakita.com/azd942/avatar/26498970202603121309236XPKZJ.jpg</v>
          </cell>
        </row>
        <row r="310">
          <cell r="I310" t="str">
            <v>JMD1E2130518</v>
          </cell>
          <cell r="J310" t="str">
            <v>KB0518XAA</v>
          </cell>
          <cell r="K310" t="str">
            <v>KPB2</v>
          </cell>
          <cell r="L310">
            <v>549</v>
          </cell>
          <cell r="M310" t="str">
            <v>2025-11-15</v>
          </cell>
          <cell r="N310" t="str">
            <v>2026-03-12</v>
          </cell>
          <cell r="O310" t="str">
            <v>https://hana.modakita.com/azd942/avatar/2515001020260312105211AZE3LU.jpg</v>
          </cell>
        </row>
        <row r="311">
          <cell r="I311" t="str">
            <v>JMK1E1064603</v>
          </cell>
          <cell r="J311" t="str">
            <v>X123YZ</v>
          </cell>
          <cell r="K311" t="str">
            <v>KPB1</v>
          </cell>
          <cell r="L311">
            <v>1172</v>
          </cell>
          <cell r="M311" t="str">
            <v>2026-02-24</v>
          </cell>
          <cell r="N311" t="str">
            <v>2026-03-12</v>
          </cell>
          <cell r="O311" t="str">
            <v>https://hana.modakita.com/azd942/avatar/21395178620260312095156O6IRSO.jpg</v>
          </cell>
        </row>
        <row r="312">
          <cell r="I312" t="str">
            <v>KF01E2032245</v>
          </cell>
          <cell r="J312" t="str">
            <v>X123YZ</v>
          </cell>
          <cell r="K312" t="str">
            <v>KPB1</v>
          </cell>
          <cell r="L312">
            <v>584</v>
          </cell>
          <cell r="M312" t="str">
            <v>2026-02-02</v>
          </cell>
          <cell r="N312" t="str">
            <v>2026-03-12</v>
          </cell>
          <cell r="O312" t="str">
            <v>https://hana.modakita.com/azd942/avatar/21395178620260312094955UDMTSP.jpg</v>
          </cell>
        </row>
        <row r="313">
          <cell r="I313" t="str">
            <v>KFE1E1095497</v>
          </cell>
          <cell r="J313" t="str">
            <v>KB5497P</v>
          </cell>
          <cell r="K313" t="str">
            <v>KPB3</v>
          </cell>
          <cell r="L313">
            <v>3195</v>
          </cell>
          <cell r="M313" t="str">
            <v>2025-04-09</v>
          </cell>
          <cell r="N313" t="str">
            <v>2026-03-12</v>
          </cell>
          <cell r="O313" t="str">
            <v>https://hana.modakita.com/azd942/avatar/2963440120260312094941VWQDGS.jpg</v>
          </cell>
        </row>
        <row r="314">
          <cell r="I314" t="str">
            <v>JMH2E1707041</v>
          </cell>
          <cell r="J314" t="str">
            <v>X123YZ</v>
          </cell>
          <cell r="K314" t="str">
            <v>KPB1</v>
          </cell>
          <cell r="L314">
            <v>377</v>
          </cell>
          <cell r="M314" t="str">
            <v>2026-02-09</v>
          </cell>
          <cell r="N314" t="str">
            <v>2026-03-12</v>
          </cell>
          <cell r="O314" t="str">
            <v>https://hana.modakita.com/azd942/avatar/21395178620260312094826CV9KXW.jpg</v>
          </cell>
        </row>
        <row r="315">
          <cell r="I315" t="str">
            <v>KFD1E1209560</v>
          </cell>
          <cell r="J315" t="str">
            <v>KB4837PAK</v>
          </cell>
          <cell r="K315" t="str">
            <v>KPB2</v>
          </cell>
          <cell r="L315">
            <v>3474</v>
          </cell>
          <cell r="M315" t="str">
            <v>2025-12-02</v>
          </cell>
          <cell r="N315" t="str">
            <v>2026-03-12</v>
          </cell>
          <cell r="O315" t="str">
            <v>https://hana.modakita.com/azd942/avatar/21395178620260312094708LVJGYM.jpg</v>
          </cell>
        </row>
        <row r="316">
          <cell r="I316" t="str">
            <v>JBK1E2164833</v>
          </cell>
          <cell r="J316" t="str">
            <v>KB4833P</v>
          </cell>
          <cell r="K316" t="str">
            <v>KPB2</v>
          </cell>
          <cell r="L316">
            <v>582</v>
          </cell>
          <cell r="M316" t="str">
            <v>2026-02-21</v>
          </cell>
          <cell r="N316" t="str">
            <v>2026-03-12</v>
          </cell>
          <cell r="O316" t="str">
            <v>https://hana.modakita.com/azd942/avatar/2963440120260312093350NDPMLQ.jpg</v>
          </cell>
        </row>
        <row r="317">
          <cell r="I317" t="str">
            <v>JMJ1E1029156</v>
          </cell>
          <cell r="J317" t="str">
            <v>X123YZ</v>
          </cell>
          <cell r="K317" t="str">
            <v>KPB1</v>
          </cell>
          <cell r="L317">
            <v>315</v>
          </cell>
          <cell r="M317" t="str">
            <v>2026-02-14</v>
          </cell>
          <cell r="N317" t="str">
            <v>2026-03-12</v>
          </cell>
          <cell r="O317" t="str">
            <v>https://hana.modakita.com/azd942/avatar/2963440120260312093300EKHQ84.jpg</v>
          </cell>
        </row>
        <row r="318">
          <cell r="I318" t="str">
            <v>JMH1E1378050</v>
          </cell>
          <cell r="J318" t="str">
            <v>X123YZ</v>
          </cell>
          <cell r="K318" t="str">
            <v>KPB1</v>
          </cell>
          <cell r="L318">
            <v>732</v>
          </cell>
          <cell r="M318" t="str">
            <v>2026-02-14</v>
          </cell>
          <cell r="N318" t="str">
            <v>2026-03-12</v>
          </cell>
          <cell r="O318" t="str">
            <v>https://hana.modakita.com/azd942/avatar/2963440120260312092213CCNPXQ.jpg</v>
          </cell>
        </row>
        <row r="319">
          <cell r="I319" t="str">
            <v>KF01E2048239</v>
          </cell>
          <cell r="J319" t="str">
            <v>X123YZ</v>
          </cell>
          <cell r="K319" t="str">
            <v>KPB1</v>
          </cell>
          <cell r="L319">
            <v>520</v>
          </cell>
          <cell r="M319" t="str">
            <v>2026-02-12</v>
          </cell>
          <cell r="N319" t="str">
            <v>2026-03-12</v>
          </cell>
          <cell r="O319" t="str">
            <v>https://hana.modakita.com/azd942/avatar/2963440120260312092005F7GXL0.jpg</v>
          </cell>
        </row>
        <row r="320">
          <cell r="I320" t="str">
            <v>JMK1E1059189</v>
          </cell>
          <cell r="J320" t="str">
            <v>KB9189XAA</v>
          </cell>
          <cell r="K320" t="str">
            <v>KPB1</v>
          </cell>
          <cell r="L320">
            <v>534</v>
          </cell>
          <cell r="M320" t="str">
            <v>2026-02-21</v>
          </cell>
          <cell r="N320" t="str">
            <v>2026-03-13</v>
          </cell>
          <cell r="O320" t="str">
            <v>https://hana.modakita.com/azd942/avatar/25150010202603131411040EM0EO.jpg</v>
          </cell>
        </row>
        <row r="321">
          <cell r="I321" t="str">
            <v>KFE1E1474210</v>
          </cell>
          <cell r="J321" t="str">
            <v>KB4210XAA</v>
          </cell>
          <cell r="K321" t="str">
            <v>KPB1</v>
          </cell>
          <cell r="L321">
            <v>175</v>
          </cell>
          <cell r="M321" t="str">
            <v>2026-03-09</v>
          </cell>
          <cell r="N321" t="str">
            <v>2026-03-13</v>
          </cell>
          <cell r="O321" t="str">
            <v>https://hana.modakita.com/azd942/avatar/2649897020260313132844F1XJDR.jpg</v>
          </cell>
        </row>
        <row r="322">
          <cell r="I322" t="str">
            <v>JMK1E1053365</v>
          </cell>
          <cell r="J322" t="str">
            <v>KB3365XAA</v>
          </cell>
          <cell r="K322" t="str">
            <v>KPB1</v>
          </cell>
          <cell r="L322">
            <v>481</v>
          </cell>
          <cell r="M322" t="str">
            <v>2026-02-20</v>
          </cell>
          <cell r="N322" t="str">
            <v>2026-03-13</v>
          </cell>
          <cell r="O322" t="str">
            <v>https://hana.modakita.com/azd942/avatar/2649897020260313131637Z0ZEZW.jpg</v>
          </cell>
        </row>
        <row r="323">
          <cell r="I323" t="str">
            <v>JMH2E1748590</v>
          </cell>
          <cell r="J323" t="str">
            <v>KB8590XAA</v>
          </cell>
          <cell r="K323" t="str">
            <v>KPB1</v>
          </cell>
          <cell r="L323">
            <v>581</v>
          </cell>
          <cell r="M323" t="str">
            <v>2026-02-23</v>
          </cell>
          <cell r="N323" t="str">
            <v>2026-03-13</v>
          </cell>
          <cell r="O323" t="str">
            <v>https://hana.modakita.com/azd942/avatar/2515001020260313131009DKH47V.jpg</v>
          </cell>
        </row>
        <row r="324">
          <cell r="I324" t="str">
            <v>JMH2E1737029</v>
          </cell>
          <cell r="J324" t="str">
            <v>KB7029P</v>
          </cell>
          <cell r="K324" t="str">
            <v>KPB1</v>
          </cell>
          <cell r="L324">
            <v>682</v>
          </cell>
          <cell r="M324" t="str">
            <v>2026-02-20</v>
          </cell>
          <cell r="N324" t="str">
            <v>2026-03-13</v>
          </cell>
          <cell r="O324" t="str">
            <v>https://hana.modakita.com/azd942/avatar/296344012026031312101081SLPG.jpg</v>
          </cell>
        </row>
        <row r="325">
          <cell r="I325" t="str">
            <v>JMH1E1373239</v>
          </cell>
          <cell r="J325" t="str">
            <v>X123YZ</v>
          </cell>
          <cell r="K325" t="str">
            <v>KPB1</v>
          </cell>
          <cell r="L325">
            <v>360</v>
          </cell>
          <cell r="M325" t="str">
            <v>2026-02-13</v>
          </cell>
          <cell r="N325" t="str">
            <v>2026-03-13</v>
          </cell>
          <cell r="O325" t="str">
            <v>https://hana.modakita.com/azd942/avatar/29634401202603131208566GGKXX.jpg</v>
          </cell>
        </row>
        <row r="326">
          <cell r="I326" t="str">
            <v>JMH2E1738096</v>
          </cell>
          <cell r="J326" t="str">
            <v>KB8096P</v>
          </cell>
          <cell r="K326" t="str">
            <v>KPB1</v>
          </cell>
          <cell r="L326">
            <v>680</v>
          </cell>
          <cell r="M326" t="str">
            <v>2026-02-21</v>
          </cell>
          <cell r="N326" t="str">
            <v>2026-03-13</v>
          </cell>
          <cell r="O326" t="str">
            <v>https://hana.modakita.com/azd942/avatar/21395178620260313115828HBVHLB.jpg</v>
          </cell>
        </row>
        <row r="327">
          <cell r="I327" t="str">
            <v>JMC1E1744637</v>
          </cell>
          <cell r="J327" t="str">
            <v>KB2562PAK</v>
          </cell>
          <cell r="K327" t="str">
            <v>KPB4</v>
          </cell>
          <cell r="L327">
            <v>6588</v>
          </cell>
          <cell r="M327" t="str">
            <v>2025-10-29</v>
          </cell>
          <cell r="N327" t="str">
            <v>2026-03-13</v>
          </cell>
          <cell r="O327" t="str">
            <v>https://hana.modakita.com/azd942/avatar/21395178620260313110106RV3GAC.jpg</v>
          </cell>
        </row>
        <row r="328">
          <cell r="I328" t="str">
            <v>KC04E1042562</v>
          </cell>
          <cell r="J328" t="str">
            <v>X123YZ</v>
          </cell>
          <cell r="K328" t="str">
            <v>KPB1</v>
          </cell>
          <cell r="L328">
            <v>1097</v>
          </cell>
          <cell r="M328" t="str">
            <v>2026-02-18</v>
          </cell>
          <cell r="N328" t="str">
            <v>2026-03-13</v>
          </cell>
          <cell r="O328" t="str">
            <v>https://hana.modakita.com/azd942/avatar/21395178620260313105820RFHZDN.jpg</v>
          </cell>
        </row>
        <row r="329">
          <cell r="I329" t="str">
            <v>KFE1E1449668</v>
          </cell>
          <cell r="J329" t="str">
            <v>KB4463PAL</v>
          </cell>
          <cell r="K329" t="str">
            <v>KPB1</v>
          </cell>
          <cell r="L329">
            <v>478</v>
          </cell>
          <cell r="M329" t="str">
            <v>2026-02-14</v>
          </cell>
          <cell r="N329" t="str">
            <v>2026-03-13</v>
          </cell>
          <cell r="O329" t="str">
            <v>https://hana.modakita.com/azd942/avatar/213951786202603131056172KXCXN.jpg</v>
          </cell>
        </row>
        <row r="330">
          <cell r="I330" t="str">
            <v>JME1E1984583</v>
          </cell>
          <cell r="J330" t="str">
            <v>KB4583P</v>
          </cell>
          <cell r="K330" t="str">
            <v>KPB1</v>
          </cell>
          <cell r="L330">
            <v>19</v>
          </cell>
          <cell r="M330" t="str">
            <v>2026-03-10</v>
          </cell>
          <cell r="N330" t="str">
            <v>2026-03-13</v>
          </cell>
          <cell r="O330" t="str">
            <v>https://hana.modakita.com/azd942/avatar/21395178620260313105118SYNCC5.jpg</v>
          </cell>
        </row>
        <row r="331">
          <cell r="I331" t="str">
            <v>KF01E2047193</v>
          </cell>
          <cell r="J331" t="str">
            <v>X123YZ</v>
          </cell>
          <cell r="K331" t="str">
            <v>KPB1</v>
          </cell>
          <cell r="L331">
            <v>471</v>
          </cell>
          <cell r="M331" t="str">
            <v>2026-02-21</v>
          </cell>
          <cell r="N331" t="str">
            <v>2026-03-13</v>
          </cell>
          <cell r="O331" t="str">
            <v>https://hana.modakita.com/azd942/avatar/2963440120260313083438I0IA9E.jpg</v>
          </cell>
        </row>
        <row r="332">
          <cell r="I332" t="str">
            <v>KFC1E1260286</v>
          </cell>
          <cell r="J332" t="str">
            <v>X123YZ</v>
          </cell>
          <cell r="K332" t="str">
            <v>KPB1</v>
          </cell>
          <cell r="L332">
            <v>479</v>
          </cell>
          <cell r="M332" t="str">
            <v>2026-02-09</v>
          </cell>
          <cell r="N332" t="str">
            <v>2026-03-13</v>
          </cell>
          <cell r="O332" t="str">
            <v>https://hana.modakita.com/azd942/avatar/2963440120260313083148A3BL7D.jpg</v>
          </cell>
        </row>
        <row r="333">
          <cell r="I333" t="str">
            <v>JMH2E1235242</v>
          </cell>
          <cell r="J333" t="str">
            <v>KB5242P</v>
          </cell>
          <cell r="K333" t="str">
            <v>KPB4</v>
          </cell>
          <cell r="L333">
            <v>11938</v>
          </cell>
          <cell r="M333" t="str">
            <v>2025-03-29</v>
          </cell>
          <cell r="N333" t="str">
            <v>2026-03-15</v>
          </cell>
          <cell r="O333" t="str">
            <v>https://hana.modakita.com/azd942/avatar/29634401202603151232445ZGRUY.jpg</v>
          </cell>
        </row>
        <row r="334">
          <cell r="I334" t="str">
            <v>JMH1E1359179</v>
          </cell>
          <cell r="J334" t="str">
            <v>KB4584PAL</v>
          </cell>
          <cell r="K334" t="str">
            <v>KPB1</v>
          </cell>
          <cell r="L334">
            <v>730</v>
          </cell>
          <cell r="M334" t="str">
            <v>2026-02-16</v>
          </cell>
          <cell r="N334" t="str">
            <v>2026-03-15</v>
          </cell>
          <cell r="O334" t="str">
            <v>https://hana.modakita.com/azd942/avatar/2963440120260315122952N5PB1Z.jpg</v>
          </cell>
        </row>
        <row r="335">
          <cell r="I335" t="str">
            <v>JMK1E1032445</v>
          </cell>
          <cell r="J335" t="str">
            <v>X123YZ</v>
          </cell>
          <cell r="K335" t="str">
            <v>KPB1</v>
          </cell>
          <cell r="L335">
            <v>988</v>
          </cell>
          <cell r="M335" t="str">
            <v>2026-02-10</v>
          </cell>
          <cell r="N335" t="str">
            <v>2026-03-15</v>
          </cell>
          <cell r="O335" t="str">
            <v>https://hana.modakita.com/azd942/avatar/29634401202603151225589ROW2I.jpg</v>
          </cell>
        </row>
        <row r="336">
          <cell r="I336" t="str">
            <v>JMJ1E1035597</v>
          </cell>
          <cell r="J336" t="str">
            <v>KB5597P</v>
          </cell>
          <cell r="K336" t="str">
            <v>KPB1</v>
          </cell>
          <cell r="L336">
            <v>885</v>
          </cell>
          <cell r="M336" t="str">
            <v>2026-02-19</v>
          </cell>
          <cell r="N336" t="str">
            <v>2026-03-15</v>
          </cell>
          <cell r="O336" t="str">
            <v>https://hana.modakita.com/azd942/avatar/213951786202603151216308QNB3W.jpg</v>
          </cell>
        </row>
        <row r="337">
          <cell r="I337" t="str">
            <v>KD11E1609362</v>
          </cell>
          <cell r="J337" t="str">
            <v>KB9362P</v>
          </cell>
          <cell r="K337" t="str">
            <v>KPB1</v>
          </cell>
          <cell r="L337">
            <v>750</v>
          </cell>
          <cell r="M337" t="str">
            <v>2026-02-16</v>
          </cell>
          <cell r="N337" t="str">
            <v>2026-03-15</v>
          </cell>
          <cell r="O337" t="str">
            <v>https://hana.modakita.com/azd942/avatar/21395178620260315121356WUW68A.jpg</v>
          </cell>
        </row>
        <row r="338">
          <cell r="I338" t="str">
            <v>JMF2E1622702</v>
          </cell>
          <cell r="J338" t="str">
            <v>KB2702P</v>
          </cell>
          <cell r="K338" t="str">
            <v>KPB2</v>
          </cell>
          <cell r="L338">
            <v>497</v>
          </cell>
          <cell r="M338" t="str">
            <v>2025-12-15</v>
          </cell>
          <cell r="N338" t="str">
            <v>2026-03-15</v>
          </cell>
          <cell r="O338" t="str">
            <v>https://hana.modakita.com/azd942/avatar/21395178620260315110058P0T2D9.jpg</v>
          </cell>
        </row>
        <row r="339">
          <cell r="I339" t="str">
            <v>JBK1E2161757</v>
          </cell>
          <cell r="J339" t="str">
            <v>X123YZ</v>
          </cell>
          <cell r="K339" t="str">
            <v>KPB1</v>
          </cell>
          <cell r="L339">
            <v>790</v>
          </cell>
          <cell r="M339" t="str">
            <v>2026-02-12</v>
          </cell>
          <cell r="N339" t="str">
            <v>2026-03-15</v>
          </cell>
          <cell r="O339" t="str">
            <v>https://hana.modakita.com/azd942/avatar/2963440120260315105750AVRIAQ.jpg</v>
          </cell>
        </row>
        <row r="340">
          <cell r="I340" t="str">
            <v>JMH1E1397547</v>
          </cell>
          <cell r="J340" t="str">
            <v>KB7547P</v>
          </cell>
          <cell r="K340" t="str">
            <v>KPB1</v>
          </cell>
          <cell r="L340">
            <v>458</v>
          </cell>
          <cell r="M340" t="str">
            <v>2026-02-23</v>
          </cell>
          <cell r="N340" t="str">
            <v>2026-03-15</v>
          </cell>
          <cell r="O340" t="str">
            <v>https://hana.modakita.com/azd942/avatar/2963440120260315105719AW1HQT.jpg</v>
          </cell>
        </row>
        <row r="341">
          <cell r="I341" t="str">
            <v>JMF1E1377863</v>
          </cell>
          <cell r="J341" t="str">
            <v>KB7863P</v>
          </cell>
          <cell r="K341" t="str">
            <v>KPB2</v>
          </cell>
          <cell r="L341">
            <v>1297</v>
          </cell>
          <cell r="M341" t="str">
            <v>2026-02-21</v>
          </cell>
          <cell r="N341" t="str">
            <v>2026-03-14</v>
          </cell>
          <cell r="O341" t="str">
            <v>https://hana.modakita.com/azd942/avatar/2139517862026031413124737QVF0.jpg</v>
          </cell>
        </row>
        <row r="342">
          <cell r="I342" t="str">
            <v>KFE1E1418223</v>
          </cell>
          <cell r="J342" t="str">
            <v>KB8223P</v>
          </cell>
          <cell r="K342" t="str">
            <v>KPB2</v>
          </cell>
          <cell r="L342">
            <v>817</v>
          </cell>
          <cell r="M342" t="str">
            <v>2026-02-07</v>
          </cell>
          <cell r="N342" t="str">
            <v>2026-03-14</v>
          </cell>
          <cell r="O342" t="str">
            <v>https://hana.modakita.com/azd942/avatar/21395178620260314131004W7IA3R.jpg</v>
          </cell>
        </row>
        <row r="343">
          <cell r="I343" t="str">
            <v>JMH2E1747862</v>
          </cell>
          <cell r="J343" t="str">
            <v>KB7862P</v>
          </cell>
          <cell r="K343" t="str">
            <v>KPB1</v>
          </cell>
          <cell r="L343">
            <v>317</v>
          </cell>
          <cell r="M343" t="str">
            <v>2026-02-23</v>
          </cell>
          <cell r="N343" t="str">
            <v>2026-03-14</v>
          </cell>
          <cell r="O343" t="str">
            <v>https://hana.modakita.com/azd942/avatar/2963440120260314130218VDV3AS.jpg</v>
          </cell>
        </row>
        <row r="344">
          <cell r="I344" t="str">
            <v>JBK3E1626106</v>
          </cell>
          <cell r="J344" t="str">
            <v>KB6106P</v>
          </cell>
          <cell r="K344" t="str">
            <v>KPB1</v>
          </cell>
          <cell r="L344">
            <v>533</v>
          </cell>
          <cell r="M344" t="str">
            <v>2026-02-19</v>
          </cell>
          <cell r="N344" t="str">
            <v>2026-03-14</v>
          </cell>
          <cell r="O344" t="str">
            <v>https://hana.modakita.com/azd942/avatar/29634401202603141243444W5UAR.jpg</v>
          </cell>
        </row>
        <row r="345">
          <cell r="I345" t="str">
            <v>JMH2E1712027</v>
          </cell>
          <cell r="J345" t="str">
            <v>X123YZ</v>
          </cell>
          <cell r="K345" t="str">
            <v>KPB1</v>
          </cell>
          <cell r="L345">
            <v>693</v>
          </cell>
          <cell r="M345" t="str">
            <v>2026-02-02</v>
          </cell>
          <cell r="N345" t="str">
            <v>2026-03-14</v>
          </cell>
          <cell r="O345" t="str">
            <v>https://hana.modakita.com/azd942/avatar/2963440120260314113912MAVGHN.jpg</v>
          </cell>
        </row>
        <row r="346">
          <cell r="I346" t="str">
            <v>JMH1E1376992</v>
          </cell>
          <cell r="J346" t="str">
            <v>X123YZ</v>
          </cell>
          <cell r="K346" t="str">
            <v>KPB1</v>
          </cell>
          <cell r="L346">
            <v>520</v>
          </cell>
          <cell r="M346" t="str">
            <v>2026-02-07</v>
          </cell>
          <cell r="N346" t="str">
            <v>2026-03-14</v>
          </cell>
          <cell r="O346" t="str">
            <v>https://hana.modakita.com/azd942/avatar/2963440120260314112549TDVJJP.jpg</v>
          </cell>
        </row>
        <row r="347">
          <cell r="I347" t="str">
            <v>KFF1E1006665</v>
          </cell>
          <cell r="J347" t="str">
            <v>KB3317PAL</v>
          </cell>
          <cell r="K347" t="str">
            <v>KPB1</v>
          </cell>
          <cell r="L347">
            <v>1021</v>
          </cell>
          <cell r="M347" t="str">
            <v>2026-01-20</v>
          </cell>
          <cell r="N347" t="str">
            <v>2026-03-14</v>
          </cell>
          <cell r="O347" t="str">
            <v>https://hana.modakita.com/azd942/avatar/21395178620260314105427YIVZMW.jpg</v>
          </cell>
        </row>
        <row r="348">
          <cell r="I348" t="str">
            <v>JMK1E1047374</v>
          </cell>
          <cell r="J348" t="str">
            <v>KB7374P</v>
          </cell>
          <cell r="K348" t="str">
            <v>KPB1</v>
          </cell>
          <cell r="L348">
            <v>848</v>
          </cell>
          <cell r="M348" t="str">
            <v>2026-02-20</v>
          </cell>
          <cell r="N348" t="str">
            <v>2026-03-14</v>
          </cell>
          <cell r="O348" t="str">
            <v>https://hana.modakita.com/azd942/avatar/21395178620260314105219TTJUWZ.jpg</v>
          </cell>
        </row>
        <row r="349">
          <cell r="I349" t="str">
            <v>JMJ1E1042957</v>
          </cell>
          <cell r="J349" t="str">
            <v>KB2957P</v>
          </cell>
          <cell r="K349" t="str">
            <v>KPB1</v>
          </cell>
          <cell r="L349">
            <v>909</v>
          </cell>
          <cell r="M349" t="str">
            <v>2026-02-28</v>
          </cell>
          <cell r="N349" t="str">
            <v>2026-03-16</v>
          </cell>
          <cell r="O349" t="str">
            <v>https://hana.modakita.com/azd942/avatar/2963440120260316113553C0TG5R.jpg</v>
          </cell>
        </row>
        <row r="350">
          <cell r="I350" t="str">
            <v>JMH1E1358525</v>
          </cell>
          <cell r="J350" t="str">
            <v>KB8525P</v>
          </cell>
          <cell r="K350" t="str">
            <v>KPB2</v>
          </cell>
          <cell r="L350">
            <v>1070</v>
          </cell>
          <cell r="M350" t="str">
            <v>2026-02-21</v>
          </cell>
          <cell r="N350" t="str">
            <v>2026-03-16</v>
          </cell>
          <cell r="O350" t="str">
            <v>https://hana.modakita.com/azd942/avatar/213951786202603161114517KNFDW.jpg</v>
          </cell>
        </row>
        <row r="351">
          <cell r="I351" t="str">
            <v>JBK3E1623572</v>
          </cell>
          <cell r="J351" t="str">
            <v>KB3672PAL</v>
          </cell>
          <cell r="K351" t="str">
            <v>KPB1</v>
          </cell>
          <cell r="L351">
            <v>1001</v>
          </cell>
          <cell r="M351" t="str">
            <v>2026-01-27</v>
          </cell>
          <cell r="N351" t="str">
            <v>2026-03-16</v>
          </cell>
          <cell r="O351" t="str">
            <v>https://hana.modakita.com/azd942/avatar/21395178620260316111128ULMOKQ.jpg</v>
          </cell>
        </row>
        <row r="352">
          <cell r="I352" t="str">
            <v>KFE1E1450606</v>
          </cell>
          <cell r="J352" t="str">
            <v>KB0606P</v>
          </cell>
          <cell r="K352" t="str">
            <v>KPB1</v>
          </cell>
          <cell r="L352">
            <v>718</v>
          </cell>
          <cell r="M352" t="str">
            <v>2026-02-26</v>
          </cell>
          <cell r="N352" t="str">
            <v>2026-03-16</v>
          </cell>
          <cell r="O352" t="str">
            <v>https://hana.modakita.com/azd942/avatar/21395178620260316110944TUWD7A.jpg</v>
          </cell>
        </row>
        <row r="353">
          <cell r="I353" t="str">
            <v>JBP1E2150026</v>
          </cell>
          <cell r="J353" t="str">
            <v>KB0026P</v>
          </cell>
          <cell r="K353" t="str">
            <v>KPB1</v>
          </cell>
          <cell r="L353">
            <v>222</v>
          </cell>
          <cell r="M353" t="str">
            <v>2026-02-25</v>
          </cell>
          <cell r="N353" t="str">
            <v>2026-03-16</v>
          </cell>
          <cell r="O353" t="str">
            <v>https://hana.modakita.com/azd942/avatar/29634401202603161011278QQ27H.jpg</v>
          </cell>
        </row>
        <row r="354">
          <cell r="I354" t="str">
            <v>KF01E2006072</v>
          </cell>
          <cell r="J354" t="str">
            <v>KB5096PAK</v>
          </cell>
          <cell r="K354" t="str">
            <v>KPB2</v>
          </cell>
          <cell r="L354">
            <v>1473</v>
          </cell>
          <cell r="M354" t="str">
            <v>2025-12-03</v>
          </cell>
          <cell r="N354" t="str">
            <v>2026-03-16</v>
          </cell>
          <cell r="O354" t="str">
            <v>https://hana.modakita.com/azd942/avatar/2963440120260316100252R33LK9.jpg</v>
          </cell>
        </row>
        <row r="355">
          <cell r="I355" t="str">
            <v>JMH2E1778682</v>
          </cell>
          <cell r="J355" t="str">
            <v>KB8682P</v>
          </cell>
          <cell r="K355" t="str">
            <v>KPB1</v>
          </cell>
          <cell r="L355">
            <v>307</v>
          </cell>
          <cell r="M355" t="str">
            <v>2026-03-05</v>
          </cell>
          <cell r="N355" t="str">
            <v>2026-03-16</v>
          </cell>
          <cell r="O355" t="str">
            <v>https://hana.modakita.com/azd942/avatar/2963440120260316095938CLQJU2.jpg</v>
          </cell>
        </row>
        <row r="356">
          <cell r="I356" t="str">
            <v>JMH2E1691806</v>
          </cell>
          <cell r="J356" t="str">
            <v>KB1806XAA</v>
          </cell>
          <cell r="K356" t="str">
            <v>KPB1</v>
          </cell>
          <cell r="L356">
            <v>140</v>
          </cell>
          <cell r="M356" t="str">
            <v>2026-01-20</v>
          </cell>
          <cell r="N356" t="str">
            <v>2026-03-17</v>
          </cell>
          <cell r="O356" t="str">
            <v>https://hana.modakita.com/azd942/avatar/2649897020260317135432KKLRES.jpg</v>
          </cell>
        </row>
        <row r="357">
          <cell r="I357" t="str">
            <v>JMH2E1711293</v>
          </cell>
          <cell r="J357" t="str">
            <v>KB1293XAA</v>
          </cell>
          <cell r="K357" t="str">
            <v>KPB2</v>
          </cell>
          <cell r="L357">
            <v>1991</v>
          </cell>
          <cell r="M357" t="str">
            <v>2026-01-26</v>
          </cell>
          <cell r="N357" t="str">
            <v>2026-03-17</v>
          </cell>
          <cell r="O357" t="str">
            <v>https://hana.modakita.com/azd942/avatar/2515001020260317131148KP37QJ.jpg</v>
          </cell>
        </row>
        <row r="358">
          <cell r="I358" t="str">
            <v>JMK1E1021959</v>
          </cell>
          <cell r="J358" t="str">
            <v>KB1959XAA</v>
          </cell>
          <cell r="K358" t="str">
            <v>KPB2</v>
          </cell>
          <cell r="L358">
            <v>2288</v>
          </cell>
          <cell r="M358" t="str">
            <v>2026-01-09</v>
          </cell>
          <cell r="N358" t="str">
            <v>2026-03-17</v>
          </cell>
          <cell r="O358" t="str">
            <v>https://hana.modakita.com/azd942/avatar/2515001020260317130733B861TU.jpg</v>
          </cell>
        </row>
        <row r="359">
          <cell r="I359" t="str">
            <v>JME1E1978254</v>
          </cell>
          <cell r="J359" t="str">
            <v>KB8254XAA</v>
          </cell>
          <cell r="K359" t="str">
            <v>KPB1</v>
          </cell>
          <cell r="L359">
            <v>127</v>
          </cell>
          <cell r="M359" t="str">
            <v>2026-02-16</v>
          </cell>
          <cell r="N359" t="str">
            <v>2026-03-17</v>
          </cell>
          <cell r="O359" t="str">
            <v>https://hana.modakita.com/azd942/avatar/25150010202603171243227WEYGF.jpg</v>
          </cell>
        </row>
        <row r="360">
          <cell r="I360" t="str">
            <v>JMJ1E1035683</v>
          </cell>
          <cell r="J360" t="str">
            <v>KB5683P</v>
          </cell>
          <cell r="K360" t="str">
            <v>KPB1</v>
          </cell>
          <cell r="L360">
            <v>141</v>
          </cell>
          <cell r="M360" t="str">
            <v>2026-02-20</v>
          </cell>
          <cell r="N360" t="str">
            <v>2026-03-17</v>
          </cell>
          <cell r="O360" t="str">
            <v>https://hana.modakita.com/azd942/avatar/213951786202603171027451BHOHT.jpg</v>
          </cell>
        </row>
        <row r="361">
          <cell r="I361" t="str">
            <v>JMH1E1367367</v>
          </cell>
          <cell r="J361" t="str">
            <v>KB7367P</v>
          </cell>
          <cell r="K361" t="str">
            <v>KPB2</v>
          </cell>
          <cell r="L361">
            <v>478</v>
          </cell>
          <cell r="M361" t="str">
            <v>2026-02-24</v>
          </cell>
          <cell r="N361" t="str">
            <v>2026-03-17</v>
          </cell>
          <cell r="O361" t="str">
            <v>https://hana.modakita.com/azd942/avatar/21395178620260317102513P5RB6X.jpg</v>
          </cell>
        </row>
        <row r="362">
          <cell r="I362" t="str">
            <v>JMD1E2072672</v>
          </cell>
          <cell r="J362" t="str">
            <v>KB7750YJ</v>
          </cell>
          <cell r="K362" t="str">
            <v>KPB3</v>
          </cell>
          <cell r="L362">
            <v>1309</v>
          </cell>
          <cell r="M362" t="str">
            <v>2025-10-06</v>
          </cell>
          <cell r="N362" t="str">
            <v>2026-03-17</v>
          </cell>
          <cell r="O362" t="str">
            <v>https://hana.modakita.com/azd942/avatar/2963440120260317102118ZP1MSX.jpg</v>
          </cell>
        </row>
        <row r="363">
          <cell r="I363" t="str">
            <v>KFE3E1010845</v>
          </cell>
          <cell r="J363" t="str">
            <v>KB0845P</v>
          </cell>
          <cell r="K363" t="str">
            <v>KPB3</v>
          </cell>
          <cell r="L363">
            <v>10120</v>
          </cell>
          <cell r="M363" t="str">
            <v>2025-03-25</v>
          </cell>
          <cell r="N363" t="str">
            <v>2026-03-17</v>
          </cell>
          <cell r="O363" t="str">
            <v>https://hana.modakita.com/azd942/avatar/2963440120260317101957HSJTZU.jpg</v>
          </cell>
        </row>
        <row r="364">
          <cell r="I364" t="str">
            <v>KFE1E1451627</v>
          </cell>
          <cell r="J364" t="str">
            <v>KB4568PAL</v>
          </cell>
          <cell r="K364" t="str">
            <v>KPB1</v>
          </cell>
          <cell r="L364">
            <v>910</v>
          </cell>
          <cell r="M364" t="str">
            <v>2026-02-16</v>
          </cell>
          <cell r="N364" t="str">
            <v>2026-03-17</v>
          </cell>
          <cell r="O364" t="str">
            <v>https://hana.modakita.com/azd942/avatar/2963440120260317101054FHXURH.jpg</v>
          </cell>
        </row>
        <row r="365">
          <cell r="I365" t="str">
            <v>JMK1E1060394</v>
          </cell>
          <cell r="J365" t="str">
            <v>KB0394P</v>
          </cell>
          <cell r="K365" t="str">
            <v>KPB1</v>
          </cell>
          <cell r="L365">
            <v>653</v>
          </cell>
          <cell r="M365" t="str">
            <v>2026-03-06</v>
          </cell>
          <cell r="N365" t="str">
            <v>2026-03-17</v>
          </cell>
          <cell r="O365" t="str">
            <v>https://hana.modakita.com/azd942/avatar/2963440120260317100756RQGYWL.jpg</v>
          </cell>
        </row>
        <row r="366">
          <cell r="I366" t="str">
            <v>KFE1E1452696</v>
          </cell>
          <cell r="J366" t="str">
            <v>KB5386PAL</v>
          </cell>
          <cell r="K366" t="str">
            <v>KPB1</v>
          </cell>
          <cell r="L366">
            <v>219</v>
          </cell>
          <cell r="M366" t="str">
            <v>2026-02-24</v>
          </cell>
          <cell r="N366" t="str">
            <v>2026-03-17</v>
          </cell>
          <cell r="O366" t="str">
            <v>https://hana.modakita.com/azd942/avatar/29634401202603171001057AHGWG.jpg</v>
          </cell>
        </row>
        <row r="367">
          <cell r="I367" t="str">
            <v>JMK1E1053286</v>
          </cell>
          <cell r="J367" t="str">
            <v>KB3286P</v>
          </cell>
          <cell r="K367" t="str">
            <v>KPB1</v>
          </cell>
          <cell r="L367">
            <v>619</v>
          </cell>
          <cell r="M367" t="str">
            <v>2026-02-17</v>
          </cell>
          <cell r="N367" t="str">
            <v>2026-03-24</v>
          </cell>
          <cell r="O367" t="str">
            <v>https://hana.modakita.com/azd942/avatar/213951786202603241231332BFHOY.jpg</v>
          </cell>
        </row>
        <row r="368">
          <cell r="I368" t="str">
            <v>JMK1E1037662</v>
          </cell>
          <cell r="J368" t="str">
            <v>X123YZ</v>
          </cell>
          <cell r="K368" t="str">
            <v>KPB1</v>
          </cell>
          <cell r="L368">
            <v>325</v>
          </cell>
          <cell r="M368" t="str">
            <v>2026-02-03</v>
          </cell>
          <cell r="N368" t="str">
            <v>2026-03-24</v>
          </cell>
          <cell r="O368" t="str">
            <v>https://hana.modakita.com/azd942/avatar/21395178620260324122836NXBVSZ.jpg</v>
          </cell>
        </row>
        <row r="369">
          <cell r="I369" t="str">
            <v>KC04E1047048</v>
          </cell>
          <cell r="J369" t="str">
            <v>KB7048P</v>
          </cell>
          <cell r="K369" t="str">
            <v>KPB1</v>
          </cell>
          <cell r="L369">
            <v>1039</v>
          </cell>
          <cell r="M369" t="str">
            <v>2026-03-17</v>
          </cell>
          <cell r="N369" t="str">
            <v>2026-03-24</v>
          </cell>
          <cell r="O369" t="str">
            <v>https://hana.modakita.com/azd942/avatar/21395178620260324122714ISYVJQ.jpg</v>
          </cell>
        </row>
        <row r="370">
          <cell r="I370" t="str">
            <v>JMK1E1047273</v>
          </cell>
          <cell r="J370" t="str">
            <v>X123YZ</v>
          </cell>
          <cell r="K370" t="str">
            <v>KPB1</v>
          </cell>
          <cell r="L370">
            <v>434</v>
          </cell>
          <cell r="M370" t="str">
            <v>2026-02-07</v>
          </cell>
          <cell r="N370" t="str">
            <v>2026-03-24</v>
          </cell>
          <cell r="O370" t="str">
            <v>https://hana.modakita.com/azd942/avatar/29634401202603241223283PBIOG.jpg</v>
          </cell>
        </row>
        <row r="371">
          <cell r="I371" t="str">
            <v>JMK1E1046962</v>
          </cell>
          <cell r="J371" t="str">
            <v>KB6962P</v>
          </cell>
          <cell r="K371" t="str">
            <v>KPB1</v>
          </cell>
          <cell r="L371">
            <v>933</v>
          </cell>
          <cell r="M371" t="str">
            <v>2026-02-16</v>
          </cell>
          <cell r="N371" t="str">
            <v>2026-03-24</v>
          </cell>
          <cell r="O371" t="str">
            <v>https://hana.modakita.com/azd942/avatar/2963440120260324121118XMU5WN.jpg</v>
          </cell>
        </row>
        <row r="372">
          <cell r="I372" t="str">
            <v>JMJ1E1037342</v>
          </cell>
          <cell r="J372" t="str">
            <v>KB7342P</v>
          </cell>
          <cell r="K372" t="str">
            <v>KPB1</v>
          </cell>
          <cell r="L372">
            <v>673</v>
          </cell>
          <cell r="M372" t="str">
            <v>2026-02-23</v>
          </cell>
          <cell r="N372" t="str">
            <v>2026-03-24</v>
          </cell>
          <cell r="O372" t="str">
            <v>https://hana.modakita.com/azd942/avatar/2963440120260324120721GOTZPD.jpg</v>
          </cell>
        </row>
        <row r="373">
          <cell r="I373" t="str">
            <v>JMK1E1028917</v>
          </cell>
          <cell r="J373" t="str">
            <v>KB8917P</v>
          </cell>
          <cell r="K373" t="str">
            <v>KPB2</v>
          </cell>
          <cell r="L373">
            <v>2426</v>
          </cell>
          <cell r="M373" t="str">
            <v>2026-01-21</v>
          </cell>
          <cell r="N373" t="str">
            <v>2026-03-24</v>
          </cell>
          <cell r="O373" t="str">
            <v>https://hana.modakita.com/azd942/avatar/2963440120260324114751APCEBY.jpg</v>
          </cell>
        </row>
        <row r="374">
          <cell r="I374" t="str">
            <v>JMH2E1732907</v>
          </cell>
          <cell r="J374" t="str">
            <v>KB2907P</v>
          </cell>
          <cell r="K374" t="str">
            <v>KPB1</v>
          </cell>
          <cell r="L374">
            <v>498</v>
          </cell>
          <cell r="M374" t="str">
            <v>2026-03-03</v>
          </cell>
          <cell r="N374" t="str">
            <v>2026-03-23</v>
          </cell>
          <cell r="O374" t="str">
            <v>https://hana.modakita.com/azd942/avatar/2963440120260323104102B8RXQN.jpg</v>
          </cell>
        </row>
        <row r="375">
          <cell r="I375" t="str">
            <v>JMD1E2026593</v>
          </cell>
          <cell r="J375" t="str">
            <v>KB3967PAJ</v>
          </cell>
          <cell r="K375" t="str">
            <v>KPB3</v>
          </cell>
          <cell r="L375">
            <v>3477</v>
          </cell>
          <cell r="M375" t="str">
            <v>2025-08-15</v>
          </cell>
          <cell r="N375" t="str">
            <v>2026-03-23</v>
          </cell>
          <cell r="O375" t="str">
            <v>https://hana.modakita.com/azd942/avatar/21393666120260323093817OYNBXO.jpg</v>
          </cell>
        </row>
        <row r="376">
          <cell r="I376" t="str">
            <v>KFD1E1259168</v>
          </cell>
          <cell r="J376" t="str">
            <v>KB9168P</v>
          </cell>
          <cell r="K376" t="str">
            <v>KPB1</v>
          </cell>
          <cell r="L376">
            <v>537</v>
          </cell>
          <cell r="M376" t="str">
            <v>2026-03-04</v>
          </cell>
          <cell r="N376" t="str">
            <v>2026-03-23</v>
          </cell>
          <cell r="O376" t="str">
            <v>https://hana.modakita.com/azd942/avatar/21393666120260323093710DTMKIQ.jpg</v>
          </cell>
        </row>
        <row r="377">
          <cell r="I377" t="str">
            <v>JBP1E2152774</v>
          </cell>
          <cell r="J377" t="str">
            <v>KB2774P</v>
          </cell>
          <cell r="K377" t="str">
            <v>KPB1</v>
          </cell>
          <cell r="L377">
            <v>250</v>
          </cell>
          <cell r="M377" t="str">
            <v>2026-03-09</v>
          </cell>
          <cell r="N377" t="str">
            <v>2026-03-20</v>
          </cell>
          <cell r="O377" t="str">
            <v>https://hana.modakita.com/azd942/avatar/21393666120260320094345PAVC3H.jpg</v>
          </cell>
        </row>
        <row r="378">
          <cell r="I378" t="str">
            <v>JME1E1988159</v>
          </cell>
          <cell r="J378" t="str">
            <v>KB8159P</v>
          </cell>
          <cell r="K378" t="str">
            <v>KPB1</v>
          </cell>
          <cell r="L378">
            <v>911</v>
          </cell>
          <cell r="M378" t="str">
            <v>2026-02-16</v>
          </cell>
          <cell r="N378" t="str">
            <v>2026-03-20</v>
          </cell>
          <cell r="O378" t="str">
            <v>https://hana.modakita.com/azd942/avatar/21395178620260320094159YRX3MQ.jpg</v>
          </cell>
        </row>
        <row r="379">
          <cell r="I379" t="str">
            <v>KFD1E1242119</v>
          </cell>
          <cell r="J379" t="str">
            <v>KB3971PAL</v>
          </cell>
          <cell r="K379" t="str">
            <v>KPB1</v>
          </cell>
          <cell r="L379">
            <v>328</v>
          </cell>
          <cell r="M379" t="str">
            <v>2026-02-07</v>
          </cell>
          <cell r="N379" t="str">
            <v>2026-03-20</v>
          </cell>
          <cell r="O379" t="str">
            <v>https://hana.modakita.com/azd942/avatar/2963440120260320092552JWNLQ5.jpg</v>
          </cell>
        </row>
        <row r="380">
          <cell r="I380" t="str">
            <v>JMC1E1708922</v>
          </cell>
          <cell r="J380" t="str">
            <v>KB8922P</v>
          </cell>
          <cell r="K380" t="str">
            <v>KPB3</v>
          </cell>
          <cell r="L380">
            <v>2440</v>
          </cell>
          <cell r="M380" t="str">
            <v>2025-09-08</v>
          </cell>
          <cell r="N380" t="str">
            <v>2026-03-19</v>
          </cell>
          <cell r="O380" t="str">
            <v>https://hana.modakita.com/azd942/avatar/213951786202603191058324FAYIJ.jpg</v>
          </cell>
        </row>
        <row r="381">
          <cell r="I381" t="str">
            <v>JMF1E1380519</v>
          </cell>
          <cell r="J381" t="str">
            <v>KB0519P</v>
          </cell>
          <cell r="K381" t="str">
            <v>KPB2</v>
          </cell>
          <cell r="L381">
            <v>1126</v>
          </cell>
          <cell r="M381" t="str">
            <v>2026-01-25</v>
          </cell>
          <cell r="N381" t="str">
            <v>2026-03-19</v>
          </cell>
          <cell r="O381" t="str">
            <v>https://hana.modakita.com/azd942/avatar/21395178620260319105655KQT61U.jpg</v>
          </cell>
        </row>
        <row r="382">
          <cell r="I382" t="str">
            <v>JMF1E1329388</v>
          </cell>
          <cell r="J382" t="str">
            <v>KB2068PAL</v>
          </cell>
          <cell r="K382" t="str">
            <v>KPB2</v>
          </cell>
          <cell r="L382">
            <v>3405</v>
          </cell>
          <cell r="M382" t="str">
            <v>2025-12-31</v>
          </cell>
          <cell r="N382" t="str">
            <v>2026-03-19</v>
          </cell>
          <cell r="O382" t="str">
            <v>https://hana.modakita.com/azd942/avatar/21395178620260319105300OJEIQF.jpg</v>
          </cell>
        </row>
        <row r="383">
          <cell r="I383" t="str">
            <v>KFE3E1098709</v>
          </cell>
          <cell r="J383" t="str">
            <v>X8709YZ</v>
          </cell>
          <cell r="K383" t="str">
            <v>KPB1</v>
          </cell>
          <cell r="L383">
            <v>359</v>
          </cell>
          <cell r="M383" t="str">
            <v>2026-02-12</v>
          </cell>
          <cell r="N383" t="str">
            <v>2026-03-19</v>
          </cell>
          <cell r="O383" t="str">
            <v>https://hana.modakita.com/azd942/avatar/21393666120260319103651YLBK7K.jpg</v>
          </cell>
        </row>
        <row r="384">
          <cell r="I384" t="str">
            <v>JMC1E1582129</v>
          </cell>
          <cell r="J384" t="str">
            <v>KB2129P</v>
          </cell>
          <cell r="K384" t="str">
            <v>KPB4</v>
          </cell>
          <cell r="L384">
            <v>4347</v>
          </cell>
          <cell r="M384" t="str">
            <v>2025-03-13</v>
          </cell>
          <cell r="N384" t="str">
            <v>2026-03-19</v>
          </cell>
          <cell r="O384" t="str">
            <v>https://hana.modakita.com/azd942/avatar/21393666120260319103550ZC6UKW.jpg</v>
          </cell>
        </row>
        <row r="385">
          <cell r="I385" t="str">
            <v>JMK1E1066321</v>
          </cell>
          <cell r="J385" t="str">
            <v>KB6321P</v>
          </cell>
          <cell r="K385" t="str">
            <v>KPB1</v>
          </cell>
          <cell r="L385">
            <v>271</v>
          </cell>
          <cell r="M385" t="str">
            <v>2026-02-28</v>
          </cell>
          <cell r="N385" t="str">
            <v>2026-03-19</v>
          </cell>
          <cell r="O385" t="str">
            <v>https://hana.modakita.com/azd942/avatar/2963440120260319100913JIQIRS.jpg</v>
          </cell>
        </row>
        <row r="386">
          <cell r="I386" t="str">
            <v>JMF1E1395542</v>
          </cell>
          <cell r="J386" t="str">
            <v>KB5542P</v>
          </cell>
          <cell r="K386" t="str">
            <v>KPB1</v>
          </cell>
          <cell r="L386">
            <v>521</v>
          </cell>
          <cell r="M386" t="str">
            <v>2026-03-09</v>
          </cell>
          <cell r="N386" t="str">
            <v>2026-03-18</v>
          </cell>
          <cell r="O386" t="str">
            <v>https://hana.modakita.com/azd942/avatar/21395178620260318133241ECZIQP.jpg</v>
          </cell>
        </row>
        <row r="387">
          <cell r="I387" t="str">
            <v>JMH2E1794827</v>
          </cell>
          <cell r="J387" t="str">
            <v>KB4827P</v>
          </cell>
          <cell r="K387" t="str">
            <v>KPB1</v>
          </cell>
          <cell r="L387">
            <v>328</v>
          </cell>
          <cell r="M387" t="str">
            <v>2026-03-12</v>
          </cell>
          <cell r="N387" t="str">
            <v>2026-03-18</v>
          </cell>
          <cell r="O387" t="str">
            <v>https://hana.modakita.com/azd942/avatar/21395178620260318131932LNZHI9.jpg</v>
          </cell>
        </row>
        <row r="388">
          <cell r="I388" t="str">
            <v>KC04E1043458</v>
          </cell>
          <cell r="J388" t="str">
            <v>KB3458P</v>
          </cell>
          <cell r="K388" t="str">
            <v>KPB1</v>
          </cell>
          <cell r="L388">
            <v>211</v>
          </cell>
          <cell r="M388" t="str">
            <v>2026-03-06</v>
          </cell>
          <cell r="N388" t="str">
            <v>2026-03-18</v>
          </cell>
          <cell r="O388" t="str">
            <v>https://hana.modakita.com/azd942/avatar/21395178620260318131812DMALXJ.jpg</v>
          </cell>
        </row>
        <row r="389">
          <cell r="I389" t="str">
            <v>KFD1E1100622</v>
          </cell>
          <cell r="J389" t="str">
            <v>KB0622P</v>
          </cell>
          <cell r="K389" t="str">
            <v>KPB3</v>
          </cell>
          <cell r="L389">
            <v>2819</v>
          </cell>
          <cell r="M389" t="str">
            <v>2025-03-25</v>
          </cell>
          <cell r="N389" t="str">
            <v>2026-03-18</v>
          </cell>
          <cell r="O389" t="str">
            <v>https://hana.modakita.com/azd942/avatar/21395178620260318131652MVX1PQ.jpg</v>
          </cell>
        </row>
        <row r="390">
          <cell r="I390" t="str">
            <v>KFD1E1244322</v>
          </cell>
          <cell r="J390" t="str">
            <v>KB5068PAL</v>
          </cell>
          <cell r="K390" t="str">
            <v>KPB1</v>
          </cell>
          <cell r="L390">
            <v>321</v>
          </cell>
          <cell r="M390" t="str">
            <v>2026-02-18</v>
          </cell>
          <cell r="N390" t="str">
            <v>2026-03-18</v>
          </cell>
          <cell r="O390" t="str">
            <v>https://hana.modakita.com/azd942/avatar/21395178620260318131444ZWHX5V.jpg</v>
          </cell>
        </row>
        <row r="391">
          <cell r="I391" t="str">
            <v>JMF2E1629184</v>
          </cell>
          <cell r="J391" t="str">
            <v>X9184YZ</v>
          </cell>
          <cell r="K391" t="str">
            <v>KPB1</v>
          </cell>
          <cell r="L391">
            <v>639</v>
          </cell>
          <cell r="M391" t="str">
            <v>2026-02-04</v>
          </cell>
          <cell r="N391" t="str">
            <v>2026-03-18</v>
          </cell>
          <cell r="O391" t="str">
            <v>https://hana.modakita.com/azd942/avatar/2963440120260318123659OTLKQO.jpg</v>
          </cell>
        </row>
        <row r="392">
          <cell r="I392" t="str">
            <v>JBP1E2151226</v>
          </cell>
          <cell r="J392" t="str">
            <v>KB1226P</v>
          </cell>
          <cell r="K392" t="str">
            <v>KPB1</v>
          </cell>
          <cell r="L392">
            <v>712</v>
          </cell>
          <cell r="M392" t="str">
            <v>2026-03-04</v>
          </cell>
          <cell r="N392" t="str">
            <v>2026-03-18</v>
          </cell>
          <cell r="O392" t="str">
            <v>https://hana.modakita.com/azd942/avatar/29634401202603181236091YOZPX.jpg</v>
          </cell>
        </row>
        <row r="393">
          <cell r="I393" t="str">
            <v>JBP1E2152980</v>
          </cell>
          <cell r="J393" t="str">
            <v>KB2980P</v>
          </cell>
          <cell r="K393" t="str">
            <v>KPB1</v>
          </cell>
          <cell r="L393">
            <v>371</v>
          </cell>
          <cell r="M393" t="str">
            <v>2026-03-05</v>
          </cell>
          <cell r="N393" t="str">
            <v>2026-03-18</v>
          </cell>
          <cell r="O393" t="str">
            <v>https://hana.modakita.com/azd942/avatar/2963440120260318122636H20Y4Q.jpg</v>
          </cell>
        </row>
        <row r="394">
          <cell r="I394" t="str">
            <v>JMH1E1387833</v>
          </cell>
          <cell r="J394" t="str">
            <v>KB7833P</v>
          </cell>
          <cell r="K394" t="str">
            <v>KPB1</v>
          </cell>
          <cell r="L394">
            <v>759</v>
          </cell>
          <cell r="M394" t="str">
            <v>2026-02-26</v>
          </cell>
          <cell r="N394" t="str">
            <v>2026-03-18</v>
          </cell>
          <cell r="O394" t="str">
            <v>https://hana.modakita.com/azd942/avatar/2963440120260318121709Y3UTS8.jpg</v>
          </cell>
        </row>
        <row r="395">
          <cell r="I395" t="str">
            <v>JMH1E1386196</v>
          </cell>
          <cell r="J395" t="str">
            <v>KB6196P</v>
          </cell>
          <cell r="K395" t="str">
            <v>KPB1</v>
          </cell>
          <cell r="L395">
            <v>235</v>
          </cell>
          <cell r="M395" t="str">
            <v>2026-03-04</v>
          </cell>
          <cell r="N395" t="str">
            <v>2026-03-18</v>
          </cell>
          <cell r="O395" t="str">
            <v>https://hana.modakita.com/azd942/avatar/29634401202603181147143KEIQW.jpg</v>
          </cell>
        </row>
        <row r="396">
          <cell r="I396" t="str">
            <v>JBP1E2149064</v>
          </cell>
          <cell r="J396" t="str">
            <v>X9064YZ</v>
          </cell>
          <cell r="K396" t="str">
            <v>KPB1</v>
          </cell>
          <cell r="L396">
            <v>476</v>
          </cell>
          <cell r="M396" t="str">
            <v>2026-02-13</v>
          </cell>
          <cell r="N396" t="str">
            <v>2026-03-25</v>
          </cell>
          <cell r="O396" t="str">
            <v>https://hana.modakita.com/azd942/avatar/213951786202603251132229RUSY2.jpg</v>
          </cell>
        </row>
        <row r="397">
          <cell r="I397" t="str">
            <v>JMH1E1385707</v>
          </cell>
          <cell r="J397" t="str">
            <v>KB4588PAL</v>
          </cell>
          <cell r="K397" t="str">
            <v>KPB1</v>
          </cell>
          <cell r="L397">
            <v>872</v>
          </cell>
          <cell r="M397" t="str">
            <v>2026-02-16</v>
          </cell>
          <cell r="N397" t="str">
            <v>2026-03-25</v>
          </cell>
          <cell r="O397" t="str">
            <v>https://hana.modakita.com/azd942/avatar/21395178620260325113000R44RHL.jpg</v>
          </cell>
        </row>
        <row r="398">
          <cell r="I398" t="str">
            <v>JBP1E2147251</v>
          </cell>
          <cell r="J398" t="str">
            <v>X7251YZ</v>
          </cell>
          <cell r="K398" t="str">
            <v>KPB1</v>
          </cell>
          <cell r="L398">
            <v>704</v>
          </cell>
          <cell r="M398" t="str">
            <v>2026-02-10</v>
          </cell>
          <cell r="N398" t="str">
            <v>2026-03-25</v>
          </cell>
          <cell r="O398" t="str">
            <v>https://hana.modakita.com/azd942/avatar/21395178620260325112748LXZ9OY.jpg</v>
          </cell>
        </row>
        <row r="399">
          <cell r="I399" t="str">
            <v>JMH1E1371231</v>
          </cell>
          <cell r="J399" t="str">
            <v>X1231YZ</v>
          </cell>
          <cell r="K399" t="str">
            <v>KPB1</v>
          </cell>
          <cell r="L399">
            <v>544</v>
          </cell>
          <cell r="M399" t="str">
            <v>2026-02-02</v>
          </cell>
          <cell r="N399" t="str">
            <v>2026-03-25</v>
          </cell>
          <cell r="O399" t="str">
            <v>https://hana.modakita.com/azd942/avatar/213951786202603251123363E2BCR.jpg</v>
          </cell>
        </row>
        <row r="400">
          <cell r="I400" t="str">
            <v>JBP1E2151376</v>
          </cell>
          <cell r="J400" t="str">
            <v>X1376YZ</v>
          </cell>
          <cell r="K400" t="str">
            <v>KPB1</v>
          </cell>
          <cell r="L400">
            <v>688</v>
          </cell>
          <cell r="M400" t="str">
            <v>2026-02-18</v>
          </cell>
          <cell r="N400" t="str">
            <v>2026-03-25</v>
          </cell>
          <cell r="O400" t="str">
            <v>https://hana.modakita.com/azd942/avatar/2963440120260325112029VZWAXV.jpg</v>
          </cell>
        </row>
        <row r="401">
          <cell r="I401" t="str">
            <v>JBK1E2161830</v>
          </cell>
          <cell r="J401" t="str">
            <v>X1830YZ</v>
          </cell>
          <cell r="K401" t="str">
            <v>KPB1</v>
          </cell>
          <cell r="L401">
            <v>834</v>
          </cell>
          <cell r="M401" t="str">
            <v>2026-02-10</v>
          </cell>
          <cell r="N401" t="str">
            <v>2026-03-25</v>
          </cell>
          <cell r="O401" t="str">
            <v>https://hana.modakita.com/azd942/avatar/2963440120260325111912XKEM30.jpg</v>
          </cell>
        </row>
        <row r="402">
          <cell r="I402" t="str">
            <v>JMH2E1700330</v>
          </cell>
          <cell r="J402" t="str">
            <v>X0330YZ</v>
          </cell>
          <cell r="K402" t="str">
            <v>KPB1</v>
          </cell>
          <cell r="L402">
            <v>970</v>
          </cell>
          <cell r="M402" t="str">
            <v>2026-02-06</v>
          </cell>
          <cell r="N402" t="str">
            <v>2026-03-25</v>
          </cell>
          <cell r="O402" t="str">
            <v>https://hana.modakita.com/azd942/avatar/2963440120260325111745WDFMKW.jpg</v>
          </cell>
        </row>
        <row r="403">
          <cell r="I403" t="str">
            <v>JMK2E1024761</v>
          </cell>
          <cell r="J403" t="str">
            <v>KB4761P</v>
          </cell>
          <cell r="K403" t="str">
            <v>KPB1</v>
          </cell>
          <cell r="L403">
            <v>1177</v>
          </cell>
          <cell r="M403" t="str">
            <v>2026-02-23</v>
          </cell>
          <cell r="N403" t="str">
            <v>2026-03-26</v>
          </cell>
          <cell r="O403" t="str">
            <v>https://hana.modakita.com/azd942/avatar/21393666120260326135756D9AKSO.jpg</v>
          </cell>
        </row>
        <row r="404">
          <cell r="I404" t="str">
            <v>JMH2E1751420</v>
          </cell>
          <cell r="J404" t="str">
            <v>KB5091PAL</v>
          </cell>
          <cell r="K404" t="str">
            <v>KPB1</v>
          </cell>
          <cell r="L404">
            <v>859</v>
          </cell>
          <cell r="M404" t="str">
            <v>2026-02-19</v>
          </cell>
          <cell r="N404" t="str">
            <v>2026-03-26</v>
          </cell>
          <cell r="O404" t="str">
            <v>https://hana.modakita.com/azd942/avatar/21393666120260326135637ZH2C5Q.jpg</v>
          </cell>
        </row>
        <row r="405">
          <cell r="I405" t="str">
            <v>JMF2E1695810</v>
          </cell>
          <cell r="J405" t="str">
            <v>KB5810P</v>
          </cell>
          <cell r="K405" t="str">
            <v>KPB1</v>
          </cell>
          <cell r="L405">
            <v>329</v>
          </cell>
          <cell r="M405" t="str">
            <v>2026-03-19</v>
          </cell>
          <cell r="N405" t="str">
            <v>2026-03-26</v>
          </cell>
          <cell r="O405" t="str">
            <v>https://hana.modakita.com/azd942/avatar/213951786202603261239356BIYNC.jpg</v>
          </cell>
        </row>
        <row r="406">
          <cell r="I406" t="str">
            <v>JBK3E1627005</v>
          </cell>
          <cell r="J406" t="str">
            <v>KB7005P</v>
          </cell>
          <cell r="K406" t="str">
            <v>KPB1</v>
          </cell>
          <cell r="L406">
            <v>438</v>
          </cell>
          <cell r="M406" t="str">
            <v>2026-02-26</v>
          </cell>
          <cell r="N406" t="str">
            <v>2026-03-26</v>
          </cell>
          <cell r="O406" t="str">
            <v>https://hana.modakita.com/azd942/avatar/21395178620260326123631XLLWYY.jpg</v>
          </cell>
        </row>
        <row r="407">
          <cell r="I407" t="str">
            <v>JBK3E1626387</v>
          </cell>
          <cell r="J407" t="str">
            <v>KB6387P</v>
          </cell>
          <cell r="K407" t="str">
            <v>KPB1</v>
          </cell>
          <cell r="L407">
            <v>879</v>
          </cell>
          <cell r="M407" t="str">
            <v>2026-02-27</v>
          </cell>
          <cell r="N407" t="str">
            <v>2026-03-26</v>
          </cell>
          <cell r="O407" t="str">
            <v>https://hana.modakita.com/azd942/avatar/21395178620260326123220MPUYIP.jpg</v>
          </cell>
        </row>
        <row r="408">
          <cell r="I408" t="str">
            <v>JMH2E1396461</v>
          </cell>
          <cell r="J408" t="str">
            <v>KB7353PAH</v>
          </cell>
          <cell r="K408" t="str">
            <v>KPB4</v>
          </cell>
          <cell r="L408">
            <v>11523</v>
          </cell>
          <cell r="M408" t="str">
            <v>2025-08-22</v>
          </cell>
          <cell r="N408" t="str">
            <v>2026-03-26</v>
          </cell>
          <cell r="O408" t="str">
            <v>https://hana.modakita.com/azd942/avatar/2963440120260326122318ZNIMIP.jpg</v>
          </cell>
        </row>
        <row r="409">
          <cell r="I409" t="str">
            <v>JMH1E1397592</v>
          </cell>
          <cell r="J409" t="str">
            <v>KB7592P</v>
          </cell>
          <cell r="K409" t="str">
            <v>KPB1</v>
          </cell>
          <cell r="L409">
            <v>901</v>
          </cell>
          <cell r="M409" t="str">
            <v>2026-02-24</v>
          </cell>
          <cell r="N409" t="str">
            <v>2026-03-26</v>
          </cell>
          <cell r="O409" t="str">
            <v>https://hana.modakita.com/azd942/avatar/2963440120260326122157WMGC3J.jpg</v>
          </cell>
        </row>
        <row r="410">
          <cell r="I410" t="str">
            <v>JMH1E1402093</v>
          </cell>
          <cell r="J410" t="str">
            <v>KB2093P</v>
          </cell>
          <cell r="K410" t="str">
            <v>KPB1</v>
          </cell>
          <cell r="L410">
            <v>249</v>
          </cell>
          <cell r="M410" t="str">
            <v>2026-03-07</v>
          </cell>
          <cell r="N410" t="str">
            <v>2026-03-26</v>
          </cell>
          <cell r="O410" t="str">
            <v>https://hana.modakita.com/azd942/avatar/2963440120260326114134DH6PH8.jpg</v>
          </cell>
        </row>
        <row r="411">
          <cell r="I411" t="str">
            <v>JMF2E1448087</v>
          </cell>
          <cell r="J411" t="str">
            <v>KB8087P</v>
          </cell>
          <cell r="K411" t="str">
            <v>KPB4</v>
          </cell>
          <cell r="L411">
            <v>11201</v>
          </cell>
          <cell r="M411" t="str">
            <v>2025-06-05</v>
          </cell>
          <cell r="N411" t="str">
            <v>2026-03-27</v>
          </cell>
          <cell r="O411" t="str">
            <v>https://hana.modakita.com/azd942/avatar/21395178620260327114820OBKOUN.jpg</v>
          </cell>
        </row>
        <row r="412">
          <cell r="I412" t="str">
            <v>JMH1E1267710</v>
          </cell>
          <cell r="J412" t="str">
            <v>KB6381PAJ</v>
          </cell>
          <cell r="K412" t="str">
            <v>KPB3</v>
          </cell>
          <cell r="L412">
            <v>6152</v>
          </cell>
          <cell r="M412" t="str">
            <v>2025-10-04</v>
          </cell>
          <cell r="N412" t="str">
            <v>2026-03-27</v>
          </cell>
          <cell r="O412" t="str">
            <v>https://hana.modakita.com/azd942/avatar/22801420260327114447PYGHUH.jpg</v>
          </cell>
        </row>
        <row r="413">
          <cell r="I413" t="str">
            <v>JBK1E2105324</v>
          </cell>
          <cell r="J413" t="str">
            <v>KB5324P</v>
          </cell>
          <cell r="K413" t="str">
            <v>KPB4</v>
          </cell>
          <cell r="L413">
            <v>12000</v>
          </cell>
          <cell r="M413" t="str">
            <v>2025-06-14</v>
          </cell>
          <cell r="N413" t="str">
            <v>2026-03-27</v>
          </cell>
          <cell r="O413" t="str">
            <v>https://hana.modakita.com/azd942/avatar/2963440120260327112537DFVXRO.jpg</v>
          </cell>
        </row>
        <row r="414">
          <cell r="I414" t="str">
            <v>JBK3E1609346</v>
          </cell>
          <cell r="J414" t="str">
            <v>KB9346P</v>
          </cell>
          <cell r="K414" t="str">
            <v>KPB2</v>
          </cell>
          <cell r="L414">
            <v>2340</v>
          </cell>
          <cell r="M414" t="str">
            <v>2025-11-24</v>
          </cell>
          <cell r="N414" t="str">
            <v>2026-03-27</v>
          </cell>
          <cell r="O414" t="str">
            <v>https://hana.modakita.com/azd942/avatar/29634401202603271115343THWVN.jpg</v>
          </cell>
        </row>
        <row r="415">
          <cell r="I415" t="str">
            <v>JMF1E1387148</v>
          </cell>
          <cell r="J415" t="str">
            <v>KB5893PAL</v>
          </cell>
          <cell r="K415" t="str">
            <v>KPB1</v>
          </cell>
          <cell r="L415">
            <v>873</v>
          </cell>
          <cell r="M415" t="str">
            <v>2026-03-03</v>
          </cell>
          <cell r="N415" t="str">
            <v>2026-03-27</v>
          </cell>
          <cell r="O415" t="str">
            <v>https://hana.modakita.com/azd942/avatar/21395178620260327111455Q72JDJ.jpg</v>
          </cell>
        </row>
        <row r="416">
          <cell r="I416" t="str">
            <v>JMJ1E1036672</v>
          </cell>
          <cell r="J416" t="str">
            <v>KB6672P</v>
          </cell>
          <cell r="K416" t="str">
            <v>KPB1</v>
          </cell>
          <cell r="L416">
            <v>1068</v>
          </cell>
          <cell r="M416" t="str">
            <v>2026-02-23</v>
          </cell>
          <cell r="N416" t="str">
            <v>2026-03-27</v>
          </cell>
          <cell r="O416" t="str">
            <v>https://hana.modakita.com/azd942/avatar/21395178620260327111246AEHOFY.jpg</v>
          </cell>
        </row>
        <row r="417">
          <cell r="I417" t="str">
            <v>KF01E1861563</v>
          </cell>
          <cell r="J417" t="str">
            <v>KB2078PAL</v>
          </cell>
          <cell r="K417" t="str">
            <v>KPB2</v>
          </cell>
          <cell r="L417">
            <v>829</v>
          </cell>
          <cell r="M417" t="str">
            <v>2026-01-02</v>
          </cell>
          <cell r="N417" t="str">
            <v>2026-03-27</v>
          </cell>
          <cell r="O417" t="str">
            <v>https://hana.modakita.com/azd942/avatar/2963440120260327110603R4LQMJ.jpg</v>
          </cell>
        </row>
        <row r="418">
          <cell r="I418" t="str">
            <v>KC04E1043128</v>
          </cell>
          <cell r="J418" t="str">
            <v>KB3128XAA</v>
          </cell>
          <cell r="K418" t="str">
            <v>KPB1</v>
          </cell>
          <cell r="L418">
            <v>530</v>
          </cell>
          <cell r="M418" t="str">
            <v>2026-02-23</v>
          </cell>
          <cell r="N418" t="str">
            <v>2026-03-27</v>
          </cell>
          <cell r="O418" t="str">
            <v>https://hana.modakita.com/azd942/avatar/2515001020260327095836VITC2G.jpg</v>
          </cell>
        </row>
        <row r="419">
          <cell r="I419" t="str">
            <v>KFE1E1465170</v>
          </cell>
          <cell r="J419" t="str">
            <v>KB5170XAA</v>
          </cell>
          <cell r="K419" t="str">
            <v>KPB1</v>
          </cell>
          <cell r="L419">
            <v>1000</v>
          </cell>
          <cell r="M419" t="str">
            <v>2026-03-12</v>
          </cell>
          <cell r="N419" t="str">
            <v>2026-03-27</v>
          </cell>
          <cell r="O419" t="str">
            <v>https://hana.modakita.com/azd942/avatar/2515001020260327095015HQN0QP.jpg</v>
          </cell>
        </row>
        <row r="420">
          <cell r="I420" t="str">
            <v>JMC1E1724551</v>
          </cell>
          <cell r="J420" t="str">
            <v>KB6394PAJ</v>
          </cell>
          <cell r="K420" t="str">
            <v>KPB3</v>
          </cell>
          <cell r="L420">
            <v>5120</v>
          </cell>
          <cell r="M420" t="str">
            <v>2025-09-26</v>
          </cell>
          <cell r="N420" t="str">
            <v>2026-03-29</v>
          </cell>
          <cell r="O420" t="str">
            <v>https://hana.modakita.com/azd942/avatar/21393666120260329114159GOKGQ6.jpg</v>
          </cell>
        </row>
        <row r="421">
          <cell r="I421" t="str">
            <v>JME1E1985526</v>
          </cell>
          <cell r="J421" t="str">
            <v>KB5398PAL</v>
          </cell>
          <cell r="K421" t="str">
            <v>KPB1</v>
          </cell>
          <cell r="L421">
            <v>734</v>
          </cell>
          <cell r="M421" t="str">
            <v>2026-02-25</v>
          </cell>
          <cell r="N421" t="str">
            <v>2026-03-29</v>
          </cell>
          <cell r="O421" t="str">
            <v>https://hana.modakita.com/azd942/avatar/21393666120260329114051XSOMEU.jpg</v>
          </cell>
        </row>
        <row r="422">
          <cell r="I422" t="str">
            <v>KC04E1042284</v>
          </cell>
          <cell r="J422" t="str">
            <v>KB2284P</v>
          </cell>
          <cell r="K422" t="str">
            <v>KPB1</v>
          </cell>
          <cell r="L422">
            <v>230</v>
          </cell>
          <cell r="M422" t="str">
            <v>2026-02-20</v>
          </cell>
          <cell r="N422" t="str">
            <v>2026-03-29</v>
          </cell>
          <cell r="O422" t="str">
            <v>https://hana.modakita.com/azd942/avatar/21393666120260329113935SY9XUN.jpg</v>
          </cell>
        </row>
        <row r="423">
          <cell r="I423" t="str">
            <v>JBK1E2154735</v>
          </cell>
          <cell r="J423" t="str">
            <v>KB5724KL</v>
          </cell>
          <cell r="K423" t="str">
            <v>KPB2</v>
          </cell>
          <cell r="L423">
            <v>3972</v>
          </cell>
          <cell r="M423" t="str">
            <v>2025-12-27</v>
          </cell>
          <cell r="N423" t="str">
            <v>2026-03-29</v>
          </cell>
          <cell r="O423" t="str">
            <v>https://hana.modakita.com/azd942/avatar/21395178620260329113724SPIGBY.jpg</v>
          </cell>
        </row>
        <row r="424">
          <cell r="I424" t="str">
            <v>JBP1E2151943</v>
          </cell>
          <cell r="J424" t="str">
            <v>KB5877PAL</v>
          </cell>
          <cell r="K424" t="str">
            <v>KPB1</v>
          </cell>
          <cell r="L424">
            <v>923</v>
          </cell>
          <cell r="M424" t="str">
            <v>2026-02-27</v>
          </cell>
          <cell r="N424" t="str">
            <v>2026-03-29</v>
          </cell>
          <cell r="O424" t="str">
            <v>https://hana.modakita.com/azd942/avatar/21395178620260329113447Y23OUE.jpg</v>
          </cell>
        </row>
        <row r="425">
          <cell r="I425" t="str">
            <v>JBP1E2150510</v>
          </cell>
          <cell r="J425" t="str">
            <v>KB5876PAL</v>
          </cell>
          <cell r="K425" t="str">
            <v>KPB1</v>
          </cell>
          <cell r="L425">
            <v>374</v>
          </cell>
          <cell r="M425" t="str">
            <v>2026-02-28</v>
          </cell>
          <cell r="N425" t="str">
            <v>2026-03-29</v>
          </cell>
          <cell r="O425" t="str">
            <v>https://hana.modakita.com/azd942/avatar/21395178620260329111829TAC5EU.jpg</v>
          </cell>
        </row>
        <row r="426">
          <cell r="I426" t="str">
            <v>JMK1E1090264</v>
          </cell>
          <cell r="J426" t="str">
            <v>X123YZ</v>
          </cell>
          <cell r="K426" t="str">
            <v>KPB1</v>
          </cell>
          <cell r="L426">
            <v>790</v>
          </cell>
          <cell r="M426" t="str">
            <v>2026-03-13</v>
          </cell>
          <cell r="N426" t="str">
            <v>2026-03-29</v>
          </cell>
          <cell r="O426" t="str">
            <v>https://hana.modakita.com/azd942/avatar/29634401202603291116209T6G3W.jpg</v>
          </cell>
        </row>
        <row r="427">
          <cell r="I427" t="str">
            <v>JMK1E1047001</v>
          </cell>
          <cell r="J427" t="str">
            <v>KB7001P</v>
          </cell>
          <cell r="K427" t="str">
            <v>KPB1</v>
          </cell>
          <cell r="L427">
            <v>501</v>
          </cell>
          <cell r="M427" t="str">
            <v>2026-02-23</v>
          </cell>
          <cell r="N427" t="str">
            <v>2026-03-29</v>
          </cell>
          <cell r="O427" t="str">
            <v>https://hana.modakita.com/azd942/avatar/2963440120260329110549G3FAHM.jpg</v>
          </cell>
        </row>
        <row r="428">
          <cell r="I428" t="str">
            <v>JMK1E1091181</v>
          </cell>
          <cell r="J428" t="str">
            <v>KB1181P</v>
          </cell>
          <cell r="K428" t="str">
            <v>KPB1</v>
          </cell>
          <cell r="L428">
            <v>649</v>
          </cell>
          <cell r="M428" t="str">
            <v>2026-03-14</v>
          </cell>
          <cell r="N428" t="str">
            <v>2026-03-29</v>
          </cell>
          <cell r="O428" t="str">
            <v>https://hana.modakita.com/azd942/avatar/2963440120260329105909CRSRWJ.jpg</v>
          </cell>
        </row>
        <row r="429">
          <cell r="I429" t="str">
            <v>KC04E1043422</v>
          </cell>
          <cell r="J429" t="str">
            <v>KB5899PAL</v>
          </cell>
          <cell r="K429" t="str">
            <v>KPB1</v>
          </cell>
          <cell r="L429">
            <v>846</v>
          </cell>
          <cell r="M429" t="str">
            <v>2026-02-27</v>
          </cell>
          <cell r="N429" t="str">
            <v>2026-03-28</v>
          </cell>
          <cell r="O429" t="str">
            <v>https://hana.modakita.com/azd942/avatar/21395178620260328135125GMBJ6Z.jpg</v>
          </cell>
        </row>
        <row r="430">
          <cell r="I430" t="str">
            <v>JMH1E1411523</v>
          </cell>
          <cell r="J430" t="str">
            <v>KB1523PAL</v>
          </cell>
          <cell r="K430" t="str">
            <v>KPB1</v>
          </cell>
          <cell r="L430">
            <v>497</v>
          </cell>
          <cell r="M430" t="str">
            <v>2026-03-13</v>
          </cell>
          <cell r="N430" t="str">
            <v>2026-03-28</v>
          </cell>
          <cell r="O430" t="str">
            <v>https://hana.modakita.com/azd942/avatar/21395178620260328134708TTFVEV.jpg</v>
          </cell>
        </row>
        <row r="431">
          <cell r="I431" t="str">
            <v>KC04E1047446</v>
          </cell>
          <cell r="J431" t="str">
            <v>X7446YZ</v>
          </cell>
          <cell r="K431" t="str">
            <v>KPB1</v>
          </cell>
          <cell r="L431">
            <v>84</v>
          </cell>
          <cell r="M431" t="str">
            <v>2026-03-25</v>
          </cell>
          <cell r="N431" t="str">
            <v>2026-03-28</v>
          </cell>
          <cell r="O431" t="str">
            <v>https://hana.modakita.com/azd942/avatar/2963440120260328134338CJJ8RO.jpg</v>
          </cell>
        </row>
        <row r="432">
          <cell r="I432" t="str">
            <v>JMJ1E1042989</v>
          </cell>
          <cell r="J432" t="str">
            <v>KB2989P</v>
          </cell>
          <cell r="K432" t="str">
            <v>KPB1</v>
          </cell>
          <cell r="L432">
            <v>1135</v>
          </cell>
          <cell r="M432" t="str">
            <v>2026-03-02</v>
          </cell>
          <cell r="N432" t="str">
            <v>2026-03-28</v>
          </cell>
          <cell r="O432" t="str">
            <v>https://hana.modakita.com/azd942/avatar/2963440120260328134303XMMBIQ.jpg</v>
          </cell>
        </row>
        <row r="433">
          <cell r="I433" t="str">
            <v>JMH1E1384532</v>
          </cell>
          <cell r="J433" t="str">
            <v>KB4532P</v>
          </cell>
          <cell r="K433" t="str">
            <v>KPB2</v>
          </cell>
          <cell r="L433">
            <v>2042</v>
          </cell>
          <cell r="M433" t="str">
            <v>2026-02-25</v>
          </cell>
          <cell r="N433" t="str">
            <v>2026-03-28</v>
          </cell>
          <cell r="O433" t="str">
            <v>https://hana.modakita.com/azd942/avatar/2963440120260328134217RTJW2B.jpg</v>
          </cell>
        </row>
        <row r="434">
          <cell r="I434" t="str">
            <v>JBK3E1599961</v>
          </cell>
          <cell r="J434" t="str">
            <v>KB6829PAJ</v>
          </cell>
          <cell r="K434" t="str">
            <v>KPB3</v>
          </cell>
          <cell r="L434">
            <v>7901</v>
          </cell>
          <cell r="M434" t="str">
            <v>2025-10-10</v>
          </cell>
          <cell r="N434" t="str">
            <v>2026-03-28</v>
          </cell>
          <cell r="O434" t="str">
            <v>https://hana.modakita.com/azd942/avatar/2963440120260328125504DBNTAK.jpg</v>
          </cell>
        </row>
        <row r="435">
          <cell r="I435" t="str">
            <v>KC04E1038088</v>
          </cell>
          <cell r="J435" t="str">
            <v>KB8088P</v>
          </cell>
          <cell r="K435" t="str">
            <v>KPB2</v>
          </cell>
          <cell r="L435">
            <v>3404</v>
          </cell>
          <cell r="M435" t="str">
            <v>2026-01-17</v>
          </cell>
          <cell r="N435" t="str">
            <v>2026-03-28</v>
          </cell>
          <cell r="O435" t="str">
            <v>https://hana.modakita.com/azd942/avatar/2963440120260328125347UMNY0G.jpg</v>
          </cell>
        </row>
        <row r="436">
          <cell r="I436" t="str">
            <v>JMH1E1379550</v>
          </cell>
          <cell r="J436" t="str">
            <v>KB5142PAL</v>
          </cell>
          <cell r="K436" t="str">
            <v>KPB1</v>
          </cell>
          <cell r="L436">
            <v>1212</v>
          </cell>
          <cell r="M436" t="str">
            <v>2026-02-23</v>
          </cell>
          <cell r="N436" t="str">
            <v>2026-03-28</v>
          </cell>
          <cell r="O436" t="str">
            <v>https://hana.modakita.com/azd942/avatar/2963440120260328112131TZCNRW.jpg</v>
          </cell>
        </row>
        <row r="437">
          <cell r="I437" t="str">
            <v>KFC1E1266900</v>
          </cell>
          <cell r="J437" t="str">
            <v>X6900YZ</v>
          </cell>
          <cell r="K437" t="str">
            <v>KPB1</v>
          </cell>
          <cell r="L437">
            <v>773</v>
          </cell>
          <cell r="M437" t="str">
            <v>2026-02-19</v>
          </cell>
          <cell r="N437" t="str">
            <v>2026-03-30</v>
          </cell>
          <cell r="O437" t="str">
            <v>https://hana.modakita.com/azd942/avatar/21395178620260330121132HRVMAP.jpg</v>
          </cell>
        </row>
        <row r="438">
          <cell r="I438" t="str">
            <v>KFD1E1238814</v>
          </cell>
          <cell r="J438" t="str">
            <v>X8814YZ</v>
          </cell>
          <cell r="K438" t="str">
            <v>KPB1</v>
          </cell>
          <cell r="L438">
            <v>231</v>
          </cell>
          <cell r="M438" t="str">
            <v>2026-02-03</v>
          </cell>
          <cell r="N438" t="str">
            <v>2026-03-30</v>
          </cell>
          <cell r="O438" t="str">
            <v>https://hana.modakita.com/azd942/avatar/21395178620260330120839T6XZSP.jpg</v>
          </cell>
        </row>
        <row r="439">
          <cell r="I439" t="str">
            <v>JME1E1395186</v>
          </cell>
          <cell r="J439" t="str">
            <v>KB5186P</v>
          </cell>
          <cell r="K439" t="str">
            <v>KPB4</v>
          </cell>
          <cell r="L439">
            <v>8527</v>
          </cell>
          <cell r="M439" t="str">
            <v>2025-03-22</v>
          </cell>
          <cell r="N439" t="str">
            <v>2026-03-30</v>
          </cell>
          <cell r="O439" t="str">
            <v>https://hana.modakita.com/azd942/avatar/21395178620260330120113PIQUGF.jpg</v>
          </cell>
        </row>
        <row r="440">
          <cell r="I440" t="str">
            <v>JME1E1943451</v>
          </cell>
          <cell r="J440" t="str">
            <v>KB3495KA</v>
          </cell>
          <cell r="K440" t="str">
            <v>KPB1</v>
          </cell>
          <cell r="L440">
            <v>355</v>
          </cell>
          <cell r="M440" t="str">
            <v>2026-02-16</v>
          </cell>
          <cell r="N440" t="str">
            <v>2026-03-30</v>
          </cell>
          <cell r="O440" t="str">
            <v>https://hana.modakita.com/azd942/avatar/21395178620260330115756ZD2AGD.jpg</v>
          </cell>
        </row>
        <row r="441">
          <cell r="I441" t="str">
            <v>JME1E1994251</v>
          </cell>
          <cell r="J441" t="str">
            <v>X4251YZ</v>
          </cell>
          <cell r="K441" t="str">
            <v>KPB1</v>
          </cell>
          <cell r="L441">
            <v>999</v>
          </cell>
          <cell r="M441" t="str">
            <v>2026-02-23</v>
          </cell>
          <cell r="N441" t="str">
            <v>2026-03-30</v>
          </cell>
          <cell r="O441" t="str">
            <v>https://hana.modakita.com/azd942/avatar/2963440120260330115601IWXONY.jpg</v>
          </cell>
        </row>
        <row r="442">
          <cell r="I442" t="str">
            <v>KC04E1040273</v>
          </cell>
          <cell r="J442" t="str">
            <v>X0273YZ</v>
          </cell>
          <cell r="K442" t="str">
            <v>KPB1</v>
          </cell>
          <cell r="L442">
            <v>1120</v>
          </cell>
          <cell r="M442" t="str">
            <v>2026-02-06</v>
          </cell>
          <cell r="N442" t="str">
            <v>2026-03-30</v>
          </cell>
          <cell r="O442" t="str">
            <v>https://hana.modakita.com/azd942/avatar/213951786202603301155420KI9AZ.jpg</v>
          </cell>
        </row>
        <row r="443">
          <cell r="I443" t="str">
            <v>JMF1E1315291</v>
          </cell>
          <cell r="J443" t="str">
            <v>KB4557PAL</v>
          </cell>
          <cell r="K443" t="str">
            <v>KPB1</v>
          </cell>
          <cell r="L443">
            <v>794</v>
          </cell>
          <cell r="M443" t="str">
            <v>2026-02-16</v>
          </cell>
          <cell r="N443" t="str">
            <v>2026-03-30</v>
          </cell>
          <cell r="O443" t="str">
            <v>https://hana.modakita.com/azd942/avatar/2963440120260330115433VBN1VO.jpg</v>
          </cell>
        </row>
        <row r="444">
          <cell r="I444" t="str">
            <v>JMF1E1256118</v>
          </cell>
          <cell r="J444" t="str">
            <v>KB6118P</v>
          </cell>
          <cell r="K444" t="str">
            <v>KPB4</v>
          </cell>
          <cell r="L444">
            <v>8316</v>
          </cell>
          <cell r="M444" t="str">
            <v>2025-06-12</v>
          </cell>
          <cell r="N444" t="str">
            <v>2026-03-31</v>
          </cell>
          <cell r="O444" t="str">
            <v>https://hana.modakita.com/azd942/avatar/21393666120260331132445F6DP2J.jpg</v>
          </cell>
        </row>
        <row r="445">
          <cell r="I445" t="str">
            <v>JBK3E1606664</v>
          </cell>
          <cell r="J445" t="str">
            <v>KB3135PAK</v>
          </cell>
          <cell r="K445" t="str">
            <v>KPB3</v>
          </cell>
          <cell r="L445">
            <v>1552</v>
          </cell>
          <cell r="M445" t="str">
            <v>2025-11-04</v>
          </cell>
          <cell r="N445" t="str">
            <v>2026-03-31</v>
          </cell>
          <cell r="O445" t="str">
            <v>https://hana.modakita.com/azd942/avatar/21393666120260331132318QAQVBX.jpg</v>
          </cell>
        </row>
        <row r="446">
          <cell r="I446" t="str">
            <v>JBP1E2153547</v>
          </cell>
          <cell r="J446" t="str">
            <v>KB3547P</v>
          </cell>
          <cell r="K446" t="str">
            <v>KPB1</v>
          </cell>
          <cell r="L446">
            <v>630</v>
          </cell>
          <cell r="M446" t="str">
            <v>2026-03-12</v>
          </cell>
          <cell r="N446" t="str">
            <v>2026-03-31</v>
          </cell>
          <cell r="O446" t="str">
            <v>https://hana.modakita.com/azd942/avatar/21395178620260331132024ESG0WH.jpg</v>
          </cell>
        </row>
        <row r="447">
          <cell r="I447" t="str">
            <v>KFD1E1246092</v>
          </cell>
          <cell r="J447" t="str">
            <v>X6092YZ</v>
          </cell>
          <cell r="K447" t="str">
            <v>KPB1</v>
          </cell>
          <cell r="L447">
            <v>699</v>
          </cell>
          <cell r="M447" t="str">
            <v>2026-02-12</v>
          </cell>
          <cell r="N447" t="str">
            <v>2026-03-31</v>
          </cell>
          <cell r="O447" t="str">
            <v>https://hana.modakita.com/azd942/avatar/21395178620260331130341GQOO5P.jpg</v>
          </cell>
        </row>
        <row r="448">
          <cell r="I448" t="str">
            <v>KC04E1043414</v>
          </cell>
          <cell r="J448" t="str">
            <v>KB5397PAL</v>
          </cell>
          <cell r="K448" t="str">
            <v>KPB1</v>
          </cell>
          <cell r="L448">
            <v>988</v>
          </cell>
          <cell r="M448" t="str">
            <v>2026-02-25</v>
          </cell>
          <cell r="N448" t="str">
            <v>2026-03-31</v>
          </cell>
          <cell r="O448" t="str">
            <v>https://hana.modakita.com/azd942/avatar/2963440120260331104019IQJCSH.jpg</v>
          </cell>
        </row>
        <row r="449">
          <cell r="I449" t="str">
            <v>KC04E1041103</v>
          </cell>
          <cell r="J449" t="str">
            <v>X1103YZ</v>
          </cell>
          <cell r="K449" t="str">
            <v>KPB1</v>
          </cell>
          <cell r="L449">
            <v>721</v>
          </cell>
          <cell r="M449" t="str">
            <v>2026-02-12</v>
          </cell>
          <cell r="N449" t="str">
            <v>2026-03-31</v>
          </cell>
          <cell r="O449" t="str">
            <v>https://hana.modakita.com/azd942/avatar/2963440120260331103733YBOTZ7.jpg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workbookViewId="0">
      <selection activeCell="C17" sqref="C17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ht="40.700000000000003" customHeight="1" x14ac:dyDescent="0.2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1:12" ht="16.7" customHeight="1" x14ac:dyDescent="0.2">
      <c r="A3" s="55" t="s">
        <v>2</v>
      </c>
      <c r="B3" s="55" t="s">
        <v>3</v>
      </c>
      <c r="C3" s="55" t="s">
        <v>4</v>
      </c>
      <c r="D3" s="55" t="s">
        <v>5</v>
      </c>
      <c r="E3" s="57"/>
      <c r="F3" s="57"/>
      <c r="G3" s="58"/>
      <c r="H3" s="55" t="s">
        <v>6</v>
      </c>
      <c r="I3" s="55" t="s">
        <v>7</v>
      </c>
      <c r="J3" s="55" t="s">
        <v>8</v>
      </c>
      <c r="K3" s="55" t="s">
        <v>9</v>
      </c>
      <c r="L3" s="55" t="s">
        <v>10</v>
      </c>
    </row>
    <row r="4" spans="1:12" ht="17.45" customHeight="1" x14ac:dyDescent="0.2">
      <c r="A4" s="56"/>
      <c r="B4" s="56"/>
      <c r="C4" s="56"/>
      <c r="D4" s="1" t="s">
        <v>11</v>
      </c>
      <c r="E4" s="1" t="s">
        <v>12</v>
      </c>
      <c r="F4" s="1" t="s">
        <v>13</v>
      </c>
      <c r="G4" s="1" t="s">
        <v>14</v>
      </c>
      <c r="H4" s="56"/>
      <c r="I4" s="56"/>
      <c r="J4" s="56"/>
      <c r="K4" s="56"/>
      <c r="L4" s="56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15</v>
      </c>
      <c r="G5" s="2" t="s">
        <v>19</v>
      </c>
      <c r="H5" s="2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spans="1:12" ht="17.45" customHeight="1" x14ac:dyDescent="0.2">
      <c r="A6" s="2" t="s">
        <v>25</v>
      </c>
      <c r="B6" s="3" t="s">
        <v>26</v>
      </c>
      <c r="C6" s="2" t="s">
        <v>17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4" t="s">
        <v>32</v>
      </c>
      <c r="J6" s="4" t="s">
        <v>33</v>
      </c>
      <c r="K6" s="4" t="s">
        <v>34</v>
      </c>
      <c r="L6" s="4" t="s">
        <v>24</v>
      </c>
    </row>
    <row r="7" spans="1:12" ht="17.45" customHeight="1" x14ac:dyDescent="0.2">
      <c r="A7" s="2" t="s">
        <v>35</v>
      </c>
      <c r="B7" s="3" t="s">
        <v>36</v>
      </c>
      <c r="C7" s="2" t="s">
        <v>17</v>
      </c>
      <c r="D7" s="2" t="s">
        <v>15</v>
      </c>
      <c r="E7" s="2" t="s">
        <v>19</v>
      </c>
      <c r="F7" s="2" t="s">
        <v>19</v>
      </c>
      <c r="G7" s="2" t="s">
        <v>19</v>
      </c>
      <c r="H7" s="2" t="s">
        <v>15</v>
      </c>
      <c r="I7" s="4" t="s">
        <v>37</v>
      </c>
      <c r="J7" s="4" t="s">
        <v>38</v>
      </c>
      <c r="K7" s="4" t="s">
        <v>39</v>
      </c>
      <c r="L7" s="4" t="s">
        <v>24</v>
      </c>
    </row>
    <row r="8" spans="1:12" ht="16.7" customHeight="1" x14ac:dyDescent="0.2">
      <c r="A8" s="2" t="s">
        <v>30</v>
      </c>
      <c r="B8" s="3" t="s">
        <v>40</v>
      </c>
      <c r="C8" s="2" t="s">
        <v>17</v>
      </c>
      <c r="D8" s="2" t="s">
        <v>25</v>
      </c>
      <c r="E8" s="2" t="s">
        <v>15</v>
      </c>
      <c r="F8" s="2" t="s">
        <v>19</v>
      </c>
      <c r="G8" s="2" t="s">
        <v>19</v>
      </c>
      <c r="H8" s="2" t="s">
        <v>35</v>
      </c>
      <c r="I8" s="4" t="s">
        <v>41</v>
      </c>
      <c r="J8" s="4" t="s">
        <v>42</v>
      </c>
      <c r="K8" s="4" t="s">
        <v>43</v>
      </c>
      <c r="L8" s="4" t="s">
        <v>24</v>
      </c>
    </row>
    <row r="9" spans="1:12" ht="17.45" customHeight="1" x14ac:dyDescent="0.2">
      <c r="A9" s="2" t="s">
        <v>29</v>
      </c>
      <c r="B9" s="3" t="s">
        <v>44</v>
      </c>
      <c r="C9" s="2" t="s">
        <v>17</v>
      </c>
      <c r="D9" s="2" t="s">
        <v>45</v>
      </c>
      <c r="E9" s="2" t="s">
        <v>30</v>
      </c>
      <c r="F9" s="2" t="s">
        <v>25</v>
      </c>
      <c r="G9" s="2" t="s">
        <v>19</v>
      </c>
      <c r="H9" s="2" t="s">
        <v>46</v>
      </c>
      <c r="I9" s="4" t="s">
        <v>47</v>
      </c>
      <c r="J9" s="4" t="s">
        <v>48</v>
      </c>
      <c r="K9" s="4" t="s">
        <v>49</v>
      </c>
      <c r="L9" s="4" t="s">
        <v>24</v>
      </c>
    </row>
    <row r="10" spans="1:12" ht="17.45" customHeight="1" x14ac:dyDescent="0.2">
      <c r="A10" s="2" t="s">
        <v>18</v>
      </c>
      <c r="B10" s="3" t="s">
        <v>50</v>
      </c>
      <c r="C10" s="2" t="s">
        <v>17</v>
      </c>
      <c r="D10" s="2" t="s">
        <v>30</v>
      </c>
      <c r="E10" s="2" t="s">
        <v>15</v>
      </c>
      <c r="F10" s="2" t="s">
        <v>15</v>
      </c>
      <c r="G10" s="2" t="s">
        <v>15</v>
      </c>
      <c r="H10" s="2" t="s">
        <v>20</v>
      </c>
      <c r="I10" s="4" t="s">
        <v>51</v>
      </c>
      <c r="J10" s="4" t="s">
        <v>52</v>
      </c>
      <c r="K10" s="4" t="s">
        <v>53</v>
      </c>
      <c r="L10" s="4" t="s">
        <v>24</v>
      </c>
    </row>
    <row r="11" spans="1:12" ht="16.7" customHeight="1" x14ac:dyDescent="0.2">
      <c r="A11" s="2" t="s">
        <v>20</v>
      </c>
      <c r="B11" s="3" t="s">
        <v>54</v>
      </c>
      <c r="C11" s="2" t="s">
        <v>17</v>
      </c>
      <c r="D11" s="2" t="s">
        <v>55</v>
      </c>
      <c r="E11" s="2" t="s">
        <v>56</v>
      </c>
      <c r="F11" s="2" t="s">
        <v>30</v>
      </c>
      <c r="G11" s="2" t="s">
        <v>30</v>
      </c>
      <c r="H11" s="2" t="s">
        <v>57</v>
      </c>
      <c r="I11" s="4" t="s">
        <v>58</v>
      </c>
      <c r="J11" s="4" t="s">
        <v>59</v>
      </c>
      <c r="K11" s="4" t="s">
        <v>60</v>
      </c>
      <c r="L11" s="4" t="s">
        <v>24</v>
      </c>
    </row>
    <row r="12" spans="1:12" ht="17.45" customHeight="1" x14ac:dyDescent="0.2">
      <c r="A12" s="2" t="s">
        <v>61</v>
      </c>
      <c r="B12" s="3" t="s">
        <v>62</v>
      </c>
      <c r="C12" s="2" t="s">
        <v>17</v>
      </c>
      <c r="D12" s="2" t="s">
        <v>63</v>
      </c>
      <c r="E12" s="2" t="s">
        <v>29</v>
      </c>
      <c r="F12" s="2" t="s">
        <v>15</v>
      </c>
      <c r="G12" s="2" t="s">
        <v>19</v>
      </c>
      <c r="H12" s="2" t="s">
        <v>64</v>
      </c>
      <c r="I12" s="4" t="s">
        <v>65</v>
      </c>
      <c r="J12" s="4" t="s">
        <v>66</v>
      </c>
      <c r="K12" s="4" t="s">
        <v>67</v>
      </c>
      <c r="L12" s="4" t="s">
        <v>24</v>
      </c>
    </row>
    <row r="13" spans="1:12" ht="16.7" customHeight="1" x14ac:dyDescent="0.2">
      <c r="A13" s="2" t="s">
        <v>68</v>
      </c>
      <c r="B13" s="3" t="s">
        <v>69</v>
      </c>
      <c r="C13" s="2" t="s">
        <v>17</v>
      </c>
      <c r="D13" s="2" t="s">
        <v>61</v>
      </c>
      <c r="E13" s="2" t="s">
        <v>15</v>
      </c>
      <c r="F13" s="2" t="s">
        <v>19</v>
      </c>
      <c r="G13" s="2" t="s">
        <v>15</v>
      </c>
      <c r="H13" s="2" t="s">
        <v>63</v>
      </c>
      <c r="I13" s="4" t="s">
        <v>70</v>
      </c>
      <c r="J13" s="4" t="s">
        <v>71</v>
      </c>
      <c r="K13" s="4" t="s">
        <v>72</v>
      </c>
      <c r="L13" s="4" t="s">
        <v>24</v>
      </c>
    </row>
    <row r="14" spans="1:12" ht="17.45" customHeight="1" x14ac:dyDescent="0.2">
      <c r="A14" s="2" t="s">
        <v>63</v>
      </c>
      <c r="B14" s="3" t="s">
        <v>73</v>
      </c>
      <c r="C14" s="2" t="s">
        <v>17</v>
      </c>
      <c r="D14" s="2" t="s">
        <v>74</v>
      </c>
      <c r="E14" s="2" t="s">
        <v>63</v>
      </c>
      <c r="F14" s="2" t="s">
        <v>75</v>
      </c>
      <c r="G14" s="2" t="s">
        <v>20</v>
      </c>
      <c r="H14" s="2" t="s">
        <v>57</v>
      </c>
      <c r="I14" s="4" t="s">
        <v>76</v>
      </c>
      <c r="J14" s="4" t="s">
        <v>77</v>
      </c>
      <c r="K14" s="4" t="s">
        <v>78</v>
      </c>
      <c r="L14" s="4" t="s">
        <v>24</v>
      </c>
    </row>
    <row r="15" spans="1:12" ht="17.45" customHeight="1" x14ac:dyDescent="0.2">
      <c r="A15" s="2" t="s">
        <v>28</v>
      </c>
      <c r="B15" s="3" t="s">
        <v>79</v>
      </c>
      <c r="C15" s="2" t="s">
        <v>17</v>
      </c>
      <c r="D15" s="2" t="s">
        <v>75</v>
      </c>
      <c r="E15" s="2" t="s">
        <v>20</v>
      </c>
      <c r="F15" s="2" t="s">
        <v>25</v>
      </c>
      <c r="G15" s="2" t="s">
        <v>19</v>
      </c>
      <c r="H15" s="2" t="s">
        <v>27</v>
      </c>
      <c r="I15" s="4" t="s">
        <v>80</v>
      </c>
      <c r="J15" s="4" t="s">
        <v>81</v>
      </c>
      <c r="K15" s="4" t="s">
        <v>82</v>
      </c>
      <c r="L15" s="4" t="s">
        <v>24</v>
      </c>
    </row>
    <row r="16" spans="1:12" ht="16.7" customHeight="1" x14ac:dyDescent="0.2">
      <c r="A16" s="2" t="s">
        <v>75</v>
      </c>
      <c r="B16" s="3" t="s">
        <v>83</v>
      </c>
      <c r="C16" s="2" t="s">
        <v>17</v>
      </c>
      <c r="D16" s="2" t="s">
        <v>84</v>
      </c>
      <c r="E16" s="2" t="s">
        <v>30</v>
      </c>
      <c r="F16" s="2" t="s">
        <v>19</v>
      </c>
      <c r="G16" s="2" t="s">
        <v>19</v>
      </c>
      <c r="H16" s="2" t="s">
        <v>85</v>
      </c>
      <c r="I16" s="4" t="s">
        <v>86</v>
      </c>
      <c r="J16" s="4" t="s">
        <v>87</v>
      </c>
      <c r="K16" s="4" t="s">
        <v>88</v>
      </c>
      <c r="L16" s="4" t="s">
        <v>24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288"/>
  <sheetViews>
    <sheetView tabSelected="1" zoomScale="175" zoomScaleNormal="175" workbookViewId="0">
      <selection activeCell="F293" sqref="F293"/>
    </sheetView>
  </sheetViews>
  <sheetFormatPr defaultRowHeight="12.75" x14ac:dyDescent="0.2"/>
  <cols>
    <col min="1" max="1" width="14.28515625" style="5" customWidth="1"/>
    <col min="2" max="2" width="8.140625" style="5" customWidth="1"/>
    <col min="3" max="4" width="11.28515625" style="5" customWidth="1"/>
    <col min="5" max="5" width="7.140625" style="5" customWidth="1"/>
    <col min="6" max="6" width="17.28515625" style="5" customWidth="1"/>
    <col min="7" max="16384" width="9.140625" style="5"/>
  </cols>
  <sheetData>
    <row r="1" spans="1:13" ht="16.7" customHeight="1" x14ac:dyDescent="0.2">
      <c r="A1" s="6" t="s">
        <v>89</v>
      </c>
      <c r="B1" s="9" t="s">
        <v>90</v>
      </c>
      <c r="C1" s="9" t="s">
        <v>91</v>
      </c>
      <c r="D1" s="9" t="s">
        <v>92</v>
      </c>
      <c r="E1" s="6" t="s">
        <v>93</v>
      </c>
      <c r="F1" s="20" t="s">
        <v>789</v>
      </c>
      <c r="G1" s="20" t="s">
        <v>94</v>
      </c>
      <c r="H1" s="20" t="s">
        <v>790</v>
      </c>
      <c r="I1" s="21" t="s">
        <v>791</v>
      </c>
      <c r="J1" s="21" t="s">
        <v>91</v>
      </c>
      <c r="K1" s="21" t="s">
        <v>792</v>
      </c>
      <c r="L1" s="21" t="s">
        <v>793</v>
      </c>
      <c r="M1" s="20" t="s">
        <v>794</v>
      </c>
    </row>
    <row r="2" spans="1:13" hidden="1" x14ac:dyDescent="0.2">
      <c r="A2" s="47" t="s">
        <v>293</v>
      </c>
      <c r="B2" s="7" t="s">
        <v>15</v>
      </c>
      <c r="C2" s="7" t="s">
        <v>148</v>
      </c>
      <c r="D2" s="7" t="s">
        <v>114</v>
      </c>
      <c r="E2" s="38" t="s">
        <v>294</v>
      </c>
      <c r="G2" s="44" t="str">
        <f t="shared" ref="G2:G65" si="0">LEFT(A2,5)</f>
        <v>KFE1E</v>
      </c>
      <c r="H2" s="20" t="str">
        <f>VLOOKUP($A2,[1]Sheet2!$I$2:$O$449,7,FALSE)</f>
        <v>https://hana.modakita.com/azd942/avatar/2515001020260327095015HQN0QP.jpg</v>
      </c>
      <c r="I2" s="21">
        <f t="shared" ref="I2:I65" si="1">D2-C2</f>
        <v>15</v>
      </c>
      <c r="J2" s="21" t="str">
        <f t="shared" ref="J2:J65" si="2">LEFT(C2,2)</f>
        <v>12</v>
      </c>
      <c r="K2" s="21" t="str">
        <f t="shared" ref="K2:K65" si="3">MID(C2,4,2)</f>
        <v>03</v>
      </c>
      <c r="L2" s="21" t="str">
        <f t="shared" ref="L2:L65" si="4">RIGHT(C2,4)</f>
        <v>2026</v>
      </c>
      <c r="M2" s="21">
        <f t="shared" ref="M2:M65" si="5">LEN(A2)</f>
        <v>12</v>
      </c>
    </row>
    <row r="3" spans="1:13" hidden="1" x14ac:dyDescent="0.2">
      <c r="A3" s="47" t="s">
        <v>627</v>
      </c>
      <c r="B3" s="7" t="s">
        <v>15</v>
      </c>
      <c r="C3" s="7" t="s">
        <v>154</v>
      </c>
      <c r="D3" s="7" t="s">
        <v>187</v>
      </c>
      <c r="E3" s="38" t="s">
        <v>628</v>
      </c>
      <c r="G3" s="44" t="str">
        <f t="shared" si="0"/>
        <v>JMK1E</v>
      </c>
      <c r="H3" s="20" t="str">
        <f>VLOOKUP($A3,[1]Sheet2!$I$2:$O$449,7,FALSE)</f>
        <v>https://hana.modakita.com/azd942/avatar/2649897020260331144138YQ8ZIP.jpg</v>
      </c>
      <c r="I3" s="21">
        <f t="shared" si="1"/>
        <v>17</v>
      </c>
      <c r="J3" s="21" t="str">
        <f t="shared" si="2"/>
        <v>14</v>
      </c>
      <c r="K3" s="21" t="str">
        <f t="shared" si="3"/>
        <v>03</v>
      </c>
      <c r="L3" s="21" t="str">
        <f t="shared" si="4"/>
        <v>2026</v>
      </c>
      <c r="M3" s="21">
        <f t="shared" si="5"/>
        <v>12</v>
      </c>
    </row>
    <row r="4" spans="1:13" hidden="1" x14ac:dyDescent="0.2">
      <c r="A4" s="47" t="s">
        <v>378</v>
      </c>
      <c r="B4" s="7" t="s">
        <v>15</v>
      </c>
      <c r="C4" s="7" t="s">
        <v>253</v>
      </c>
      <c r="D4" s="7" t="s">
        <v>158</v>
      </c>
      <c r="E4" s="38" t="s">
        <v>379</v>
      </c>
      <c r="G4" s="44" t="str">
        <f t="shared" si="0"/>
        <v>JMH2E</v>
      </c>
      <c r="H4" s="20" t="str">
        <f>VLOOKUP($A4,[1]Sheet2!$I$2:$O$449,7,FALSE)</f>
        <v>https://hana.modakita.com/azd942/avatar/21222168520260315130108JS9KYV.jpg</v>
      </c>
      <c r="I4" s="21">
        <f t="shared" si="1"/>
        <v>60</v>
      </c>
      <c r="J4" s="21" t="str">
        <f t="shared" si="2"/>
        <v>14</v>
      </c>
      <c r="K4" s="21" t="str">
        <f t="shared" si="3"/>
        <v>01</v>
      </c>
      <c r="L4" s="21" t="str">
        <f t="shared" si="4"/>
        <v>2026</v>
      </c>
      <c r="M4" s="21">
        <f t="shared" si="5"/>
        <v>12</v>
      </c>
    </row>
    <row r="5" spans="1:13" hidden="1" x14ac:dyDescent="0.2">
      <c r="A5" s="47" t="s">
        <v>136</v>
      </c>
      <c r="B5" s="7" t="s">
        <v>15</v>
      </c>
      <c r="C5" s="7" t="s">
        <v>137</v>
      </c>
      <c r="D5" s="7" t="s">
        <v>138</v>
      </c>
      <c r="E5" s="38" t="s">
        <v>139</v>
      </c>
      <c r="G5" s="44" t="str">
        <f t="shared" si="0"/>
        <v>JMF1E</v>
      </c>
      <c r="H5" s="20" t="str">
        <f>VLOOKUP($A5,[1]Sheet2!$I$2:$O$449,7,FALSE)</f>
        <v>https://hana.modakita.com/azd942/avatar/26498970202603091319487CSV2F.jpg</v>
      </c>
      <c r="I5" s="21">
        <f t="shared" si="1"/>
        <v>13</v>
      </c>
      <c r="J5" s="21" t="str">
        <f t="shared" si="2"/>
        <v>24</v>
      </c>
      <c r="K5" s="21" t="str">
        <f t="shared" si="3"/>
        <v>02</v>
      </c>
      <c r="L5" s="21" t="str">
        <f t="shared" si="4"/>
        <v>2026</v>
      </c>
      <c r="M5" s="21">
        <f t="shared" si="5"/>
        <v>12</v>
      </c>
    </row>
    <row r="6" spans="1:13" hidden="1" x14ac:dyDescent="0.2">
      <c r="A6" s="47" t="s">
        <v>545</v>
      </c>
      <c r="B6" s="7" t="s">
        <v>15</v>
      </c>
      <c r="C6" s="7" t="s">
        <v>105</v>
      </c>
      <c r="D6" s="7" t="s">
        <v>118</v>
      </c>
      <c r="E6" s="38" t="s">
        <v>546</v>
      </c>
      <c r="G6" s="44" t="str">
        <f t="shared" si="0"/>
        <v>JBP1E</v>
      </c>
      <c r="H6" s="20" t="str">
        <f>VLOOKUP($A6,[1]Sheet2!$I$2:$O$449,7,FALSE)</f>
        <v>https://hana.modakita.com/azd942/avatar/2515001020260330114606IFOEX6.jpg</v>
      </c>
      <c r="I6" s="21">
        <f t="shared" si="1"/>
        <v>35</v>
      </c>
      <c r="J6" s="21" t="str">
        <f t="shared" si="2"/>
        <v>23</v>
      </c>
      <c r="K6" s="21" t="str">
        <f t="shared" si="3"/>
        <v>02</v>
      </c>
      <c r="L6" s="21" t="str">
        <f t="shared" si="4"/>
        <v>2026</v>
      </c>
      <c r="M6" s="21">
        <f t="shared" si="5"/>
        <v>12</v>
      </c>
    </row>
    <row r="7" spans="1:13" hidden="1" x14ac:dyDescent="0.2">
      <c r="A7" s="47" t="s">
        <v>272</v>
      </c>
      <c r="B7" s="7" t="s">
        <v>15</v>
      </c>
      <c r="C7" s="7" t="s">
        <v>147</v>
      </c>
      <c r="D7" s="7" t="s">
        <v>144</v>
      </c>
      <c r="E7" s="38" t="s">
        <v>273</v>
      </c>
      <c r="G7" s="44" t="str">
        <f t="shared" si="0"/>
        <v>KFE1E</v>
      </c>
      <c r="H7" s="20" t="str">
        <f>VLOOKUP($A7,[1]Sheet2!$I$2:$O$449,7,FALSE)</f>
        <v>https://hana.modakita.com/azd942/avatar/2515001020260310101956AMHCRI.jpg</v>
      </c>
      <c r="I7" s="21">
        <f t="shared" si="1"/>
        <v>26</v>
      </c>
      <c r="J7" s="21" t="str">
        <f t="shared" si="2"/>
        <v>12</v>
      </c>
      <c r="K7" s="21" t="str">
        <f t="shared" si="3"/>
        <v>02</v>
      </c>
      <c r="L7" s="21" t="str">
        <f t="shared" si="4"/>
        <v>2026</v>
      </c>
      <c r="M7" s="21">
        <f t="shared" si="5"/>
        <v>12</v>
      </c>
    </row>
    <row r="8" spans="1:13" hidden="1" x14ac:dyDescent="0.2">
      <c r="A8" s="47" t="s">
        <v>779</v>
      </c>
      <c r="B8" s="7" t="s">
        <v>25</v>
      </c>
      <c r="C8" s="7" t="s">
        <v>637</v>
      </c>
      <c r="D8" s="7" t="s">
        <v>433</v>
      </c>
      <c r="E8" s="38" t="s">
        <v>780</v>
      </c>
      <c r="G8" s="44" t="str">
        <f t="shared" si="0"/>
        <v>KC04E</v>
      </c>
      <c r="H8" s="20" t="str">
        <f>VLOOKUP($A8,[1]Sheet2!$I$2:$O$449,7,FALSE)</f>
        <v>https://hana.modakita.com/azd942/avatar/21395178620260308113138BKLWEP.jpg</v>
      </c>
      <c r="I8" s="21">
        <f t="shared" si="1"/>
        <v>58</v>
      </c>
      <c r="J8" s="21" t="str">
        <f t="shared" si="2"/>
        <v>09</v>
      </c>
      <c r="K8" s="21" t="str">
        <f t="shared" si="3"/>
        <v>01</v>
      </c>
      <c r="L8" s="21" t="str">
        <f t="shared" si="4"/>
        <v>2026</v>
      </c>
      <c r="M8" s="21">
        <f t="shared" si="5"/>
        <v>12</v>
      </c>
    </row>
    <row r="9" spans="1:13" hidden="1" x14ac:dyDescent="0.2">
      <c r="A9" s="47" t="s">
        <v>195</v>
      </c>
      <c r="B9" s="7" t="s">
        <v>25</v>
      </c>
      <c r="C9" s="7" t="s">
        <v>196</v>
      </c>
      <c r="D9" s="7" t="s">
        <v>110</v>
      </c>
      <c r="E9" s="38" t="s">
        <v>197</v>
      </c>
      <c r="G9" s="44" t="str">
        <f t="shared" si="0"/>
        <v>JME1E</v>
      </c>
      <c r="H9" s="20" t="str">
        <f>VLOOKUP($A9,[1]Sheet2!$I$2:$O$449,7,FALSE)</f>
        <v>https://hana.modakita.com/azd942/avatar/21395178620260311142321ZQ3VWX.jpg</v>
      </c>
      <c r="I9" s="21">
        <f t="shared" si="1"/>
        <v>62</v>
      </c>
      <c r="J9" s="21" t="str">
        <f t="shared" si="2"/>
        <v>08</v>
      </c>
      <c r="K9" s="21" t="str">
        <f t="shared" si="3"/>
        <v>01</v>
      </c>
      <c r="L9" s="21" t="str">
        <f t="shared" si="4"/>
        <v>2026</v>
      </c>
      <c r="M9" s="21">
        <f t="shared" si="5"/>
        <v>12</v>
      </c>
    </row>
    <row r="10" spans="1:13" hidden="1" x14ac:dyDescent="0.2">
      <c r="A10" s="47" t="s">
        <v>763</v>
      </c>
      <c r="B10" s="7" t="s">
        <v>15</v>
      </c>
      <c r="C10" s="7" t="s">
        <v>169</v>
      </c>
      <c r="D10" s="7" t="s">
        <v>598</v>
      </c>
      <c r="E10" s="38" t="s">
        <v>764</v>
      </c>
      <c r="G10" s="44" t="str">
        <f t="shared" si="0"/>
        <v>KC04E</v>
      </c>
      <c r="H10" s="20" t="str">
        <f>VLOOKUP($A10,[1]Sheet2!$I$2:$O$449,7,FALSE)</f>
        <v>https://hana.modakita.com/azd942/avatar/21395178620260324122714ISYVJQ.jpg</v>
      </c>
      <c r="I10" s="21">
        <f t="shared" si="1"/>
        <v>7</v>
      </c>
      <c r="J10" s="21" t="str">
        <f t="shared" si="2"/>
        <v>17</v>
      </c>
      <c r="K10" s="21" t="str">
        <f t="shared" si="3"/>
        <v>03</v>
      </c>
      <c r="L10" s="21" t="str">
        <f t="shared" si="4"/>
        <v>2026</v>
      </c>
      <c r="M10" s="21">
        <f t="shared" si="5"/>
        <v>12</v>
      </c>
    </row>
    <row r="11" spans="1:13" hidden="1" x14ac:dyDescent="0.2">
      <c r="A11" s="47" t="s">
        <v>449</v>
      </c>
      <c r="B11" s="7" t="s">
        <v>25</v>
      </c>
      <c r="C11" s="7" t="s">
        <v>117</v>
      </c>
      <c r="D11" s="7" t="s">
        <v>180</v>
      </c>
      <c r="E11" s="38" t="s">
        <v>450</v>
      </c>
      <c r="G11" s="44" t="str">
        <f t="shared" si="0"/>
        <v>JMH1E</v>
      </c>
      <c r="H11" s="20" t="str">
        <f>VLOOKUP($A11,[1]Sheet2!$I$2:$O$449,7,FALSE)</f>
        <v>https://hana.modakita.com/azd942/avatar/2963440120260326172628M1VAQF.jpg</v>
      </c>
      <c r="I11" s="21">
        <f t="shared" si="1"/>
        <v>27</v>
      </c>
      <c r="J11" s="21" t="str">
        <f t="shared" si="2"/>
        <v>27</v>
      </c>
      <c r="K11" s="21" t="str">
        <f t="shared" si="3"/>
        <v>02</v>
      </c>
      <c r="L11" s="21" t="str">
        <f t="shared" si="4"/>
        <v>2026</v>
      </c>
      <c r="M11" s="21">
        <f t="shared" si="5"/>
        <v>12</v>
      </c>
    </row>
    <row r="12" spans="1:13" hidden="1" x14ac:dyDescent="0.2">
      <c r="A12" s="47" t="s">
        <v>610</v>
      </c>
      <c r="B12" s="7" t="s">
        <v>15</v>
      </c>
      <c r="C12" s="7" t="s">
        <v>110</v>
      </c>
      <c r="D12" s="7" t="s">
        <v>180</v>
      </c>
      <c r="E12" s="38" t="s">
        <v>611</v>
      </c>
      <c r="G12" s="44" t="str">
        <f t="shared" si="0"/>
        <v>JMJ1E</v>
      </c>
      <c r="H12" s="20" t="str">
        <f>VLOOKUP($A12,[1]Sheet2!$I$2:$O$449,7,FALSE)</f>
        <v>https://hana.modakita.com/azd942/avatar/2963440120260326172814JV1RE8.jpg</v>
      </c>
      <c r="I12" s="21">
        <f t="shared" si="1"/>
        <v>15</v>
      </c>
      <c r="J12" s="21" t="str">
        <f t="shared" si="2"/>
        <v>11</v>
      </c>
      <c r="K12" s="21" t="str">
        <f t="shared" si="3"/>
        <v>03</v>
      </c>
      <c r="L12" s="21" t="str">
        <f t="shared" si="4"/>
        <v>2026</v>
      </c>
      <c r="M12" s="21">
        <f t="shared" si="5"/>
        <v>12</v>
      </c>
    </row>
    <row r="13" spans="1:13" hidden="1" x14ac:dyDescent="0.2">
      <c r="A13" s="47" t="s">
        <v>416</v>
      </c>
      <c r="B13" s="7" t="s">
        <v>15</v>
      </c>
      <c r="C13" s="7" t="s">
        <v>180</v>
      </c>
      <c r="D13" s="7" t="s">
        <v>187</v>
      </c>
      <c r="E13" s="38" t="s">
        <v>417</v>
      </c>
      <c r="G13" s="44" t="str">
        <f t="shared" si="0"/>
        <v>JMH2E</v>
      </c>
      <c r="H13" s="20" t="str">
        <f>VLOOKUP($A13,[1]Sheet2!$I$2:$O$449,7,FALSE)</f>
        <v>https://hana.modakita.com/azd942/avatar/2649897020260331153815CNZHDM.jpg</v>
      </c>
      <c r="I13" s="21">
        <f t="shared" si="1"/>
        <v>5</v>
      </c>
      <c r="J13" s="21" t="str">
        <f t="shared" si="2"/>
        <v>26</v>
      </c>
      <c r="K13" s="21" t="str">
        <f t="shared" si="3"/>
        <v>03</v>
      </c>
      <c r="L13" s="21" t="str">
        <f t="shared" si="4"/>
        <v>2026</v>
      </c>
      <c r="M13" s="21">
        <f t="shared" si="5"/>
        <v>12</v>
      </c>
    </row>
    <row r="14" spans="1:13" hidden="1" x14ac:dyDescent="0.2">
      <c r="A14" s="47" t="s">
        <v>612</v>
      </c>
      <c r="B14" s="7" t="s">
        <v>15</v>
      </c>
      <c r="C14" s="7" t="s">
        <v>137</v>
      </c>
      <c r="D14" s="7" t="s">
        <v>114</v>
      </c>
      <c r="E14" s="38" t="s">
        <v>613</v>
      </c>
      <c r="G14" s="44" t="str">
        <f t="shared" si="0"/>
        <v>JMJ1E</v>
      </c>
      <c r="H14" s="20" t="str">
        <f>VLOOKUP($A14,[1]Sheet2!$I$2:$O$449,7,FALSE)</f>
        <v>https://hana.modakita.com/azd942/avatar/21395178620260327111246AEHOFY.jpg</v>
      </c>
      <c r="I14" s="21">
        <f t="shared" si="1"/>
        <v>31</v>
      </c>
      <c r="J14" s="21" t="str">
        <f t="shared" si="2"/>
        <v>24</v>
      </c>
      <c r="K14" s="21" t="str">
        <f t="shared" si="3"/>
        <v>02</v>
      </c>
      <c r="L14" s="21" t="str">
        <f t="shared" si="4"/>
        <v>2026</v>
      </c>
      <c r="M14" s="21">
        <f t="shared" si="5"/>
        <v>12</v>
      </c>
    </row>
    <row r="15" spans="1:13" hidden="1" x14ac:dyDescent="0.2">
      <c r="A15" s="47" t="s">
        <v>444</v>
      </c>
      <c r="B15" s="7" t="s">
        <v>25</v>
      </c>
      <c r="C15" s="7" t="s">
        <v>334</v>
      </c>
      <c r="D15" s="7" t="s">
        <v>162</v>
      </c>
      <c r="E15" s="38" t="s">
        <v>445</v>
      </c>
      <c r="G15" s="44" t="str">
        <f t="shared" si="0"/>
        <v>JMH1E</v>
      </c>
      <c r="H15" s="20" t="str">
        <f>VLOOKUP($A15,[1]Sheet2!$I$2:$O$449,7,FALSE)</f>
        <v>https://hana.modakita.com/azd942/avatar/213951786202603161114517KNFDW.jpg</v>
      </c>
      <c r="I15" s="21">
        <f t="shared" si="1"/>
        <v>24</v>
      </c>
      <c r="J15" s="21" t="str">
        <f t="shared" si="2"/>
        <v>20</v>
      </c>
      <c r="K15" s="21" t="str">
        <f t="shared" si="3"/>
        <v>02</v>
      </c>
      <c r="L15" s="21" t="str">
        <f t="shared" si="4"/>
        <v>2026</v>
      </c>
      <c r="M15" s="21">
        <f t="shared" si="5"/>
        <v>12</v>
      </c>
    </row>
    <row r="16" spans="1:13" hidden="1" x14ac:dyDescent="0.2">
      <c r="A16" s="47" t="s">
        <v>465</v>
      </c>
      <c r="B16" s="7" t="s">
        <v>25</v>
      </c>
      <c r="C16" s="7" t="s">
        <v>466</v>
      </c>
      <c r="D16" s="7" t="s">
        <v>118</v>
      </c>
      <c r="E16" s="38" t="s">
        <v>467</v>
      </c>
      <c r="G16" s="44" t="str">
        <f t="shared" si="0"/>
        <v>JMH2E</v>
      </c>
      <c r="H16" s="20" t="str">
        <f>VLOOKUP($A16,[1]Sheet2!$I$2:$O$449,7,FALSE)</f>
        <v>https://hana.modakita.com/azd942/avatar/2963440120260330144922SFXS6W.jpg</v>
      </c>
      <c r="I16" s="21">
        <f t="shared" si="1"/>
        <v>115</v>
      </c>
      <c r="J16" s="21" t="str">
        <f t="shared" si="2"/>
        <v>05</v>
      </c>
      <c r="K16" s="21" t="str">
        <f t="shared" si="3"/>
        <v>12</v>
      </c>
      <c r="L16" s="21" t="str">
        <f t="shared" si="4"/>
        <v>2025</v>
      </c>
      <c r="M16" s="21">
        <f t="shared" si="5"/>
        <v>12</v>
      </c>
    </row>
    <row r="17" spans="1:13" hidden="1" x14ac:dyDescent="0.2">
      <c r="A17" s="47" t="s">
        <v>757</v>
      </c>
      <c r="B17" s="7" t="s">
        <v>15</v>
      </c>
      <c r="C17" s="7" t="s">
        <v>275</v>
      </c>
      <c r="D17" s="7" t="s">
        <v>110</v>
      </c>
      <c r="E17" s="38" t="s">
        <v>758</v>
      </c>
      <c r="G17" s="44" t="str">
        <f t="shared" si="0"/>
        <v>KC04E</v>
      </c>
      <c r="H17" s="20" t="str">
        <f>VLOOKUP($A17,[1]Sheet2!$I$2:$O$449,7,FALSE)</f>
        <v>https://hana.modakita.com/azd942/avatar/2963440120260311115608UCNCXY.jpg</v>
      </c>
      <c r="I17" s="21">
        <f t="shared" si="1"/>
        <v>21</v>
      </c>
      <c r="J17" s="21" t="str">
        <f t="shared" si="2"/>
        <v>18</v>
      </c>
      <c r="K17" s="21" t="str">
        <f t="shared" si="3"/>
        <v>02</v>
      </c>
      <c r="L17" s="21" t="str">
        <f t="shared" si="4"/>
        <v>2026</v>
      </c>
      <c r="M17" s="21">
        <f t="shared" si="5"/>
        <v>12</v>
      </c>
    </row>
    <row r="18" spans="1:13" hidden="1" x14ac:dyDescent="0.2">
      <c r="A18" s="47" t="s">
        <v>156</v>
      </c>
      <c r="B18" s="7" t="s">
        <v>15</v>
      </c>
      <c r="C18" s="7" t="s">
        <v>157</v>
      </c>
      <c r="D18" s="7" t="s">
        <v>158</v>
      </c>
      <c r="E18" s="38" t="s">
        <v>159</v>
      </c>
      <c r="G18" s="44" t="str">
        <f t="shared" si="0"/>
        <v>JMF1E</v>
      </c>
      <c r="H18" s="20" t="str">
        <f>VLOOKUP($A18,[1]Sheet2!$I$2:$O$449,7,FALSE)</f>
        <v>https://hana.modakita.com/azd942/avatar/21222168520260315125549BVFFCI.jpg</v>
      </c>
      <c r="I18" s="21">
        <f t="shared" si="1"/>
        <v>17</v>
      </c>
      <c r="J18" s="21" t="str">
        <f t="shared" si="2"/>
        <v>26</v>
      </c>
      <c r="K18" s="21" t="str">
        <f t="shared" si="3"/>
        <v>02</v>
      </c>
      <c r="L18" s="21" t="str">
        <f t="shared" si="4"/>
        <v>2026</v>
      </c>
      <c r="M18" s="21">
        <f t="shared" si="5"/>
        <v>12</v>
      </c>
    </row>
    <row r="19" spans="1:13" hidden="1" x14ac:dyDescent="0.2">
      <c r="A19" s="47" t="s">
        <v>760</v>
      </c>
      <c r="B19" s="7" t="s">
        <v>15</v>
      </c>
      <c r="C19" s="7" t="s">
        <v>275</v>
      </c>
      <c r="D19" s="7" t="s">
        <v>151</v>
      </c>
      <c r="E19" s="38" t="s">
        <v>159</v>
      </c>
      <c r="G19" s="44" t="str">
        <f t="shared" si="0"/>
        <v>KC04E</v>
      </c>
      <c r="H19" s="20" t="str">
        <f>VLOOKUP($A19,[1]Sheet2!$I$2:$O$449,7,FALSE)</f>
        <v>https://hana.modakita.com/azd942/avatar/21395178620260313105820RFHZDN.jpg</v>
      </c>
      <c r="I19" s="21">
        <f t="shared" si="1"/>
        <v>23</v>
      </c>
      <c r="J19" s="21" t="str">
        <f t="shared" si="2"/>
        <v>18</v>
      </c>
      <c r="K19" s="21" t="str">
        <f t="shared" si="3"/>
        <v>02</v>
      </c>
      <c r="L19" s="21" t="str">
        <f t="shared" si="4"/>
        <v>2026</v>
      </c>
      <c r="M19" s="21">
        <f t="shared" si="5"/>
        <v>12</v>
      </c>
    </row>
    <row r="20" spans="1:13" hidden="1" x14ac:dyDescent="0.2">
      <c r="A20" s="48" t="s">
        <v>179</v>
      </c>
      <c r="B20" s="7" t="s">
        <v>15</v>
      </c>
      <c r="C20" s="7" t="s">
        <v>162</v>
      </c>
      <c r="D20" s="7" t="s">
        <v>180</v>
      </c>
      <c r="E20" s="7" t="s">
        <v>181</v>
      </c>
      <c r="F20" s="5" t="s">
        <v>804</v>
      </c>
      <c r="G20" t="str">
        <f t="shared" si="0"/>
        <v>JMF2E</v>
      </c>
      <c r="H20" s="20" t="str">
        <f>VLOOKUP($A20,[1]Sheet2!$I$2:$O$449,7,FALSE)</f>
        <v>https://hana.modakita.com/azd942/avatar/2515001020260326104802NLNG97.jpg</v>
      </c>
      <c r="I20" s="21">
        <f t="shared" si="1"/>
        <v>10</v>
      </c>
      <c r="J20" s="21" t="str">
        <f t="shared" si="2"/>
        <v>16</v>
      </c>
      <c r="K20" s="21" t="str">
        <f t="shared" si="3"/>
        <v>03</v>
      </c>
      <c r="L20" s="21" t="str">
        <f t="shared" si="4"/>
        <v>2026</v>
      </c>
      <c r="M20" s="21">
        <f t="shared" si="5"/>
        <v>12</v>
      </c>
    </row>
    <row r="21" spans="1:13" hidden="1" x14ac:dyDescent="0.2">
      <c r="A21" s="47" t="s">
        <v>468</v>
      </c>
      <c r="B21" s="7" t="s">
        <v>25</v>
      </c>
      <c r="C21" s="7" t="s">
        <v>334</v>
      </c>
      <c r="D21" s="7" t="s">
        <v>187</v>
      </c>
      <c r="E21" s="38" t="s">
        <v>469</v>
      </c>
      <c r="G21" s="44" t="str">
        <f t="shared" si="0"/>
        <v>JMH2E</v>
      </c>
      <c r="H21" s="20" t="str">
        <f>VLOOKUP($A21,[1]Sheet2!$I$2:$O$449,7,FALSE)</f>
        <v>https://hana.modakita.com/azd942/avatar/2963440120260331173528ADZ4DU.jpg</v>
      </c>
      <c r="I21" s="21">
        <f t="shared" si="1"/>
        <v>39</v>
      </c>
      <c r="J21" s="21" t="str">
        <f t="shared" si="2"/>
        <v>20</v>
      </c>
      <c r="K21" s="21" t="str">
        <f t="shared" si="3"/>
        <v>02</v>
      </c>
      <c r="L21" s="21" t="str">
        <f t="shared" si="4"/>
        <v>2026</v>
      </c>
      <c r="M21" s="21">
        <f t="shared" si="5"/>
        <v>12</v>
      </c>
    </row>
    <row r="22" spans="1:13" hidden="1" x14ac:dyDescent="0.2">
      <c r="A22" s="47" t="s">
        <v>558</v>
      </c>
      <c r="B22" s="7" t="s">
        <v>15</v>
      </c>
      <c r="C22" s="7" t="s">
        <v>97</v>
      </c>
      <c r="D22" s="7" t="s">
        <v>102</v>
      </c>
      <c r="E22" s="38" t="s">
        <v>385</v>
      </c>
      <c r="G22" s="44" t="str">
        <f t="shared" si="0"/>
        <v>JMJ1E</v>
      </c>
      <c r="H22" s="20" t="str">
        <f>VLOOKUP($A22,[1]Sheet2!$I$2:$O$449,7,FALSE)</f>
        <v>https://hana.modakita.com/azd942/avatar/21502451420260305112921IAJVBT.jpg</v>
      </c>
      <c r="I22" s="21">
        <f t="shared" si="1"/>
        <v>19</v>
      </c>
      <c r="J22" s="21" t="str">
        <f t="shared" si="2"/>
        <v>14</v>
      </c>
      <c r="K22" s="21" t="str">
        <f t="shared" si="3"/>
        <v>02</v>
      </c>
      <c r="L22" s="21" t="str">
        <f t="shared" si="4"/>
        <v>2026</v>
      </c>
      <c r="M22" s="21">
        <f t="shared" si="5"/>
        <v>12</v>
      </c>
    </row>
    <row r="23" spans="1:13" hidden="1" x14ac:dyDescent="0.2">
      <c r="A23" s="47" t="s">
        <v>212</v>
      </c>
      <c r="B23" s="7" t="s">
        <v>25</v>
      </c>
      <c r="C23" s="7" t="s">
        <v>213</v>
      </c>
      <c r="D23" s="7" t="s">
        <v>173</v>
      </c>
      <c r="E23" s="38" t="s">
        <v>214</v>
      </c>
      <c r="G23" s="44" t="str">
        <f t="shared" si="0"/>
        <v>JMF1E</v>
      </c>
      <c r="H23" s="20" t="str">
        <f>VLOOKUP($A23,[1]Sheet2!$I$2:$O$449,7,FALSE)</f>
        <v>https://hana.modakita.com/azd942/avatar/21395178620260319105655KQT61U.jpg</v>
      </c>
      <c r="I23" s="21">
        <f t="shared" si="1"/>
        <v>54</v>
      </c>
      <c r="J23" s="21" t="str">
        <f t="shared" si="2"/>
        <v>24</v>
      </c>
      <c r="K23" s="21" t="str">
        <f t="shared" si="3"/>
        <v>01</v>
      </c>
      <c r="L23" s="21" t="str">
        <f t="shared" si="4"/>
        <v>2026</v>
      </c>
      <c r="M23" s="21">
        <f t="shared" si="5"/>
        <v>12</v>
      </c>
    </row>
    <row r="24" spans="1:13" hidden="1" x14ac:dyDescent="0.2">
      <c r="A24" s="47" t="s">
        <v>586</v>
      </c>
      <c r="B24" s="7" t="s">
        <v>15</v>
      </c>
      <c r="C24" s="7" t="s">
        <v>137</v>
      </c>
      <c r="D24" s="7" t="s">
        <v>208</v>
      </c>
      <c r="E24" s="38" t="s">
        <v>587</v>
      </c>
      <c r="G24" s="44" t="str">
        <f t="shared" si="0"/>
        <v>JMK1E</v>
      </c>
      <c r="H24" s="20" t="str">
        <f>VLOOKUP($A24,[1]Sheet2!$I$2:$O$449,7,FALSE)</f>
        <v>https://hana.modakita.com/azd942/avatar/2649897020260318123211EFUI4D.jpg</v>
      </c>
      <c r="I24" s="21">
        <f t="shared" si="1"/>
        <v>22</v>
      </c>
      <c r="J24" s="21" t="str">
        <f t="shared" si="2"/>
        <v>24</v>
      </c>
      <c r="K24" s="21" t="str">
        <f t="shared" si="3"/>
        <v>02</v>
      </c>
      <c r="L24" s="21" t="str">
        <f t="shared" si="4"/>
        <v>2026</v>
      </c>
      <c r="M24" s="21">
        <f t="shared" si="5"/>
        <v>12</v>
      </c>
    </row>
    <row r="25" spans="1:13" hidden="1" x14ac:dyDescent="0.2">
      <c r="A25" s="47" t="s">
        <v>616</v>
      </c>
      <c r="B25" s="7" t="s">
        <v>15</v>
      </c>
      <c r="C25" s="7" t="s">
        <v>113</v>
      </c>
      <c r="D25" s="7" t="s">
        <v>219</v>
      </c>
      <c r="E25" s="38" t="s">
        <v>617</v>
      </c>
      <c r="G25" s="44" t="str">
        <f t="shared" si="0"/>
        <v>JMJ1E</v>
      </c>
      <c r="H25" s="20" t="str">
        <f>VLOOKUP($A25,[1]Sheet2!$I$2:$O$449,7,FALSE)</f>
        <v>https://hana.modakita.com/azd942/avatar/2963440120260328134303XMMBIQ.jpg</v>
      </c>
      <c r="I25" s="21">
        <f t="shared" si="1"/>
        <v>24</v>
      </c>
      <c r="J25" s="21" t="str">
        <f t="shared" si="2"/>
        <v>04</v>
      </c>
      <c r="K25" s="21" t="str">
        <f t="shared" si="3"/>
        <v>03</v>
      </c>
      <c r="L25" s="21" t="str">
        <f t="shared" si="4"/>
        <v>2026</v>
      </c>
      <c r="M25" s="21">
        <f t="shared" si="5"/>
        <v>12</v>
      </c>
    </row>
    <row r="26" spans="1:13" hidden="1" x14ac:dyDescent="0.2">
      <c r="A26" s="47" t="s">
        <v>491</v>
      </c>
      <c r="B26" s="7" t="s">
        <v>30</v>
      </c>
      <c r="C26" s="7" t="s">
        <v>492</v>
      </c>
      <c r="D26" s="7" t="s">
        <v>180</v>
      </c>
      <c r="E26" s="38" t="s">
        <v>493</v>
      </c>
      <c r="G26" s="44" t="str">
        <f t="shared" si="0"/>
        <v>JMH2E</v>
      </c>
      <c r="H26" s="20" t="str">
        <f>VLOOKUP($A26,[1]Sheet2!$I$2:$O$449,7,FALSE)</f>
        <v>https://hana.modakita.com/azd942/avatar/2963440120260326122318ZNIMIP.jpg</v>
      </c>
      <c r="I26" s="21">
        <f t="shared" si="1"/>
        <v>218</v>
      </c>
      <c r="J26" s="21" t="str">
        <f t="shared" si="2"/>
        <v>20</v>
      </c>
      <c r="K26" s="21" t="str">
        <f t="shared" si="3"/>
        <v>08</v>
      </c>
      <c r="L26" s="21" t="str">
        <f t="shared" si="4"/>
        <v>2025</v>
      </c>
      <c r="M26" s="21">
        <f t="shared" si="5"/>
        <v>12</v>
      </c>
    </row>
    <row r="27" spans="1:13" hidden="1" x14ac:dyDescent="0.2">
      <c r="A27" s="47" t="s">
        <v>705</v>
      </c>
      <c r="B27" s="7" t="s">
        <v>30</v>
      </c>
      <c r="C27" s="7" t="s">
        <v>706</v>
      </c>
      <c r="D27" s="7" t="s">
        <v>180</v>
      </c>
      <c r="E27" s="38" t="s">
        <v>707</v>
      </c>
      <c r="G27" s="44" t="str">
        <f t="shared" si="0"/>
        <v>JMD1E</v>
      </c>
      <c r="H27" s="20" t="str">
        <f>VLOOKUP($A27,[1]Sheet2!$I$2:$O$449,7,FALSE)</f>
        <v>https://hana.modakita.com/azd942/avatar/2963440120260326172708IQPCMS.jpg</v>
      </c>
      <c r="I27" s="21">
        <f t="shared" si="1"/>
        <v>308</v>
      </c>
      <c r="J27" s="21" t="str">
        <f t="shared" si="2"/>
        <v>22</v>
      </c>
      <c r="K27" s="21" t="str">
        <f t="shared" si="3"/>
        <v>05</v>
      </c>
      <c r="L27" s="21" t="str">
        <f t="shared" si="4"/>
        <v>2025</v>
      </c>
      <c r="M27" s="21">
        <f t="shared" si="5"/>
        <v>12</v>
      </c>
    </row>
    <row r="28" spans="1:13" hidden="1" x14ac:dyDescent="0.2">
      <c r="A28" s="47" t="s">
        <v>263</v>
      </c>
      <c r="B28" s="7" t="s">
        <v>15</v>
      </c>
      <c r="C28" s="7" t="s">
        <v>147</v>
      </c>
      <c r="D28" s="7" t="s">
        <v>143</v>
      </c>
      <c r="E28" s="38" t="s">
        <v>264</v>
      </c>
      <c r="G28" s="44" t="str">
        <f t="shared" si="0"/>
        <v>KFE1E</v>
      </c>
      <c r="H28" s="20" t="str">
        <f>VLOOKUP($A28,[1]Sheet2!$I$2:$O$449,7,FALSE)</f>
        <v>https://hana.modakita.com/azd942/avatar/2515001020260303130709THMMZQ.jpg</v>
      </c>
      <c r="I28" s="21">
        <f t="shared" si="1"/>
        <v>19</v>
      </c>
      <c r="J28" s="21" t="str">
        <f t="shared" si="2"/>
        <v>12</v>
      </c>
      <c r="K28" s="21" t="str">
        <f t="shared" si="3"/>
        <v>02</v>
      </c>
      <c r="L28" s="21" t="str">
        <f t="shared" si="4"/>
        <v>2026</v>
      </c>
      <c r="M28" s="21">
        <f t="shared" si="5"/>
        <v>12</v>
      </c>
    </row>
    <row r="29" spans="1:13" hidden="1" x14ac:dyDescent="0.2">
      <c r="A29" s="47" t="s">
        <v>120</v>
      </c>
      <c r="B29" s="7" t="s">
        <v>35</v>
      </c>
      <c r="C29" s="7" t="s">
        <v>121</v>
      </c>
      <c r="D29" s="7" t="s">
        <v>102</v>
      </c>
      <c r="E29" s="38" t="s">
        <v>122</v>
      </c>
      <c r="G29" s="44" t="str">
        <f t="shared" si="0"/>
        <v>KFB2E</v>
      </c>
      <c r="H29" s="20" t="str">
        <f>VLOOKUP($A29,[1]Sheet2!$I$2:$O$449,7,FALSE)</f>
        <v>https://hana.modakita.com/azd942/avatar/29634401202603051035153XC2EG.jpg</v>
      </c>
      <c r="I29" s="21">
        <f t="shared" si="1"/>
        <v>198</v>
      </c>
      <c r="J29" s="21" t="str">
        <f t="shared" si="2"/>
        <v>19</v>
      </c>
      <c r="K29" s="21" t="str">
        <f t="shared" si="3"/>
        <v>08</v>
      </c>
      <c r="L29" s="21" t="str">
        <f t="shared" si="4"/>
        <v>2025</v>
      </c>
      <c r="M29" s="21">
        <f t="shared" si="5"/>
        <v>12</v>
      </c>
    </row>
    <row r="30" spans="1:13" hidden="1" x14ac:dyDescent="0.2">
      <c r="A30" s="47" t="s">
        <v>567</v>
      </c>
      <c r="B30" s="7" t="s">
        <v>15</v>
      </c>
      <c r="C30" s="7" t="s">
        <v>137</v>
      </c>
      <c r="D30" s="7" t="s">
        <v>148</v>
      </c>
      <c r="E30" s="38" t="s">
        <v>568</v>
      </c>
      <c r="G30" s="44" t="str">
        <f t="shared" si="0"/>
        <v>JMK1E</v>
      </c>
      <c r="H30" s="20" t="str">
        <f>VLOOKUP($A30,[1]Sheet2!$I$2:$O$449,7,FALSE)</f>
        <v>https://hana.modakita.com/azd942/avatar/21395178620260312095156O6IRSO.jpg</v>
      </c>
      <c r="I30" s="21">
        <f t="shared" si="1"/>
        <v>16</v>
      </c>
      <c r="J30" s="21" t="str">
        <f t="shared" si="2"/>
        <v>24</v>
      </c>
      <c r="K30" s="21" t="str">
        <f t="shared" si="3"/>
        <v>02</v>
      </c>
      <c r="L30" s="21" t="str">
        <f t="shared" si="4"/>
        <v>2026</v>
      </c>
      <c r="M30" s="21">
        <f t="shared" si="5"/>
        <v>12</v>
      </c>
    </row>
    <row r="31" spans="1:13" hidden="1" x14ac:dyDescent="0.2">
      <c r="A31" s="47" t="s">
        <v>608</v>
      </c>
      <c r="B31" s="7" t="s">
        <v>15</v>
      </c>
      <c r="C31" s="7" t="s">
        <v>137</v>
      </c>
      <c r="D31" s="7" t="s">
        <v>180</v>
      </c>
      <c r="E31" s="38" t="s">
        <v>609</v>
      </c>
      <c r="G31" s="44" t="str">
        <f t="shared" si="0"/>
        <v>JMK2E</v>
      </c>
      <c r="H31" s="20" t="str">
        <f>VLOOKUP($A31,[1]Sheet2!$I$2:$O$449,7,FALSE)</f>
        <v>https://hana.modakita.com/azd942/avatar/21393666120260326135756D9AKSO.jpg</v>
      </c>
      <c r="I31" s="21">
        <f t="shared" si="1"/>
        <v>30</v>
      </c>
      <c r="J31" s="21" t="str">
        <f t="shared" si="2"/>
        <v>24</v>
      </c>
      <c r="K31" s="21" t="str">
        <f t="shared" si="3"/>
        <v>02</v>
      </c>
      <c r="L31" s="21" t="str">
        <f t="shared" si="4"/>
        <v>2026</v>
      </c>
      <c r="M31" s="21">
        <f t="shared" si="5"/>
        <v>12</v>
      </c>
    </row>
    <row r="32" spans="1:13" hidden="1" x14ac:dyDescent="0.2">
      <c r="A32" s="47" t="s">
        <v>123</v>
      </c>
      <c r="B32" s="7" t="s">
        <v>15</v>
      </c>
      <c r="C32" s="7" t="s">
        <v>124</v>
      </c>
      <c r="D32" s="7" t="s">
        <v>98</v>
      </c>
      <c r="E32" s="38" t="s">
        <v>125</v>
      </c>
      <c r="G32" s="44" t="str">
        <f t="shared" si="0"/>
        <v>JME1E</v>
      </c>
      <c r="H32" s="20" t="str">
        <f>VLOOKUP($A32,[1]Sheet2!$I$2:$O$449,7,FALSE)</f>
        <v>https://hana.modakita.com/azd942/avatar/21502451420260302102005ESFMCR.jpg</v>
      </c>
      <c r="I32" s="21">
        <f t="shared" si="1"/>
        <v>34</v>
      </c>
      <c r="J32" s="21" t="str">
        <f t="shared" si="2"/>
        <v>27</v>
      </c>
      <c r="K32" s="21" t="str">
        <f t="shared" si="3"/>
        <v>01</v>
      </c>
      <c r="L32" s="21" t="str">
        <f t="shared" si="4"/>
        <v>2026</v>
      </c>
      <c r="M32" s="21">
        <f t="shared" si="5"/>
        <v>12</v>
      </c>
    </row>
    <row r="33" spans="1:13" hidden="1" x14ac:dyDescent="0.2">
      <c r="A33" s="47" t="s">
        <v>488</v>
      </c>
      <c r="B33" s="7" t="s">
        <v>30</v>
      </c>
      <c r="C33" s="7" t="s">
        <v>489</v>
      </c>
      <c r="D33" s="7" t="s">
        <v>158</v>
      </c>
      <c r="E33" s="38" t="s">
        <v>490</v>
      </c>
      <c r="G33" s="44" t="str">
        <f t="shared" si="0"/>
        <v>JMH2E</v>
      </c>
      <c r="H33" s="20" t="str">
        <f>VLOOKUP($A33,[1]Sheet2!$I$2:$O$449,7,FALSE)</f>
        <v>https://hana.modakita.com/azd942/avatar/29634401202603151232445ZGRUY.jpg</v>
      </c>
      <c r="I33" s="21">
        <f t="shared" si="1"/>
        <v>350</v>
      </c>
      <c r="J33" s="21" t="str">
        <f t="shared" si="2"/>
        <v>30</v>
      </c>
      <c r="K33" s="21" t="str">
        <f t="shared" si="3"/>
        <v>03</v>
      </c>
      <c r="L33" s="21" t="str">
        <f t="shared" si="4"/>
        <v>2025</v>
      </c>
      <c r="M33" s="21">
        <f t="shared" si="5"/>
        <v>12</v>
      </c>
    </row>
    <row r="34" spans="1:13" hidden="1" x14ac:dyDescent="0.2">
      <c r="A34" s="48" t="s">
        <v>604</v>
      </c>
      <c r="B34" s="7" t="s">
        <v>15</v>
      </c>
      <c r="C34" s="7" t="s">
        <v>419</v>
      </c>
      <c r="D34" s="7" t="s">
        <v>180</v>
      </c>
      <c r="E34" s="7" t="s">
        <v>605</v>
      </c>
      <c r="F34" s="5" t="s">
        <v>808</v>
      </c>
      <c r="G34" t="str">
        <f t="shared" si="0"/>
        <v>JMJ1E</v>
      </c>
      <c r="H34" s="20" t="str">
        <f>VLOOKUP($A34,[1]Sheet2!$I$2:$O$449,7,FALSE)</f>
        <v>https://hana.modakita.com/azd942/avatar/2649897020260326103102YG5MEQ.jpg</v>
      </c>
      <c r="I34" s="21">
        <f t="shared" si="1"/>
        <v>49</v>
      </c>
      <c r="J34" s="21" t="str">
        <f t="shared" si="2"/>
        <v>05</v>
      </c>
      <c r="K34" s="21" t="str">
        <f t="shared" si="3"/>
        <v>02</v>
      </c>
      <c r="L34" s="21" t="str">
        <f t="shared" si="4"/>
        <v>2026</v>
      </c>
      <c r="M34" s="21">
        <f t="shared" si="5"/>
        <v>12</v>
      </c>
    </row>
    <row r="35" spans="1:13" hidden="1" x14ac:dyDescent="0.2">
      <c r="A35" s="48" t="s">
        <v>625</v>
      </c>
      <c r="B35" s="7" t="s">
        <v>15</v>
      </c>
      <c r="C35" s="7" t="s">
        <v>165</v>
      </c>
      <c r="D35" s="7" t="s">
        <v>118</v>
      </c>
      <c r="E35" s="7" t="s">
        <v>605</v>
      </c>
      <c r="F35" s="5" t="s">
        <v>808</v>
      </c>
      <c r="G35" t="str">
        <f t="shared" si="0"/>
        <v>JMJ1E</v>
      </c>
      <c r="H35" s="20" t="str">
        <f>VLOOKUP($A35,[1]Sheet2!$I$2:$O$449,7,FALSE)</f>
        <v>https://hana.modakita.com/azd942/avatar/21502451420260330132852TYS55U.jpg</v>
      </c>
      <c r="I35" s="21">
        <f t="shared" si="1"/>
        <v>33</v>
      </c>
      <c r="J35" s="21" t="str">
        <f t="shared" si="2"/>
        <v>25</v>
      </c>
      <c r="K35" s="21" t="str">
        <f t="shared" si="3"/>
        <v>02</v>
      </c>
      <c r="L35" s="21" t="str">
        <f t="shared" si="4"/>
        <v>2026</v>
      </c>
      <c r="M35" s="21">
        <f t="shared" si="5"/>
        <v>12</v>
      </c>
    </row>
    <row r="36" spans="1:13" hidden="1" x14ac:dyDescent="0.2">
      <c r="A36" s="47" t="s">
        <v>401</v>
      </c>
      <c r="B36" s="7" t="s">
        <v>15</v>
      </c>
      <c r="C36" s="7" t="s">
        <v>165</v>
      </c>
      <c r="D36" s="7" t="s">
        <v>219</v>
      </c>
      <c r="E36" s="38" t="s">
        <v>402</v>
      </c>
      <c r="G36" s="44" t="str">
        <f t="shared" si="0"/>
        <v>JMH1E</v>
      </c>
      <c r="H36" s="20" t="str">
        <f>VLOOKUP($A36,[1]Sheet2!$I$2:$O$449,7,FALSE)</f>
        <v>https://hana.modakita.com/azd942/avatar/2963440120260328112131TZCNRW.jpg</v>
      </c>
      <c r="I36" s="21">
        <f t="shared" si="1"/>
        <v>31</v>
      </c>
      <c r="J36" s="21" t="str">
        <f t="shared" si="2"/>
        <v>25</v>
      </c>
      <c r="K36" s="21" t="str">
        <f t="shared" si="3"/>
        <v>02</v>
      </c>
      <c r="L36" s="21" t="str">
        <f t="shared" si="4"/>
        <v>2026</v>
      </c>
      <c r="M36" s="21">
        <f t="shared" si="5"/>
        <v>12</v>
      </c>
    </row>
    <row r="37" spans="1:13" hidden="1" x14ac:dyDescent="0.2">
      <c r="A37" s="47" t="s">
        <v>499</v>
      </c>
      <c r="B37" s="7" t="s">
        <v>15</v>
      </c>
      <c r="C37" s="7" t="s">
        <v>256</v>
      </c>
      <c r="D37" s="7" t="s">
        <v>148</v>
      </c>
      <c r="E37" s="38" t="s">
        <v>500</v>
      </c>
      <c r="G37" s="44" t="str">
        <f t="shared" si="0"/>
        <v>KFC1E</v>
      </c>
      <c r="H37" s="20" t="str">
        <f>VLOOKUP($A37,[1]Sheet2!$I$2:$O$449,7,FALSE)</f>
        <v>https://hana.modakita.com/azd942/avatar/2515001020260312111902ED6EQV.jpg</v>
      </c>
      <c r="I37" s="21">
        <f t="shared" si="1"/>
        <v>50</v>
      </c>
      <c r="J37" s="21" t="str">
        <f t="shared" si="2"/>
        <v>21</v>
      </c>
      <c r="K37" s="21" t="str">
        <f t="shared" si="3"/>
        <v>01</v>
      </c>
      <c r="L37" s="21" t="str">
        <f t="shared" si="4"/>
        <v>2026</v>
      </c>
      <c r="M37" s="21">
        <f t="shared" si="5"/>
        <v>12</v>
      </c>
    </row>
    <row r="38" spans="1:13" hidden="1" x14ac:dyDescent="0.2">
      <c r="A38" s="47" t="s">
        <v>510</v>
      </c>
      <c r="B38" s="7" t="s">
        <v>15</v>
      </c>
      <c r="C38" s="7" t="s">
        <v>105</v>
      </c>
      <c r="D38" s="7" t="s">
        <v>173</v>
      </c>
      <c r="E38" s="38" t="s">
        <v>511</v>
      </c>
      <c r="G38" s="44" t="str">
        <f t="shared" si="0"/>
        <v>KFD1E</v>
      </c>
      <c r="H38" s="20" t="str">
        <f>VLOOKUP($A38,[1]Sheet2!$I$2:$O$449,7,FALSE)</f>
        <v>https://hana.modakita.com/azd942/avatar/2515001020260319110740XG1LOU.jpg</v>
      </c>
      <c r="I38" s="21">
        <f t="shared" si="1"/>
        <v>24</v>
      </c>
      <c r="J38" s="21" t="str">
        <f t="shared" si="2"/>
        <v>23</v>
      </c>
      <c r="K38" s="21" t="str">
        <f t="shared" si="3"/>
        <v>02</v>
      </c>
      <c r="L38" s="21" t="str">
        <f t="shared" si="4"/>
        <v>2026</v>
      </c>
      <c r="M38" s="21">
        <f t="shared" si="5"/>
        <v>12</v>
      </c>
    </row>
    <row r="39" spans="1:13" hidden="1" x14ac:dyDescent="0.2">
      <c r="A39" s="47" t="s">
        <v>167</v>
      </c>
      <c r="B39" s="7" t="s">
        <v>15</v>
      </c>
      <c r="C39" s="7" t="s">
        <v>168</v>
      </c>
      <c r="D39" s="7" t="s">
        <v>169</v>
      </c>
      <c r="E39" s="38" t="s">
        <v>170</v>
      </c>
      <c r="G39" s="44" t="str">
        <f t="shared" si="0"/>
        <v>JME1E</v>
      </c>
      <c r="H39" s="20" t="str">
        <f>VLOOKUP($A39,[1]Sheet2!$I$2:$O$449,7,FALSE)</f>
        <v>https://hana.modakita.com/azd942/avatar/25150010202603171243227WEYGF.jpg</v>
      </c>
      <c r="I39" s="21">
        <f t="shared" si="1"/>
        <v>29</v>
      </c>
      <c r="J39" s="21" t="str">
        <f t="shared" si="2"/>
        <v>16</v>
      </c>
      <c r="K39" s="21" t="str">
        <f t="shared" si="3"/>
        <v>02</v>
      </c>
      <c r="L39" s="21" t="str">
        <f t="shared" si="4"/>
        <v>2026</v>
      </c>
      <c r="M39" s="21">
        <f t="shared" si="5"/>
        <v>12</v>
      </c>
    </row>
    <row r="40" spans="1:13" x14ac:dyDescent="0.2">
      <c r="A40" s="48" t="s">
        <v>355</v>
      </c>
      <c r="B40" s="7" t="s">
        <v>15</v>
      </c>
      <c r="C40" s="7" t="s">
        <v>161</v>
      </c>
      <c r="D40" s="7" t="s">
        <v>110</v>
      </c>
      <c r="E40" s="7" t="s">
        <v>170</v>
      </c>
      <c r="F40" s="5" t="s">
        <v>800</v>
      </c>
      <c r="G40" t="str">
        <f t="shared" si="0"/>
        <v>JMH2E</v>
      </c>
      <c r="H40" s="20" t="str">
        <f>VLOOKUP($A40,[1]Sheet2!$I$2:$O$449,7,FALSE)</f>
        <v>https://hana.modakita.com/azd942/avatar/2515001020260311102303QYNATU.jpg</v>
      </c>
      <c r="I40" s="21">
        <f t="shared" si="1"/>
        <v>33</v>
      </c>
      <c r="J40" s="21" t="str">
        <f t="shared" si="2"/>
        <v>06</v>
      </c>
      <c r="K40" s="21" t="str">
        <f t="shared" si="3"/>
        <v>02</v>
      </c>
      <c r="L40" s="21" t="str">
        <f t="shared" si="4"/>
        <v>2026</v>
      </c>
      <c r="M40" s="21">
        <f t="shared" si="5"/>
        <v>12</v>
      </c>
    </row>
    <row r="41" spans="1:13" hidden="1" x14ac:dyDescent="0.2">
      <c r="A41" s="47" t="s">
        <v>201</v>
      </c>
      <c r="B41" s="7" t="s">
        <v>25</v>
      </c>
      <c r="C41" s="7" t="s">
        <v>168</v>
      </c>
      <c r="D41" s="7" t="s">
        <v>154</v>
      </c>
      <c r="E41" s="38" t="s">
        <v>202</v>
      </c>
      <c r="G41" s="44" t="str">
        <f t="shared" si="0"/>
        <v>JMF1E</v>
      </c>
      <c r="H41" s="20" t="str">
        <f>VLOOKUP($A41,[1]Sheet2!$I$2:$O$449,7,FALSE)</f>
        <v>https://hana.modakita.com/azd942/avatar/2139517862026031413124737QVF0.jpg</v>
      </c>
      <c r="I41" s="21">
        <f t="shared" si="1"/>
        <v>26</v>
      </c>
      <c r="J41" s="21" t="str">
        <f t="shared" si="2"/>
        <v>16</v>
      </c>
      <c r="K41" s="21" t="str">
        <f t="shared" si="3"/>
        <v>02</v>
      </c>
      <c r="L41" s="21" t="str">
        <f t="shared" si="4"/>
        <v>2026</v>
      </c>
      <c r="M41" s="21">
        <f t="shared" si="5"/>
        <v>12</v>
      </c>
    </row>
    <row r="42" spans="1:13" hidden="1" x14ac:dyDescent="0.2">
      <c r="A42" s="47" t="s">
        <v>668</v>
      </c>
      <c r="B42" s="7" t="s">
        <v>35</v>
      </c>
      <c r="C42" s="7" t="s">
        <v>669</v>
      </c>
      <c r="D42" s="7" t="s">
        <v>169</v>
      </c>
      <c r="E42" s="38" t="s">
        <v>670</v>
      </c>
      <c r="G42" s="44" t="str">
        <f t="shared" si="0"/>
        <v>JMD1E</v>
      </c>
      <c r="H42" s="20" t="str">
        <f>VLOOKUP($A42,[1]Sheet2!$I$2:$O$449,7,FALSE)</f>
        <v>https://hana.modakita.com/azd942/avatar/2963440120260317102118ZP1MSX.jpg</v>
      </c>
      <c r="I42" s="21">
        <f t="shared" si="1"/>
        <v>164</v>
      </c>
      <c r="J42" s="21" t="str">
        <f t="shared" si="2"/>
        <v>04</v>
      </c>
      <c r="K42" s="21" t="str">
        <f t="shared" si="3"/>
        <v>10</v>
      </c>
      <c r="L42" s="21" t="str">
        <f t="shared" si="4"/>
        <v>2025</v>
      </c>
      <c r="M42" s="21">
        <f t="shared" si="5"/>
        <v>12</v>
      </c>
    </row>
    <row r="43" spans="1:13" hidden="1" x14ac:dyDescent="0.2">
      <c r="A43" s="47" t="s">
        <v>189</v>
      </c>
      <c r="B43" s="7" t="s">
        <v>25</v>
      </c>
      <c r="C43" s="7" t="s">
        <v>190</v>
      </c>
      <c r="D43" s="7" t="s">
        <v>143</v>
      </c>
      <c r="E43" s="38" t="s">
        <v>191</v>
      </c>
      <c r="G43" s="44" t="str">
        <f t="shared" si="0"/>
        <v>JMF1E</v>
      </c>
      <c r="H43" s="20" t="str">
        <f>VLOOKUP($A43,[1]Sheet2!$I$2:$O$449,7,FALSE)</f>
        <v>https://hana.modakita.com/azd942/avatar/21376258920260303123159SSGBPW.jpg</v>
      </c>
      <c r="I43" s="21">
        <f t="shared" si="1"/>
        <v>31</v>
      </c>
      <c r="J43" s="21" t="str">
        <f t="shared" si="2"/>
        <v>31</v>
      </c>
      <c r="K43" s="21" t="str">
        <f t="shared" si="3"/>
        <v>01</v>
      </c>
      <c r="L43" s="21" t="str">
        <f t="shared" si="4"/>
        <v>2026</v>
      </c>
      <c r="M43" s="21">
        <f t="shared" si="5"/>
        <v>12</v>
      </c>
    </row>
    <row r="44" spans="1:13" hidden="1" x14ac:dyDescent="0.2">
      <c r="A44" s="47" t="s">
        <v>739</v>
      </c>
      <c r="B44" s="7" t="s">
        <v>25</v>
      </c>
      <c r="C44" s="7" t="s">
        <v>740</v>
      </c>
      <c r="D44" s="7" t="s">
        <v>151</v>
      </c>
      <c r="E44" s="38" t="s">
        <v>741</v>
      </c>
      <c r="G44" s="44" t="str">
        <f t="shared" si="0"/>
        <v>KF01E</v>
      </c>
      <c r="H44" s="20" t="str">
        <f>VLOOKUP($A44,[1]Sheet2!$I$2:$O$449,7,FALSE)</f>
        <v>https://hana.modakita.com/azd942/avatar/213951786202603131752045D9D1M.jpg</v>
      </c>
      <c r="I44" s="21">
        <f t="shared" si="1"/>
        <v>79</v>
      </c>
      <c r="J44" s="21" t="str">
        <f t="shared" si="2"/>
        <v>24</v>
      </c>
      <c r="K44" s="21" t="str">
        <f t="shared" si="3"/>
        <v>12</v>
      </c>
      <c r="L44" s="21" t="str">
        <f t="shared" si="4"/>
        <v>2025</v>
      </c>
      <c r="M44" s="21">
        <f t="shared" si="5"/>
        <v>12</v>
      </c>
    </row>
    <row r="45" spans="1:13" hidden="1" x14ac:dyDescent="0.2">
      <c r="A45" s="47" t="s">
        <v>432</v>
      </c>
      <c r="B45" s="7" t="s">
        <v>25</v>
      </c>
      <c r="C45" s="7" t="s">
        <v>387</v>
      </c>
      <c r="D45" s="7" t="s">
        <v>433</v>
      </c>
      <c r="E45" s="38" t="s">
        <v>434</v>
      </c>
      <c r="G45" s="44" t="str">
        <f t="shared" si="0"/>
        <v>JMH2E</v>
      </c>
      <c r="H45" s="20" t="str">
        <f>VLOOKUP($A45,[1]Sheet2!$I$2:$O$449,7,FALSE)</f>
        <v>https://hana.modakita.com/azd942/avatar/22801420260308112646TT1OI0.jpg</v>
      </c>
      <c r="I45" s="21">
        <f t="shared" si="1"/>
        <v>47</v>
      </c>
      <c r="J45" s="21" t="str">
        <f t="shared" si="2"/>
        <v>20</v>
      </c>
      <c r="K45" s="21" t="str">
        <f t="shared" si="3"/>
        <v>01</v>
      </c>
      <c r="L45" s="21" t="str">
        <f t="shared" si="4"/>
        <v>2026</v>
      </c>
      <c r="M45" s="21">
        <f t="shared" si="5"/>
        <v>12</v>
      </c>
    </row>
    <row r="46" spans="1:13" hidden="1" x14ac:dyDescent="0.2">
      <c r="A46" s="47" t="s">
        <v>386</v>
      </c>
      <c r="B46" s="7" t="s">
        <v>15</v>
      </c>
      <c r="C46" s="7" t="s">
        <v>387</v>
      </c>
      <c r="D46" s="7" t="s">
        <v>169</v>
      </c>
      <c r="E46" s="38" t="s">
        <v>388</v>
      </c>
      <c r="G46" s="44" t="str">
        <f t="shared" si="0"/>
        <v>JMH2E</v>
      </c>
      <c r="H46" s="20" t="str">
        <f>VLOOKUP($A46,[1]Sheet2!$I$2:$O$449,7,FALSE)</f>
        <v>https://hana.modakita.com/azd942/avatar/2649897020260317135432KKLRES.jpg</v>
      </c>
      <c r="I46" s="21">
        <f t="shared" si="1"/>
        <v>56</v>
      </c>
      <c r="J46" s="21" t="str">
        <f t="shared" si="2"/>
        <v>20</v>
      </c>
      <c r="K46" s="21" t="str">
        <f t="shared" si="3"/>
        <v>01</v>
      </c>
      <c r="L46" s="21" t="str">
        <f t="shared" si="4"/>
        <v>2026</v>
      </c>
      <c r="M46" s="21">
        <f t="shared" si="5"/>
        <v>12</v>
      </c>
    </row>
    <row r="47" spans="1:13" hidden="1" x14ac:dyDescent="0.2">
      <c r="A47" s="47" t="s">
        <v>662</v>
      </c>
      <c r="B47" s="7" t="s">
        <v>35</v>
      </c>
      <c r="C47" s="7" t="s">
        <v>663</v>
      </c>
      <c r="D47" s="7" t="s">
        <v>138</v>
      </c>
      <c r="E47" s="38" t="s">
        <v>664</v>
      </c>
      <c r="G47" s="44" t="str">
        <f t="shared" si="0"/>
        <v>JMC1E</v>
      </c>
      <c r="H47" s="20" t="str">
        <f>VLOOKUP($A47,[1]Sheet2!$I$2:$O$449,7,FALSE)</f>
        <v>https://hana.modakita.com/azd942/avatar/21393666120260309121407NF22WV.jpg</v>
      </c>
      <c r="I47" s="21">
        <f t="shared" si="1"/>
        <v>140</v>
      </c>
      <c r="J47" s="21" t="str">
        <f t="shared" si="2"/>
        <v>20</v>
      </c>
      <c r="K47" s="21" t="str">
        <f t="shared" si="3"/>
        <v>10</v>
      </c>
      <c r="L47" s="21" t="str">
        <f t="shared" si="4"/>
        <v>2025</v>
      </c>
      <c r="M47" s="21">
        <f t="shared" si="5"/>
        <v>12</v>
      </c>
    </row>
    <row r="48" spans="1:13" hidden="1" x14ac:dyDescent="0.2">
      <c r="A48" s="47" t="s">
        <v>583</v>
      </c>
      <c r="B48" s="7" t="s">
        <v>15</v>
      </c>
      <c r="C48" s="7" t="s">
        <v>275</v>
      </c>
      <c r="D48" s="7" t="s">
        <v>169</v>
      </c>
      <c r="E48" s="38" t="s">
        <v>451</v>
      </c>
      <c r="G48" s="44" t="str">
        <f t="shared" si="0"/>
        <v>JMJ1E</v>
      </c>
      <c r="H48" s="20" t="str">
        <f>VLOOKUP($A48,[1]Sheet2!$I$2:$O$449,7,FALSE)</f>
        <v>https://hana.modakita.com/azd942/avatar/213951786202603171027451BHOHT.jpg</v>
      </c>
      <c r="I48" s="21">
        <f t="shared" si="1"/>
        <v>27</v>
      </c>
      <c r="J48" s="21" t="str">
        <f t="shared" si="2"/>
        <v>18</v>
      </c>
      <c r="K48" s="21" t="str">
        <f t="shared" si="3"/>
        <v>02</v>
      </c>
      <c r="L48" s="21" t="str">
        <f t="shared" si="4"/>
        <v>2026</v>
      </c>
      <c r="M48" s="21">
        <f t="shared" si="5"/>
        <v>12</v>
      </c>
    </row>
    <row r="49" spans="1:13" hidden="1" x14ac:dyDescent="0.2">
      <c r="A49" s="47" t="s">
        <v>759</v>
      </c>
      <c r="B49" s="7" t="s">
        <v>15</v>
      </c>
      <c r="C49" s="7" t="s">
        <v>113</v>
      </c>
      <c r="D49" s="7" t="s">
        <v>110</v>
      </c>
      <c r="E49" s="38" t="s">
        <v>454</v>
      </c>
      <c r="G49" s="44" t="str">
        <f t="shared" si="0"/>
        <v>KC04E</v>
      </c>
      <c r="H49" s="20" t="str">
        <f>VLOOKUP($A49,[1]Sheet2!$I$2:$O$449,7,FALSE)</f>
        <v>https://hana.modakita.com/azd942/avatar/21395178620260311120420AWSQLZ.jpg</v>
      </c>
      <c r="I49" s="21">
        <f t="shared" si="1"/>
        <v>7</v>
      </c>
      <c r="J49" s="21" t="str">
        <f t="shared" si="2"/>
        <v>04</v>
      </c>
      <c r="K49" s="21" t="str">
        <f t="shared" si="3"/>
        <v>03</v>
      </c>
      <c r="L49" s="21" t="str">
        <f t="shared" si="4"/>
        <v>2026</v>
      </c>
      <c r="M49" s="21">
        <f t="shared" si="5"/>
        <v>12</v>
      </c>
    </row>
    <row r="50" spans="1:13" hidden="1" x14ac:dyDescent="0.2">
      <c r="A50" s="47" t="s">
        <v>389</v>
      </c>
      <c r="B50" s="7" t="s">
        <v>25</v>
      </c>
      <c r="C50" s="7" t="s">
        <v>101</v>
      </c>
      <c r="D50" s="7" t="s">
        <v>300</v>
      </c>
      <c r="E50" s="38" t="s">
        <v>460</v>
      </c>
      <c r="G50" s="44" t="str">
        <f t="shared" si="0"/>
        <v>JMH2E</v>
      </c>
      <c r="H50" s="20" t="s">
        <v>799</v>
      </c>
      <c r="I50" s="21">
        <f t="shared" si="1"/>
        <v>47</v>
      </c>
      <c r="J50" s="21" t="str">
        <f t="shared" si="2"/>
        <v>10</v>
      </c>
      <c r="K50" s="21" t="str">
        <f t="shared" si="3"/>
        <v>02</v>
      </c>
      <c r="L50" s="21" t="str">
        <f t="shared" si="4"/>
        <v>2026</v>
      </c>
      <c r="M50" s="21">
        <f t="shared" si="5"/>
        <v>12</v>
      </c>
    </row>
    <row r="51" spans="1:13" hidden="1" x14ac:dyDescent="0.2">
      <c r="A51" s="47" t="s">
        <v>536</v>
      </c>
      <c r="B51" s="7" t="s">
        <v>15</v>
      </c>
      <c r="C51" s="7" t="s">
        <v>165</v>
      </c>
      <c r="D51" s="7" t="s">
        <v>138</v>
      </c>
      <c r="E51" s="38" t="s">
        <v>464</v>
      </c>
      <c r="G51" s="44" t="str">
        <f t="shared" si="0"/>
        <v>JBP1E</v>
      </c>
      <c r="H51" s="20" t="str">
        <f>VLOOKUP($A51,[1]Sheet2!$I$2:$O$449,7,FALSE)</f>
        <v>https://hana.modakita.com/azd942/avatar/2963440120260309120442ZGYGQ2.jpg</v>
      </c>
      <c r="I51" s="21">
        <f t="shared" si="1"/>
        <v>12</v>
      </c>
      <c r="J51" s="21" t="str">
        <f t="shared" si="2"/>
        <v>25</v>
      </c>
      <c r="K51" s="21" t="str">
        <f t="shared" si="3"/>
        <v>02</v>
      </c>
      <c r="L51" s="21" t="str">
        <f t="shared" si="4"/>
        <v>2026</v>
      </c>
      <c r="M51" s="21">
        <f t="shared" si="5"/>
        <v>12</v>
      </c>
    </row>
    <row r="52" spans="1:13" hidden="1" x14ac:dyDescent="0.2">
      <c r="A52" s="47" t="s">
        <v>653</v>
      </c>
      <c r="B52" s="7" t="s">
        <v>35</v>
      </c>
      <c r="C52" s="7" t="s">
        <v>654</v>
      </c>
      <c r="D52" s="7" t="s">
        <v>102</v>
      </c>
      <c r="E52" s="38" t="s">
        <v>655</v>
      </c>
      <c r="G52" s="44" t="str">
        <f t="shared" si="0"/>
        <v>JMD1E</v>
      </c>
      <c r="H52" s="20" t="str">
        <f>VLOOKUP($A52,[1]Sheet2!$I$2:$O$449,7,FALSE)</f>
        <v>https://hana.modakita.com/azd942/avatar/2963440120260305102949QSAMF7.jpg</v>
      </c>
      <c r="I52" s="21">
        <f t="shared" si="1"/>
        <v>236</v>
      </c>
      <c r="J52" s="21" t="str">
        <f t="shared" si="2"/>
        <v>12</v>
      </c>
      <c r="K52" s="21" t="str">
        <f t="shared" si="3"/>
        <v>07</v>
      </c>
      <c r="L52" s="21" t="str">
        <f t="shared" si="4"/>
        <v>2025</v>
      </c>
      <c r="M52" s="21">
        <f t="shared" si="5"/>
        <v>12</v>
      </c>
    </row>
    <row r="53" spans="1:13" hidden="1" x14ac:dyDescent="0.2">
      <c r="A53" s="47" t="s">
        <v>742</v>
      </c>
      <c r="B53" s="7" t="s">
        <v>25</v>
      </c>
      <c r="C53" s="7" t="s">
        <v>743</v>
      </c>
      <c r="D53" s="7" t="s">
        <v>162</v>
      </c>
      <c r="E53" s="38" t="s">
        <v>744</v>
      </c>
      <c r="G53" s="44" t="str">
        <f t="shared" si="0"/>
        <v>KF01E</v>
      </c>
      <c r="H53" s="20" t="str">
        <f>VLOOKUP($A53,[1]Sheet2!$I$2:$O$449,7,FALSE)</f>
        <v>https://hana.modakita.com/azd942/avatar/2963440120260316100252R33LK9.jpg</v>
      </c>
      <c r="I53" s="21">
        <f t="shared" si="1"/>
        <v>102</v>
      </c>
      <c r="J53" s="21" t="str">
        <f t="shared" si="2"/>
        <v>04</v>
      </c>
      <c r="K53" s="21" t="str">
        <f t="shared" si="3"/>
        <v>12</v>
      </c>
      <c r="L53" s="21" t="str">
        <f t="shared" si="4"/>
        <v>2025</v>
      </c>
      <c r="M53" s="21">
        <f t="shared" si="5"/>
        <v>12</v>
      </c>
    </row>
    <row r="54" spans="1:13" hidden="1" x14ac:dyDescent="0.2">
      <c r="A54" s="47" t="s">
        <v>418</v>
      </c>
      <c r="B54" s="7" t="s">
        <v>25</v>
      </c>
      <c r="C54" s="7" t="s">
        <v>419</v>
      </c>
      <c r="D54" s="7" t="s">
        <v>143</v>
      </c>
      <c r="E54" s="38" t="s">
        <v>420</v>
      </c>
      <c r="G54" s="44" t="str">
        <f t="shared" si="0"/>
        <v>JMH2E</v>
      </c>
      <c r="H54" s="20" t="str">
        <f>VLOOKUP($A54,[1]Sheet2!$I$2:$O$449,7,FALSE)</f>
        <v>https://hana.modakita.com/azd942/avatar/21376258920260303123043YDUDAE.jpg</v>
      </c>
      <c r="I54" s="21">
        <f t="shared" si="1"/>
        <v>26</v>
      </c>
      <c r="J54" s="21" t="str">
        <f t="shared" si="2"/>
        <v>05</v>
      </c>
      <c r="K54" s="21" t="str">
        <f t="shared" si="3"/>
        <v>02</v>
      </c>
      <c r="L54" s="21" t="str">
        <f t="shared" si="4"/>
        <v>2026</v>
      </c>
      <c r="M54" s="21">
        <f t="shared" si="5"/>
        <v>12</v>
      </c>
    </row>
    <row r="55" spans="1:13" hidden="1" x14ac:dyDescent="0.2">
      <c r="A55" s="47" t="s">
        <v>336</v>
      </c>
      <c r="B55" s="7" t="s">
        <v>35</v>
      </c>
      <c r="C55" s="7" t="s">
        <v>337</v>
      </c>
      <c r="D55" s="7" t="s">
        <v>187</v>
      </c>
      <c r="E55" s="38" t="s">
        <v>338</v>
      </c>
      <c r="G55" s="44" t="str">
        <f t="shared" si="0"/>
        <v>JBK3E</v>
      </c>
      <c r="H55" s="20" t="str">
        <f>VLOOKUP($A55,[1]Sheet2!$I$2:$O$449,7,FALSE)</f>
        <v>https://hana.modakita.com/azd942/avatar/21393666120260331132318QAQVBX.jpg</v>
      </c>
      <c r="I55" s="21">
        <f t="shared" si="1"/>
        <v>146</v>
      </c>
      <c r="J55" s="21" t="str">
        <f t="shared" si="2"/>
        <v>05</v>
      </c>
      <c r="K55" s="21" t="str">
        <f t="shared" si="3"/>
        <v>11</v>
      </c>
      <c r="L55" s="21" t="str">
        <f t="shared" si="4"/>
        <v>2025</v>
      </c>
      <c r="M55" s="21">
        <f t="shared" si="5"/>
        <v>12</v>
      </c>
    </row>
    <row r="56" spans="1:13" hidden="1" x14ac:dyDescent="0.2">
      <c r="A56" s="47" t="s">
        <v>734</v>
      </c>
      <c r="B56" s="7" t="s">
        <v>25</v>
      </c>
      <c r="C56" s="7" t="s">
        <v>199</v>
      </c>
      <c r="D56" s="7" t="s">
        <v>106</v>
      </c>
      <c r="E56" s="38" t="s">
        <v>735</v>
      </c>
      <c r="G56" s="44" t="str">
        <f t="shared" si="0"/>
        <v>KF01E</v>
      </c>
      <c r="H56" s="20" t="str">
        <f>VLOOKUP($A56,[1]Sheet2!$I$2:$O$449,7,FALSE)</f>
        <v>https://hana.modakita.com/azd942/avatar/251500102026030612415953TLG1.jpg</v>
      </c>
      <c r="I56" s="21">
        <f t="shared" si="1"/>
        <v>39</v>
      </c>
      <c r="J56" s="21" t="str">
        <f t="shared" si="2"/>
        <v>26</v>
      </c>
      <c r="K56" s="21" t="str">
        <f t="shared" si="3"/>
        <v>01</v>
      </c>
      <c r="L56" s="21" t="str">
        <f t="shared" si="4"/>
        <v>2026</v>
      </c>
      <c r="M56" s="21">
        <f t="shared" si="5"/>
        <v>12</v>
      </c>
    </row>
    <row r="57" spans="1:13" hidden="1" x14ac:dyDescent="0.2">
      <c r="A57" s="47" t="s">
        <v>455</v>
      </c>
      <c r="B57" s="7" t="s">
        <v>25</v>
      </c>
      <c r="C57" s="7" t="s">
        <v>97</v>
      </c>
      <c r="D57" s="7" t="s">
        <v>219</v>
      </c>
      <c r="E57" s="38" t="s">
        <v>456</v>
      </c>
      <c r="G57" s="44" t="str">
        <f t="shared" si="0"/>
        <v>JMH1E</v>
      </c>
      <c r="H57" s="20" t="str">
        <f>VLOOKUP($A57,[1]Sheet2!$I$2:$O$449,7,FALSE)</f>
        <v>https://hana.modakita.com/azd942/avatar/21395178620260328160257MXRFTM.jpg</v>
      </c>
      <c r="I57" s="21">
        <f t="shared" si="1"/>
        <v>42</v>
      </c>
      <c r="J57" s="21" t="str">
        <f t="shared" si="2"/>
        <v>14</v>
      </c>
      <c r="K57" s="21" t="str">
        <f t="shared" si="3"/>
        <v>02</v>
      </c>
      <c r="L57" s="21" t="str">
        <f t="shared" si="4"/>
        <v>2026</v>
      </c>
      <c r="M57" s="21">
        <f t="shared" si="5"/>
        <v>12</v>
      </c>
    </row>
    <row r="58" spans="1:13" hidden="1" x14ac:dyDescent="0.2">
      <c r="A58" s="47" t="s">
        <v>140</v>
      </c>
      <c r="B58" s="7" t="s">
        <v>25</v>
      </c>
      <c r="C58" s="7" t="s">
        <v>137</v>
      </c>
      <c r="D58" s="7" t="s">
        <v>219</v>
      </c>
      <c r="E58" s="38" t="s">
        <v>220</v>
      </c>
      <c r="G58" s="44" t="str">
        <f t="shared" si="0"/>
        <v>JMF2E</v>
      </c>
      <c r="H58" s="20" t="s">
        <v>797</v>
      </c>
      <c r="I58" s="21">
        <f t="shared" si="1"/>
        <v>32</v>
      </c>
      <c r="J58" s="21" t="str">
        <f t="shared" si="2"/>
        <v>24</v>
      </c>
      <c r="K58" s="21" t="str">
        <f t="shared" si="3"/>
        <v>02</v>
      </c>
      <c r="L58" s="21" t="str">
        <f t="shared" si="4"/>
        <v>2026</v>
      </c>
      <c r="M58" s="21">
        <f t="shared" si="5"/>
        <v>12</v>
      </c>
    </row>
    <row r="59" spans="1:13" hidden="1" x14ac:dyDescent="0.2">
      <c r="A59" s="47" t="s">
        <v>430</v>
      </c>
      <c r="B59" s="7" t="s">
        <v>25</v>
      </c>
      <c r="C59" s="7" t="s">
        <v>210</v>
      </c>
      <c r="D59" s="7" t="s">
        <v>232</v>
      </c>
      <c r="E59" s="38" t="s">
        <v>431</v>
      </c>
      <c r="G59" s="44" t="str">
        <f t="shared" si="0"/>
        <v>JMH2E</v>
      </c>
      <c r="H59" s="20" t="str">
        <f>VLOOKUP($A59,[1]Sheet2!$I$2:$O$449,7,FALSE)</f>
        <v>https://hana.modakita.com/azd942/avatar/296344012026030714195917RGUZ.jpg</v>
      </c>
      <c r="I59" s="21">
        <f t="shared" si="1"/>
        <v>66</v>
      </c>
      <c r="J59" s="21" t="str">
        <f t="shared" si="2"/>
        <v>31</v>
      </c>
      <c r="K59" s="21" t="str">
        <f t="shared" si="3"/>
        <v>12</v>
      </c>
      <c r="L59" s="21" t="str">
        <f t="shared" si="4"/>
        <v>2025</v>
      </c>
      <c r="M59" s="21">
        <f t="shared" si="5"/>
        <v>12</v>
      </c>
    </row>
    <row r="60" spans="1:13" hidden="1" x14ac:dyDescent="0.2">
      <c r="A60" s="47" t="s">
        <v>636</v>
      </c>
      <c r="B60" s="7" t="s">
        <v>25</v>
      </c>
      <c r="C60" s="7" t="s">
        <v>637</v>
      </c>
      <c r="D60" s="7" t="s">
        <v>148</v>
      </c>
      <c r="E60" s="38" t="s">
        <v>638</v>
      </c>
      <c r="G60" s="44" t="str">
        <f t="shared" si="0"/>
        <v>JMJ1E</v>
      </c>
      <c r="H60" s="20" t="str">
        <f>VLOOKUP($A60,[1]Sheet2!$I$2:$O$449,7,FALSE)</f>
        <v>https://hana.modakita.com/azd942/avatar/2515001020260312150916TZJ1IR.jpg</v>
      </c>
      <c r="I60" s="21">
        <f t="shared" si="1"/>
        <v>62</v>
      </c>
      <c r="J60" s="21" t="str">
        <f t="shared" si="2"/>
        <v>09</v>
      </c>
      <c r="K60" s="21" t="str">
        <f t="shared" si="3"/>
        <v>01</v>
      </c>
      <c r="L60" s="21" t="str">
        <f t="shared" si="4"/>
        <v>2026</v>
      </c>
      <c r="M60" s="21">
        <f t="shared" si="5"/>
        <v>12</v>
      </c>
    </row>
    <row r="61" spans="1:13" hidden="1" x14ac:dyDescent="0.2">
      <c r="A61" s="48" t="s">
        <v>206</v>
      </c>
      <c r="B61" s="7" t="s">
        <v>25</v>
      </c>
      <c r="C61" s="7" t="s">
        <v>207</v>
      </c>
      <c r="D61" s="7" t="s">
        <v>208</v>
      </c>
      <c r="E61" s="7" t="s">
        <v>194</v>
      </c>
      <c r="F61" s="5" t="s">
        <v>802</v>
      </c>
      <c r="G61" t="str">
        <f t="shared" si="0"/>
        <v>JME1E</v>
      </c>
      <c r="H61" s="20" t="str">
        <f>VLOOKUP($A61,[1]Sheet2!$I$2:$O$449,7,FALSE)</f>
        <v>https://hana.modakita.com/azd942/avatar/2649897020260318084616LTMVTB.jpg</v>
      </c>
      <c r="I61" s="21">
        <f t="shared" si="1"/>
        <v>111</v>
      </c>
      <c r="J61" s="21" t="str">
        <f t="shared" si="2"/>
        <v>27</v>
      </c>
      <c r="K61" s="21" t="str">
        <f t="shared" si="3"/>
        <v>11</v>
      </c>
      <c r="L61" s="21" t="str">
        <f t="shared" si="4"/>
        <v>2025</v>
      </c>
      <c r="M61" s="21">
        <f t="shared" si="5"/>
        <v>12</v>
      </c>
    </row>
    <row r="62" spans="1:13" hidden="1" x14ac:dyDescent="0.2">
      <c r="A62" s="47" t="s">
        <v>192</v>
      </c>
      <c r="B62" s="7" t="s">
        <v>25</v>
      </c>
      <c r="C62" s="7" t="s">
        <v>193</v>
      </c>
      <c r="D62" s="7" t="s">
        <v>110</v>
      </c>
      <c r="E62" s="38" t="s">
        <v>194</v>
      </c>
      <c r="G62" s="44" t="str">
        <f t="shared" si="0"/>
        <v>JMF1E</v>
      </c>
      <c r="H62" s="20" t="str">
        <f>VLOOKUP($A62,[1]Sheet2!$I$2:$O$449,7,FALSE)</f>
        <v>https://hana.modakita.com/azd942/avatar/2649897020260311082158CGQJAR.jpg</v>
      </c>
      <c r="I62" s="21">
        <f t="shared" si="1"/>
        <v>65</v>
      </c>
      <c r="J62" s="21" t="str">
        <f t="shared" si="2"/>
        <v>05</v>
      </c>
      <c r="K62" s="21" t="str">
        <f t="shared" si="3"/>
        <v>01</v>
      </c>
      <c r="L62" s="21" t="str">
        <f t="shared" si="4"/>
        <v>2026</v>
      </c>
      <c r="M62" s="21">
        <f t="shared" si="5"/>
        <v>12</v>
      </c>
    </row>
    <row r="63" spans="1:13" hidden="1" x14ac:dyDescent="0.2">
      <c r="A63" s="47" t="s">
        <v>280</v>
      </c>
      <c r="B63" s="7" t="s">
        <v>15</v>
      </c>
      <c r="C63" s="7" t="s">
        <v>138</v>
      </c>
      <c r="D63" s="7" t="s">
        <v>151</v>
      </c>
      <c r="E63" s="38" t="s">
        <v>281</v>
      </c>
      <c r="G63" s="44" t="str">
        <f t="shared" si="0"/>
        <v>KFE1E</v>
      </c>
      <c r="H63" s="20" t="str">
        <f>VLOOKUP($A63,[1]Sheet2!$I$2:$O$449,7,FALSE)</f>
        <v>https://hana.modakita.com/azd942/avatar/2649897020260313132844F1XJDR.jpg</v>
      </c>
      <c r="I63" s="21">
        <f t="shared" si="1"/>
        <v>4</v>
      </c>
      <c r="J63" s="21" t="str">
        <f t="shared" si="2"/>
        <v>09</v>
      </c>
      <c r="K63" s="21" t="str">
        <f t="shared" si="3"/>
        <v>03</v>
      </c>
      <c r="L63" s="21" t="str">
        <f t="shared" si="4"/>
        <v>2026</v>
      </c>
      <c r="M63" s="21">
        <f t="shared" si="5"/>
        <v>12</v>
      </c>
    </row>
    <row r="64" spans="1:13" hidden="1" x14ac:dyDescent="0.2">
      <c r="A64" s="47" t="s">
        <v>427</v>
      </c>
      <c r="B64" s="7" t="s">
        <v>25</v>
      </c>
      <c r="C64" s="7" t="s">
        <v>428</v>
      </c>
      <c r="D64" s="7" t="s">
        <v>232</v>
      </c>
      <c r="E64" s="38" t="s">
        <v>429</v>
      </c>
      <c r="G64" s="44" t="str">
        <f t="shared" si="0"/>
        <v>JMH2E</v>
      </c>
      <c r="H64" s="20" t="str">
        <f>VLOOKUP($A64,[1]Sheet2!$I$2:$O$449,7,FALSE)</f>
        <v>https://hana.modakita.com/azd942/avatar/21395178620260307113108ZZSCHW.jpg</v>
      </c>
      <c r="I64" s="21">
        <f t="shared" si="1"/>
        <v>85</v>
      </c>
      <c r="J64" s="21" t="str">
        <f t="shared" si="2"/>
        <v>12</v>
      </c>
      <c r="K64" s="21" t="str">
        <f t="shared" si="3"/>
        <v>12</v>
      </c>
      <c r="L64" s="21" t="str">
        <f t="shared" si="4"/>
        <v>2025</v>
      </c>
      <c r="M64" s="21">
        <f t="shared" si="5"/>
        <v>12</v>
      </c>
    </row>
    <row r="65" spans="1:13" hidden="1" x14ac:dyDescent="0.2">
      <c r="A65" s="47" t="s">
        <v>776</v>
      </c>
      <c r="B65" s="7" t="s">
        <v>25</v>
      </c>
      <c r="C65" s="7" t="s">
        <v>777</v>
      </c>
      <c r="D65" s="7" t="s">
        <v>106</v>
      </c>
      <c r="E65" s="38" t="s">
        <v>778</v>
      </c>
      <c r="G65" s="44" t="str">
        <f t="shared" si="0"/>
        <v>KC04E</v>
      </c>
      <c r="H65" s="20" t="str">
        <f>VLOOKUP($A65,[1]Sheet2!$I$2:$O$449,7,FALSE)</f>
        <v>https://hana.modakita.com/azd942/avatar/25150010202603061150583XYKW2.jpg</v>
      </c>
      <c r="I65" s="21">
        <f t="shared" si="1"/>
        <v>80</v>
      </c>
      <c r="J65" s="21" t="str">
        <f t="shared" si="2"/>
        <v>16</v>
      </c>
      <c r="K65" s="21" t="str">
        <f t="shared" si="3"/>
        <v>12</v>
      </c>
      <c r="L65" s="21" t="str">
        <f t="shared" si="4"/>
        <v>2025</v>
      </c>
      <c r="M65" s="21">
        <f t="shared" si="5"/>
        <v>12</v>
      </c>
    </row>
    <row r="66" spans="1:13" hidden="1" x14ac:dyDescent="0.2">
      <c r="A66" s="47" t="s">
        <v>501</v>
      </c>
      <c r="B66" s="7" t="s">
        <v>15</v>
      </c>
      <c r="C66" s="7" t="s">
        <v>259</v>
      </c>
      <c r="D66" s="7" t="s">
        <v>148</v>
      </c>
      <c r="E66" s="38" t="s">
        <v>502</v>
      </c>
      <c r="G66" s="44" t="str">
        <f t="shared" ref="G66:G129" si="6">LEFT(A66,5)</f>
        <v>KFD1E</v>
      </c>
      <c r="H66" s="20" t="str">
        <f>VLOOKUP($A66,[1]Sheet2!$I$2:$O$449,7,FALSE)</f>
        <v>https://hana.modakita.com/azd942/avatar/2649897020260312112330U0JPCA.jpg</v>
      </c>
      <c r="I66" s="21">
        <f t="shared" ref="I66:I129" si="7">D66-C66</f>
        <v>27</v>
      </c>
      <c r="J66" s="21" t="str">
        <f t="shared" ref="J66:J129" si="8">LEFT(C66,2)</f>
        <v>13</v>
      </c>
      <c r="K66" s="21" t="str">
        <f t="shared" ref="K66:K129" si="9">MID(C66,4,2)</f>
        <v>02</v>
      </c>
      <c r="L66" s="21" t="str">
        <f t="shared" ref="L66:L129" si="10">RIGHT(C66,4)</f>
        <v>2026</v>
      </c>
      <c r="M66" s="21">
        <f t="shared" ref="M66:M129" si="11">LEN(A66)</f>
        <v>12</v>
      </c>
    </row>
    <row r="67" spans="1:13" hidden="1" x14ac:dyDescent="0.2">
      <c r="A67" s="47" t="s">
        <v>126</v>
      </c>
      <c r="B67" s="7" t="s">
        <v>15</v>
      </c>
      <c r="C67" s="7" t="s">
        <v>127</v>
      </c>
      <c r="D67" s="7" t="s">
        <v>102</v>
      </c>
      <c r="E67" s="38" t="s">
        <v>128</v>
      </c>
      <c r="G67" s="44" t="str">
        <f t="shared" si="6"/>
        <v>JME1E</v>
      </c>
      <c r="H67" s="20" t="str">
        <f>VLOOKUP($A67,[1]Sheet2!$I$2:$O$449,7,FALSE)</f>
        <v>https://hana.modakita.com/azd942/avatar/2963440120260305103858FMBV7T.jpg</v>
      </c>
      <c r="I67" s="21">
        <f t="shared" si="7"/>
        <v>25</v>
      </c>
      <c r="J67" s="21" t="str">
        <f t="shared" si="8"/>
        <v>08</v>
      </c>
      <c r="K67" s="21" t="str">
        <f t="shared" si="9"/>
        <v>02</v>
      </c>
      <c r="L67" s="21" t="str">
        <f t="shared" si="10"/>
        <v>2026</v>
      </c>
      <c r="M67" s="21">
        <f t="shared" si="11"/>
        <v>12</v>
      </c>
    </row>
    <row r="68" spans="1:13" hidden="1" x14ac:dyDescent="0.2">
      <c r="A68" s="47" t="s">
        <v>631</v>
      </c>
      <c r="B68" s="7" t="s">
        <v>25</v>
      </c>
      <c r="C68" s="7" t="s">
        <v>419</v>
      </c>
      <c r="D68" s="7" t="s">
        <v>232</v>
      </c>
      <c r="E68" s="38" t="s">
        <v>632</v>
      </c>
      <c r="G68" s="44" t="str">
        <f t="shared" si="6"/>
        <v>JMK1E</v>
      </c>
      <c r="H68" s="20" t="str">
        <f>VLOOKUP($A68,[1]Sheet2!$I$2:$O$449,7,FALSE)</f>
        <v>https://hana.modakita.com/azd942/avatar/2515001020260307135104I6FNVE.jpg</v>
      </c>
      <c r="I68" s="21">
        <f t="shared" si="7"/>
        <v>30</v>
      </c>
      <c r="J68" s="21" t="str">
        <f t="shared" si="8"/>
        <v>05</v>
      </c>
      <c r="K68" s="21" t="str">
        <f t="shared" si="9"/>
        <v>02</v>
      </c>
      <c r="L68" s="21" t="str">
        <f t="shared" si="10"/>
        <v>2026</v>
      </c>
      <c r="M68" s="21">
        <f t="shared" si="11"/>
        <v>12</v>
      </c>
    </row>
    <row r="69" spans="1:13" hidden="1" x14ac:dyDescent="0.2">
      <c r="A69" s="48" t="s">
        <v>276</v>
      </c>
      <c r="B69" s="7" t="s">
        <v>15</v>
      </c>
      <c r="C69" s="7" t="s">
        <v>259</v>
      </c>
      <c r="D69" s="7" t="s">
        <v>148</v>
      </c>
      <c r="E69" s="7" t="s">
        <v>277</v>
      </c>
      <c r="F69" s="5" t="s">
        <v>816</v>
      </c>
      <c r="G69" t="str">
        <f t="shared" si="6"/>
        <v>KFE1E</v>
      </c>
      <c r="H69" s="20" t="str">
        <f>VLOOKUP($A69,[1]Sheet2!$I$2:$O$449,7,FALSE)</f>
        <v>https://hana.modakita.com/azd942/avatar/2515001020260312131314YH7EWU.jpg</v>
      </c>
      <c r="I69" s="21">
        <f t="shared" si="7"/>
        <v>27</v>
      </c>
      <c r="J69" s="21" t="str">
        <f t="shared" si="8"/>
        <v>13</v>
      </c>
      <c r="K69" s="21" t="str">
        <f t="shared" si="9"/>
        <v>02</v>
      </c>
      <c r="L69" s="21" t="str">
        <f t="shared" si="10"/>
        <v>2026</v>
      </c>
      <c r="M69" s="21">
        <f t="shared" si="11"/>
        <v>12</v>
      </c>
    </row>
    <row r="70" spans="1:13" hidden="1" x14ac:dyDescent="0.2">
      <c r="A70" s="47" t="s">
        <v>665</v>
      </c>
      <c r="B70" s="7" t="s">
        <v>35</v>
      </c>
      <c r="C70" s="7" t="s">
        <v>666</v>
      </c>
      <c r="D70" s="7" t="s">
        <v>138</v>
      </c>
      <c r="E70" s="38" t="s">
        <v>667</v>
      </c>
      <c r="G70" s="44" t="str">
        <f t="shared" si="6"/>
        <v>JMC1E</v>
      </c>
      <c r="H70" s="20" t="str">
        <f>VLOOKUP($A70,[1]Sheet2!$I$2:$O$449,7,FALSE)</f>
        <v>https://hana.modakita.com/azd942/avatar/2515001020260309131004OHX6NQ.jpg</v>
      </c>
      <c r="I70" s="21">
        <f t="shared" si="7"/>
        <v>150</v>
      </c>
      <c r="J70" s="21" t="str">
        <f t="shared" si="8"/>
        <v>10</v>
      </c>
      <c r="K70" s="21" t="str">
        <f t="shared" si="9"/>
        <v>10</v>
      </c>
      <c r="L70" s="21" t="str">
        <f t="shared" si="10"/>
        <v>2025</v>
      </c>
      <c r="M70" s="21">
        <f t="shared" si="11"/>
        <v>12</v>
      </c>
    </row>
    <row r="71" spans="1:13" hidden="1" x14ac:dyDescent="0.2">
      <c r="A71" s="47" t="s">
        <v>150</v>
      </c>
      <c r="B71" s="7" t="s">
        <v>15</v>
      </c>
      <c r="C71" s="7" t="s">
        <v>110</v>
      </c>
      <c r="D71" s="7" t="s">
        <v>151</v>
      </c>
      <c r="E71" s="38" t="s">
        <v>152</v>
      </c>
      <c r="G71" s="44" t="str">
        <f t="shared" si="6"/>
        <v>JME1E</v>
      </c>
      <c r="H71" s="20" t="str">
        <f>VLOOKUP($A71,[1]Sheet2!$I$2:$O$449,7,FALSE)</f>
        <v>https://hana.modakita.com/azd942/avatar/21395178620260313105118SYNCC5.jpg</v>
      </c>
      <c r="I71" s="21">
        <f t="shared" si="7"/>
        <v>2</v>
      </c>
      <c r="J71" s="21" t="str">
        <f t="shared" si="8"/>
        <v>11</v>
      </c>
      <c r="K71" s="21" t="str">
        <f t="shared" si="9"/>
        <v>03</v>
      </c>
      <c r="L71" s="21" t="str">
        <f t="shared" si="10"/>
        <v>2026</v>
      </c>
      <c r="M71" s="21">
        <f t="shared" si="11"/>
        <v>12</v>
      </c>
    </row>
    <row r="72" spans="1:13" hidden="1" x14ac:dyDescent="0.2">
      <c r="A72" s="48" t="s">
        <v>307</v>
      </c>
      <c r="B72" s="7" t="s">
        <v>25</v>
      </c>
      <c r="C72" s="7" t="s">
        <v>308</v>
      </c>
      <c r="D72" s="7" t="s">
        <v>113</v>
      </c>
      <c r="E72" s="7" t="s">
        <v>309</v>
      </c>
      <c r="F72" s="5" t="s">
        <v>807</v>
      </c>
      <c r="G72" t="str">
        <f t="shared" si="6"/>
        <v>KFE2E</v>
      </c>
      <c r="H72" s="20" t="str">
        <f>VLOOKUP($A72,[1]Sheet2!$I$2:$O$449,7,FALSE)</f>
        <v>https://hana.modakita.com/azd942/avatar/213951786202603041157578ISDBA.jpg</v>
      </c>
      <c r="I72" s="21">
        <f t="shared" si="7"/>
        <v>179</v>
      </c>
      <c r="J72" s="21" t="str">
        <f t="shared" si="8"/>
        <v>06</v>
      </c>
      <c r="K72" s="21" t="str">
        <f t="shared" si="9"/>
        <v>09</v>
      </c>
      <c r="L72" s="21" t="str">
        <f t="shared" si="10"/>
        <v>2025</v>
      </c>
      <c r="M72" s="21">
        <f t="shared" si="11"/>
        <v>12</v>
      </c>
    </row>
    <row r="73" spans="1:13" hidden="1" x14ac:dyDescent="0.2">
      <c r="A73" s="47" t="s">
        <v>457</v>
      </c>
      <c r="B73" s="7" t="s">
        <v>25</v>
      </c>
      <c r="C73" s="7" t="s">
        <v>458</v>
      </c>
      <c r="D73" s="7" t="s">
        <v>300</v>
      </c>
      <c r="E73" s="38" t="s">
        <v>459</v>
      </c>
      <c r="G73" s="44" t="str">
        <f t="shared" si="6"/>
        <v>JMH1E</v>
      </c>
      <c r="H73" s="20" t="str">
        <f>VLOOKUP($A73,[1]Sheet2!$I$2:$O$449,7,FALSE)</f>
        <v>https://hana.modakita.com/azd942/avatar/2515001020260329111742OJSBYU.jpg</v>
      </c>
      <c r="I73" s="21">
        <f t="shared" si="7"/>
        <v>71</v>
      </c>
      <c r="J73" s="21" t="str">
        <f t="shared" si="8"/>
        <v>17</v>
      </c>
      <c r="K73" s="21" t="str">
        <f t="shared" si="9"/>
        <v>01</v>
      </c>
      <c r="L73" s="21" t="str">
        <f t="shared" si="10"/>
        <v>2026</v>
      </c>
      <c r="M73" s="21">
        <f t="shared" si="11"/>
        <v>12</v>
      </c>
    </row>
    <row r="74" spans="1:13" hidden="1" x14ac:dyDescent="0.2">
      <c r="A74" s="47" t="s">
        <v>579</v>
      </c>
      <c r="B74" s="7" t="s">
        <v>15</v>
      </c>
      <c r="C74" s="7" t="s">
        <v>275</v>
      </c>
      <c r="D74" s="7" t="s">
        <v>154</v>
      </c>
      <c r="E74" s="38" t="s">
        <v>580</v>
      </c>
      <c r="G74" s="44" t="str">
        <f t="shared" si="6"/>
        <v>JMK1E</v>
      </c>
      <c r="H74" s="20" t="str">
        <f>VLOOKUP($A74,[1]Sheet2!$I$2:$O$449,7,FALSE)</f>
        <v>https://hana.modakita.com/azd942/avatar/2515001020260314124138WQDFAV.jpg</v>
      </c>
      <c r="I74" s="21">
        <f t="shared" si="7"/>
        <v>24</v>
      </c>
      <c r="J74" s="21" t="str">
        <f t="shared" si="8"/>
        <v>18</v>
      </c>
      <c r="K74" s="21" t="str">
        <f t="shared" si="9"/>
        <v>02</v>
      </c>
      <c r="L74" s="21" t="str">
        <f t="shared" si="10"/>
        <v>2026</v>
      </c>
      <c r="M74" s="21">
        <f t="shared" si="11"/>
        <v>12</v>
      </c>
    </row>
    <row r="75" spans="1:13" hidden="1" x14ac:dyDescent="0.2">
      <c r="A75" s="47" t="s">
        <v>447</v>
      </c>
      <c r="B75" s="7" t="s">
        <v>25</v>
      </c>
      <c r="C75" s="7" t="s">
        <v>199</v>
      </c>
      <c r="D75" s="7" t="s">
        <v>169</v>
      </c>
      <c r="E75" s="38" t="s">
        <v>448</v>
      </c>
      <c r="G75" s="44" t="str">
        <f t="shared" si="6"/>
        <v>JMH2E</v>
      </c>
      <c r="H75" s="20" t="str">
        <f>VLOOKUP($A75,[1]Sheet2!$I$2:$O$449,7,FALSE)</f>
        <v>https://hana.modakita.com/azd942/avatar/2515001020260317131148KP37QJ.jpg</v>
      </c>
      <c r="I75" s="21">
        <f t="shared" si="7"/>
        <v>50</v>
      </c>
      <c r="J75" s="21" t="str">
        <f t="shared" si="8"/>
        <v>26</v>
      </c>
      <c r="K75" s="21" t="str">
        <f t="shared" si="9"/>
        <v>01</v>
      </c>
      <c r="L75" s="21" t="str">
        <f t="shared" si="10"/>
        <v>2026</v>
      </c>
      <c r="M75" s="21">
        <f t="shared" si="11"/>
        <v>12</v>
      </c>
    </row>
    <row r="76" spans="1:13" x14ac:dyDescent="0.2">
      <c r="A76" s="48" t="s">
        <v>358</v>
      </c>
      <c r="B76" s="7" t="s">
        <v>15</v>
      </c>
      <c r="C76" s="7" t="s">
        <v>110</v>
      </c>
      <c r="D76" s="7" t="s">
        <v>151</v>
      </c>
      <c r="E76" s="7" t="s">
        <v>25</v>
      </c>
      <c r="F76" s="5" t="s">
        <v>805</v>
      </c>
      <c r="G76" t="str">
        <f t="shared" si="6"/>
        <v>JMH1E</v>
      </c>
      <c r="H76" s="20" t="str">
        <f>VLOOKUP($A76,[1]Sheet2!$I$2:$O$449,7,FALSE)</f>
        <v>https://hana.modakita.com/azd942/avatar/2515001020260313090545PPX1KZ.jpg</v>
      </c>
      <c r="I76" s="21">
        <f t="shared" si="7"/>
        <v>2</v>
      </c>
      <c r="J76" s="21" t="str">
        <f t="shared" si="8"/>
        <v>11</v>
      </c>
      <c r="K76" s="21" t="str">
        <f t="shared" si="9"/>
        <v>03</v>
      </c>
      <c r="L76" s="21" t="str">
        <f t="shared" si="10"/>
        <v>2026</v>
      </c>
      <c r="M76" s="21">
        <f t="shared" si="11"/>
        <v>12</v>
      </c>
    </row>
    <row r="77" spans="1:13" hidden="1" x14ac:dyDescent="0.2">
      <c r="A77" s="47" t="s">
        <v>756</v>
      </c>
      <c r="B77" s="7" t="s">
        <v>15</v>
      </c>
      <c r="C77" s="7" t="s">
        <v>127</v>
      </c>
      <c r="D77" s="7" t="s">
        <v>138</v>
      </c>
      <c r="E77" s="38" t="s">
        <v>590</v>
      </c>
      <c r="G77" s="44" t="str">
        <f t="shared" si="6"/>
        <v>KC04E</v>
      </c>
      <c r="H77" s="20" t="str">
        <f>VLOOKUP($A77,[1]Sheet2!$I$2:$O$449,7,FALSE)</f>
        <v>https://hana.modakita.com/azd942/avatar/2963440120260309120311GZLSGW.jpg</v>
      </c>
      <c r="I77" s="21">
        <f t="shared" si="7"/>
        <v>29</v>
      </c>
      <c r="J77" s="21" t="str">
        <f t="shared" si="8"/>
        <v>08</v>
      </c>
      <c r="K77" s="21" t="str">
        <f t="shared" si="9"/>
        <v>02</v>
      </c>
      <c r="L77" s="21" t="str">
        <f t="shared" si="10"/>
        <v>2026</v>
      </c>
      <c r="M77" s="21">
        <f t="shared" si="11"/>
        <v>12</v>
      </c>
    </row>
    <row r="78" spans="1:13" hidden="1" x14ac:dyDescent="0.2">
      <c r="A78" s="47" t="s">
        <v>726</v>
      </c>
      <c r="B78" s="7" t="s">
        <v>15</v>
      </c>
      <c r="C78" s="7" t="s">
        <v>137</v>
      </c>
      <c r="D78" s="7" t="s">
        <v>219</v>
      </c>
      <c r="E78" s="38" t="s">
        <v>590</v>
      </c>
      <c r="G78" s="44" t="str">
        <f t="shared" si="6"/>
        <v>KFA1E</v>
      </c>
      <c r="H78" s="20" t="str">
        <f>VLOOKUP($A78,[1]Sheet2!$I$2:$O$449,7,FALSE)</f>
        <v>https://hana.modakita.com/azd942/avatar/2515001020260328113959FFRHEN.jpg</v>
      </c>
      <c r="I78" s="21">
        <f t="shared" si="7"/>
        <v>32</v>
      </c>
      <c r="J78" s="21" t="str">
        <f t="shared" si="8"/>
        <v>24</v>
      </c>
      <c r="K78" s="21" t="str">
        <f t="shared" si="9"/>
        <v>02</v>
      </c>
      <c r="L78" s="21" t="str">
        <f t="shared" si="10"/>
        <v>2026</v>
      </c>
      <c r="M78" s="21">
        <f t="shared" si="11"/>
        <v>12</v>
      </c>
    </row>
    <row r="79" spans="1:13" hidden="1" x14ac:dyDescent="0.2">
      <c r="A79" s="47" t="s">
        <v>435</v>
      </c>
      <c r="B79" s="7" t="s">
        <v>25</v>
      </c>
      <c r="C79" s="7" t="s">
        <v>436</v>
      </c>
      <c r="D79" s="7" t="s">
        <v>138</v>
      </c>
      <c r="E79" s="38" t="s">
        <v>437</v>
      </c>
      <c r="G79" s="44" t="str">
        <f t="shared" si="6"/>
        <v>JMH1E</v>
      </c>
      <c r="H79" s="20" t="str">
        <f>VLOOKUP($A79,[1]Sheet2!$I$2:$O$449,7,FALSE)</f>
        <v>https://hana.modakita.com/azd942/avatar/2515001020260309130745WJOVRT.jpg</v>
      </c>
      <c r="I79" s="21">
        <f t="shared" si="7"/>
        <v>82</v>
      </c>
      <c r="J79" s="21" t="str">
        <f t="shared" si="8"/>
        <v>17</v>
      </c>
      <c r="K79" s="21" t="str">
        <f t="shared" si="9"/>
        <v>12</v>
      </c>
      <c r="L79" s="21" t="str">
        <f t="shared" si="10"/>
        <v>2025</v>
      </c>
      <c r="M79" s="21">
        <f t="shared" si="11"/>
        <v>12</v>
      </c>
    </row>
    <row r="80" spans="1:13" hidden="1" x14ac:dyDescent="0.2">
      <c r="A80" s="47" t="s">
        <v>452</v>
      </c>
      <c r="B80" s="7" t="s">
        <v>25</v>
      </c>
      <c r="C80" s="7" t="s">
        <v>165</v>
      </c>
      <c r="D80" s="7" t="s">
        <v>219</v>
      </c>
      <c r="E80" s="38" t="s">
        <v>453</v>
      </c>
      <c r="G80" s="44" t="str">
        <f t="shared" si="6"/>
        <v>JMH1E</v>
      </c>
      <c r="H80" s="20" t="str">
        <f>VLOOKUP($A80,[1]Sheet2!$I$2:$O$449,7,FALSE)</f>
        <v>https://hana.modakita.com/azd942/avatar/2963440120260328134217RTJW2B.jpg</v>
      </c>
      <c r="I80" s="21">
        <f t="shared" si="7"/>
        <v>31</v>
      </c>
      <c r="J80" s="21" t="str">
        <f t="shared" si="8"/>
        <v>25</v>
      </c>
      <c r="K80" s="21" t="str">
        <f t="shared" si="9"/>
        <v>02</v>
      </c>
      <c r="L80" s="21" t="str">
        <f t="shared" si="10"/>
        <v>2026</v>
      </c>
      <c r="M80" s="21">
        <f t="shared" si="11"/>
        <v>12</v>
      </c>
    </row>
    <row r="81" spans="1:13" hidden="1" x14ac:dyDescent="0.2">
      <c r="A81" s="47" t="s">
        <v>461</v>
      </c>
      <c r="B81" s="7" t="s">
        <v>25</v>
      </c>
      <c r="C81" s="7" t="s">
        <v>462</v>
      </c>
      <c r="D81" s="7" t="s">
        <v>118</v>
      </c>
      <c r="E81" s="38" t="s">
        <v>463</v>
      </c>
      <c r="G81" s="44" t="str">
        <f t="shared" si="6"/>
        <v>JMH1E</v>
      </c>
      <c r="H81" s="20" t="str">
        <f>VLOOKUP($A81,[1]Sheet2!$I$2:$O$449,7,FALSE)</f>
        <v>https://hana.modakita.com/azd942/avatar/2515001020260330140310BJ8WHM.jpg</v>
      </c>
      <c r="I81" s="21">
        <f t="shared" si="7"/>
        <v>130</v>
      </c>
      <c r="J81" s="21" t="str">
        <f t="shared" si="8"/>
        <v>20</v>
      </c>
      <c r="K81" s="21" t="str">
        <f t="shared" si="9"/>
        <v>11</v>
      </c>
      <c r="L81" s="21" t="str">
        <f t="shared" si="10"/>
        <v>2025</v>
      </c>
      <c r="M81" s="21">
        <f t="shared" si="11"/>
        <v>12</v>
      </c>
    </row>
    <row r="82" spans="1:13" hidden="1" x14ac:dyDescent="0.2">
      <c r="A82" s="47" t="s">
        <v>342</v>
      </c>
      <c r="B82" s="7" t="s">
        <v>15</v>
      </c>
      <c r="C82" s="7" t="s">
        <v>147</v>
      </c>
      <c r="D82" s="7" t="s">
        <v>98</v>
      </c>
      <c r="E82" s="38" t="s">
        <v>343</v>
      </c>
      <c r="G82" s="44" t="str">
        <f t="shared" si="6"/>
        <v>JMH2E</v>
      </c>
      <c r="H82" s="20" t="str">
        <f>VLOOKUP($A82,[1]Sheet2!$I$2:$O$449,7,FALSE)</f>
        <v>https://hana.modakita.com/azd942/avatar/2515001020260302131038EWBMJQ.jpg</v>
      </c>
      <c r="I82" s="21">
        <f t="shared" si="7"/>
        <v>18</v>
      </c>
      <c r="J82" s="21" t="str">
        <f t="shared" si="8"/>
        <v>12</v>
      </c>
      <c r="K82" s="21" t="str">
        <f t="shared" si="9"/>
        <v>02</v>
      </c>
      <c r="L82" s="21" t="str">
        <f t="shared" si="10"/>
        <v>2026</v>
      </c>
      <c r="M82" s="21">
        <f t="shared" si="11"/>
        <v>12</v>
      </c>
    </row>
    <row r="83" spans="1:13" hidden="1" x14ac:dyDescent="0.2">
      <c r="A83" s="47" t="s">
        <v>400</v>
      </c>
      <c r="B83" s="7" t="s">
        <v>15</v>
      </c>
      <c r="C83" s="7" t="s">
        <v>102</v>
      </c>
      <c r="D83" s="7" t="s">
        <v>114</v>
      </c>
      <c r="E83" s="38" t="s">
        <v>368</v>
      </c>
      <c r="G83" s="44" t="str">
        <f t="shared" si="6"/>
        <v>JMH1E</v>
      </c>
      <c r="H83" s="20" t="str">
        <f>VLOOKUP($A83,[1]Sheet2!$I$2:$O$449,7,FALSE)</f>
        <v>https://hana.modakita.com/azd942/avatar/2515001020260327133822DPGXYN.jpg</v>
      </c>
      <c r="I83" s="21">
        <f t="shared" si="7"/>
        <v>22</v>
      </c>
      <c r="J83" s="21" t="str">
        <f t="shared" si="8"/>
        <v>05</v>
      </c>
      <c r="K83" s="21" t="str">
        <f t="shared" si="9"/>
        <v>03</v>
      </c>
      <c r="L83" s="21" t="str">
        <f t="shared" si="10"/>
        <v>2026</v>
      </c>
      <c r="M83" s="21">
        <f t="shared" si="11"/>
        <v>12</v>
      </c>
    </row>
    <row r="84" spans="1:13" hidden="1" x14ac:dyDescent="0.2">
      <c r="A84" s="47" t="s">
        <v>380</v>
      </c>
      <c r="B84" s="7" t="s">
        <v>15</v>
      </c>
      <c r="C84" s="7" t="s">
        <v>147</v>
      </c>
      <c r="D84" s="7" t="s">
        <v>162</v>
      </c>
      <c r="E84" s="38" t="s">
        <v>368</v>
      </c>
      <c r="G84" s="44" t="str">
        <f t="shared" si="6"/>
        <v>JMH2E</v>
      </c>
      <c r="H84" s="20" t="str">
        <f>VLOOKUP($A84,[1]Sheet2!$I$2:$O$449,7,FALSE)</f>
        <v>https://hana.modakita.com/azd942/avatar/2515001020260316111332PXVGA2.jpg</v>
      </c>
      <c r="I84" s="21">
        <f t="shared" si="7"/>
        <v>32</v>
      </c>
      <c r="J84" s="21" t="str">
        <f t="shared" si="8"/>
        <v>12</v>
      </c>
      <c r="K84" s="21" t="str">
        <f t="shared" si="9"/>
        <v>02</v>
      </c>
      <c r="L84" s="21" t="str">
        <f t="shared" si="10"/>
        <v>2026</v>
      </c>
      <c r="M84" s="21">
        <f t="shared" si="11"/>
        <v>12</v>
      </c>
    </row>
    <row r="85" spans="1:13" x14ac:dyDescent="0.2">
      <c r="A85" s="48" t="s">
        <v>367</v>
      </c>
      <c r="B85" s="7" t="s">
        <v>15</v>
      </c>
      <c r="C85" s="7" t="s">
        <v>124</v>
      </c>
      <c r="D85" s="7" t="s">
        <v>154</v>
      </c>
      <c r="E85" s="7" t="s">
        <v>368</v>
      </c>
      <c r="F85" s="5" t="s">
        <v>800</v>
      </c>
      <c r="G85" t="str">
        <f t="shared" si="6"/>
        <v>JMH2E</v>
      </c>
      <c r="H85" s="20" t="str">
        <f>VLOOKUP($A85,[1]Sheet2!$I$2:$O$449,7,FALSE)</f>
        <v>https://hana.modakita.com/azd942/avatar/2649897020260314090649PZNJUF.jpg</v>
      </c>
      <c r="I85" s="21">
        <f t="shared" si="7"/>
        <v>46</v>
      </c>
      <c r="J85" s="21" t="str">
        <f t="shared" si="8"/>
        <v>27</v>
      </c>
      <c r="K85" s="21" t="str">
        <f t="shared" si="9"/>
        <v>01</v>
      </c>
      <c r="L85" s="21" t="str">
        <f t="shared" si="10"/>
        <v>2026</v>
      </c>
      <c r="M85" s="21">
        <f t="shared" si="11"/>
        <v>12</v>
      </c>
    </row>
    <row r="86" spans="1:13" hidden="1" x14ac:dyDescent="0.2">
      <c r="A86" s="47" t="s">
        <v>591</v>
      </c>
      <c r="B86" s="7" t="s">
        <v>15</v>
      </c>
      <c r="C86" s="7" t="s">
        <v>199</v>
      </c>
      <c r="D86" s="7" t="s">
        <v>173</v>
      </c>
      <c r="E86" s="38" t="s">
        <v>592</v>
      </c>
      <c r="G86" s="44" t="str">
        <f t="shared" si="6"/>
        <v>JMJ1E</v>
      </c>
      <c r="H86" s="20" t="str">
        <f>VLOOKUP($A86,[1]Sheet2!$I$2:$O$449,7,FALSE)</f>
        <v>https://hana.modakita.com/azd942/avatar/2515001020260319081506ZUVPPE.jpg</v>
      </c>
      <c r="I86" s="21">
        <f t="shared" si="7"/>
        <v>52</v>
      </c>
      <c r="J86" s="21" t="str">
        <f t="shared" si="8"/>
        <v>26</v>
      </c>
      <c r="K86" s="21" t="str">
        <f t="shared" si="9"/>
        <v>01</v>
      </c>
      <c r="L86" s="21" t="str">
        <f t="shared" si="10"/>
        <v>2026</v>
      </c>
      <c r="M86" s="21">
        <f t="shared" si="11"/>
        <v>12</v>
      </c>
    </row>
    <row r="87" spans="1:13" hidden="1" x14ac:dyDescent="0.2">
      <c r="A87" s="48" t="s">
        <v>773</v>
      </c>
      <c r="B87" s="7" t="s">
        <v>15</v>
      </c>
      <c r="C87" s="7" t="s">
        <v>106</v>
      </c>
      <c r="D87" s="7" t="s">
        <v>118</v>
      </c>
      <c r="E87" s="38" t="s">
        <v>639</v>
      </c>
      <c r="F87" s="45" t="s">
        <v>819</v>
      </c>
      <c r="G87" s="44" t="str">
        <f t="shared" si="6"/>
        <v>KC04E</v>
      </c>
      <c r="H87" s="20" t="str">
        <f>VLOOKUP($A87,[1]Sheet2!$I$2:$O$449,7,FALSE)</f>
        <v>https://hana.modakita.com/azd942/avatar/21502451420260330113947CW2VE6.jpg</v>
      </c>
      <c r="I87" s="21">
        <f t="shared" si="7"/>
        <v>24</v>
      </c>
      <c r="J87" s="21" t="str">
        <f t="shared" si="8"/>
        <v>06</v>
      </c>
      <c r="K87" s="21" t="str">
        <f t="shared" si="9"/>
        <v>03</v>
      </c>
      <c r="L87" s="21" t="str">
        <f t="shared" si="10"/>
        <v>2026</v>
      </c>
      <c r="M87" s="21">
        <f t="shared" si="11"/>
        <v>12</v>
      </c>
    </row>
    <row r="88" spans="1:13" hidden="1" x14ac:dyDescent="0.2">
      <c r="A88" s="47" t="s">
        <v>346</v>
      </c>
      <c r="B88" s="7" t="s">
        <v>15</v>
      </c>
      <c r="C88" s="7" t="s">
        <v>147</v>
      </c>
      <c r="D88" s="7" t="s">
        <v>143</v>
      </c>
      <c r="E88" s="38" t="s">
        <v>347</v>
      </c>
      <c r="G88" s="44" t="str">
        <f t="shared" si="6"/>
        <v>JMH2E</v>
      </c>
      <c r="H88" s="20" t="str">
        <f>VLOOKUP($A88,[1]Sheet2!$I$2:$O$449,7,FALSE)</f>
        <v>https://hana.modakita.com/azd942/avatar/2515001020260303131115YICGHE.jpg</v>
      </c>
      <c r="I88" s="21">
        <f t="shared" si="7"/>
        <v>19</v>
      </c>
      <c r="J88" s="21" t="str">
        <f t="shared" si="8"/>
        <v>12</v>
      </c>
      <c r="K88" s="21" t="str">
        <f t="shared" si="9"/>
        <v>02</v>
      </c>
      <c r="L88" s="21" t="str">
        <f t="shared" si="10"/>
        <v>2026</v>
      </c>
      <c r="M88" s="21">
        <f t="shared" si="11"/>
        <v>12</v>
      </c>
    </row>
    <row r="89" spans="1:13" hidden="1" x14ac:dyDescent="0.2">
      <c r="A89" s="47" t="s">
        <v>438</v>
      </c>
      <c r="B89" s="7" t="s">
        <v>25</v>
      </c>
      <c r="C89" s="7" t="s">
        <v>439</v>
      </c>
      <c r="D89" s="7" t="s">
        <v>110</v>
      </c>
      <c r="E89" s="38" t="s">
        <v>440</v>
      </c>
      <c r="G89" s="44" t="str">
        <f t="shared" si="6"/>
        <v>JMH1E</v>
      </c>
      <c r="H89" s="20" t="str">
        <f>VLOOKUP($A89,[1]Sheet2!$I$2:$O$449,7,FALSE)</f>
        <v>https://hana.modakita.com/azd942/avatar/2649897020260311132620E8CJPM.jpg</v>
      </c>
      <c r="I89" s="21">
        <f t="shared" si="7"/>
        <v>83</v>
      </c>
      <c r="J89" s="21" t="str">
        <f t="shared" si="8"/>
        <v>18</v>
      </c>
      <c r="K89" s="21" t="str">
        <f t="shared" si="9"/>
        <v>12</v>
      </c>
      <c r="L89" s="21" t="str">
        <f t="shared" si="10"/>
        <v>2025</v>
      </c>
      <c r="M89" s="21">
        <f t="shared" si="11"/>
        <v>12</v>
      </c>
    </row>
    <row r="90" spans="1:13" hidden="1" x14ac:dyDescent="0.2">
      <c r="A90" s="47" t="s">
        <v>647</v>
      </c>
      <c r="B90" s="7" t="s">
        <v>25</v>
      </c>
      <c r="C90" s="7" t="s">
        <v>637</v>
      </c>
      <c r="D90" s="7" t="s">
        <v>169</v>
      </c>
      <c r="E90" s="38" t="s">
        <v>648</v>
      </c>
      <c r="G90" s="44" t="str">
        <f t="shared" si="6"/>
        <v>JMK1E</v>
      </c>
      <c r="H90" s="20" t="str">
        <f>VLOOKUP($A90,[1]Sheet2!$I$2:$O$449,7,FALSE)</f>
        <v>https://hana.modakita.com/azd942/avatar/2515001020260317130733B861TU.jpg</v>
      </c>
      <c r="I90" s="21">
        <f t="shared" si="7"/>
        <v>67</v>
      </c>
      <c r="J90" s="21" t="str">
        <f t="shared" si="8"/>
        <v>09</v>
      </c>
      <c r="K90" s="21" t="str">
        <f t="shared" si="9"/>
        <v>01</v>
      </c>
      <c r="L90" s="21" t="str">
        <f t="shared" si="10"/>
        <v>2026</v>
      </c>
      <c r="M90" s="21">
        <f t="shared" si="11"/>
        <v>12</v>
      </c>
    </row>
    <row r="91" spans="1:13" hidden="1" x14ac:dyDescent="0.2">
      <c r="A91" s="47" t="s">
        <v>421</v>
      </c>
      <c r="B91" s="7" t="s">
        <v>25</v>
      </c>
      <c r="C91" s="7" t="s">
        <v>422</v>
      </c>
      <c r="D91" s="7" t="s">
        <v>143</v>
      </c>
      <c r="E91" s="38" t="s">
        <v>423</v>
      </c>
      <c r="G91" s="44" t="str">
        <f t="shared" si="6"/>
        <v>JMH2E</v>
      </c>
      <c r="H91" s="20" t="str">
        <f>VLOOKUP($A91,[1]Sheet2!$I$2:$O$449,7,FALSE)</f>
        <v>https://hana.modakita.com/azd942/avatar/2963440120260303120630IXZM7A.jpg</v>
      </c>
      <c r="I91" s="21">
        <f t="shared" si="7"/>
        <v>91</v>
      </c>
      <c r="J91" s="21" t="str">
        <f t="shared" si="8"/>
        <v>02</v>
      </c>
      <c r="K91" s="21" t="str">
        <f t="shared" si="9"/>
        <v>12</v>
      </c>
      <c r="L91" s="21" t="str">
        <f t="shared" si="10"/>
        <v>2025</v>
      </c>
      <c r="M91" s="21">
        <f t="shared" si="11"/>
        <v>12</v>
      </c>
    </row>
    <row r="92" spans="1:13" hidden="1" x14ac:dyDescent="0.2">
      <c r="A92" s="47" t="s">
        <v>750</v>
      </c>
      <c r="B92" s="7" t="s">
        <v>35</v>
      </c>
      <c r="C92" s="7" t="s">
        <v>751</v>
      </c>
      <c r="D92" s="7" t="s">
        <v>143</v>
      </c>
      <c r="E92" s="38" t="s">
        <v>752</v>
      </c>
      <c r="G92" s="44" t="str">
        <f t="shared" si="6"/>
        <v>KFA1E</v>
      </c>
      <c r="H92" s="20" t="str">
        <f>VLOOKUP($A92,[1]Sheet2!$I$2:$O$449,7,FALSE)</f>
        <v>https://hana.modakita.com/azd942/avatar/25150010202603030907003WJFXY.jpg</v>
      </c>
      <c r="I92" s="21">
        <f t="shared" si="7"/>
        <v>349</v>
      </c>
      <c r="J92" s="21" t="str">
        <f t="shared" si="8"/>
        <v>19</v>
      </c>
      <c r="K92" s="21" t="str">
        <f t="shared" si="9"/>
        <v>03</v>
      </c>
      <c r="L92" s="21" t="str">
        <f t="shared" si="10"/>
        <v>2025</v>
      </c>
      <c r="M92" s="21">
        <f t="shared" si="11"/>
        <v>12</v>
      </c>
    </row>
    <row r="93" spans="1:13" hidden="1" x14ac:dyDescent="0.2">
      <c r="A93" s="47" t="s">
        <v>559</v>
      </c>
      <c r="B93" s="7" t="s">
        <v>15</v>
      </c>
      <c r="C93" s="7" t="s">
        <v>147</v>
      </c>
      <c r="D93" s="7" t="s">
        <v>102</v>
      </c>
      <c r="E93" s="38" t="s">
        <v>560</v>
      </c>
      <c r="G93" s="44" t="str">
        <f t="shared" si="6"/>
        <v>JMK1E</v>
      </c>
      <c r="H93" s="20" t="str">
        <f>VLOOKUP($A93,[1]Sheet2!$I$2:$O$449,7,FALSE)</f>
        <v>https://hana.modakita.com/azd942/avatar/2515001020260305123911IVF099.jpg</v>
      </c>
      <c r="I93" s="21">
        <f t="shared" si="7"/>
        <v>21</v>
      </c>
      <c r="J93" s="21" t="str">
        <f t="shared" si="8"/>
        <v>12</v>
      </c>
      <c r="K93" s="21" t="str">
        <f t="shared" si="9"/>
        <v>02</v>
      </c>
      <c r="L93" s="21" t="str">
        <f t="shared" si="10"/>
        <v>2026</v>
      </c>
      <c r="M93" s="21">
        <f t="shared" si="11"/>
        <v>12</v>
      </c>
    </row>
    <row r="94" spans="1:13" hidden="1" x14ac:dyDescent="0.2">
      <c r="A94" s="48" t="s">
        <v>265</v>
      </c>
      <c r="B94" s="7" t="s">
        <v>15</v>
      </c>
      <c r="C94" s="7" t="s">
        <v>266</v>
      </c>
      <c r="D94" s="7" t="s">
        <v>106</v>
      </c>
      <c r="E94" s="7" t="s">
        <v>267</v>
      </c>
      <c r="F94" s="5" t="s">
        <v>807</v>
      </c>
      <c r="G94" t="str">
        <f t="shared" si="6"/>
        <v>KFE1E</v>
      </c>
      <c r="H94" s="20" t="str">
        <f>VLOOKUP($A94,[1]Sheet2!$I$2:$O$449,7,FALSE)</f>
        <v>https://hana.modakita.com/azd942/avatar/21502451420260306093839RVYMVF.jpg</v>
      </c>
      <c r="I94" s="21">
        <f t="shared" si="7"/>
        <v>31</v>
      </c>
      <c r="J94" s="21" t="str">
        <f t="shared" si="8"/>
        <v>03</v>
      </c>
      <c r="K94" s="21" t="str">
        <f t="shared" si="9"/>
        <v>02</v>
      </c>
      <c r="L94" s="21" t="str">
        <f t="shared" si="10"/>
        <v>2026</v>
      </c>
      <c r="M94" s="21">
        <f t="shared" si="11"/>
        <v>12</v>
      </c>
    </row>
    <row r="95" spans="1:13" hidden="1" x14ac:dyDescent="0.2">
      <c r="A95" s="47" t="s">
        <v>651</v>
      </c>
      <c r="B95" s="7" t="s">
        <v>25</v>
      </c>
      <c r="C95" s="7" t="s">
        <v>256</v>
      </c>
      <c r="D95" s="7" t="s">
        <v>598</v>
      </c>
      <c r="E95" s="38" t="s">
        <v>652</v>
      </c>
      <c r="G95" s="44" t="str">
        <f t="shared" si="6"/>
        <v>JMK1E</v>
      </c>
      <c r="H95" s="20" t="str">
        <f>VLOOKUP($A95,[1]Sheet2!$I$2:$O$449,7,FALSE)</f>
        <v>https://hana.modakita.com/azd942/avatar/2963440120260324114751APCEBY.jpg</v>
      </c>
      <c r="I95" s="21">
        <f t="shared" si="7"/>
        <v>62</v>
      </c>
      <c r="J95" s="21" t="str">
        <f t="shared" si="8"/>
        <v>21</v>
      </c>
      <c r="K95" s="21" t="str">
        <f t="shared" si="9"/>
        <v>01</v>
      </c>
      <c r="L95" s="21" t="str">
        <f t="shared" si="10"/>
        <v>2026</v>
      </c>
      <c r="M95" s="21">
        <f t="shared" si="11"/>
        <v>12</v>
      </c>
    </row>
    <row r="96" spans="1:13" hidden="1" x14ac:dyDescent="0.2">
      <c r="A96" s="47" t="s">
        <v>659</v>
      </c>
      <c r="B96" s="7" t="s">
        <v>35</v>
      </c>
      <c r="C96" s="7" t="s">
        <v>660</v>
      </c>
      <c r="D96" s="7" t="s">
        <v>102</v>
      </c>
      <c r="E96" s="38" t="s">
        <v>661</v>
      </c>
      <c r="G96" s="44" t="str">
        <f t="shared" si="6"/>
        <v>JMD1E</v>
      </c>
      <c r="H96" s="20" t="str">
        <f>VLOOKUP($A96,[1]Sheet2!$I$2:$O$449,7,FALSE)</f>
        <v>https://hana.modakita.com/azd942/avatar/21395178620260305105126T0BO44.jpg</v>
      </c>
      <c r="I96" s="21">
        <f t="shared" si="7"/>
        <v>175</v>
      </c>
      <c r="J96" s="21" t="str">
        <f t="shared" si="8"/>
        <v>11</v>
      </c>
      <c r="K96" s="21" t="str">
        <f t="shared" si="9"/>
        <v>09</v>
      </c>
      <c r="L96" s="21" t="str">
        <f t="shared" si="10"/>
        <v>2025</v>
      </c>
      <c r="M96" s="21">
        <f t="shared" si="11"/>
        <v>12</v>
      </c>
    </row>
    <row r="97" spans="1:13" hidden="1" x14ac:dyDescent="0.2">
      <c r="A97" s="47" t="s">
        <v>671</v>
      </c>
      <c r="B97" s="7" t="s">
        <v>35</v>
      </c>
      <c r="C97" s="7" t="s">
        <v>672</v>
      </c>
      <c r="D97" s="7" t="s">
        <v>173</v>
      </c>
      <c r="E97" s="38" t="s">
        <v>673</v>
      </c>
      <c r="G97" s="44" t="str">
        <f t="shared" si="6"/>
        <v>JMC1E</v>
      </c>
      <c r="H97" s="20" t="str">
        <f>VLOOKUP($A97,[1]Sheet2!$I$2:$O$449,7,FALSE)</f>
        <v>https://hana.modakita.com/azd942/avatar/213951786202603191058324FAYIJ.jpg</v>
      </c>
      <c r="I97" s="21">
        <f t="shared" si="7"/>
        <v>191</v>
      </c>
      <c r="J97" s="21" t="str">
        <f t="shared" si="8"/>
        <v>09</v>
      </c>
      <c r="K97" s="21" t="str">
        <f t="shared" si="9"/>
        <v>09</v>
      </c>
      <c r="L97" s="21" t="str">
        <f t="shared" si="10"/>
        <v>2025</v>
      </c>
      <c r="M97" s="21">
        <f t="shared" si="11"/>
        <v>12</v>
      </c>
    </row>
    <row r="98" spans="1:13" hidden="1" x14ac:dyDescent="0.2">
      <c r="A98" s="47" t="s">
        <v>315</v>
      </c>
      <c r="B98" s="7" t="s">
        <v>25</v>
      </c>
      <c r="C98" s="7" t="s">
        <v>316</v>
      </c>
      <c r="D98" s="7" t="s">
        <v>162</v>
      </c>
      <c r="E98" s="38" t="s">
        <v>317</v>
      </c>
      <c r="G98" s="44" t="str">
        <f t="shared" si="6"/>
        <v>KFE1E</v>
      </c>
      <c r="H98" s="20" t="str">
        <f>VLOOKUP($A98,[1]Sheet2!$I$2:$O$449,7,FALSE)</f>
        <v>https://hana.modakita.com/azd942/avatar/2649897020260316125803VFDRGV.jpg</v>
      </c>
      <c r="I98" s="21">
        <f t="shared" si="7"/>
        <v>98</v>
      </c>
      <c r="J98" s="21" t="str">
        <f t="shared" si="8"/>
        <v>08</v>
      </c>
      <c r="K98" s="21" t="str">
        <f t="shared" si="9"/>
        <v>12</v>
      </c>
      <c r="L98" s="21" t="str">
        <f t="shared" si="10"/>
        <v>2025</v>
      </c>
      <c r="M98" s="21">
        <f t="shared" si="11"/>
        <v>12</v>
      </c>
    </row>
    <row r="99" spans="1:13" hidden="1" x14ac:dyDescent="0.2">
      <c r="A99" s="47" t="s">
        <v>629</v>
      </c>
      <c r="B99" s="7" t="s">
        <v>25</v>
      </c>
      <c r="C99" s="7" t="s">
        <v>425</v>
      </c>
      <c r="D99" s="7" t="s">
        <v>143</v>
      </c>
      <c r="E99" s="38" t="s">
        <v>630</v>
      </c>
      <c r="G99" s="44" t="str">
        <f t="shared" si="6"/>
        <v>JMC1E</v>
      </c>
      <c r="H99" s="20" t="str">
        <f>VLOOKUP($A99,[1]Sheet2!$I$2:$O$449,7,FALSE)</f>
        <v>https://hana.modakita.com/azd942/avatar/296344012026030312075888OMFY.jpg</v>
      </c>
      <c r="I99" s="21">
        <f t="shared" si="7"/>
        <v>106</v>
      </c>
      <c r="J99" s="21" t="str">
        <f t="shared" si="8"/>
        <v>17</v>
      </c>
      <c r="K99" s="21" t="str">
        <f t="shared" si="9"/>
        <v>11</v>
      </c>
      <c r="L99" s="21" t="str">
        <f t="shared" si="10"/>
        <v>2025</v>
      </c>
      <c r="M99" s="21">
        <f t="shared" si="11"/>
        <v>12</v>
      </c>
    </row>
    <row r="100" spans="1:13" hidden="1" x14ac:dyDescent="0.2">
      <c r="A100" s="47" t="s">
        <v>479</v>
      </c>
      <c r="B100" s="7" t="s">
        <v>35</v>
      </c>
      <c r="C100" s="7" t="s">
        <v>480</v>
      </c>
      <c r="D100" s="7" t="s">
        <v>219</v>
      </c>
      <c r="E100" s="38" t="s">
        <v>481</v>
      </c>
      <c r="G100" s="44" t="str">
        <f t="shared" si="6"/>
        <v>JMH2E</v>
      </c>
      <c r="H100" s="20" t="str">
        <f>VLOOKUP($A100,[1]Sheet2!$I$2:$O$449,7,FALSE)</f>
        <v>https://hana.modakita.com/azd942/avatar/2649897020260328123828ZOS0ZH.jpg</v>
      </c>
      <c r="I100" s="21">
        <f t="shared" si="7"/>
        <v>140</v>
      </c>
      <c r="J100" s="21" t="str">
        <f t="shared" si="8"/>
        <v>08</v>
      </c>
      <c r="K100" s="21" t="str">
        <f t="shared" si="9"/>
        <v>11</v>
      </c>
      <c r="L100" s="21" t="str">
        <f t="shared" si="10"/>
        <v>2025</v>
      </c>
      <c r="M100" s="21">
        <f t="shared" si="11"/>
        <v>12</v>
      </c>
    </row>
    <row r="101" spans="1:13" hidden="1" x14ac:dyDescent="0.2">
      <c r="A101" s="47" t="s">
        <v>539</v>
      </c>
      <c r="B101" s="7" t="s">
        <v>15</v>
      </c>
      <c r="C101" s="7" t="s">
        <v>266</v>
      </c>
      <c r="D101" s="7" t="s">
        <v>154</v>
      </c>
      <c r="E101" s="38" t="s">
        <v>540</v>
      </c>
      <c r="G101" s="44" t="str">
        <f t="shared" si="6"/>
        <v>JBP1E</v>
      </c>
      <c r="H101" s="20" t="str">
        <f>VLOOKUP($A101,[1]Sheet2!$I$2:$O$449,7,FALSE)</f>
        <v>https://hana.modakita.com/azd942/avatar/2515001020260314091249CPVKLM.jpg</v>
      </c>
      <c r="I101" s="21">
        <f t="shared" si="7"/>
        <v>39</v>
      </c>
      <c r="J101" s="21" t="str">
        <f t="shared" si="8"/>
        <v>03</v>
      </c>
      <c r="K101" s="21" t="str">
        <f t="shared" si="9"/>
        <v>02</v>
      </c>
      <c r="L101" s="21" t="str">
        <f t="shared" si="10"/>
        <v>2026</v>
      </c>
      <c r="M101" s="21">
        <f t="shared" si="11"/>
        <v>12</v>
      </c>
    </row>
    <row r="102" spans="1:13" hidden="1" x14ac:dyDescent="0.2">
      <c r="A102" s="47" t="s">
        <v>286</v>
      </c>
      <c r="B102" s="7" t="s">
        <v>15</v>
      </c>
      <c r="C102" s="7" t="s">
        <v>143</v>
      </c>
      <c r="D102" s="7" t="s">
        <v>177</v>
      </c>
      <c r="E102" s="38" t="s">
        <v>287</v>
      </c>
      <c r="G102" s="44" t="str">
        <f t="shared" si="6"/>
        <v>KFE1E</v>
      </c>
      <c r="H102" s="20" t="str">
        <f>VLOOKUP($A102,[1]Sheet2!$I$2:$O$449,7,FALSE)</f>
        <v>https://hana.modakita.com/azd942/avatar/26498970202603251437397QVFS6.jpg</v>
      </c>
      <c r="I102" s="21">
        <f t="shared" si="7"/>
        <v>22</v>
      </c>
      <c r="J102" s="21" t="str">
        <f t="shared" si="8"/>
        <v>03</v>
      </c>
      <c r="K102" s="21" t="str">
        <f t="shared" si="9"/>
        <v>03</v>
      </c>
      <c r="L102" s="21" t="str">
        <f t="shared" si="10"/>
        <v>2026</v>
      </c>
      <c r="M102" s="21">
        <f t="shared" si="11"/>
        <v>12</v>
      </c>
    </row>
    <row r="103" spans="1:13" x14ac:dyDescent="0.2">
      <c r="A103" s="48" t="s">
        <v>331</v>
      </c>
      <c r="B103" s="7" t="s">
        <v>15</v>
      </c>
      <c r="C103" s="7" t="s">
        <v>138</v>
      </c>
      <c r="D103" s="7" t="s">
        <v>169</v>
      </c>
      <c r="E103" s="7" t="s">
        <v>332</v>
      </c>
      <c r="F103" s="5" t="s">
        <v>800</v>
      </c>
      <c r="G103" t="str">
        <f t="shared" si="6"/>
        <v>JBK1E</v>
      </c>
      <c r="H103" s="20" t="str">
        <f>VLOOKUP($A103,[1]Sheet2!$I$2:$O$449,7,FALSE)</f>
        <v>https://hana.modakita.com/azd942/avatar/2515001020260317112506OCBBJE.jpg</v>
      </c>
      <c r="I103" s="21">
        <f t="shared" si="7"/>
        <v>8</v>
      </c>
      <c r="J103" s="21" t="str">
        <f t="shared" si="8"/>
        <v>09</v>
      </c>
      <c r="K103" s="21" t="str">
        <f t="shared" si="9"/>
        <v>03</v>
      </c>
      <c r="L103" s="21" t="str">
        <f t="shared" si="10"/>
        <v>2026</v>
      </c>
      <c r="M103" s="21">
        <f t="shared" si="11"/>
        <v>12</v>
      </c>
    </row>
    <row r="104" spans="1:13" hidden="1" x14ac:dyDescent="0.2">
      <c r="A104" s="47" t="s">
        <v>517</v>
      </c>
      <c r="B104" s="7" t="s">
        <v>25</v>
      </c>
      <c r="C104" s="7" t="s">
        <v>518</v>
      </c>
      <c r="D104" s="7" t="s">
        <v>113</v>
      </c>
      <c r="E104" s="38" t="s">
        <v>519</v>
      </c>
      <c r="G104" s="44" t="str">
        <f t="shared" si="6"/>
        <v>KFC1E</v>
      </c>
      <c r="H104" s="20" t="str">
        <f>VLOOKUP($A104,[1]Sheet2!$I$2:$O$449,7,FALSE)</f>
        <v>https://hana.modakita.com/azd942/avatar/29634401202603041117384VIBRP.jpg</v>
      </c>
      <c r="I104" s="21">
        <f t="shared" si="7"/>
        <v>169</v>
      </c>
      <c r="J104" s="21" t="str">
        <f t="shared" si="8"/>
        <v>16</v>
      </c>
      <c r="K104" s="21" t="str">
        <f t="shared" si="9"/>
        <v>09</v>
      </c>
      <c r="L104" s="21" t="str">
        <f t="shared" si="10"/>
        <v>2025</v>
      </c>
      <c r="M104" s="21">
        <f t="shared" si="11"/>
        <v>12</v>
      </c>
    </row>
    <row r="105" spans="1:13" hidden="1" x14ac:dyDescent="0.2">
      <c r="A105" s="47" t="s">
        <v>593</v>
      </c>
      <c r="B105" s="7" t="s">
        <v>15</v>
      </c>
      <c r="C105" s="7" t="s">
        <v>172</v>
      </c>
      <c r="D105" s="7" t="s">
        <v>173</v>
      </c>
      <c r="E105" s="38" t="s">
        <v>594</v>
      </c>
      <c r="G105" s="44" t="str">
        <f t="shared" si="6"/>
        <v>JMK1E</v>
      </c>
      <c r="H105" s="20" t="str">
        <f>VLOOKUP($A105,[1]Sheet2!$I$2:$O$449,7,FALSE)</f>
        <v>https://hana.modakita.com/azd942/avatar/2963440120260319100913JIQIRS.jpg</v>
      </c>
      <c r="I105" s="21">
        <f t="shared" si="7"/>
        <v>19</v>
      </c>
      <c r="J105" s="21" t="str">
        <f t="shared" si="8"/>
        <v>28</v>
      </c>
      <c r="K105" s="21" t="str">
        <f t="shared" si="9"/>
        <v>02</v>
      </c>
      <c r="L105" s="21" t="str">
        <f t="shared" si="10"/>
        <v>2026</v>
      </c>
      <c r="M105" s="21">
        <f t="shared" si="11"/>
        <v>12</v>
      </c>
    </row>
    <row r="106" spans="1:13" hidden="1" x14ac:dyDescent="0.2">
      <c r="A106" s="47" t="s">
        <v>240</v>
      </c>
      <c r="B106" s="7" t="s">
        <v>30</v>
      </c>
      <c r="C106" s="7" t="s">
        <v>241</v>
      </c>
      <c r="D106" s="7" t="s">
        <v>151</v>
      </c>
      <c r="E106" s="38" t="s">
        <v>242</v>
      </c>
      <c r="G106" s="44" t="str">
        <f t="shared" si="6"/>
        <v>JMF2E</v>
      </c>
      <c r="H106" s="20" t="str">
        <f>VLOOKUP($A106,[1]Sheet2!$I$2:$O$449,7,FALSE)</f>
        <v>https://hana.modakita.com/azd942/avatar/2649897020260313124829MCCWZF.jpg</v>
      </c>
      <c r="I106" s="21">
        <f t="shared" si="7"/>
        <v>282</v>
      </c>
      <c r="J106" s="21" t="str">
        <f t="shared" si="8"/>
        <v>04</v>
      </c>
      <c r="K106" s="21" t="str">
        <f t="shared" si="9"/>
        <v>06</v>
      </c>
      <c r="L106" s="21" t="str">
        <f t="shared" si="10"/>
        <v>2025</v>
      </c>
      <c r="M106" s="21">
        <f t="shared" si="11"/>
        <v>12</v>
      </c>
    </row>
    <row r="107" spans="1:13" hidden="1" x14ac:dyDescent="0.2">
      <c r="A107" s="47" t="s">
        <v>258</v>
      </c>
      <c r="B107" s="7" t="s">
        <v>25</v>
      </c>
      <c r="C107" s="7" t="s">
        <v>259</v>
      </c>
      <c r="D107" s="7" t="s">
        <v>118</v>
      </c>
      <c r="E107" s="38" t="s">
        <v>260</v>
      </c>
      <c r="G107" s="44" t="str">
        <f t="shared" si="6"/>
        <v>JMB1E</v>
      </c>
      <c r="H107" s="20" t="str">
        <f>VLOOKUP($A107,[1]Sheet2!$I$2:$O$449,7,FALSE)</f>
        <v>https://hana.modakita.com/azd942/avatar/2963440120260330144700XTWBE4.jpg</v>
      </c>
      <c r="I107" s="21">
        <f t="shared" si="7"/>
        <v>45</v>
      </c>
      <c r="J107" s="21" t="str">
        <f t="shared" si="8"/>
        <v>13</v>
      </c>
      <c r="K107" s="21" t="str">
        <f t="shared" si="9"/>
        <v>02</v>
      </c>
      <c r="L107" s="21" t="str">
        <f t="shared" si="10"/>
        <v>2026</v>
      </c>
      <c r="M107" s="21">
        <f t="shared" si="11"/>
        <v>12</v>
      </c>
    </row>
    <row r="108" spans="1:13" hidden="1" x14ac:dyDescent="0.2">
      <c r="A108" s="48" t="s">
        <v>731</v>
      </c>
      <c r="B108" s="7" t="s">
        <v>25</v>
      </c>
      <c r="C108" s="7" t="s">
        <v>732</v>
      </c>
      <c r="D108" s="7" t="s">
        <v>102</v>
      </c>
      <c r="E108" s="7" t="s">
        <v>733</v>
      </c>
      <c r="F108" s="5" t="s">
        <v>815</v>
      </c>
      <c r="G108" t="str">
        <f t="shared" si="6"/>
        <v>KF01E</v>
      </c>
      <c r="H108" s="20" t="str">
        <f>VLOOKUP($A108,[1]Sheet2!$I$2:$O$449,7,FALSE)</f>
        <v>https://hana.modakita.com/azd942/avatar/2515001020260305100635SCITFV.jpg</v>
      </c>
      <c r="I108" s="21">
        <f t="shared" si="7"/>
        <v>174</v>
      </c>
      <c r="J108" s="21" t="str">
        <f t="shared" si="8"/>
        <v>12</v>
      </c>
      <c r="K108" s="21" t="str">
        <f t="shared" si="9"/>
        <v>09</v>
      </c>
      <c r="L108" s="21" t="str">
        <f t="shared" si="10"/>
        <v>2025</v>
      </c>
      <c r="M108" s="21">
        <f t="shared" si="11"/>
        <v>12</v>
      </c>
    </row>
    <row r="109" spans="1:13" hidden="1" x14ac:dyDescent="0.2">
      <c r="A109" s="47" t="s">
        <v>153</v>
      </c>
      <c r="B109" s="7" t="s">
        <v>15</v>
      </c>
      <c r="C109" s="7" t="s">
        <v>137</v>
      </c>
      <c r="D109" s="7" t="s">
        <v>154</v>
      </c>
      <c r="E109" s="38" t="s">
        <v>155</v>
      </c>
      <c r="G109" s="44" t="str">
        <f t="shared" si="6"/>
        <v>JMF2E</v>
      </c>
      <c r="H109" s="20" t="str">
        <f>VLOOKUP($A109,[1]Sheet2!$I$2:$O$449,7,FALSE)</f>
        <v>https://hana.modakita.com/azd942/avatar/2649897020260314133858MTV479.jpg</v>
      </c>
      <c r="I109" s="21">
        <f t="shared" si="7"/>
        <v>18</v>
      </c>
      <c r="J109" s="21" t="str">
        <f t="shared" si="8"/>
        <v>24</v>
      </c>
      <c r="K109" s="21" t="str">
        <f t="shared" si="9"/>
        <v>02</v>
      </c>
      <c r="L109" s="21" t="str">
        <f t="shared" si="10"/>
        <v>2026</v>
      </c>
      <c r="M109" s="21">
        <f t="shared" si="11"/>
        <v>12</v>
      </c>
    </row>
    <row r="110" spans="1:13" hidden="1" x14ac:dyDescent="0.2">
      <c r="A110" s="47" t="s">
        <v>530</v>
      </c>
      <c r="B110" s="7" t="s">
        <v>35</v>
      </c>
      <c r="C110" s="7" t="s">
        <v>531</v>
      </c>
      <c r="D110" s="7" t="s">
        <v>208</v>
      </c>
      <c r="E110" s="38" t="s">
        <v>532</v>
      </c>
      <c r="G110" s="44" t="str">
        <f t="shared" si="6"/>
        <v>KFD1E</v>
      </c>
      <c r="H110" s="20" t="str">
        <f>VLOOKUP($A110,[1]Sheet2!$I$2:$O$449,7,FALSE)</f>
        <v>https://hana.modakita.com/azd942/avatar/21395178620260318131652MVX1PQ.jpg</v>
      </c>
      <c r="I110" s="21">
        <f t="shared" si="7"/>
        <v>357</v>
      </c>
      <c r="J110" s="21" t="str">
        <f t="shared" si="8"/>
        <v>26</v>
      </c>
      <c r="K110" s="21" t="str">
        <f t="shared" si="9"/>
        <v>03</v>
      </c>
      <c r="L110" s="21" t="str">
        <f t="shared" si="10"/>
        <v>2025</v>
      </c>
      <c r="M110" s="21">
        <f t="shared" si="11"/>
        <v>12</v>
      </c>
    </row>
    <row r="111" spans="1:13" hidden="1" x14ac:dyDescent="0.2">
      <c r="A111" s="47" t="s">
        <v>710</v>
      </c>
      <c r="B111" s="7" t="s">
        <v>15</v>
      </c>
      <c r="C111" s="7" t="s">
        <v>147</v>
      </c>
      <c r="D111" s="7" t="s">
        <v>110</v>
      </c>
      <c r="E111" s="38" t="s">
        <v>711</v>
      </c>
      <c r="G111" s="44" t="str">
        <f t="shared" si="6"/>
        <v>KFA1E</v>
      </c>
      <c r="H111" s="20" t="str">
        <f>VLOOKUP($A111,[1]Sheet2!$I$2:$O$449,7,FALSE)</f>
        <v>https://hana.modakita.com/azd942/avatar/2515001020260311102355OKCNVH.jpg</v>
      </c>
      <c r="I111" s="21">
        <f t="shared" si="7"/>
        <v>27</v>
      </c>
      <c r="J111" s="21" t="str">
        <f t="shared" si="8"/>
        <v>12</v>
      </c>
      <c r="K111" s="21" t="str">
        <f t="shared" si="9"/>
        <v>02</v>
      </c>
      <c r="L111" s="21" t="str">
        <f t="shared" si="10"/>
        <v>2026</v>
      </c>
      <c r="M111" s="21">
        <f t="shared" si="11"/>
        <v>12</v>
      </c>
    </row>
    <row r="112" spans="1:13" hidden="1" x14ac:dyDescent="0.2">
      <c r="A112" s="47" t="s">
        <v>406</v>
      </c>
      <c r="B112" s="7" t="s">
        <v>15</v>
      </c>
      <c r="C112" s="7" t="s">
        <v>162</v>
      </c>
      <c r="D112" s="7" t="s">
        <v>219</v>
      </c>
      <c r="E112" s="38" t="s">
        <v>407</v>
      </c>
      <c r="G112" s="44" t="str">
        <f t="shared" si="6"/>
        <v>JMH1E</v>
      </c>
      <c r="H112" s="20" t="str">
        <f>VLOOKUP($A112,[1]Sheet2!$I$2:$O$449,7,FALSE)</f>
        <v>https://hana.modakita.com/azd942/avatar/21395178620260328160407R1D1ZD.jpg</v>
      </c>
      <c r="I112" s="21">
        <f t="shared" si="7"/>
        <v>12</v>
      </c>
      <c r="J112" s="21" t="str">
        <f t="shared" si="8"/>
        <v>16</v>
      </c>
      <c r="K112" s="21" t="str">
        <f t="shared" si="9"/>
        <v>03</v>
      </c>
      <c r="L112" s="21" t="str">
        <f t="shared" si="10"/>
        <v>2026</v>
      </c>
      <c r="M112" s="21">
        <f t="shared" si="11"/>
        <v>12</v>
      </c>
    </row>
    <row r="113" spans="1:13" hidden="1" x14ac:dyDescent="0.2">
      <c r="A113" s="48" t="s">
        <v>571</v>
      </c>
      <c r="B113" s="7" t="s">
        <v>15</v>
      </c>
      <c r="C113" s="7" t="s">
        <v>275</v>
      </c>
      <c r="D113" s="7" t="s">
        <v>148</v>
      </c>
      <c r="E113" s="7" t="s">
        <v>572</v>
      </c>
      <c r="F113" s="5" t="s">
        <v>812</v>
      </c>
      <c r="G113" t="str">
        <f t="shared" si="6"/>
        <v>JMK1E</v>
      </c>
      <c r="H113" s="20" t="str">
        <f>VLOOKUP($A113,[1]Sheet2!$I$2:$O$449,7,FALSE)</f>
        <v>https://hana.modakita.com/azd942/avatar/26498970202603121309236XPKZJ.jpg</v>
      </c>
      <c r="I113" s="21">
        <f t="shared" si="7"/>
        <v>22</v>
      </c>
      <c r="J113" s="21" t="str">
        <f t="shared" si="8"/>
        <v>18</v>
      </c>
      <c r="K113" s="21" t="str">
        <f t="shared" si="9"/>
        <v>02</v>
      </c>
      <c r="L113" s="21" t="str">
        <f t="shared" si="10"/>
        <v>2026</v>
      </c>
      <c r="M113" s="21">
        <f t="shared" si="11"/>
        <v>12</v>
      </c>
    </row>
    <row r="114" spans="1:13" hidden="1" x14ac:dyDescent="0.2">
      <c r="A114" s="47" t="s">
        <v>381</v>
      </c>
      <c r="B114" s="7" t="s">
        <v>15</v>
      </c>
      <c r="C114" s="7" t="s">
        <v>172</v>
      </c>
      <c r="D114" s="7" t="s">
        <v>162</v>
      </c>
      <c r="E114" s="38" t="s">
        <v>382</v>
      </c>
      <c r="G114" s="44" t="str">
        <f t="shared" si="6"/>
        <v>JMH1E</v>
      </c>
      <c r="H114" s="20" t="str">
        <f>VLOOKUP($A114,[1]Sheet2!$I$2:$O$449,7,FALSE)</f>
        <v>https://hana.modakita.com/azd942/avatar/2649897020260316134621XU8Q8H.jpg</v>
      </c>
      <c r="I114" s="21">
        <f t="shared" si="7"/>
        <v>16</v>
      </c>
      <c r="J114" s="21" t="str">
        <f t="shared" si="8"/>
        <v>28</v>
      </c>
      <c r="K114" s="21" t="str">
        <f t="shared" si="9"/>
        <v>02</v>
      </c>
      <c r="L114" s="21" t="str">
        <f t="shared" si="10"/>
        <v>2026</v>
      </c>
      <c r="M114" s="21">
        <f t="shared" si="11"/>
        <v>12</v>
      </c>
    </row>
    <row r="115" spans="1:13" hidden="1" x14ac:dyDescent="0.2">
      <c r="A115" s="47" t="s">
        <v>310</v>
      </c>
      <c r="B115" s="7" t="s">
        <v>25</v>
      </c>
      <c r="C115" s="7" t="s">
        <v>311</v>
      </c>
      <c r="D115" s="7" t="s">
        <v>148</v>
      </c>
      <c r="E115" s="38" t="s">
        <v>312</v>
      </c>
      <c r="G115" s="44" t="str">
        <f t="shared" si="6"/>
        <v>KFE3E</v>
      </c>
      <c r="H115" s="20" t="str">
        <f>VLOOKUP($A115,[1]Sheet2!$I$2:$O$449,7,FALSE)</f>
        <v>https://hana.modakita.com/azd942/avatar/2649897020260312134324GMIVMI.jpg</v>
      </c>
      <c r="I115" s="21">
        <f t="shared" si="7"/>
        <v>163</v>
      </c>
      <c r="J115" s="21" t="str">
        <f t="shared" si="8"/>
        <v>30</v>
      </c>
      <c r="K115" s="21" t="str">
        <f t="shared" si="9"/>
        <v>09</v>
      </c>
      <c r="L115" s="21" t="str">
        <f t="shared" si="10"/>
        <v>2025</v>
      </c>
      <c r="M115" s="21">
        <f t="shared" si="11"/>
        <v>12</v>
      </c>
    </row>
    <row r="116" spans="1:13" hidden="1" x14ac:dyDescent="0.2">
      <c r="A116" s="47" t="s">
        <v>551</v>
      </c>
      <c r="B116" s="7" t="s">
        <v>30</v>
      </c>
      <c r="C116" s="7" t="s">
        <v>552</v>
      </c>
      <c r="D116" s="7" t="s">
        <v>110</v>
      </c>
      <c r="E116" s="38" t="s">
        <v>553</v>
      </c>
      <c r="G116" s="44" t="str">
        <f t="shared" si="6"/>
        <v>JBP1E</v>
      </c>
      <c r="H116" s="20" t="str">
        <f>VLOOKUP($A116,[1]Sheet2!$I$2:$O$449,7,FALSE)</f>
        <v>https://hana.modakita.com/azd942/avatar/21393666120260311114737UTRENO.jpg</v>
      </c>
      <c r="I116" s="21">
        <f t="shared" si="7"/>
        <v>117</v>
      </c>
      <c r="J116" s="21" t="str">
        <f t="shared" si="8"/>
        <v>14</v>
      </c>
      <c r="K116" s="21" t="str">
        <f t="shared" si="9"/>
        <v>11</v>
      </c>
      <c r="L116" s="21" t="str">
        <f t="shared" si="10"/>
        <v>2025</v>
      </c>
      <c r="M116" s="21">
        <f t="shared" si="11"/>
        <v>12</v>
      </c>
    </row>
    <row r="117" spans="1:13" hidden="1" x14ac:dyDescent="0.2">
      <c r="A117" s="47" t="s">
        <v>221</v>
      </c>
      <c r="B117" s="7" t="s">
        <v>35</v>
      </c>
      <c r="C117" s="7" t="s">
        <v>222</v>
      </c>
      <c r="D117" s="7" t="s">
        <v>98</v>
      </c>
      <c r="E117" s="38" t="s">
        <v>223</v>
      </c>
      <c r="G117" s="44" t="str">
        <f t="shared" si="6"/>
        <v>JME1E</v>
      </c>
      <c r="H117" s="20" t="str">
        <f>VLOOKUP($A117,[1]Sheet2!$I$2:$O$449,7,FALSE)</f>
        <v>https://hana.modakita.com/azd942/avatar/296344012026030216472289YQMI.jpg</v>
      </c>
      <c r="I117" s="21">
        <f t="shared" si="7"/>
        <v>236</v>
      </c>
      <c r="J117" s="21" t="str">
        <f t="shared" si="8"/>
        <v>09</v>
      </c>
      <c r="K117" s="21" t="str">
        <f t="shared" si="9"/>
        <v>07</v>
      </c>
      <c r="L117" s="21" t="str">
        <f t="shared" si="10"/>
        <v>2025</v>
      </c>
      <c r="M117" s="21">
        <f t="shared" si="11"/>
        <v>12</v>
      </c>
    </row>
    <row r="118" spans="1:13" hidden="1" x14ac:dyDescent="0.2">
      <c r="A118" s="47" t="s">
        <v>522</v>
      </c>
      <c r="B118" s="7" t="s">
        <v>25</v>
      </c>
      <c r="C118" s="7" t="s">
        <v>442</v>
      </c>
      <c r="D118" s="7" t="s">
        <v>106</v>
      </c>
      <c r="E118" s="38" t="s">
        <v>523</v>
      </c>
      <c r="G118" s="44" t="str">
        <f t="shared" si="6"/>
        <v>KFC1E</v>
      </c>
      <c r="H118" s="20" t="str">
        <f>VLOOKUP($A118,[1]Sheet2!$I$2:$O$449,7,FALSE)</f>
        <v>https://hana.modakita.com/azd942/avatar/2515001020260306132319MXO98R.jpg</v>
      </c>
      <c r="I118" s="21">
        <f t="shared" si="7"/>
        <v>95</v>
      </c>
      <c r="J118" s="21" t="str">
        <f t="shared" si="8"/>
        <v>01</v>
      </c>
      <c r="K118" s="21" t="str">
        <f t="shared" si="9"/>
        <v>12</v>
      </c>
      <c r="L118" s="21" t="str">
        <f t="shared" si="10"/>
        <v>2025</v>
      </c>
      <c r="M118" s="21">
        <f t="shared" si="11"/>
        <v>12</v>
      </c>
    </row>
    <row r="119" spans="1:13" hidden="1" x14ac:dyDescent="0.2">
      <c r="A119" s="47" t="s">
        <v>565</v>
      </c>
      <c r="B119" s="7" t="s">
        <v>15</v>
      </c>
      <c r="C119" s="7" t="s">
        <v>534</v>
      </c>
      <c r="D119" s="7" t="s">
        <v>148</v>
      </c>
      <c r="E119" s="38" t="s">
        <v>566</v>
      </c>
      <c r="G119" s="44" t="str">
        <f t="shared" si="6"/>
        <v>JMJ1E</v>
      </c>
      <c r="H119" s="20" t="str">
        <f>VLOOKUP($A119,[1]Sheet2!$I$2:$O$449,7,FALSE)</f>
        <v>https://hana.modakita.com/azd942/avatar/2963440120260312093300EKHQ84.jpg</v>
      </c>
      <c r="I119" s="21">
        <f t="shared" si="7"/>
        <v>29</v>
      </c>
      <c r="J119" s="21" t="str">
        <f t="shared" si="8"/>
        <v>11</v>
      </c>
      <c r="K119" s="21" t="str">
        <f t="shared" si="9"/>
        <v>02</v>
      </c>
      <c r="L119" s="21" t="str">
        <f t="shared" si="10"/>
        <v>2026</v>
      </c>
      <c r="M119" s="21">
        <f t="shared" si="11"/>
        <v>12</v>
      </c>
    </row>
    <row r="120" spans="1:13" hidden="1" x14ac:dyDescent="0.2">
      <c r="A120" s="47" t="s">
        <v>321</v>
      </c>
      <c r="B120" s="7" t="s">
        <v>35</v>
      </c>
      <c r="C120" s="7" t="s">
        <v>322</v>
      </c>
      <c r="D120" s="7" t="s">
        <v>148</v>
      </c>
      <c r="E120" s="38" t="s">
        <v>323</v>
      </c>
      <c r="G120" s="44" t="str">
        <f t="shared" si="6"/>
        <v>KFE1E</v>
      </c>
      <c r="H120" s="20" t="str">
        <f>VLOOKUP($A120,[1]Sheet2!$I$2:$O$449,7,FALSE)</f>
        <v>https://hana.modakita.com/azd942/avatar/2963440120260312094941VWQDGS.jpg</v>
      </c>
      <c r="I120" s="21">
        <f t="shared" si="7"/>
        <v>336</v>
      </c>
      <c r="J120" s="21" t="str">
        <f t="shared" si="8"/>
        <v>10</v>
      </c>
      <c r="K120" s="21" t="str">
        <f t="shared" si="9"/>
        <v>04</v>
      </c>
      <c r="L120" s="21" t="str">
        <f t="shared" si="10"/>
        <v>2025</v>
      </c>
      <c r="M120" s="21">
        <f t="shared" si="11"/>
        <v>12</v>
      </c>
    </row>
    <row r="121" spans="1:13" hidden="1" x14ac:dyDescent="0.2">
      <c r="A121" s="47" t="s">
        <v>284</v>
      </c>
      <c r="B121" s="7" t="s">
        <v>15</v>
      </c>
      <c r="C121" s="7" t="s">
        <v>105</v>
      </c>
      <c r="D121" s="7" t="s">
        <v>173</v>
      </c>
      <c r="E121" s="38" t="s">
        <v>285</v>
      </c>
      <c r="G121" s="44" t="str">
        <f t="shared" si="6"/>
        <v>KFE1E</v>
      </c>
      <c r="H121" s="20" t="str">
        <f>VLOOKUP($A121,[1]Sheet2!$I$2:$O$449,7,FALSE)</f>
        <v>https://hana.modakita.com/azd942/avatar/2515001020260319080754AQF4UG.jpg</v>
      </c>
      <c r="I121" s="21">
        <f t="shared" si="7"/>
        <v>24</v>
      </c>
      <c r="J121" s="21" t="str">
        <f t="shared" si="8"/>
        <v>23</v>
      </c>
      <c r="K121" s="21" t="str">
        <f t="shared" si="9"/>
        <v>02</v>
      </c>
      <c r="L121" s="21" t="str">
        <f t="shared" si="10"/>
        <v>2026</v>
      </c>
      <c r="M121" s="21">
        <f t="shared" si="11"/>
        <v>12</v>
      </c>
    </row>
    <row r="122" spans="1:13" hidden="1" x14ac:dyDescent="0.2">
      <c r="A122" s="47" t="s">
        <v>548</v>
      </c>
      <c r="B122" s="7" t="s">
        <v>25</v>
      </c>
      <c r="C122" s="7" t="s">
        <v>549</v>
      </c>
      <c r="D122" s="7" t="s">
        <v>232</v>
      </c>
      <c r="E122" s="38" t="s">
        <v>550</v>
      </c>
      <c r="G122" s="44" t="str">
        <f t="shared" si="6"/>
        <v>JBP1E</v>
      </c>
      <c r="H122" s="20" t="str">
        <f>VLOOKUP($A122,[1]Sheet2!$I$2:$O$449,7,FALSE)</f>
        <v>https://hana.modakita.com/azd942/avatar/2963440120260307131839WJUJFT.jpg</v>
      </c>
      <c r="I122" s="21">
        <f t="shared" si="7"/>
        <v>99</v>
      </c>
      <c r="J122" s="21" t="str">
        <f t="shared" si="8"/>
        <v>28</v>
      </c>
      <c r="K122" s="21" t="str">
        <f t="shared" si="9"/>
        <v>11</v>
      </c>
      <c r="L122" s="21" t="str">
        <f t="shared" si="10"/>
        <v>2025</v>
      </c>
      <c r="M122" s="21">
        <f t="shared" si="11"/>
        <v>12</v>
      </c>
    </row>
    <row r="123" spans="1:13" hidden="1" x14ac:dyDescent="0.2">
      <c r="A123" s="47" t="s">
        <v>230</v>
      </c>
      <c r="B123" s="7" t="s">
        <v>35</v>
      </c>
      <c r="C123" s="7" t="s">
        <v>231</v>
      </c>
      <c r="D123" s="7" t="s">
        <v>232</v>
      </c>
      <c r="E123" s="38" t="s">
        <v>233</v>
      </c>
      <c r="G123" s="44" t="str">
        <f t="shared" si="6"/>
        <v>JMF1E</v>
      </c>
      <c r="H123" s="20" t="str">
        <f>VLOOKUP($A123,[1]Sheet2!$I$2:$O$449,7,FALSE)</f>
        <v>https://hana.modakita.com/azd942/avatar/21393666120260307100613XCF3IJ.jpg</v>
      </c>
      <c r="I123" s="21">
        <f t="shared" si="7"/>
        <v>185</v>
      </c>
      <c r="J123" s="21" t="str">
        <f t="shared" si="8"/>
        <v>03</v>
      </c>
      <c r="K123" s="21" t="str">
        <f t="shared" si="9"/>
        <v>09</v>
      </c>
      <c r="L123" s="21" t="str">
        <f t="shared" si="10"/>
        <v>2025</v>
      </c>
      <c r="M123" s="21">
        <f t="shared" si="11"/>
        <v>12</v>
      </c>
    </row>
    <row r="124" spans="1:13" hidden="1" x14ac:dyDescent="0.2">
      <c r="A124" s="47" t="s">
        <v>215</v>
      </c>
      <c r="B124" s="7" t="s">
        <v>25</v>
      </c>
      <c r="C124" s="7" t="s">
        <v>216</v>
      </c>
      <c r="D124" s="7" t="s">
        <v>217</v>
      </c>
      <c r="E124" s="38" t="s">
        <v>218</v>
      </c>
      <c r="G124" s="44" t="str">
        <f t="shared" si="6"/>
        <v>JMF1E</v>
      </c>
      <c r="H124" s="20" t="str">
        <f>VLOOKUP($A124,[1]Sheet2!$I$2:$O$449,7,FALSE)</f>
        <v>https://hana.modakita.com/azd942/avatar/25150010202603200826351NBZ7X.jpg</v>
      </c>
      <c r="I124" s="21">
        <f t="shared" si="7"/>
        <v>73</v>
      </c>
      <c r="J124" s="21" t="str">
        <f t="shared" si="8"/>
        <v>06</v>
      </c>
      <c r="K124" s="21" t="str">
        <f t="shared" si="9"/>
        <v>01</v>
      </c>
      <c r="L124" s="21" t="str">
        <f t="shared" si="10"/>
        <v>2026</v>
      </c>
      <c r="M124" s="21">
        <f t="shared" si="11"/>
        <v>12</v>
      </c>
    </row>
    <row r="125" spans="1:13" hidden="1" x14ac:dyDescent="0.2">
      <c r="A125" s="47" t="s">
        <v>783</v>
      </c>
      <c r="B125" s="7" t="s">
        <v>25</v>
      </c>
      <c r="C125" s="7" t="s">
        <v>370</v>
      </c>
      <c r="D125" s="7" t="s">
        <v>219</v>
      </c>
      <c r="E125" s="38" t="s">
        <v>784</v>
      </c>
      <c r="G125" s="44" t="str">
        <f t="shared" si="6"/>
        <v>KC04E</v>
      </c>
      <c r="H125" s="20" t="str">
        <f>VLOOKUP($A125,[1]Sheet2!$I$2:$O$449,7,FALSE)</f>
        <v>https://hana.modakita.com/azd942/avatar/2963440120260328125347UMNY0G.jpg</v>
      </c>
      <c r="I125" s="21">
        <f t="shared" si="7"/>
        <v>68</v>
      </c>
      <c r="J125" s="21" t="str">
        <f t="shared" si="8"/>
        <v>19</v>
      </c>
      <c r="K125" s="21" t="str">
        <f t="shared" si="9"/>
        <v>01</v>
      </c>
      <c r="L125" s="21" t="str">
        <f t="shared" si="10"/>
        <v>2026</v>
      </c>
      <c r="M125" s="21">
        <f t="shared" si="11"/>
        <v>12</v>
      </c>
    </row>
    <row r="126" spans="1:13" hidden="1" x14ac:dyDescent="0.2">
      <c r="A126" s="47" t="s">
        <v>209</v>
      </c>
      <c r="B126" s="7" t="s">
        <v>25</v>
      </c>
      <c r="C126" s="7" t="s">
        <v>210</v>
      </c>
      <c r="D126" s="7" t="s">
        <v>173</v>
      </c>
      <c r="E126" s="38" t="s">
        <v>211</v>
      </c>
      <c r="G126" s="44" t="str">
        <f t="shared" si="6"/>
        <v>JMF1E</v>
      </c>
      <c r="H126" s="20" t="str">
        <f>VLOOKUP($A126,[1]Sheet2!$I$2:$O$449,7,FALSE)</f>
        <v>https://hana.modakita.com/azd942/avatar/21395178620260319105300OJEIQF.jpg</v>
      </c>
      <c r="I126" s="21">
        <f t="shared" si="7"/>
        <v>78</v>
      </c>
      <c r="J126" s="21" t="str">
        <f t="shared" si="8"/>
        <v>31</v>
      </c>
      <c r="K126" s="21" t="str">
        <f t="shared" si="9"/>
        <v>12</v>
      </c>
      <c r="L126" s="21" t="str">
        <f t="shared" si="10"/>
        <v>2025</v>
      </c>
      <c r="M126" s="21">
        <f t="shared" si="11"/>
        <v>12</v>
      </c>
    </row>
    <row r="127" spans="1:13" hidden="1" x14ac:dyDescent="0.2">
      <c r="A127" s="47" t="s">
        <v>640</v>
      </c>
      <c r="B127" s="7" t="s">
        <v>25</v>
      </c>
      <c r="C127" s="7" t="s">
        <v>641</v>
      </c>
      <c r="D127" s="7" t="s">
        <v>162</v>
      </c>
      <c r="E127" s="38" t="s">
        <v>642</v>
      </c>
      <c r="G127" s="44" t="str">
        <f t="shared" si="6"/>
        <v>JMC1E</v>
      </c>
      <c r="H127" s="20" t="str">
        <f>VLOOKUP($A127,[1]Sheet2!$I$2:$O$449,7,FALSE)</f>
        <v>https://hana.modakita.com/azd942/avatar/2515001020260316102711O9XGCO.jpg</v>
      </c>
      <c r="I127" s="21">
        <f t="shared" si="7"/>
        <v>95</v>
      </c>
      <c r="J127" s="21" t="str">
        <f t="shared" si="8"/>
        <v>11</v>
      </c>
      <c r="K127" s="21" t="str">
        <f t="shared" si="9"/>
        <v>12</v>
      </c>
      <c r="L127" s="21" t="str">
        <f t="shared" si="10"/>
        <v>2025</v>
      </c>
      <c r="M127" s="21">
        <f t="shared" si="11"/>
        <v>12</v>
      </c>
    </row>
    <row r="128" spans="1:13" hidden="1" x14ac:dyDescent="0.2">
      <c r="A128" s="47" t="s">
        <v>524</v>
      </c>
      <c r="B128" s="7" t="s">
        <v>25</v>
      </c>
      <c r="C128" s="7" t="s">
        <v>525</v>
      </c>
      <c r="D128" s="7" t="s">
        <v>148</v>
      </c>
      <c r="E128" s="38" t="s">
        <v>526</v>
      </c>
      <c r="G128" s="44" t="str">
        <f t="shared" si="6"/>
        <v>KFD1E</v>
      </c>
      <c r="H128" s="20" t="str">
        <f>VLOOKUP($A128,[1]Sheet2!$I$2:$O$449,7,FALSE)</f>
        <v>https://hana.modakita.com/azd942/avatar/21395178620260312094708LVJGYM.jpg</v>
      </c>
      <c r="I128" s="21">
        <f t="shared" si="7"/>
        <v>95</v>
      </c>
      <c r="J128" s="21" t="str">
        <f t="shared" si="8"/>
        <v>07</v>
      </c>
      <c r="K128" s="21" t="str">
        <f t="shared" si="9"/>
        <v>12</v>
      </c>
      <c r="L128" s="21" t="str">
        <f t="shared" si="10"/>
        <v>2025</v>
      </c>
      <c r="M128" s="21">
        <f t="shared" si="11"/>
        <v>12</v>
      </c>
    </row>
    <row r="129" spans="1:13" hidden="1" x14ac:dyDescent="0.2">
      <c r="A129" s="48" t="s">
        <v>674</v>
      </c>
      <c r="B129" s="7" t="s">
        <v>35</v>
      </c>
      <c r="C129" s="7" t="s">
        <v>675</v>
      </c>
      <c r="D129" s="7" t="s">
        <v>513</v>
      </c>
      <c r="E129" s="7" t="s">
        <v>676</v>
      </c>
      <c r="F129" s="5" t="s">
        <v>801</v>
      </c>
      <c r="G129" t="str">
        <f t="shared" si="6"/>
        <v>JMD1E</v>
      </c>
      <c r="H129" s="20" t="str">
        <f>VLOOKUP($A129,[1]Sheet2!$I$2:$O$449,7,FALSE)</f>
        <v>https://hana.modakita.com/azd942/avatar/21393666120260323093817OYNBXO.jpg</v>
      </c>
      <c r="I129" s="21">
        <f t="shared" si="7"/>
        <v>217</v>
      </c>
      <c r="J129" s="21" t="str">
        <f t="shared" si="8"/>
        <v>18</v>
      </c>
      <c r="K129" s="21" t="str">
        <f t="shared" si="9"/>
        <v>08</v>
      </c>
      <c r="L129" s="21" t="str">
        <f t="shared" si="10"/>
        <v>2025</v>
      </c>
      <c r="M129" s="21">
        <f t="shared" si="11"/>
        <v>12</v>
      </c>
    </row>
    <row r="130" spans="1:13" hidden="1" x14ac:dyDescent="0.2">
      <c r="A130" s="47" t="s">
        <v>736</v>
      </c>
      <c r="B130" s="7" t="s">
        <v>25</v>
      </c>
      <c r="C130" s="7" t="s">
        <v>737</v>
      </c>
      <c r="D130" s="7" t="s">
        <v>433</v>
      </c>
      <c r="E130" s="38" t="s">
        <v>738</v>
      </c>
      <c r="G130" s="44" t="str">
        <f t="shared" ref="G130:G193" si="12">LEFT(A130,5)</f>
        <v>KF01E</v>
      </c>
      <c r="H130" s="20" t="str">
        <f>VLOOKUP($A130,[1]Sheet2!$I$2:$O$449,7,FALSE)</f>
        <v>https://hana.modakita.com/azd942/avatar/2649897020260308095553WLPKIK.jpg</v>
      </c>
      <c r="I130" s="21">
        <f t="shared" ref="I130:I193" si="13">D130-C130</f>
        <v>163</v>
      </c>
      <c r="J130" s="21" t="str">
        <f t="shared" ref="J130:J193" si="14">LEFT(C130,2)</f>
        <v>26</v>
      </c>
      <c r="K130" s="21" t="str">
        <f t="shared" ref="K130:K193" si="15">MID(C130,4,2)</f>
        <v>09</v>
      </c>
      <c r="L130" s="21" t="str">
        <f t="shared" ref="L130:L193" si="16">RIGHT(C130,4)</f>
        <v>2025</v>
      </c>
      <c r="M130" s="21">
        <f t="shared" ref="M130:M193" si="17">LEN(A130)</f>
        <v>12</v>
      </c>
    </row>
    <row r="131" spans="1:13" hidden="1" x14ac:dyDescent="0.2">
      <c r="A131" s="47" t="s">
        <v>533</v>
      </c>
      <c r="B131" s="7" t="s">
        <v>15</v>
      </c>
      <c r="C131" s="7" t="s">
        <v>534</v>
      </c>
      <c r="D131" s="7" t="s">
        <v>433</v>
      </c>
      <c r="E131" s="38" t="s">
        <v>535</v>
      </c>
      <c r="G131" s="44" t="str">
        <f t="shared" si="12"/>
        <v>JBP1E</v>
      </c>
      <c r="H131" s="20" t="str">
        <f>VLOOKUP($A131,[1]Sheet2!$I$2:$O$449,7,FALSE)</f>
        <v>https://hana.modakita.com/azd942/avatar/228014202603081119182JQPCH.jpg</v>
      </c>
      <c r="I131" s="21">
        <f t="shared" si="13"/>
        <v>25</v>
      </c>
      <c r="J131" s="21" t="str">
        <f t="shared" si="14"/>
        <v>11</v>
      </c>
      <c r="K131" s="21" t="str">
        <f t="shared" si="15"/>
        <v>02</v>
      </c>
      <c r="L131" s="21" t="str">
        <f t="shared" si="16"/>
        <v>2026</v>
      </c>
      <c r="M131" s="21">
        <f t="shared" si="17"/>
        <v>12</v>
      </c>
    </row>
    <row r="132" spans="1:13" hidden="1" x14ac:dyDescent="0.2">
      <c r="A132" s="47" t="s">
        <v>361</v>
      </c>
      <c r="B132" s="7" t="s">
        <v>15</v>
      </c>
      <c r="C132" s="7" t="s">
        <v>97</v>
      </c>
      <c r="D132" s="7" t="s">
        <v>151</v>
      </c>
      <c r="E132" s="38" t="s">
        <v>362</v>
      </c>
      <c r="G132" s="44" t="str">
        <f t="shared" si="12"/>
        <v>JMH1E</v>
      </c>
      <c r="H132" s="20" t="str">
        <f>VLOOKUP($A132,[1]Sheet2!$I$2:$O$449,7,FALSE)</f>
        <v>https://hana.modakita.com/azd942/avatar/29634401202603131208566GGKXX.jpg</v>
      </c>
      <c r="I132" s="21">
        <f t="shared" si="13"/>
        <v>27</v>
      </c>
      <c r="J132" s="21" t="str">
        <f t="shared" si="14"/>
        <v>14</v>
      </c>
      <c r="K132" s="21" t="str">
        <f t="shared" si="15"/>
        <v>02</v>
      </c>
      <c r="L132" s="21" t="str">
        <f t="shared" si="16"/>
        <v>2026</v>
      </c>
      <c r="M132" s="21">
        <f t="shared" si="17"/>
        <v>12</v>
      </c>
    </row>
    <row r="133" spans="1:13" hidden="1" x14ac:dyDescent="0.2">
      <c r="A133" s="47" t="s">
        <v>305</v>
      </c>
      <c r="B133" s="7" t="s">
        <v>15</v>
      </c>
      <c r="C133" s="7" t="s">
        <v>148</v>
      </c>
      <c r="D133" s="7" t="s">
        <v>118</v>
      </c>
      <c r="E133" s="38" t="s">
        <v>306</v>
      </c>
      <c r="G133" s="44" t="str">
        <f t="shared" si="12"/>
        <v>KFE1E</v>
      </c>
      <c r="H133" s="20" t="str">
        <f>VLOOKUP($A133,[1]Sheet2!$I$2:$O$449,7,FALSE)</f>
        <v>https://hana.modakita.com/azd942/avatar/2649897020260330113510OWWLTM.jpg</v>
      </c>
      <c r="I133" s="21">
        <f t="shared" si="13"/>
        <v>18</v>
      </c>
      <c r="J133" s="21" t="str">
        <f t="shared" si="14"/>
        <v>12</v>
      </c>
      <c r="K133" s="21" t="str">
        <f t="shared" si="15"/>
        <v>03</v>
      </c>
      <c r="L133" s="21" t="str">
        <f t="shared" si="16"/>
        <v>2026</v>
      </c>
      <c r="M133" s="21">
        <f t="shared" si="17"/>
        <v>12</v>
      </c>
    </row>
    <row r="134" spans="1:13" hidden="1" x14ac:dyDescent="0.2">
      <c r="A134" s="47" t="s">
        <v>677</v>
      </c>
      <c r="B134" s="7" t="s">
        <v>35</v>
      </c>
      <c r="C134" s="7" t="s">
        <v>678</v>
      </c>
      <c r="D134" s="7" t="s">
        <v>180</v>
      </c>
      <c r="E134" s="38" t="s">
        <v>679</v>
      </c>
      <c r="G134" s="44" t="str">
        <f t="shared" si="12"/>
        <v>JMC1E</v>
      </c>
      <c r="H134" s="20" t="str">
        <f>VLOOKUP($A134,[1]Sheet2!$I$2:$O$449,7,FALSE)</f>
        <v>https://hana.modakita.com/azd942/avatar/21393666120260326172902NYUIBQ.jpg</v>
      </c>
      <c r="I134" s="21">
        <f t="shared" si="13"/>
        <v>140</v>
      </c>
      <c r="J134" s="21" t="str">
        <f t="shared" si="14"/>
        <v>06</v>
      </c>
      <c r="K134" s="21" t="str">
        <f t="shared" si="15"/>
        <v>11</v>
      </c>
      <c r="L134" s="21" t="str">
        <f t="shared" si="16"/>
        <v>2025</v>
      </c>
      <c r="M134" s="21">
        <f t="shared" si="17"/>
        <v>12</v>
      </c>
    </row>
    <row r="135" spans="1:13" hidden="1" x14ac:dyDescent="0.2">
      <c r="A135" s="47" t="s">
        <v>623</v>
      </c>
      <c r="B135" s="7" t="s">
        <v>15</v>
      </c>
      <c r="C135" s="7" t="s">
        <v>259</v>
      </c>
      <c r="D135" s="7" t="s">
        <v>118</v>
      </c>
      <c r="E135" s="38" t="s">
        <v>624</v>
      </c>
      <c r="G135" s="44" t="str">
        <f t="shared" si="12"/>
        <v>JMJ1E</v>
      </c>
      <c r="H135" s="20" t="str">
        <f>VLOOKUP($A135,[1]Sheet2!$I$2:$O$449,7,FALSE)</f>
        <v>https://hana.modakita.com/azd942/avatar/2649897020260330120712H02TV1.jpg</v>
      </c>
      <c r="I135" s="21">
        <f t="shared" si="13"/>
        <v>45</v>
      </c>
      <c r="J135" s="21" t="str">
        <f t="shared" si="14"/>
        <v>13</v>
      </c>
      <c r="K135" s="21" t="str">
        <f t="shared" si="15"/>
        <v>02</v>
      </c>
      <c r="L135" s="21" t="str">
        <f t="shared" si="16"/>
        <v>2026</v>
      </c>
      <c r="M135" s="21">
        <f t="shared" si="17"/>
        <v>12</v>
      </c>
    </row>
    <row r="136" spans="1:13" hidden="1" x14ac:dyDescent="0.2">
      <c r="A136" s="47" t="s">
        <v>645</v>
      </c>
      <c r="B136" s="7" t="s">
        <v>25</v>
      </c>
      <c r="C136" s="7" t="s">
        <v>316</v>
      </c>
      <c r="D136" s="7" t="s">
        <v>162</v>
      </c>
      <c r="E136" s="38" t="s">
        <v>646</v>
      </c>
      <c r="G136" s="44" t="str">
        <f t="shared" si="12"/>
        <v>JMD1E</v>
      </c>
      <c r="H136" s="20" t="str">
        <f>VLOOKUP($A136,[1]Sheet2!$I$2:$O$449,7,FALSE)</f>
        <v>https://hana.modakita.com/azd942/avatar/2515001020260316134428EE4FBH.jpg</v>
      </c>
      <c r="I136" s="21">
        <f t="shared" si="13"/>
        <v>98</v>
      </c>
      <c r="J136" s="21" t="str">
        <f t="shared" si="14"/>
        <v>08</v>
      </c>
      <c r="K136" s="21" t="str">
        <f t="shared" si="15"/>
        <v>12</v>
      </c>
      <c r="L136" s="21" t="str">
        <f t="shared" si="16"/>
        <v>2025</v>
      </c>
      <c r="M136" s="21">
        <f t="shared" si="17"/>
        <v>12</v>
      </c>
    </row>
    <row r="137" spans="1:13" hidden="1" x14ac:dyDescent="0.2">
      <c r="A137" s="47" t="s">
        <v>541</v>
      </c>
      <c r="B137" s="7" t="s">
        <v>15</v>
      </c>
      <c r="C137" s="7" t="s">
        <v>137</v>
      </c>
      <c r="D137" s="7" t="s">
        <v>114</v>
      </c>
      <c r="E137" s="38" t="s">
        <v>542</v>
      </c>
      <c r="G137" s="44" t="str">
        <f t="shared" si="12"/>
        <v>JBP1E</v>
      </c>
      <c r="H137" s="20" t="str">
        <f>VLOOKUP($A137,[1]Sheet2!$I$2:$O$449,7,FALSE)</f>
        <v>https://hana.modakita.com/azd942/avatar/2515001020260327130644GZFS1V.jpg</v>
      </c>
      <c r="I137" s="21">
        <f t="shared" si="13"/>
        <v>31</v>
      </c>
      <c r="J137" s="21" t="str">
        <f t="shared" si="14"/>
        <v>24</v>
      </c>
      <c r="K137" s="21" t="str">
        <f t="shared" si="15"/>
        <v>02</v>
      </c>
      <c r="L137" s="21" t="str">
        <f t="shared" si="16"/>
        <v>2026</v>
      </c>
      <c r="M137" s="21">
        <f t="shared" si="17"/>
        <v>12</v>
      </c>
    </row>
    <row r="138" spans="1:13" hidden="1" x14ac:dyDescent="0.2">
      <c r="A138" s="47" t="s">
        <v>476</v>
      </c>
      <c r="B138" s="7" t="s">
        <v>35</v>
      </c>
      <c r="C138" s="7" t="s">
        <v>477</v>
      </c>
      <c r="D138" s="7" t="s">
        <v>162</v>
      </c>
      <c r="E138" s="38" t="s">
        <v>478</v>
      </c>
      <c r="G138" s="44" t="str">
        <f t="shared" si="12"/>
        <v>JMH2E</v>
      </c>
      <c r="H138" s="20" t="str">
        <f>VLOOKUP($A138,[1]Sheet2!$I$2:$O$449,7,FALSE)</f>
        <v>https://hana.modakita.com/azd942/avatar/2515001020260316125501PPMS8O.jpg</v>
      </c>
      <c r="I138" s="21">
        <f t="shared" si="13"/>
        <v>143</v>
      </c>
      <c r="J138" s="21" t="str">
        <f t="shared" si="14"/>
        <v>24</v>
      </c>
      <c r="K138" s="21" t="str">
        <f t="shared" si="15"/>
        <v>10</v>
      </c>
      <c r="L138" s="21" t="str">
        <f t="shared" si="16"/>
        <v>2025</v>
      </c>
      <c r="M138" s="21">
        <f t="shared" si="17"/>
        <v>12</v>
      </c>
    </row>
    <row r="139" spans="1:13" hidden="1" x14ac:dyDescent="0.2">
      <c r="A139" s="47" t="s">
        <v>649</v>
      </c>
      <c r="B139" s="7" t="s">
        <v>25</v>
      </c>
      <c r="C139" s="7" t="s">
        <v>168</v>
      </c>
      <c r="D139" s="7" t="s">
        <v>173</v>
      </c>
      <c r="E139" s="38" t="s">
        <v>650</v>
      </c>
      <c r="G139" s="44" t="str">
        <f t="shared" si="12"/>
        <v>JMJ1E</v>
      </c>
      <c r="H139" s="20" t="str">
        <f>VLOOKUP($A139,[1]Sheet2!$I$2:$O$449,7,FALSE)</f>
        <v>https://hana.modakita.com/azd942/avatar/21395178620260319155825LASQCN.jpg</v>
      </c>
      <c r="I139" s="21">
        <f t="shared" si="13"/>
        <v>31</v>
      </c>
      <c r="J139" s="21" t="str">
        <f t="shared" si="14"/>
        <v>16</v>
      </c>
      <c r="K139" s="21" t="str">
        <f t="shared" si="15"/>
        <v>02</v>
      </c>
      <c r="L139" s="21" t="str">
        <f t="shared" si="16"/>
        <v>2026</v>
      </c>
      <c r="M139" s="21">
        <f t="shared" si="17"/>
        <v>12</v>
      </c>
    </row>
    <row r="140" spans="1:13" hidden="1" x14ac:dyDescent="0.2">
      <c r="A140" s="47" t="s">
        <v>507</v>
      </c>
      <c r="B140" s="7" t="s">
        <v>15</v>
      </c>
      <c r="C140" s="7" t="s">
        <v>508</v>
      </c>
      <c r="D140" s="7" t="s">
        <v>162</v>
      </c>
      <c r="E140" s="38" t="s">
        <v>509</v>
      </c>
      <c r="G140" s="44" t="str">
        <f t="shared" si="12"/>
        <v>KFC1E</v>
      </c>
      <c r="H140" s="20" t="str">
        <f>VLOOKUP($A140,[1]Sheet2!$I$2:$O$449,7,FALSE)</f>
        <v>https://hana.modakita.com/azd942/avatar/2515001020260316100631K8IFDP.jpg</v>
      </c>
      <c r="I140" s="21">
        <f t="shared" si="13"/>
        <v>25</v>
      </c>
      <c r="J140" s="21" t="str">
        <f t="shared" si="14"/>
        <v>19</v>
      </c>
      <c r="K140" s="21" t="str">
        <f t="shared" si="15"/>
        <v>02</v>
      </c>
      <c r="L140" s="21" t="str">
        <f t="shared" si="16"/>
        <v>2026</v>
      </c>
      <c r="M140" s="21">
        <f t="shared" si="17"/>
        <v>12</v>
      </c>
    </row>
    <row r="141" spans="1:13" hidden="1" x14ac:dyDescent="0.2">
      <c r="A141" s="47" t="s">
        <v>618</v>
      </c>
      <c r="B141" s="7" t="s">
        <v>15</v>
      </c>
      <c r="C141" s="7" t="s">
        <v>106</v>
      </c>
      <c r="D141" s="7" t="s">
        <v>219</v>
      </c>
      <c r="E141" s="38" t="s">
        <v>619</v>
      </c>
      <c r="G141" s="44" t="str">
        <f t="shared" si="12"/>
        <v>JMJ1E</v>
      </c>
      <c r="H141" s="20" t="str">
        <f>VLOOKUP($A141,[1]Sheet2!$I$2:$O$449,7,FALSE)</f>
        <v>https://hana.modakita.com/azd942/avatar/2649897020260328123212VWBQRH.jpg</v>
      </c>
      <c r="I141" s="21">
        <f t="shared" si="13"/>
        <v>22</v>
      </c>
      <c r="J141" s="21" t="str">
        <f t="shared" si="14"/>
        <v>06</v>
      </c>
      <c r="K141" s="21" t="str">
        <f t="shared" si="15"/>
        <v>03</v>
      </c>
      <c r="L141" s="21" t="str">
        <f t="shared" si="16"/>
        <v>2026</v>
      </c>
      <c r="M141" s="21">
        <f t="shared" si="17"/>
        <v>12</v>
      </c>
    </row>
    <row r="142" spans="1:13" hidden="1" x14ac:dyDescent="0.2">
      <c r="A142" s="47" t="s">
        <v>561</v>
      </c>
      <c r="B142" s="7" t="s">
        <v>15</v>
      </c>
      <c r="C142" s="7" t="s">
        <v>161</v>
      </c>
      <c r="D142" s="7" t="s">
        <v>106</v>
      </c>
      <c r="E142" s="38" t="s">
        <v>562</v>
      </c>
      <c r="G142" s="44" t="str">
        <f t="shared" si="12"/>
        <v>JMK1E</v>
      </c>
      <c r="H142" s="20" t="str">
        <f>VLOOKUP($A142,[1]Sheet2!$I$2:$O$449,7,FALSE)</f>
        <v>https://hana.modakita.com/azd942/avatar/21376258920260306173112QTSU7A.jpg</v>
      </c>
      <c r="I142" s="21">
        <f t="shared" si="13"/>
        <v>28</v>
      </c>
      <c r="J142" s="21" t="str">
        <f t="shared" si="14"/>
        <v>06</v>
      </c>
      <c r="K142" s="21" t="str">
        <f t="shared" si="15"/>
        <v>02</v>
      </c>
      <c r="L142" s="21" t="str">
        <f t="shared" si="16"/>
        <v>2026</v>
      </c>
      <c r="M142" s="21">
        <f t="shared" si="17"/>
        <v>12</v>
      </c>
    </row>
    <row r="143" spans="1:13" hidden="1" x14ac:dyDescent="0.2">
      <c r="A143" s="47" t="s">
        <v>543</v>
      </c>
      <c r="B143" s="7" t="s">
        <v>15</v>
      </c>
      <c r="C143" s="7" t="s">
        <v>259</v>
      </c>
      <c r="D143" s="7" t="s">
        <v>300</v>
      </c>
      <c r="E143" s="38" t="s">
        <v>544</v>
      </c>
      <c r="G143" s="44" t="str">
        <f t="shared" si="12"/>
        <v>JBP1E</v>
      </c>
      <c r="H143" s="20" t="str">
        <f>VLOOKUP($A143,[1]Sheet2!$I$2:$O$449,7,FALSE)</f>
        <v>https://hana.modakita.com/azd942/avatar/2515001020260329105352HYOXGS.jpg</v>
      </c>
      <c r="I143" s="21">
        <f t="shared" si="13"/>
        <v>44</v>
      </c>
      <c r="J143" s="21" t="str">
        <f t="shared" si="14"/>
        <v>13</v>
      </c>
      <c r="K143" s="21" t="str">
        <f t="shared" si="15"/>
        <v>02</v>
      </c>
      <c r="L143" s="21" t="str">
        <f t="shared" si="16"/>
        <v>2026</v>
      </c>
      <c r="M143" s="21">
        <f t="shared" si="17"/>
        <v>12</v>
      </c>
    </row>
    <row r="144" spans="1:13" hidden="1" x14ac:dyDescent="0.2">
      <c r="A144" s="47" t="s">
        <v>252</v>
      </c>
      <c r="B144" s="7" t="s">
        <v>15</v>
      </c>
      <c r="C144" s="7" t="s">
        <v>253</v>
      </c>
      <c r="D144" s="7" t="s">
        <v>102</v>
      </c>
      <c r="E144" s="38" t="s">
        <v>254</v>
      </c>
      <c r="G144" s="44" t="str">
        <f t="shared" si="12"/>
        <v>JMA1E</v>
      </c>
      <c r="H144" s="20" t="str">
        <f>VLOOKUP($A144,[1]Sheet2!$I$2:$O$449,7,FALSE)</f>
        <v>https://hana.modakita.com/azd942/avatar/2515001020260305110047HNG1DN.jpg</v>
      </c>
      <c r="I144" s="21">
        <f t="shared" si="13"/>
        <v>50</v>
      </c>
      <c r="J144" s="21" t="str">
        <f t="shared" si="14"/>
        <v>14</v>
      </c>
      <c r="K144" s="21" t="str">
        <f t="shared" si="15"/>
        <v>01</v>
      </c>
      <c r="L144" s="21" t="str">
        <f t="shared" si="16"/>
        <v>2026</v>
      </c>
      <c r="M144" s="21">
        <f t="shared" si="17"/>
        <v>12</v>
      </c>
    </row>
    <row r="145" spans="1:13" hidden="1" x14ac:dyDescent="0.2">
      <c r="A145" s="47" t="s">
        <v>175</v>
      </c>
      <c r="B145" s="7" t="s">
        <v>15</v>
      </c>
      <c r="C145" s="7" t="s">
        <v>176</v>
      </c>
      <c r="D145" s="7" t="s">
        <v>177</v>
      </c>
      <c r="E145" s="38" t="s">
        <v>178</v>
      </c>
      <c r="G145" s="44" t="str">
        <f t="shared" si="12"/>
        <v>JMF2E</v>
      </c>
      <c r="H145" s="20" t="str">
        <f>VLOOKUP($A145,[1]Sheet2!$I$2:$O$449,7,FALSE)</f>
        <v>https://hana.modakita.com/azd942/avatar/2515001020260325141408S5QR8T.jpg</v>
      </c>
      <c r="I145" s="21">
        <f t="shared" si="13"/>
        <v>32</v>
      </c>
      <c r="J145" s="21" t="str">
        <f t="shared" si="14"/>
        <v>21</v>
      </c>
      <c r="K145" s="21" t="str">
        <f t="shared" si="15"/>
        <v>02</v>
      </c>
      <c r="L145" s="21" t="str">
        <f t="shared" si="16"/>
        <v>2026</v>
      </c>
      <c r="M145" s="21">
        <f t="shared" si="17"/>
        <v>12</v>
      </c>
    </row>
    <row r="146" spans="1:13" hidden="1" x14ac:dyDescent="0.2">
      <c r="A146" s="47" t="s">
        <v>237</v>
      </c>
      <c r="B146" s="7" t="s">
        <v>30</v>
      </c>
      <c r="C146" s="7" t="s">
        <v>238</v>
      </c>
      <c r="D146" s="7" t="s">
        <v>148</v>
      </c>
      <c r="E146" s="38" t="s">
        <v>239</v>
      </c>
      <c r="G146" s="44" t="str">
        <f t="shared" si="12"/>
        <v>JME1E</v>
      </c>
      <c r="H146" s="20" t="str">
        <f>VLOOKUP($A146,[1]Sheet2!$I$2:$O$449,7,FALSE)</f>
        <v>https://hana.modakita.com/azd942/avatar/2515001020260312111314DEJAWB.jpg</v>
      </c>
      <c r="I146" s="21">
        <f t="shared" si="13"/>
        <v>269</v>
      </c>
      <c r="J146" s="21" t="str">
        <f t="shared" si="14"/>
        <v>16</v>
      </c>
      <c r="K146" s="21" t="str">
        <f t="shared" si="15"/>
        <v>06</v>
      </c>
      <c r="L146" s="21" t="str">
        <f t="shared" si="16"/>
        <v>2025</v>
      </c>
      <c r="M146" s="21">
        <f t="shared" si="17"/>
        <v>12</v>
      </c>
    </row>
    <row r="147" spans="1:13" hidden="1" x14ac:dyDescent="0.2">
      <c r="A147" s="47" t="s">
        <v>699</v>
      </c>
      <c r="B147" s="7" t="s">
        <v>30</v>
      </c>
      <c r="C147" s="7" t="s">
        <v>700</v>
      </c>
      <c r="D147" s="7" t="s">
        <v>173</v>
      </c>
      <c r="E147" s="38" t="s">
        <v>701</v>
      </c>
      <c r="G147" s="44" t="str">
        <f t="shared" si="12"/>
        <v>JMC1E</v>
      </c>
      <c r="H147" s="20" t="str">
        <f>VLOOKUP($A147,[1]Sheet2!$I$2:$O$449,7,FALSE)</f>
        <v>https://hana.modakita.com/azd942/avatar/21393666120260319103550ZC6UKW.jpg</v>
      </c>
      <c r="I147" s="21">
        <f t="shared" si="13"/>
        <v>372</v>
      </c>
      <c r="J147" s="21" t="str">
        <f t="shared" si="14"/>
        <v>12</v>
      </c>
      <c r="K147" s="21" t="str">
        <f t="shared" si="15"/>
        <v>03</v>
      </c>
      <c r="L147" s="21" t="str">
        <f t="shared" si="16"/>
        <v>2025</v>
      </c>
      <c r="M147" s="21">
        <f t="shared" si="17"/>
        <v>12</v>
      </c>
    </row>
    <row r="148" spans="1:13" hidden="1" x14ac:dyDescent="0.2">
      <c r="A148" s="47" t="s">
        <v>344</v>
      </c>
      <c r="B148" s="7" t="s">
        <v>15</v>
      </c>
      <c r="C148" s="7" t="s">
        <v>259</v>
      </c>
      <c r="D148" s="7" t="s">
        <v>143</v>
      </c>
      <c r="E148" s="38" t="s">
        <v>345</v>
      </c>
      <c r="G148" s="44" t="str">
        <f t="shared" si="12"/>
        <v>JMH2E</v>
      </c>
      <c r="H148" s="20" t="str">
        <f>VLOOKUP($A148,[1]Sheet2!$I$2:$O$449,7,FALSE)</f>
        <v>https://hana.modakita.com/azd942/avatar/2515001020260303083636WEHLKJ.jpg</v>
      </c>
      <c r="I148" s="21">
        <f t="shared" si="13"/>
        <v>18</v>
      </c>
      <c r="J148" s="21" t="str">
        <f t="shared" si="14"/>
        <v>13</v>
      </c>
      <c r="K148" s="21" t="str">
        <f t="shared" si="15"/>
        <v>02</v>
      </c>
      <c r="L148" s="21" t="str">
        <f t="shared" si="16"/>
        <v>2026</v>
      </c>
      <c r="M148" s="21">
        <f t="shared" si="17"/>
        <v>12</v>
      </c>
    </row>
    <row r="149" spans="1:13" hidden="1" x14ac:dyDescent="0.2">
      <c r="A149" s="47" t="s">
        <v>496</v>
      </c>
      <c r="B149" s="7" t="s">
        <v>15</v>
      </c>
      <c r="C149" s="7" t="s">
        <v>497</v>
      </c>
      <c r="D149" s="7" t="s">
        <v>138</v>
      </c>
      <c r="E149" s="38" t="s">
        <v>498</v>
      </c>
      <c r="G149" s="44" t="str">
        <f t="shared" si="12"/>
        <v>KFD1E</v>
      </c>
      <c r="H149" s="20" t="str">
        <f>VLOOKUP($A149,[1]Sheet2!$I$2:$O$449,7,FALSE)</f>
        <v>https://hana.modakita.com/azd942/avatar/21395178620260309121212AQVRQL.jpg</v>
      </c>
      <c r="I149" s="21">
        <f t="shared" si="13"/>
        <v>28</v>
      </c>
      <c r="J149" s="21" t="str">
        <f t="shared" si="14"/>
        <v>09</v>
      </c>
      <c r="K149" s="21" t="str">
        <f t="shared" si="15"/>
        <v>02</v>
      </c>
      <c r="L149" s="21" t="str">
        <f t="shared" si="16"/>
        <v>2026</v>
      </c>
      <c r="M149" s="21">
        <f t="shared" si="17"/>
        <v>12</v>
      </c>
    </row>
    <row r="150" spans="1:13" hidden="1" x14ac:dyDescent="0.2">
      <c r="A150" s="47" t="s">
        <v>682</v>
      </c>
      <c r="B150" s="7" t="s">
        <v>35</v>
      </c>
      <c r="C150" s="7" t="s">
        <v>683</v>
      </c>
      <c r="D150" s="7" t="s">
        <v>300</v>
      </c>
      <c r="E150" s="38" t="s">
        <v>684</v>
      </c>
      <c r="G150" s="44" t="str">
        <f t="shared" si="12"/>
        <v>JMC1E</v>
      </c>
      <c r="H150" s="20" t="str">
        <f>VLOOKUP($A150,[1]Sheet2!$I$2:$O$449,7,FALSE)</f>
        <v>https://hana.modakita.com/azd942/avatar/264989702026032911295317KRTB.jpg</v>
      </c>
      <c r="I150" s="21">
        <f t="shared" si="13"/>
        <v>191</v>
      </c>
      <c r="J150" s="21" t="str">
        <f t="shared" si="14"/>
        <v>19</v>
      </c>
      <c r="K150" s="21" t="str">
        <f t="shared" si="15"/>
        <v>09</v>
      </c>
      <c r="L150" s="21" t="str">
        <f t="shared" si="16"/>
        <v>2025</v>
      </c>
      <c r="M150" s="21">
        <f t="shared" si="17"/>
        <v>12</v>
      </c>
    </row>
    <row r="151" spans="1:13" hidden="1" x14ac:dyDescent="0.2">
      <c r="A151" s="48" t="s">
        <v>326</v>
      </c>
      <c r="B151" s="7" t="s">
        <v>15</v>
      </c>
      <c r="C151" s="7" t="s">
        <v>172</v>
      </c>
      <c r="D151" s="7" t="s">
        <v>102</v>
      </c>
      <c r="E151" s="38" t="s">
        <v>327</v>
      </c>
      <c r="F151" s="45" t="s">
        <v>820</v>
      </c>
      <c r="G151" s="44" t="str">
        <f t="shared" si="12"/>
        <v>JBK3E</v>
      </c>
      <c r="H151" s="20" t="str">
        <f>VLOOKUP($A151,[1]Sheet2!$I$2:$O$449,7,FALSE)</f>
        <v>https://hana.modakita.com/azd942/avatar/25150010202603051111569FFXLY.jpg</v>
      </c>
      <c r="I151" s="21">
        <f t="shared" si="13"/>
        <v>5</v>
      </c>
      <c r="J151" s="21" t="str">
        <f t="shared" si="14"/>
        <v>28</v>
      </c>
      <c r="K151" s="21" t="str">
        <f t="shared" si="15"/>
        <v>02</v>
      </c>
      <c r="L151" s="21" t="str">
        <f t="shared" si="16"/>
        <v>2026</v>
      </c>
      <c r="M151" s="21">
        <f t="shared" si="17"/>
        <v>12</v>
      </c>
    </row>
    <row r="152" spans="1:13" hidden="1" x14ac:dyDescent="0.2">
      <c r="A152" s="47" t="s">
        <v>721</v>
      </c>
      <c r="B152" s="7" t="s">
        <v>15</v>
      </c>
      <c r="C152" s="7" t="s">
        <v>105</v>
      </c>
      <c r="D152" s="7" t="s">
        <v>169</v>
      </c>
      <c r="E152" s="38" t="s">
        <v>327</v>
      </c>
      <c r="G152" s="44" t="str">
        <f t="shared" si="12"/>
        <v>KFA1E</v>
      </c>
      <c r="H152" s="20" t="str">
        <f>VLOOKUP($A152,[1]Sheet2!$I$2:$O$449,7,FALSE)</f>
        <v>https://hana.modakita.com/azd942/avatar/2649897020260317120654KWMTYE.jpg</v>
      </c>
      <c r="I152" s="21">
        <f t="shared" si="13"/>
        <v>22</v>
      </c>
      <c r="J152" s="21" t="str">
        <f t="shared" si="14"/>
        <v>23</v>
      </c>
      <c r="K152" s="21" t="str">
        <f t="shared" si="15"/>
        <v>02</v>
      </c>
      <c r="L152" s="21" t="str">
        <f t="shared" si="16"/>
        <v>2026</v>
      </c>
      <c r="M152" s="21">
        <f t="shared" si="17"/>
        <v>12</v>
      </c>
    </row>
    <row r="153" spans="1:13" hidden="1" x14ac:dyDescent="0.2">
      <c r="A153" s="47" t="s">
        <v>527</v>
      </c>
      <c r="B153" s="7" t="s">
        <v>25</v>
      </c>
      <c r="C153" s="7" t="s">
        <v>528</v>
      </c>
      <c r="D153" s="7" t="s">
        <v>208</v>
      </c>
      <c r="E153" s="38" t="s">
        <v>529</v>
      </c>
      <c r="G153" s="44" t="str">
        <f t="shared" si="12"/>
        <v>KFD1E</v>
      </c>
      <c r="H153" s="20" t="str">
        <f>VLOOKUP($A153,[1]Sheet2!$I$2:$O$449,7,FALSE)</f>
        <v>https://hana.modakita.com/azd942/avatar/2515001020260318085012VC52RP.jpg</v>
      </c>
      <c r="I153" s="21">
        <f t="shared" si="13"/>
        <v>137</v>
      </c>
      <c r="J153" s="21" t="str">
        <f t="shared" si="14"/>
        <v>01</v>
      </c>
      <c r="K153" s="21" t="str">
        <f t="shared" si="15"/>
        <v>11</v>
      </c>
      <c r="L153" s="21" t="str">
        <f t="shared" si="16"/>
        <v>2025</v>
      </c>
      <c r="M153" s="21">
        <f t="shared" si="17"/>
        <v>12</v>
      </c>
    </row>
    <row r="154" spans="1:13" hidden="1" x14ac:dyDescent="0.2">
      <c r="A154" s="47" t="s">
        <v>282</v>
      </c>
      <c r="B154" s="7" t="s">
        <v>15</v>
      </c>
      <c r="C154" s="7" t="s">
        <v>97</v>
      </c>
      <c r="D154" s="7" t="s">
        <v>162</v>
      </c>
      <c r="E154" s="38" t="s">
        <v>283</v>
      </c>
      <c r="G154" s="44" t="str">
        <f t="shared" si="12"/>
        <v>KFE3E</v>
      </c>
      <c r="H154" s="20" t="str">
        <f>VLOOKUP($A154,[1]Sheet2!$I$2:$O$449,7,FALSE)</f>
        <v>https://hana.modakita.com/azd942/avatar/2515001020260316095220NOQ8EV.jpg</v>
      </c>
      <c r="I154" s="21">
        <f t="shared" si="13"/>
        <v>30</v>
      </c>
      <c r="J154" s="21" t="str">
        <f t="shared" si="14"/>
        <v>14</v>
      </c>
      <c r="K154" s="21" t="str">
        <f t="shared" si="15"/>
        <v>02</v>
      </c>
      <c r="L154" s="21" t="str">
        <f t="shared" si="16"/>
        <v>2026</v>
      </c>
      <c r="M154" s="21">
        <f t="shared" si="17"/>
        <v>12</v>
      </c>
    </row>
    <row r="155" spans="1:13" hidden="1" x14ac:dyDescent="0.2">
      <c r="A155" s="47" t="s">
        <v>376</v>
      </c>
      <c r="B155" s="7" t="s">
        <v>15</v>
      </c>
      <c r="C155" s="7" t="s">
        <v>165</v>
      </c>
      <c r="D155" s="7" t="s">
        <v>158</v>
      </c>
      <c r="E155" s="38" t="s">
        <v>377</v>
      </c>
      <c r="G155" s="44" t="str">
        <f t="shared" si="12"/>
        <v>JMH1E</v>
      </c>
      <c r="H155" s="20" t="str">
        <f>VLOOKUP($A155,[1]Sheet2!$I$2:$O$449,7,FALSE)</f>
        <v>https://hana.modakita.com/azd942/avatar/2963440120260315105719AW1HQT.jpg</v>
      </c>
      <c r="I155" s="21">
        <f t="shared" si="13"/>
        <v>18</v>
      </c>
      <c r="J155" s="21" t="str">
        <f t="shared" si="14"/>
        <v>25</v>
      </c>
      <c r="K155" s="21" t="str">
        <f t="shared" si="15"/>
        <v>02</v>
      </c>
      <c r="L155" s="21" t="str">
        <f t="shared" si="16"/>
        <v>2026</v>
      </c>
      <c r="M155" s="21">
        <f t="shared" si="17"/>
        <v>12</v>
      </c>
    </row>
    <row r="156" spans="1:13" hidden="1" x14ac:dyDescent="0.2">
      <c r="A156" s="47" t="s">
        <v>171</v>
      </c>
      <c r="B156" s="7" t="s">
        <v>15</v>
      </c>
      <c r="C156" s="7" t="s">
        <v>172</v>
      </c>
      <c r="D156" s="7" t="s">
        <v>173</v>
      </c>
      <c r="E156" s="38" t="s">
        <v>174</v>
      </c>
      <c r="G156" s="44" t="str">
        <f t="shared" si="12"/>
        <v>JMF1E</v>
      </c>
      <c r="H156" s="20" t="str">
        <f>VLOOKUP($A156,[1]Sheet2!$I$2:$O$449,7,FALSE)</f>
        <v>https://hana.modakita.com/azd942/avatar/25150010202603190811230JBL44.jpg</v>
      </c>
      <c r="I156" s="21">
        <f>D156-C156</f>
        <v>19</v>
      </c>
      <c r="J156" s="21" t="str">
        <f t="shared" si="14"/>
        <v>28</v>
      </c>
      <c r="K156" s="21" t="str">
        <f t="shared" si="15"/>
        <v>02</v>
      </c>
      <c r="L156" s="21" t="str">
        <f t="shared" si="16"/>
        <v>2026</v>
      </c>
      <c r="M156" s="21">
        <f t="shared" si="17"/>
        <v>12</v>
      </c>
    </row>
    <row r="157" spans="1:13" hidden="1" x14ac:dyDescent="0.2">
      <c r="A157" s="47" t="s">
        <v>397</v>
      </c>
      <c r="B157" s="7" t="s">
        <v>15</v>
      </c>
      <c r="C157" s="7" t="s">
        <v>165</v>
      </c>
      <c r="D157" s="7" t="s">
        <v>180</v>
      </c>
      <c r="E157" s="38" t="s">
        <v>398</v>
      </c>
      <c r="G157" s="44" t="str">
        <f t="shared" si="12"/>
        <v>JMH2E</v>
      </c>
      <c r="H157" s="20" t="str">
        <f>VLOOKUP($A157,[1]Sheet2!$I$2:$O$449,7,FALSE)</f>
        <v>https://hana.modakita.com/azd942/avatar/2649897020260326103524CIYF3U.jpg</v>
      </c>
      <c r="I157" s="21">
        <f t="shared" si="13"/>
        <v>29</v>
      </c>
      <c r="J157" s="21" t="str">
        <f t="shared" si="14"/>
        <v>25</v>
      </c>
      <c r="K157" s="21" t="str">
        <f t="shared" si="15"/>
        <v>02</v>
      </c>
      <c r="L157" s="21" t="str">
        <f t="shared" si="16"/>
        <v>2026</v>
      </c>
      <c r="M157" s="21">
        <f t="shared" si="17"/>
        <v>12</v>
      </c>
    </row>
    <row r="158" spans="1:13" hidden="1" x14ac:dyDescent="0.2">
      <c r="A158" s="47" t="s">
        <v>717</v>
      </c>
      <c r="B158" s="7" t="s">
        <v>15</v>
      </c>
      <c r="C158" s="7" t="s">
        <v>275</v>
      </c>
      <c r="D158" s="7" t="s">
        <v>148</v>
      </c>
      <c r="E158" s="38" t="s">
        <v>718</v>
      </c>
      <c r="G158" s="44" t="str">
        <f t="shared" si="12"/>
        <v>KFA1E</v>
      </c>
      <c r="H158" s="20" t="str">
        <f>VLOOKUP($A158,[1]Sheet2!$I$2:$O$449,7,FALSE)</f>
        <v>https://hana.modakita.com/azd942/avatar/2515001020260312131810NSECXD.jpg</v>
      </c>
      <c r="I158" s="21">
        <f t="shared" si="13"/>
        <v>22</v>
      </c>
      <c r="J158" s="21" t="str">
        <f t="shared" si="14"/>
        <v>18</v>
      </c>
      <c r="K158" s="21" t="str">
        <f t="shared" si="15"/>
        <v>02</v>
      </c>
      <c r="L158" s="21" t="str">
        <f t="shared" si="16"/>
        <v>2026</v>
      </c>
      <c r="M158" s="21">
        <f t="shared" si="17"/>
        <v>12</v>
      </c>
    </row>
    <row r="159" spans="1:13" hidden="1" x14ac:dyDescent="0.2">
      <c r="A159" s="47" t="s">
        <v>719</v>
      </c>
      <c r="B159" s="7" t="s">
        <v>15</v>
      </c>
      <c r="C159" s="7" t="s">
        <v>105</v>
      </c>
      <c r="D159" s="7" t="s">
        <v>151</v>
      </c>
      <c r="E159" s="38" t="s">
        <v>720</v>
      </c>
      <c r="G159" s="44" t="str">
        <f t="shared" si="12"/>
        <v>KF01E</v>
      </c>
      <c r="H159" s="20" t="str">
        <f>VLOOKUP($A159,[1]Sheet2!$I$2:$O$449,7,FALSE)</f>
        <v>https://hana.modakita.com/azd942/avatar/2963440120260313083438I0IA9E.jpg</v>
      </c>
      <c r="I159" s="21">
        <f t="shared" si="13"/>
        <v>18</v>
      </c>
      <c r="J159" s="21" t="str">
        <f t="shared" si="14"/>
        <v>23</v>
      </c>
      <c r="K159" s="21" t="str">
        <f t="shared" si="15"/>
        <v>02</v>
      </c>
      <c r="L159" s="21" t="str">
        <f t="shared" si="16"/>
        <v>2026</v>
      </c>
      <c r="M159" s="21">
        <f t="shared" si="17"/>
        <v>12</v>
      </c>
    </row>
    <row r="160" spans="1:13" hidden="1" x14ac:dyDescent="0.2">
      <c r="A160" s="47" t="s">
        <v>656</v>
      </c>
      <c r="B160" s="7" t="s">
        <v>35</v>
      </c>
      <c r="C160" s="7" t="s">
        <v>657</v>
      </c>
      <c r="D160" s="7" t="s">
        <v>102</v>
      </c>
      <c r="E160" s="38" t="s">
        <v>658</v>
      </c>
      <c r="G160" s="44" t="str">
        <f t="shared" si="12"/>
        <v>JMC1E</v>
      </c>
      <c r="H160" s="20" t="str">
        <f>VLOOKUP($A160,[1]Sheet2!$I$2:$O$449,7,FALSE)</f>
        <v>https://hana.modakita.com/azd942/avatar/21450490120260305104823AUU2OM.jpg</v>
      </c>
      <c r="I160" s="21">
        <f t="shared" si="13"/>
        <v>128</v>
      </c>
      <c r="J160" s="21" t="str">
        <f t="shared" si="14"/>
        <v>28</v>
      </c>
      <c r="K160" s="21" t="str">
        <f t="shared" si="15"/>
        <v>10</v>
      </c>
      <c r="L160" s="21" t="str">
        <f t="shared" si="16"/>
        <v>2025</v>
      </c>
      <c r="M160" s="21">
        <f t="shared" si="17"/>
        <v>12</v>
      </c>
    </row>
    <row r="161" spans="1:13" hidden="1" x14ac:dyDescent="0.2">
      <c r="A161" s="47" t="s">
        <v>446</v>
      </c>
      <c r="B161" s="7" t="s">
        <v>25</v>
      </c>
      <c r="C161" s="7" t="s">
        <v>137</v>
      </c>
      <c r="D161" s="7" t="s">
        <v>169</v>
      </c>
      <c r="E161" s="38" t="s">
        <v>279</v>
      </c>
      <c r="G161" s="44" t="str">
        <f t="shared" si="12"/>
        <v>JMH1E</v>
      </c>
      <c r="H161" s="20" t="str">
        <f>VLOOKUP($A161,[1]Sheet2!$I$2:$O$449,7,FALSE)</f>
        <v>https://hana.modakita.com/azd942/avatar/21395178620260317102513P5RB6X.jpg</v>
      </c>
      <c r="I161" s="21">
        <f t="shared" si="13"/>
        <v>21</v>
      </c>
      <c r="J161" s="21" t="str">
        <f t="shared" si="14"/>
        <v>24</v>
      </c>
      <c r="K161" s="21" t="str">
        <f t="shared" si="15"/>
        <v>02</v>
      </c>
      <c r="L161" s="21" t="str">
        <f t="shared" si="16"/>
        <v>2026</v>
      </c>
      <c r="M161" s="21">
        <f t="shared" si="17"/>
        <v>12</v>
      </c>
    </row>
    <row r="162" spans="1:13" hidden="1" x14ac:dyDescent="0.2">
      <c r="A162" s="47" t="s">
        <v>350</v>
      </c>
      <c r="B162" s="7" t="s">
        <v>15</v>
      </c>
      <c r="C162" s="7" t="s">
        <v>147</v>
      </c>
      <c r="D162" s="7" t="s">
        <v>138</v>
      </c>
      <c r="E162" s="38" t="s">
        <v>279</v>
      </c>
      <c r="G162" s="44" t="str">
        <f t="shared" si="12"/>
        <v>JMH1E</v>
      </c>
      <c r="H162" s="20" t="str">
        <f>VLOOKUP($A162,[1]Sheet2!$I$2:$O$449,7,FALSE)</f>
        <v>https://hana.modakita.com/azd942/avatar/2649897020260309134844HFIDRK.jpg</v>
      </c>
      <c r="I162" s="21">
        <f t="shared" si="13"/>
        <v>25</v>
      </c>
      <c r="J162" s="21" t="str">
        <f t="shared" si="14"/>
        <v>12</v>
      </c>
      <c r="K162" s="21" t="str">
        <f t="shared" si="15"/>
        <v>02</v>
      </c>
      <c r="L162" s="21" t="str">
        <f t="shared" si="16"/>
        <v>2026</v>
      </c>
      <c r="M162" s="21">
        <f t="shared" si="17"/>
        <v>12</v>
      </c>
    </row>
    <row r="163" spans="1:13" hidden="1" x14ac:dyDescent="0.2">
      <c r="A163" s="47" t="s">
        <v>278</v>
      </c>
      <c r="B163" s="7" t="s">
        <v>15</v>
      </c>
      <c r="C163" s="7" t="s">
        <v>168</v>
      </c>
      <c r="D163" s="7" t="s">
        <v>151</v>
      </c>
      <c r="E163" s="38" t="s">
        <v>279</v>
      </c>
      <c r="G163" s="44" t="str">
        <f t="shared" si="12"/>
        <v>KFE1E</v>
      </c>
      <c r="H163" s="20" t="str">
        <f>VLOOKUP($A163,[1]Sheet2!$I$2:$O$449,7,FALSE)</f>
        <v>https://hana.modakita.com/azd942/avatar/213951786202603131056172KXCXN.jpg</v>
      </c>
      <c r="I163" s="21">
        <f t="shared" si="13"/>
        <v>25</v>
      </c>
      <c r="J163" s="21" t="str">
        <f t="shared" si="14"/>
        <v>16</v>
      </c>
      <c r="K163" s="21" t="str">
        <f t="shared" si="15"/>
        <v>02</v>
      </c>
      <c r="L163" s="21" t="str">
        <f t="shared" si="16"/>
        <v>2026</v>
      </c>
      <c r="M163" s="21">
        <f t="shared" si="17"/>
        <v>12</v>
      </c>
    </row>
    <row r="164" spans="1:13" hidden="1" x14ac:dyDescent="0.2">
      <c r="A164" s="47" t="s">
        <v>505</v>
      </c>
      <c r="B164" s="7" t="s">
        <v>15</v>
      </c>
      <c r="C164" s="7" t="s">
        <v>109</v>
      </c>
      <c r="D164" s="7" t="s">
        <v>151</v>
      </c>
      <c r="E164" s="38" t="s">
        <v>506</v>
      </c>
      <c r="G164" s="44" t="str">
        <f t="shared" si="12"/>
        <v>KFC1E</v>
      </c>
      <c r="H164" s="20" t="str">
        <f>VLOOKUP($A164,[1]Sheet2!$I$2:$O$449,7,FALSE)</f>
        <v>https://hana.modakita.com/azd942/avatar/2963440120260313083148A3BL7D.jpg</v>
      </c>
      <c r="I164" s="21">
        <f t="shared" si="13"/>
        <v>34</v>
      </c>
      <c r="J164" s="21" t="str">
        <f t="shared" si="14"/>
        <v>07</v>
      </c>
      <c r="K164" s="21" t="str">
        <f t="shared" si="15"/>
        <v>02</v>
      </c>
      <c r="L164" s="21" t="str">
        <f t="shared" si="16"/>
        <v>2026</v>
      </c>
      <c r="M164" s="21">
        <f t="shared" si="17"/>
        <v>12</v>
      </c>
    </row>
    <row r="165" spans="1:13" hidden="1" x14ac:dyDescent="0.2">
      <c r="A165" s="47" t="s">
        <v>573</v>
      </c>
      <c r="B165" s="7" t="s">
        <v>15</v>
      </c>
      <c r="C165" s="7" t="s">
        <v>334</v>
      </c>
      <c r="D165" s="7" t="s">
        <v>151</v>
      </c>
      <c r="E165" s="38" t="s">
        <v>574</v>
      </c>
      <c r="G165" s="44" t="str">
        <f t="shared" si="12"/>
        <v>JMK1E</v>
      </c>
      <c r="H165" s="20" t="str">
        <f>VLOOKUP($A165,[1]Sheet2!$I$2:$O$449,7,FALSE)</f>
        <v>https://hana.modakita.com/azd942/avatar/2649897020260313131637Z0ZEZW.jpg</v>
      </c>
      <c r="I165" s="21">
        <f t="shared" si="13"/>
        <v>21</v>
      </c>
      <c r="J165" s="21" t="str">
        <f t="shared" si="14"/>
        <v>20</v>
      </c>
      <c r="K165" s="21" t="str">
        <f t="shared" si="15"/>
        <v>02</v>
      </c>
      <c r="L165" s="21" t="str">
        <f t="shared" si="16"/>
        <v>2026</v>
      </c>
      <c r="M165" s="21">
        <f t="shared" si="17"/>
        <v>12</v>
      </c>
    </row>
    <row r="166" spans="1:13" hidden="1" x14ac:dyDescent="0.2">
      <c r="A166" s="47" t="s">
        <v>680</v>
      </c>
      <c r="B166" s="7" t="s">
        <v>35</v>
      </c>
      <c r="C166" s="7" t="s">
        <v>492</v>
      </c>
      <c r="D166" s="7" t="s">
        <v>219</v>
      </c>
      <c r="E166" s="38" t="s">
        <v>681</v>
      </c>
      <c r="G166" s="44" t="str">
        <f t="shared" si="12"/>
        <v>JMC1E</v>
      </c>
      <c r="H166" s="20" t="str">
        <f>VLOOKUP($A166,[1]Sheet2!$I$2:$O$449,7,FALSE)</f>
        <v>https://hana.modakita.com/azd942/avatar/2515001020260328111831SFLV1Y.jpg</v>
      </c>
      <c r="I166" s="21">
        <f t="shared" si="13"/>
        <v>220</v>
      </c>
      <c r="J166" s="21" t="str">
        <f t="shared" si="14"/>
        <v>20</v>
      </c>
      <c r="K166" s="21" t="str">
        <f t="shared" si="15"/>
        <v>08</v>
      </c>
      <c r="L166" s="21" t="str">
        <f t="shared" si="16"/>
        <v>2025</v>
      </c>
      <c r="M166" s="21">
        <f t="shared" si="17"/>
        <v>12</v>
      </c>
    </row>
    <row r="167" spans="1:13" hidden="1" x14ac:dyDescent="0.2">
      <c r="A167" s="47" t="s">
        <v>556</v>
      </c>
      <c r="B167" s="7" t="s">
        <v>15</v>
      </c>
      <c r="C167" s="7" t="s">
        <v>419</v>
      </c>
      <c r="D167" s="7" t="s">
        <v>143</v>
      </c>
      <c r="E167" s="38" t="s">
        <v>557</v>
      </c>
      <c r="G167" s="44" t="str">
        <f t="shared" si="12"/>
        <v>JMJ1E</v>
      </c>
      <c r="H167" s="20" t="str">
        <f>VLOOKUP($A167,[1]Sheet2!$I$2:$O$449,7,FALSE)</f>
        <v>https://hana.modakita.com/azd942/avatar/2515001020260303112334DPEGAY.jpg</v>
      </c>
      <c r="I167" s="21">
        <f t="shared" si="13"/>
        <v>26</v>
      </c>
      <c r="J167" s="21" t="str">
        <f t="shared" si="14"/>
        <v>05</v>
      </c>
      <c r="K167" s="21" t="str">
        <f t="shared" si="15"/>
        <v>02</v>
      </c>
      <c r="L167" s="21" t="str">
        <f t="shared" si="16"/>
        <v>2026</v>
      </c>
      <c r="M167" s="21">
        <f t="shared" si="17"/>
        <v>12</v>
      </c>
    </row>
    <row r="168" spans="1:13" hidden="1" x14ac:dyDescent="0.2">
      <c r="A168" s="47" t="s">
        <v>203</v>
      </c>
      <c r="B168" s="7" t="s">
        <v>25</v>
      </c>
      <c r="C168" s="7" t="s">
        <v>204</v>
      </c>
      <c r="D168" s="7" t="s">
        <v>158</v>
      </c>
      <c r="E168" s="38" t="s">
        <v>205</v>
      </c>
      <c r="G168" s="44" t="str">
        <f t="shared" si="12"/>
        <v>JMF2E</v>
      </c>
      <c r="H168" s="20" t="str">
        <f>VLOOKUP($A168,[1]Sheet2!$I$2:$O$449,7,FALSE)</f>
        <v>https://hana.modakita.com/azd942/avatar/21395178620260315110058P0T2D9.jpg</v>
      </c>
      <c r="I168" s="21">
        <f t="shared" si="13"/>
        <v>91</v>
      </c>
      <c r="J168" s="21" t="str">
        <f t="shared" si="14"/>
        <v>14</v>
      </c>
      <c r="K168" s="21" t="str">
        <f t="shared" si="15"/>
        <v>12</v>
      </c>
      <c r="L168" s="21" t="str">
        <f t="shared" si="16"/>
        <v>2025</v>
      </c>
      <c r="M168" s="21">
        <f t="shared" si="17"/>
        <v>12</v>
      </c>
    </row>
    <row r="169" spans="1:13" hidden="1" x14ac:dyDescent="0.2">
      <c r="A169" s="47" t="s">
        <v>405</v>
      </c>
      <c r="B169" s="7" t="s">
        <v>15</v>
      </c>
      <c r="C169" s="7" t="s">
        <v>169</v>
      </c>
      <c r="D169" s="7" t="s">
        <v>219</v>
      </c>
      <c r="E169" s="38" t="s">
        <v>205</v>
      </c>
      <c r="G169" s="44" t="str">
        <f t="shared" si="12"/>
        <v>JMH1E</v>
      </c>
      <c r="H169" s="20" t="str">
        <f>VLOOKUP($A169,[1]Sheet2!$I$2:$O$449,7,FALSE)</f>
        <v>https://hana.modakita.com/azd942/avatar/21395178620260328134708TTFVEV.jpg</v>
      </c>
      <c r="I169" s="21">
        <f t="shared" si="13"/>
        <v>11</v>
      </c>
      <c r="J169" s="21" t="str">
        <f t="shared" si="14"/>
        <v>17</v>
      </c>
      <c r="K169" s="21" t="str">
        <f t="shared" si="15"/>
        <v>03</v>
      </c>
      <c r="L169" s="21" t="str">
        <f t="shared" si="16"/>
        <v>2026</v>
      </c>
      <c r="M169" s="21">
        <f t="shared" si="17"/>
        <v>12</v>
      </c>
    </row>
    <row r="170" spans="1:13" hidden="1" x14ac:dyDescent="0.2">
      <c r="A170" s="47" t="s">
        <v>747</v>
      </c>
      <c r="B170" s="7" t="s">
        <v>25</v>
      </c>
      <c r="C170" s="7" t="s">
        <v>748</v>
      </c>
      <c r="D170" s="7" t="s">
        <v>114</v>
      </c>
      <c r="E170" s="38" t="s">
        <v>749</v>
      </c>
      <c r="G170" s="44" t="str">
        <f t="shared" si="12"/>
        <v>KF01E</v>
      </c>
      <c r="H170" s="20" t="str">
        <f>VLOOKUP($A170,[1]Sheet2!$I$2:$O$449,7,FALSE)</f>
        <v>https://hana.modakita.com/azd942/avatar/2515001020260327130222PSSQH4.jpg</v>
      </c>
      <c r="I170" s="21">
        <f t="shared" si="13"/>
        <v>125</v>
      </c>
      <c r="J170" s="21" t="str">
        <f t="shared" si="14"/>
        <v>22</v>
      </c>
      <c r="K170" s="21" t="str">
        <f t="shared" si="15"/>
        <v>11</v>
      </c>
      <c r="L170" s="21" t="str">
        <f t="shared" si="16"/>
        <v>2025</v>
      </c>
      <c r="M170" s="21">
        <f t="shared" si="17"/>
        <v>12</v>
      </c>
    </row>
    <row r="171" spans="1:13" hidden="1" x14ac:dyDescent="0.2">
      <c r="A171" s="47" t="s">
        <v>708</v>
      </c>
      <c r="B171" s="7" t="s">
        <v>15</v>
      </c>
      <c r="C171" s="7" t="s">
        <v>168</v>
      </c>
      <c r="D171" s="7" t="s">
        <v>102</v>
      </c>
      <c r="E171" s="38" t="s">
        <v>709</v>
      </c>
      <c r="G171" s="44" t="str">
        <f t="shared" si="12"/>
        <v>KF01E</v>
      </c>
      <c r="H171" s="20" t="str">
        <f>VLOOKUP($A171,[1]Sheet2!$I$2:$O$449,7,FALSE)</f>
        <v>https://hana.modakita.com/azd942/avatar/2515001020260305123508OFH7ZE.jpg</v>
      </c>
      <c r="I171" s="21">
        <f t="shared" si="13"/>
        <v>17</v>
      </c>
      <c r="J171" s="21" t="str">
        <f t="shared" si="14"/>
        <v>16</v>
      </c>
      <c r="K171" s="21" t="str">
        <f t="shared" si="15"/>
        <v>02</v>
      </c>
      <c r="L171" s="21" t="str">
        <f t="shared" si="16"/>
        <v>2026</v>
      </c>
      <c r="M171" s="21">
        <f t="shared" si="17"/>
        <v>12</v>
      </c>
    </row>
    <row r="172" spans="1:13" hidden="1" x14ac:dyDescent="0.2">
      <c r="A172" s="47" t="s">
        <v>520</v>
      </c>
      <c r="B172" s="7" t="s">
        <v>25</v>
      </c>
      <c r="C172" s="7" t="s">
        <v>207</v>
      </c>
      <c r="D172" s="7" t="s">
        <v>106</v>
      </c>
      <c r="E172" s="38" t="s">
        <v>521</v>
      </c>
      <c r="G172" s="44" t="str">
        <f t="shared" si="12"/>
        <v>KFC1E</v>
      </c>
      <c r="H172" s="20" t="str">
        <f>VLOOKUP($A172,[1]Sheet2!$I$2:$O$449,7,FALSE)</f>
        <v>https://hana.modakita.com/azd942/avatar/2515001020260306131839SEV8RL.jpg</v>
      </c>
      <c r="I172" s="21">
        <f t="shared" si="13"/>
        <v>99</v>
      </c>
      <c r="J172" s="21" t="str">
        <f t="shared" si="14"/>
        <v>27</v>
      </c>
      <c r="K172" s="21" t="str">
        <f t="shared" si="15"/>
        <v>11</v>
      </c>
      <c r="L172" s="21" t="str">
        <f t="shared" si="16"/>
        <v>2025</v>
      </c>
      <c r="M172" s="21">
        <f t="shared" si="17"/>
        <v>12</v>
      </c>
    </row>
    <row r="173" spans="1:13" hidden="1" x14ac:dyDescent="0.2">
      <c r="A173" s="47" t="s">
        <v>614</v>
      </c>
      <c r="B173" s="7" t="s">
        <v>15</v>
      </c>
      <c r="C173" s="7" t="s">
        <v>154</v>
      </c>
      <c r="D173" s="7" t="s">
        <v>114</v>
      </c>
      <c r="E173" s="38" t="s">
        <v>615</v>
      </c>
      <c r="G173" s="44" t="str">
        <f t="shared" si="12"/>
        <v>JMJ1E</v>
      </c>
      <c r="H173" s="20" t="str">
        <f>VLOOKUP($A173,[1]Sheet2!$I$2:$O$449,7,FALSE)</f>
        <v>https://hana.modakita.com/azd942/avatar/26498970202603271319369SUIKT.jpg</v>
      </c>
      <c r="I173" s="21">
        <f t="shared" si="13"/>
        <v>13</v>
      </c>
      <c r="J173" s="21" t="str">
        <f t="shared" si="14"/>
        <v>14</v>
      </c>
      <c r="K173" s="21" t="str">
        <f t="shared" si="15"/>
        <v>03</v>
      </c>
      <c r="L173" s="21" t="str">
        <f t="shared" si="16"/>
        <v>2026</v>
      </c>
      <c r="M173" s="21">
        <f t="shared" si="17"/>
        <v>12</v>
      </c>
    </row>
    <row r="174" spans="1:13" hidden="1" x14ac:dyDescent="0.2">
      <c r="A174" s="47" t="s">
        <v>395</v>
      </c>
      <c r="B174" s="7" t="s">
        <v>15</v>
      </c>
      <c r="C174" s="7" t="s">
        <v>117</v>
      </c>
      <c r="D174" s="7" t="s">
        <v>177</v>
      </c>
      <c r="E174" s="38" t="s">
        <v>396</v>
      </c>
      <c r="G174" s="44" t="str">
        <f t="shared" si="12"/>
        <v>JMH2E</v>
      </c>
      <c r="H174" s="20" t="str">
        <f>VLOOKUP($A174,[1]Sheet2!$I$2:$O$449,7,FALSE)</f>
        <v>https://hana.modakita.com/azd942/avatar/2649897020260325142653SCRUCZ.jpg</v>
      </c>
      <c r="I174" s="21">
        <f t="shared" si="13"/>
        <v>26</v>
      </c>
      <c r="J174" s="21" t="str">
        <f t="shared" si="14"/>
        <v>27</v>
      </c>
      <c r="K174" s="21" t="str">
        <f t="shared" si="15"/>
        <v>02</v>
      </c>
      <c r="L174" s="21" t="str">
        <f t="shared" si="16"/>
        <v>2026</v>
      </c>
      <c r="M174" s="21">
        <f t="shared" si="17"/>
        <v>12</v>
      </c>
    </row>
    <row r="175" spans="1:13" hidden="1" x14ac:dyDescent="0.2">
      <c r="A175" s="47" t="s">
        <v>328</v>
      </c>
      <c r="B175" s="7" t="s">
        <v>15</v>
      </c>
      <c r="C175" s="7" t="s">
        <v>165</v>
      </c>
      <c r="D175" s="7" t="s">
        <v>162</v>
      </c>
      <c r="E175" s="38" t="s">
        <v>329</v>
      </c>
      <c r="G175" s="44" t="str">
        <f t="shared" si="12"/>
        <v>JBK1E</v>
      </c>
      <c r="H175" s="20" t="str">
        <f>VLOOKUP($A175,[1]Sheet2!$I$2:$O$449,7,FALSE)</f>
        <v>https://hana.modakita.com/azd942/avatar/2649897020260316105753F4U3TD.jpg</v>
      </c>
      <c r="I175" s="21">
        <f t="shared" si="13"/>
        <v>19</v>
      </c>
      <c r="J175" s="21" t="str">
        <f t="shared" si="14"/>
        <v>25</v>
      </c>
      <c r="K175" s="21" t="str">
        <f t="shared" si="15"/>
        <v>02</v>
      </c>
      <c r="L175" s="21" t="str">
        <f t="shared" si="16"/>
        <v>2026</v>
      </c>
      <c r="M175" s="21">
        <f t="shared" si="17"/>
        <v>12</v>
      </c>
    </row>
    <row r="176" spans="1:13" hidden="1" x14ac:dyDescent="0.2">
      <c r="A176" s="47" t="s">
        <v>715</v>
      </c>
      <c r="B176" s="7" t="s">
        <v>15</v>
      </c>
      <c r="C176" s="7" t="s">
        <v>147</v>
      </c>
      <c r="D176" s="7" t="s">
        <v>148</v>
      </c>
      <c r="E176" s="38" t="s">
        <v>716</v>
      </c>
      <c r="G176" s="44" t="str">
        <f t="shared" si="12"/>
        <v>KF01E</v>
      </c>
      <c r="H176" s="20" t="str">
        <f>VLOOKUP($A176,[1]Sheet2!$I$2:$O$449,7,FALSE)</f>
        <v>https://hana.modakita.com/azd942/avatar/2963440120260312092005F7GXL0.jpg</v>
      </c>
      <c r="I176" s="21">
        <f t="shared" si="13"/>
        <v>28</v>
      </c>
      <c r="J176" s="21" t="str">
        <f t="shared" si="14"/>
        <v>12</v>
      </c>
      <c r="K176" s="21" t="str">
        <f t="shared" si="15"/>
        <v>02</v>
      </c>
      <c r="L176" s="21" t="str">
        <f t="shared" si="16"/>
        <v>2026</v>
      </c>
      <c r="M176" s="21">
        <f t="shared" si="17"/>
        <v>12</v>
      </c>
    </row>
    <row r="177" spans="1:13" hidden="1" x14ac:dyDescent="0.2">
      <c r="A177" s="48" t="s">
        <v>554</v>
      </c>
      <c r="B177" s="7" t="s">
        <v>15</v>
      </c>
      <c r="C177" s="7" t="s">
        <v>259</v>
      </c>
      <c r="D177" s="7" t="s">
        <v>98</v>
      </c>
      <c r="E177" s="38" t="s">
        <v>555</v>
      </c>
      <c r="F177" s="45" t="s">
        <v>821</v>
      </c>
      <c r="G177" s="44" t="str">
        <f t="shared" si="12"/>
        <v>JMJ1E</v>
      </c>
      <c r="H177" s="20" t="str">
        <f>VLOOKUP($A177,[1]Sheet2!$I$2:$O$449,7,FALSE)</f>
        <v>https://hana.modakita.com/azd942/avatar/21502451420260302095150EDN2PE.jpg</v>
      </c>
      <c r="I177" s="21">
        <f t="shared" si="13"/>
        <v>17</v>
      </c>
      <c r="J177" s="21" t="str">
        <f t="shared" si="14"/>
        <v>13</v>
      </c>
      <c r="K177" s="21" t="str">
        <f t="shared" si="15"/>
        <v>02</v>
      </c>
      <c r="L177" s="21" t="str">
        <f t="shared" si="16"/>
        <v>2026</v>
      </c>
      <c r="M177" s="21">
        <f t="shared" si="17"/>
        <v>12</v>
      </c>
    </row>
    <row r="178" spans="1:13" hidden="1" x14ac:dyDescent="0.2">
      <c r="A178" s="47" t="s">
        <v>408</v>
      </c>
      <c r="B178" s="7" t="s">
        <v>15</v>
      </c>
      <c r="C178" s="7" t="s">
        <v>180</v>
      </c>
      <c r="D178" s="7" t="s">
        <v>118</v>
      </c>
      <c r="E178" s="38" t="s">
        <v>409</v>
      </c>
      <c r="G178" s="44" t="str">
        <f t="shared" si="12"/>
        <v>JMH1E</v>
      </c>
      <c r="H178" s="20" t="str">
        <f>VLOOKUP($A178,[1]Sheet2!$I$2:$O$449,7,FALSE)</f>
        <v>https://hana.modakita.com/azd942/avatar/21395178620260330173406OOSQGE.jpg</v>
      </c>
      <c r="I178" s="21">
        <f t="shared" si="13"/>
        <v>4</v>
      </c>
      <c r="J178" s="21" t="str">
        <f t="shared" si="14"/>
        <v>26</v>
      </c>
      <c r="K178" s="21" t="str">
        <f t="shared" si="15"/>
        <v>03</v>
      </c>
      <c r="L178" s="21" t="str">
        <f t="shared" si="16"/>
        <v>2026</v>
      </c>
      <c r="M178" s="21">
        <f t="shared" si="17"/>
        <v>12</v>
      </c>
    </row>
    <row r="179" spans="1:13" hidden="1" x14ac:dyDescent="0.2">
      <c r="A179" s="47" t="s">
        <v>410</v>
      </c>
      <c r="B179" s="7" t="s">
        <v>15</v>
      </c>
      <c r="C179" s="7" t="s">
        <v>137</v>
      </c>
      <c r="D179" s="7" t="s">
        <v>187</v>
      </c>
      <c r="E179" s="38" t="s">
        <v>411</v>
      </c>
      <c r="G179" s="44" t="str">
        <f t="shared" si="12"/>
        <v>JMH2E</v>
      </c>
      <c r="H179" s="20" t="str">
        <f>VLOOKUP($A179,[1]Sheet2!$I$2:$O$449,7,FALSE)</f>
        <v>https://hana.modakita.com/azd942/avatar/2649897020260331144908PFLNDA.jpg</v>
      </c>
      <c r="I179" s="21">
        <f t="shared" si="13"/>
        <v>35</v>
      </c>
      <c r="J179" s="21" t="str">
        <f t="shared" si="14"/>
        <v>24</v>
      </c>
      <c r="K179" s="21" t="str">
        <f t="shared" si="15"/>
        <v>02</v>
      </c>
      <c r="L179" s="21" t="str">
        <f t="shared" si="16"/>
        <v>2026</v>
      </c>
      <c r="M179" s="21">
        <f t="shared" si="17"/>
        <v>12</v>
      </c>
    </row>
    <row r="180" spans="1:13" hidden="1" x14ac:dyDescent="0.2">
      <c r="A180" s="47" t="s">
        <v>133</v>
      </c>
      <c r="B180" s="7" t="s">
        <v>15</v>
      </c>
      <c r="C180" s="7" t="s">
        <v>134</v>
      </c>
      <c r="D180" s="7" t="s">
        <v>106</v>
      </c>
      <c r="E180" s="38" t="s">
        <v>135</v>
      </c>
      <c r="G180" s="44" t="str">
        <f t="shared" si="12"/>
        <v>JME1E</v>
      </c>
      <c r="H180" s="20" t="str">
        <f>VLOOKUP($A180,[1]Sheet2!$I$2:$O$449,7,FALSE)</f>
        <v>https://hana.modakita.com/azd942/avatar/25150010202603061249052GLWJP.jpg</v>
      </c>
      <c r="I180" s="21">
        <f t="shared" si="13"/>
        <v>42</v>
      </c>
      <c r="J180" s="21" t="str">
        <f t="shared" si="14"/>
        <v>23</v>
      </c>
      <c r="K180" s="21" t="str">
        <f t="shared" si="15"/>
        <v>01</v>
      </c>
      <c r="L180" s="21" t="str">
        <f t="shared" si="16"/>
        <v>2026</v>
      </c>
      <c r="M180" s="21">
        <f t="shared" si="17"/>
        <v>12</v>
      </c>
    </row>
    <row r="181" spans="1:13" hidden="1" x14ac:dyDescent="0.2">
      <c r="A181" s="47" t="s">
        <v>140</v>
      </c>
      <c r="B181" s="7" t="s">
        <v>15</v>
      </c>
      <c r="C181" s="7" t="s">
        <v>137</v>
      </c>
      <c r="D181" s="7" t="s">
        <v>138</v>
      </c>
      <c r="E181" s="38" t="s">
        <v>141</v>
      </c>
      <c r="G181" s="44" t="str">
        <f t="shared" si="12"/>
        <v>JMF2E</v>
      </c>
      <c r="H181" s="20" t="str">
        <f>VLOOKUP($A181,[1]Sheet2!$I$2:$O$449,7,FALSE)</f>
        <v>https://hana.modakita.com/azd942/avatar/2649897020260309134440NZYIK0.jpg</v>
      </c>
      <c r="I181" s="21">
        <f t="shared" si="13"/>
        <v>13</v>
      </c>
      <c r="J181" s="21" t="str">
        <f t="shared" si="14"/>
        <v>24</v>
      </c>
      <c r="K181" s="21" t="str">
        <f t="shared" si="15"/>
        <v>02</v>
      </c>
      <c r="L181" s="21" t="str">
        <f t="shared" si="16"/>
        <v>2026</v>
      </c>
      <c r="M181" s="21">
        <f t="shared" si="17"/>
        <v>12</v>
      </c>
    </row>
    <row r="182" spans="1:13" hidden="1" x14ac:dyDescent="0.2">
      <c r="A182" s="47" t="s">
        <v>765</v>
      </c>
      <c r="B182" s="7" t="s">
        <v>15</v>
      </c>
      <c r="C182" s="7" t="s">
        <v>105</v>
      </c>
      <c r="D182" s="7" t="s">
        <v>114</v>
      </c>
      <c r="E182" s="38" t="s">
        <v>141</v>
      </c>
      <c r="G182" s="44" t="str">
        <f t="shared" si="12"/>
        <v>KC04E</v>
      </c>
      <c r="H182" s="20" t="str">
        <f>VLOOKUP($A182,[1]Sheet2!$I$2:$O$449,7,FALSE)</f>
        <v>https://hana.modakita.com/azd942/avatar/2515001020260327095836VITC2G.jpg</v>
      </c>
      <c r="I182" s="21">
        <f t="shared" si="13"/>
        <v>32</v>
      </c>
      <c r="J182" s="21" t="str">
        <f t="shared" si="14"/>
        <v>23</v>
      </c>
      <c r="K182" s="21" t="str">
        <f t="shared" si="15"/>
        <v>02</v>
      </c>
      <c r="L182" s="21" t="str">
        <f t="shared" si="16"/>
        <v>2026</v>
      </c>
      <c r="M182" s="21">
        <f t="shared" si="17"/>
        <v>12</v>
      </c>
    </row>
    <row r="183" spans="1:13" hidden="1" x14ac:dyDescent="0.2">
      <c r="A183" s="47" t="s">
        <v>766</v>
      </c>
      <c r="B183" s="7" t="s">
        <v>15</v>
      </c>
      <c r="C183" s="7" t="s">
        <v>154</v>
      </c>
      <c r="D183" s="7" t="s">
        <v>114</v>
      </c>
      <c r="E183" s="38" t="s">
        <v>767</v>
      </c>
      <c r="G183" s="44" t="str">
        <f t="shared" si="12"/>
        <v>KC04E</v>
      </c>
      <c r="H183" s="20" t="str">
        <f>VLOOKUP($A183,[1]Sheet2!$I$2:$O$449,7,FALSE)</f>
        <v>https://hana.modakita.com/azd942/avatar/2515001020260327133239DSSPPN.jpg</v>
      </c>
      <c r="I183" s="21">
        <f t="shared" si="13"/>
        <v>13</v>
      </c>
      <c r="J183" s="21" t="str">
        <f t="shared" si="14"/>
        <v>14</v>
      </c>
      <c r="K183" s="21" t="str">
        <f t="shared" si="15"/>
        <v>03</v>
      </c>
      <c r="L183" s="21" t="str">
        <f t="shared" si="16"/>
        <v>2026</v>
      </c>
      <c r="M183" s="21">
        <f t="shared" si="17"/>
        <v>12</v>
      </c>
    </row>
    <row r="184" spans="1:13" hidden="1" x14ac:dyDescent="0.2">
      <c r="A184" s="47" t="s">
        <v>575</v>
      </c>
      <c r="B184" s="7" t="s">
        <v>15</v>
      </c>
      <c r="C184" s="7" t="s">
        <v>176</v>
      </c>
      <c r="D184" s="7" t="s">
        <v>151</v>
      </c>
      <c r="E184" s="38" t="s">
        <v>576</v>
      </c>
      <c r="G184" s="44" t="str">
        <f t="shared" si="12"/>
        <v>JMK1E</v>
      </c>
      <c r="H184" s="20" t="str">
        <f>VLOOKUP($A184,[1]Sheet2!$I$2:$O$449,7,FALSE)</f>
        <v>https://hana.modakita.com/azd942/avatar/25150010202603131411040EM0EO.jpg</v>
      </c>
      <c r="I184" s="21">
        <f t="shared" si="13"/>
        <v>20</v>
      </c>
      <c r="J184" s="21" t="str">
        <f t="shared" si="14"/>
        <v>21</v>
      </c>
      <c r="K184" s="21" t="str">
        <f t="shared" si="15"/>
        <v>02</v>
      </c>
      <c r="L184" s="21" t="str">
        <f t="shared" si="16"/>
        <v>2026</v>
      </c>
      <c r="M184" s="21">
        <f t="shared" si="17"/>
        <v>12</v>
      </c>
    </row>
    <row r="185" spans="1:13" hidden="1" x14ac:dyDescent="0.2">
      <c r="A185" s="47" t="s">
        <v>693</v>
      </c>
      <c r="B185" s="7" t="s">
        <v>30</v>
      </c>
      <c r="C185" s="7" t="s">
        <v>694</v>
      </c>
      <c r="D185" s="7" t="s">
        <v>144</v>
      </c>
      <c r="E185" s="38" t="s">
        <v>695</v>
      </c>
      <c r="G185" s="44" t="str">
        <f t="shared" si="12"/>
        <v>JMC1E</v>
      </c>
      <c r="H185" s="20" t="str">
        <f>VLOOKUP($A185,[1]Sheet2!$I$2:$O$449,7,FALSE)</f>
        <v>https://hana.modakita.com/azd942/avatar/212221685202603101239393JI9VI.jpg</v>
      </c>
      <c r="I185" s="21">
        <f t="shared" si="13"/>
        <v>297</v>
      </c>
      <c r="J185" s="21" t="str">
        <f t="shared" si="14"/>
        <v>17</v>
      </c>
      <c r="K185" s="21" t="str">
        <f t="shared" si="15"/>
        <v>05</v>
      </c>
      <c r="L185" s="21" t="str">
        <f t="shared" si="16"/>
        <v>2025</v>
      </c>
      <c r="M185" s="21">
        <f t="shared" si="17"/>
        <v>12</v>
      </c>
    </row>
    <row r="186" spans="1:13" hidden="1" x14ac:dyDescent="0.2">
      <c r="A186" s="47" t="s">
        <v>512</v>
      </c>
      <c r="B186" s="7" t="s">
        <v>15</v>
      </c>
      <c r="C186" s="7" t="s">
        <v>113</v>
      </c>
      <c r="D186" s="7" t="s">
        <v>513</v>
      </c>
      <c r="E186" s="38" t="s">
        <v>514</v>
      </c>
      <c r="G186" s="44" t="str">
        <f t="shared" si="12"/>
        <v>KFD1E</v>
      </c>
      <c r="H186" s="20" t="str">
        <f>VLOOKUP($A186,[1]Sheet2!$I$2:$O$449,7,FALSE)</f>
        <v>https://hana.modakita.com/azd942/avatar/21393666120260323093710DTMKIQ.jpg</v>
      </c>
      <c r="I186" s="21">
        <f t="shared" si="13"/>
        <v>19</v>
      </c>
      <c r="J186" s="21" t="str">
        <f t="shared" si="14"/>
        <v>04</v>
      </c>
      <c r="K186" s="21" t="str">
        <f t="shared" si="15"/>
        <v>03</v>
      </c>
      <c r="L186" s="21" t="str">
        <f t="shared" si="16"/>
        <v>2026</v>
      </c>
      <c r="M186" s="21">
        <f t="shared" si="17"/>
        <v>12</v>
      </c>
    </row>
    <row r="187" spans="1:13" hidden="1" x14ac:dyDescent="0.2">
      <c r="A187" s="47" t="s">
        <v>482</v>
      </c>
      <c r="B187" s="7" t="s">
        <v>30</v>
      </c>
      <c r="C187" s="7" t="s">
        <v>483</v>
      </c>
      <c r="D187" s="7" t="s">
        <v>106</v>
      </c>
      <c r="E187" s="38" t="s">
        <v>484</v>
      </c>
      <c r="G187" s="44" t="str">
        <f t="shared" si="12"/>
        <v>JMH2E</v>
      </c>
      <c r="H187" s="20" t="str">
        <f>VLOOKUP($A187,[1]Sheet2!$I$2:$O$449,7,FALSE)</f>
        <v>https://hana.modakita.com/azd942/avatar/2515001020260306123932JDECTB.jpg</v>
      </c>
      <c r="I187" s="21">
        <f t="shared" si="13"/>
        <v>325</v>
      </c>
      <c r="J187" s="21" t="str">
        <f t="shared" si="14"/>
        <v>15</v>
      </c>
      <c r="K187" s="21" t="str">
        <f t="shared" si="15"/>
        <v>04</v>
      </c>
      <c r="L187" s="21" t="str">
        <f t="shared" si="16"/>
        <v>2025</v>
      </c>
      <c r="M187" s="21">
        <f t="shared" si="17"/>
        <v>12</v>
      </c>
    </row>
    <row r="188" spans="1:13" hidden="1" x14ac:dyDescent="0.2">
      <c r="A188" s="48" t="s">
        <v>270</v>
      </c>
      <c r="B188" s="7" t="s">
        <v>15</v>
      </c>
      <c r="C188" s="7" t="s">
        <v>210</v>
      </c>
      <c r="D188" s="7" t="s">
        <v>232</v>
      </c>
      <c r="E188" s="7" t="s">
        <v>271</v>
      </c>
      <c r="F188" s="5" t="s">
        <v>809</v>
      </c>
      <c r="G188" t="str">
        <f t="shared" si="12"/>
        <v>KFE1E</v>
      </c>
      <c r="H188" s="20" t="str">
        <f>VLOOKUP($A188,[1]Sheet2!$I$2:$O$449,7,FALSE)</f>
        <v>https://hana.modakita.com/azd942/avatar/25150010202603071506077HE7UZ.jpg</v>
      </c>
      <c r="I188" s="21">
        <f t="shared" si="13"/>
        <v>66</v>
      </c>
      <c r="J188" s="21" t="str">
        <f t="shared" si="14"/>
        <v>31</v>
      </c>
      <c r="K188" s="21" t="str">
        <f t="shared" si="15"/>
        <v>12</v>
      </c>
      <c r="L188" s="21" t="str">
        <f t="shared" si="16"/>
        <v>2025</v>
      </c>
      <c r="M188" s="21">
        <f t="shared" si="17"/>
        <v>12</v>
      </c>
    </row>
    <row r="189" spans="1:13" hidden="1" x14ac:dyDescent="0.2">
      <c r="A189" s="48" t="s">
        <v>274</v>
      </c>
      <c r="B189" s="7" t="s">
        <v>15</v>
      </c>
      <c r="C189" s="7" t="s">
        <v>275</v>
      </c>
      <c r="D189" s="7" t="s">
        <v>144</v>
      </c>
      <c r="E189" s="7" t="s">
        <v>271</v>
      </c>
      <c r="F189" s="5" t="s">
        <v>809</v>
      </c>
      <c r="G189" t="str">
        <f t="shared" si="12"/>
        <v>KFE1E</v>
      </c>
      <c r="H189" s="20" t="str">
        <f>VLOOKUP($A189,[1]Sheet2!$I$2:$O$449,7,FALSE)</f>
        <v>https://hana.modakita.com/azd942/avatar/2515001020260310135624TUMELS.jpg</v>
      </c>
      <c r="I189" s="21">
        <f t="shared" si="13"/>
        <v>20</v>
      </c>
      <c r="J189" s="21" t="str">
        <f t="shared" si="14"/>
        <v>18</v>
      </c>
      <c r="K189" s="21" t="str">
        <f t="shared" si="15"/>
        <v>02</v>
      </c>
      <c r="L189" s="21" t="str">
        <f t="shared" si="16"/>
        <v>2026</v>
      </c>
      <c r="M189" s="21">
        <f t="shared" si="17"/>
        <v>12</v>
      </c>
    </row>
    <row r="190" spans="1:13" hidden="1" x14ac:dyDescent="0.2">
      <c r="A190" s="47" t="s">
        <v>633</v>
      </c>
      <c r="B190" s="7" t="s">
        <v>25</v>
      </c>
      <c r="C190" s="7" t="s">
        <v>634</v>
      </c>
      <c r="D190" s="7" t="s">
        <v>148</v>
      </c>
      <c r="E190" s="38" t="s">
        <v>635</v>
      </c>
      <c r="G190" s="44" t="str">
        <f t="shared" si="12"/>
        <v>JMD1E</v>
      </c>
      <c r="H190" s="20" t="str">
        <f>VLOOKUP($A190,[1]Sheet2!$I$2:$O$449,7,FALSE)</f>
        <v>https://hana.modakita.com/azd942/avatar/2515001020260312105211AZE3LU.jpg</v>
      </c>
      <c r="I190" s="21">
        <f t="shared" si="13"/>
        <v>116</v>
      </c>
      <c r="J190" s="21" t="str">
        <f t="shared" si="14"/>
        <v>16</v>
      </c>
      <c r="K190" s="21" t="str">
        <f t="shared" si="15"/>
        <v>11</v>
      </c>
      <c r="L190" s="21" t="str">
        <f t="shared" si="16"/>
        <v>2025</v>
      </c>
      <c r="M190" s="21">
        <f t="shared" si="17"/>
        <v>12</v>
      </c>
    </row>
    <row r="191" spans="1:13" hidden="1" x14ac:dyDescent="0.2">
      <c r="A191" s="47" t="s">
        <v>227</v>
      </c>
      <c r="B191" s="7" t="s">
        <v>35</v>
      </c>
      <c r="C191" s="7" t="s">
        <v>228</v>
      </c>
      <c r="D191" s="7" t="s">
        <v>113</v>
      </c>
      <c r="E191" s="38" t="s">
        <v>229</v>
      </c>
      <c r="G191" s="44" t="str">
        <f t="shared" si="12"/>
        <v>JMF2E</v>
      </c>
      <c r="H191" s="20" t="str">
        <f>VLOOKUP($A191,[1]Sheet2!$I$2:$O$449,7,FALSE)</f>
        <v>https://hana.modakita.com/azd942/avatar/21395178620260304115606PMHG8P.jpg</v>
      </c>
      <c r="I191" s="21">
        <f t="shared" si="13"/>
        <v>120</v>
      </c>
      <c r="J191" s="21" t="str">
        <f t="shared" si="14"/>
        <v>04</v>
      </c>
      <c r="K191" s="21" t="str">
        <f t="shared" si="15"/>
        <v>11</v>
      </c>
      <c r="L191" s="21" t="str">
        <f t="shared" si="16"/>
        <v>2025</v>
      </c>
      <c r="M191" s="21">
        <f t="shared" si="17"/>
        <v>12</v>
      </c>
    </row>
    <row r="192" spans="1:13" hidden="1" x14ac:dyDescent="0.2">
      <c r="A192" s="48" t="s">
        <v>108</v>
      </c>
      <c r="B192" s="7" t="s">
        <v>15</v>
      </c>
      <c r="C192" s="7" t="s">
        <v>109</v>
      </c>
      <c r="D192" s="7" t="s">
        <v>110</v>
      </c>
      <c r="E192" s="7" t="s">
        <v>111</v>
      </c>
      <c r="F192" s="5" t="s">
        <v>807</v>
      </c>
      <c r="G192" t="str">
        <f t="shared" si="12"/>
        <v>KFF2E</v>
      </c>
      <c r="H192" s="20" t="str">
        <f>VLOOKUP($A192,[1]Sheet2!$I$2:$O$449,7,FALSE)</f>
        <v>https://hana.modakita.com/azd942/avatar/2963440120260311115516T1QVHL.jpg</v>
      </c>
      <c r="I192" s="21">
        <f t="shared" si="13"/>
        <v>32</v>
      </c>
      <c r="J192" s="21" t="str">
        <f t="shared" si="14"/>
        <v>07</v>
      </c>
      <c r="K192" s="21" t="str">
        <f t="shared" si="15"/>
        <v>02</v>
      </c>
      <c r="L192" s="21" t="str">
        <f t="shared" si="16"/>
        <v>2026</v>
      </c>
      <c r="M192" s="21">
        <f t="shared" si="17"/>
        <v>12</v>
      </c>
    </row>
    <row r="193" spans="1:13" hidden="1" x14ac:dyDescent="0.2">
      <c r="A193" s="47" t="s">
        <v>146</v>
      </c>
      <c r="B193" s="7" t="s">
        <v>15</v>
      </c>
      <c r="C193" s="7" t="s">
        <v>147</v>
      </c>
      <c r="D193" s="7" t="s">
        <v>148</v>
      </c>
      <c r="E193" s="38" t="s">
        <v>149</v>
      </c>
      <c r="G193" s="44" t="str">
        <f t="shared" si="12"/>
        <v>JME1E</v>
      </c>
      <c r="H193" s="20" t="str">
        <f>VLOOKUP($A193,[1]Sheet2!$I$2:$O$449,7,FALSE)</f>
        <v>https://hana.modakita.com/azd942/avatar/2515001020260312133737IZUH6I.jpg</v>
      </c>
      <c r="I193" s="21">
        <f t="shared" si="13"/>
        <v>28</v>
      </c>
      <c r="J193" s="21" t="str">
        <f t="shared" si="14"/>
        <v>12</v>
      </c>
      <c r="K193" s="21" t="str">
        <f t="shared" si="15"/>
        <v>02</v>
      </c>
      <c r="L193" s="21" t="str">
        <f t="shared" si="16"/>
        <v>2026</v>
      </c>
      <c r="M193" s="21">
        <f t="shared" si="17"/>
        <v>12</v>
      </c>
    </row>
    <row r="194" spans="1:13" hidden="1" x14ac:dyDescent="0.2">
      <c r="A194" s="48" t="s">
        <v>116</v>
      </c>
      <c r="B194" s="7" t="s">
        <v>15</v>
      </c>
      <c r="C194" s="7" t="s">
        <v>117</v>
      </c>
      <c r="D194" s="7" t="s">
        <v>118</v>
      </c>
      <c r="E194" s="7" t="s">
        <v>119</v>
      </c>
      <c r="F194" s="5" t="s">
        <v>817</v>
      </c>
      <c r="G194" t="str">
        <f t="shared" ref="G194:G257" si="18">LEFT(A194,5)</f>
        <v>KFF3E</v>
      </c>
      <c r="H194" s="20" t="str">
        <f>VLOOKUP($A194,[1]Sheet2!$I$2:$O$449,7,FALSE)</f>
        <v>https://hana.modakita.com/azd942/avatar/2649897020260330105453SYVLIM.jpg</v>
      </c>
      <c r="I194" s="21">
        <f t="shared" ref="I194:I257" si="19">D194-C194</f>
        <v>31</v>
      </c>
      <c r="J194" s="21" t="str">
        <f t="shared" ref="J194:J257" si="20">LEFT(C194,2)</f>
        <v>27</v>
      </c>
      <c r="K194" s="21" t="str">
        <f t="shared" ref="K194:K257" si="21">MID(C194,4,2)</f>
        <v>02</v>
      </c>
      <c r="L194" s="21" t="str">
        <f t="shared" ref="L194:L257" si="22">RIGHT(C194,4)</f>
        <v>2026</v>
      </c>
      <c r="M194" s="21">
        <f t="shared" ref="M194:M257" si="23">LEN(A194)</f>
        <v>12</v>
      </c>
    </row>
    <row r="195" spans="1:13" hidden="1" x14ac:dyDescent="0.2">
      <c r="A195" s="47" t="s">
        <v>353</v>
      </c>
      <c r="B195" s="7" t="s">
        <v>15</v>
      </c>
      <c r="C195" s="7" t="s">
        <v>168</v>
      </c>
      <c r="D195" s="7" t="s">
        <v>110</v>
      </c>
      <c r="E195" s="38" t="s">
        <v>354</v>
      </c>
      <c r="G195" s="44" t="str">
        <f t="shared" si="18"/>
        <v>JMH2E</v>
      </c>
      <c r="H195" s="20" t="str">
        <f>VLOOKUP($A195,[1]Sheet2!$I$2:$O$449,7,FALSE)</f>
        <v>https://hana.modakita.com/azd942/avatar/2515001020260311102119D8JUJO.jpg</v>
      </c>
      <c r="I195" s="21">
        <f t="shared" si="19"/>
        <v>23</v>
      </c>
      <c r="J195" s="21" t="str">
        <f t="shared" si="20"/>
        <v>16</v>
      </c>
      <c r="K195" s="21" t="str">
        <f t="shared" si="21"/>
        <v>02</v>
      </c>
      <c r="L195" s="21" t="str">
        <f t="shared" si="22"/>
        <v>2026</v>
      </c>
      <c r="M195" s="21">
        <f t="shared" si="23"/>
        <v>12</v>
      </c>
    </row>
    <row r="196" spans="1:13" hidden="1" x14ac:dyDescent="0.2">
      <c r="A196" s="47" t="s">
        <v>365</v>
      </c>
      <c r="B196" s="7" t="s">
        <v>15</v>
      </c>
      <c r="C196" s="7" t="s">
        <v>105</v>
      </c>
      <c r="D196" s="7" t="s">
        <v>151</v>
      </c>
      <c r="E196" s="38" t="s">
        <v>366</v>
      </c>
      <c r="G196" s="44" t="str">
        <f t="shared" si="18"/>
        <v>JMH2E</v>
      </c>
      <c r="H196" s="20" t="str">
        <f>VLOOKUP($A196,[1]Sheet2!$I$2:$O$449,7,FALSE)</f>
        <v>https://hana.modakita.com/azd942/avatar/2515001020260313131009DKH47V.jpg</v>
      </c>
      <c r="I196" s="21">
        <f t="shared" si="19"/>
        <v>18</v>
      </c>
      <c r="J196" s="21" t="str">
        <f t="shared" si="20"/>
        <v>23</v>
      </c>
      <c r="K196" s="21" t="str">
        <f t="shared" si="21"/>
        <v>02</v>
      </c>
      <c r="L196" s="21" t="str">
        <f t="shared" si="22"/>
        <v>2026</v>
      </c>
      <c r="M196" s="21">
        <f t="shared" si="23"/>
        <v>12</v>
      </c>
    </row>
    <row r="197" spans="1:13" hidden="1" x14ac:dyDescent="0.2">
      <c r="A197" s="47" t="s">
        <v>333</v>
      </c>
      <c r="B197" s="7" t="s">
        <v>25</v>
      </c>
      <c r="C197" s="7" t="s">
        <v>334</v>
      </c>
      <c r="D197" s="7" t="s">
        <v>148</v>
      </c>
      <c r="E197" s="38" t="s">
        <v>335</v>
      </c>
      <c r="G197" s="44" t="str">
        <f t="shared" si="18"/>
        <v>JBK1E</v>
      </c>
      <c r="H197" s="20" t="str">
        <f>VLOOKUP($A197,[1]Sheet2!$I$2:$O$449,7,FALSE)</f>
        <v>https://hana.modakita.com/azd942/avatar/2963440120260312093350NDPMLQ.jpg</v>
      </c>
      <c r="I197" s="21">
        <f t="shared" si="19"/>
        <v>20</v>
      </c>
      <c r="J197" s="21" t="str">
        <f t="shared" si="20"/>
        <v>20</v>
      </c>
      <c r="K197" s="21" t="str">
        <f t="shared" si="21"/>
        <v>02</v>
      </c>
      <c r="L197" s="21" t="str">
        <f t="shared" si="22"/>
        <v>2026</v>
      </c>
      <c r="M197" s="21">
        <f t="shared" si="23"/>
        <v>12</v>
      </c>
    </row>
    <row r="198" spans="1:13" hidden="1" x14ac:dyDescent="0.2">
      <c r="A198" s="47" t="s">
        <v>712</v>
      </c>
      <c r="B198" s="7" t="s">
        <v>15</v>
      </c>
      <c r="C198" s="7" t="s">
        <v>713</v>
      </c>
      <c r="D198" s="7" t="s">
        <v>148</v>
      </c>
      <c r="E198" s="38" t="s">
        <v>714</v>
      </c>
      <c r="G198" s="44" t="str">
        <f t="shared" si="18"/>
        <v>KF01E</v>
      </c>
      <c r="H198" s="20" t="str">
        <f>VLOOKUP($A198,[1]Sheet2!$I$2:$O$449,7,FALSE)</f>
        <v>https://hana.modakita.com/azd942/avatar/21395178620260312094955UDMTSP.jpg</v>
      </c>
      <c r="I198" s="21">
        <f t="shared" si="19"/>
        <v>36</v>
      </c>
      <c r="J198" s="21" t="str">
        <f t="shared" si="20"/>
        <v>04</v>
      </c>
      <c r="K198" s="21" t="str">
        <f t="shared" si="21"/>
        <v>02</v>
      </c>
      <c r="L198" s="21" t="str">
        <f t="shared" si="22"/>
        <v>2026</v>
      </c>
      <c r="M198" s="21">
        <f t="shared" si="23"/>
        <v>12</v>
      </c>
    </row>
    <row r="199" spans="1:13" hidden="1" x14ac:dyDescent="0.2">
      <c r="A199" s="47" t="s">
        <v>318</v>
      </c>
      <c r="B199" s="7" t="s">
        <v>35</v>
      </c>
      <c r="C199" s="7" t="s">
        <v>319</v>
      </c>
      <c r="D199" s="7" t="s">
        <v>232</v>
      </c>
      <c r="E199" s="38" t="s">
        <v>320</v>
      </c>
      <c r="G199" s="44" t="str">
        <f t="shared" si="18"/>
        <v>KFE1E</v>
      </c>
      <c r="H199" s="20" t="str">
        <f>VLOOKUP($A199,[1]Sheet2!$I$2:$O$449,7,FALSE)</f>
        <v>https://hana.modakita.com/azd942/avatar/2515001020260307084604OZZ4C3.jpg</v>
      </c>
      <c r="I199" s="21">
        <f t="shared" si="19"/>
        <v>240</v>
      </c>
      <c r="J199" s="21" t="str">
        <f t="shared" si="20"/>
        <v>10</v>
      </c>
      <c r="K199" s="21" t="str">
        <f t="shared" si="21"/>
        <v>07</v>
      </c>
      <c r="L199" s="21" t="str">
        <f t="shared" si="22"/>
        <v>2025</v>
      </c>
      <c r="M199" s="21">
        <f t="shared" si="23"/>
        <v>12</v>
      </c>
    </row>
    <row r="200" spans="1:13" hidden="1" x14ac:dyDescent="0.2">
      <c r="A200" s="47" t="s">
        <v>494</v>
      </c>
      <c r="B200" s="7" t="s">
        <v>15</v>
      </c>
      <c r="C200" s="7" t="s">
        <v>190</v>
      </c>
      <c r="D200" s="7" t="s">
        <v>232</v>
      </c>
      <c r="E200" s="38" t="s">
        <v>495</v>
      </c>
      <c r="G200" s="44" t="str">
        <f t="shared" si="18"/>
        <v>KFD1E</v>
      </c>
      <c r="H200" s="20" t="str">
        <f>VLOOKUP($A200,[1]Sheet2!$I$2:$O$449,7,FALSE)</f>
        <v>https://hana.modakita.com/azd942/avatar/2515001020260307085406I9UAAT.jpg</v>
      </c>
      <c r="I200" s="21">
        <f t="shared" si="19"/>
        <v>35</v>
      </c>
      <c r="J200" s="21" t="str">
        <f t="shared" si="20"/>
        <v>31</v>
      </c>
      <c r="K200" s="21" t="str">
        <f t="shared" si="21"/>
        <v>01</v>
      </c>
      <c r="L200" s="21" t="str">
        <f t="shared" si="22"/>
        <v>2026</v>
      </c>
      <c r="M200" s="21">
        <f t="shared" si="23"/>
        <v>12</v>
      </c>
    </row>
    <row r="201" spans="1:13" hidden="1" x14ac:dyDescent="0.2">
      <c r="A201" s="48" t="s">
        <v>129</v>
      </c>
      <c r="B201" s="7" t="s">
        <v>15</v>
      </c>
      <c r="C201" s="7" t="s">
        <v>98</v>
      </c>
      <c r="D201" s="7" t="s">
        <v>102</v>
      </c>
      <c r="E201" s="7" t="s">
        <v>18</v>
      </c>
      <c r="F201" s="5" t="s">
        <v>803</v>
      </c>
      <c r="G201" t="str">
        <f t="shared" si="18"/>
        <v>JMF1E</v>
      </c>
      <c r="H201" s="20" t="str">
        <f>VLOOKUP($A201,[1]Sheet2!$I$2:$O$449,7,FALSE)</f>
        <v>https://hana.modakita.com/azd942/avatar/2515001020260305113445AW9D9L.jpg</v>
      </c>
      <c r="I201" s="21">
        <f t="shared" si="19"/>
        <v>3</v>
      </c>
      <c r="J201" s="21" t="str">
        <f t="shared" si="20"/>
        <v>02</v>
      </c>
      <c r="K201" s="21" t="str">
        <f t="shared" si="21"/>
        <v>03</v>
      </c>
      <c r="L201" s="21" t="str">
        <f t="shared" si="22"/>
        <v>2026</v>
      </c>
      <c r="M201" s="21">
        <f t="shared" si="23"/>
        <v>12</v>
      </c>
    </row>
    <row r="202" spans="1:13" hidden="1" x14ac:dyDescent="0.2">
      <c r="A202" s="47" t="s">
        <v>414</v>
      </c>
      <c r="B202" s="7" t="s">
        <v>15</v>
      </c>
      <c r="C202" s="7" t="s">
        <v>105</v>
      </c>
      <c r="D202" s="7" t="s">
        <v>187</v>
      </c>
      <c r="E202" s="38" t="s">
        <v>415</v>
      </c>
      <c r="G202" s="44" t="str">
        <f t="shared" si="18"/>
        <v>JMH2E</v>
      </c>
      <c r="H202" s="20" t="str">
        <f>VLOOKUP($A202,[1]Sheet2!$I$2:$O$449,7,FALSE)</f>
        <v>https://hana.modakita.com/azd942/avatar/2515001020260331152440QTB8LJ.jpg</v>
      </c>
      <c r="I202" s="21">
        <f t="shared" si="19"/>
        <v>36</v>
      </c>
      <c r="J202" s="21" t="str">
        <f t="shared" si="20"/>
        <v>23</v>
      </c>
      <c r="K202" s="21" t="str">
        <f t="shared" si="21"/>
        <v>02</v>
      </c>
      <c r="L202" s="21" t="str">
        <f t="shared" si="22"/>
        <v>2026</v>
      </c>
      <c r="M202" s="21">
        <f t="shared" si="23"/>
        <v>12</v>
      </c>
    </row>
    <row r="203" spans="1:13" hidden="1" x14ac:dyDescent="0.2">
      <c r="A203" s="47" t="s">
        <v>182</v>
      </c>
      <c r="B203" s="7" t="s">
        <v>15</v>
      </c>
      <c r="C203" s="7" t="s">
        <v>144</v>
      </c>
      <c r="D203" s="7" t="s">
        <v>180</v>
      </c>
      <c r="E203" s="38" t="s">
        <v>183</v>
      </c>
      <c r="G203" s="44" t="str">
        <f t="shared" si="18"/>
        <v>JMF1E</v>
      </c>
      <c r="H203" s="20" t="str">
        <f>VLOOKUP($A203,[1]Sheet2!$I$2:$O$449,7,FALSE)</f>
        <v>https://hana.modakita.com/azd942/avatar/2649897020260326145226BETPUE.jpg</v>
      </c>
      <c r="I203" s="21">
        <f t="shared" si="19"/>
        <v>16</v>
      </c>
      <c r="J203" s="21" t="str">
        <f t="shared" si="20"/>
        <v>10</v>
      </c>
      <c r="K203" s="21" t="str">
        <f t="shared" si="21"/>
        <v>03</v>
      </c>
      <c r="L203" s="21" t="str">
        <f t="shared" si="22"/>
        <v>2026</v>
      </c>
      <c r="M203" s="21">
        <f t="shared" si="23"/>
        <v>12</v>
      </c>
    </row>
    <row r="204" spans="1:13" hidden="1" x14ac:dyDescent="0.2">
      <c r="A204" s="47" t="s">
        <v>288</v>
      </c>
      <c r="B204" s="7" t="s">
        <v>15</v>
      </c>
      <c r="C204" s="7" t="s">
        <v>98</v>
      </c>
      <c r="D204" s="7" t="s">
        <v>177</v>
      </c>
      <c r="E204" s="38" t="s">
        <v>183</v>
      </c>
      <c r="G204" s="44" t="str">
        <f t="shared" si="18"/>
        <v>KFE1E</v>
      </c>
      <c r="H204" s="20" t="str">
        <f>VLOOKUP($A204,[1]Sheet2!$I$2:$O$449,7,FALSE)</f>
        <v>https://hana.modakita.com/azd942/avatar/2515001020260325155532PUVBIU.jpg</v>
      </c>
      <c r="I204" s="21">
        <f t="shared" si="19"/>
        <v>23</v>
      </c>
      <c r="J204" s="21" t="str">
        <f t="shared" si="20"/>
        <v>02</v>
      </c>
      <c r="K204" s="21" t="str">
        <f t="shared" si="21"/>
        <v>03</v>
      </c>
      <c r="L204" s="21" t="str">
        <f t="shared" si="22"/>
        <v>2026</v>
      </c>
      <c r="M204" s="21">
        <f t="shared" si="23"/>
        <v>12</v>
      </c>
    </row>
    <row r="205" spans="1:13" hidden="1" x14ac:dyDescent="0.2">
      <c r="A205" s="47" t="s">
        <v>547</v>
      </c>
      <c r="B205" s="7" t="s">
        <v>15</v>
      </c>
      <c r="C205" s="7" t="s">
        <v>162</v>
      </c>
      <c r="D205" s="7" t="s">
        <v>187</v>
      </c>
      <c r="E205" s="38" t="s">
        <v>163</v>
      </c>
      <c r="G205" s="44" t="str">
        <f t="shared" si="18"/>
        <v>JBP1E</v>
      </c>
      <c r="H205" s="20" t="str">
        <f>VLOOKUP($A205,[1]Sheet2!$I$2:$O$449,7,FALSE)</f>
        <v>https://hana.modakita.com/azd942/avatar/21395178620260331132024ESG0WH.jpg</v>
      </c>
      <c r="I205" s="21">
        <f t="shared" si="19"/>
        <v>15</v>
      </c>
      <c r="J205" s="21" t="str">
        <f t="shared" si="20"/>
        <v>16</v>
      </c>
      <c r="K205" s="21" t="str">
        <f t="shared" si="21"/>
        <v>03</v>
      </c>
      <c r="L205" s="21" t="str">
        <f t="shared" si="22"/>
        <v>2026</v>
      </c>
      <c r="M205" s="21">
        <f t="shared" si="23"/>
        <v>12</v>
      </c>
    </row>
    <row r="206" spans="1:13" hidden="1" x14ac:dyDescent="0.2">
      <c r="A206" s="47" t="s">
        <v>160</v>
      </c>
      <c r="B206" s="7" t="s">
        <v>15</v>
      </c>
      <c r="C206" s="7" t="s">
        <v>161</v>
      </c>
      <c r="D206" s="7" t="s">
        <v>162</v>
      </c>
      <c r="E206" s="38" t="s">
        <v>163</v>
      </c>
      <c r="G206" s="44" t="str">
        <f t="shared" si="18"/>
        <v>JME1E</v>
      </c>
      <c r="H206" s="20" t="str">
        <f>VLOOKUP($A206,[1]Sheet2!$I$2:$O$449,7,FALSE)</f>
        <v>https://hana.modakita.com/azd942/avatar/2649897020260316101829QG5OM7.jpg</v>
      </c>
      <c r="I206" s="21">
        <f t="shared" si="19"/>
        <v>38</v>
      </c>
      <c r="J206" s="21" t="str">
        <f t="shared" si="20"/>
        <v>06</v>
      </c>
      <c r="K206" s="21" t="str">
        <f t="shared" si="21"/>
        <v>02</v>
      </c>
      <c r="L206" s="21" t="str">
        <f t="shared" si="22"/>
        <v>2026</v>
      </c>
      <c r="M206" s="21">
        <f t="shared" si="23"/>
        <v>12</v>
      </c>
    </row>
    <row r="207" spans="1:13" hidden="1" x14ac:dyDescent="0.2">
      <c r="A207" s="47" t="s">
        <v>602</v>
      </c>
      <c r="B207" s="7" t="s">
        <v>15</v>
      </c>
      <c r="C207" s="7" t="s">
        <v>497</v>
      </c>
      <c r="D207" s="7" t="s">
        <v>177</v>
      </c>
      <c r="E207" s="38" t="s">
        <v>603</v>
      </c>
      <c r="G207" s="44" t="str">
        <f t="shared" si="18"/>
        <v>JMJ1E</v>
      </c>
      <c r="H207" s="20" t="str">
        <f>VLOOKUP($A207,[1]Sheet2!$I$2:$O$449,7,FALSE)</f>
        <v>https://hana.modakita.com/azd942/avatar/2515001020260325142103CSPO90.jpg</v>
      </c>
      <c r="I207" s="21">
        <f t="shared" si="19"/>
        <v>44</v>
      </c>
      <c r="J207" s="21" t="str">
        <f t="shared" si="20"/>
        <v>09</v>
      </c>
      <c r="K207" s="21" t="str">
        <f t="shared" si="21"/>
        <v>02</v>
      </c>
      <c r="L207" s="21" t="str">
        <f t="shared" si="22"/>
        <v>2026</v>
      </c>
      <c r="M207" s="21">
        <f t="shared" si="23"/>
        <v>12</v>
      </c>
    </row>
    <row r="208" spans="1:13" hidden="1" x14ac:dyDescent="0.2">
      <c r="A208" s="47" t="s">
        <v>470</v>
      </c>
      <c r="B208" s="7" t="s">
        <v>35</v>
      </c>
      <c r="C208" s="7" t="s">
        <v>471</v>
      </c>
      <c r="D208" s="7" t="s">
        <v>110</v>
      </c>
      <c r="E208" s="38" t="s">
        <v>472</v>
      </c>
      <c r="G208" s="44" t="str">
        <f t="shared" si="18"/>
        <v>JMH2E</v>
      </c>
      <c r="H208" s="20" t="str">
        <f>VLOOKUP($A208,[1]Sheet2!$I$2:$O$449,7,FALSE)</f>
        <v>https://hana.modakita.com/azd942/avatar/21395178620260311142448OXNTCB.jpg</v>
      </c>
      <c r="I208" s="21">
        <f t="shared" si="19"/>
        <v>232</v>
      </c>
      <c r="J208" s="21" t="str">
        <f t="shared" si="20"/>
        <v>22</v>
      </c>
      <c r="K208" s="21" t="str">
        <f t="shared" si="21"/>
        <v>07</v>
      </c>
      <c r="L208" s="21" t="str">
        <f t="shared" si="22"/>
        <v>2025</v>
      </c>
      <c r="M208" s="21">
        <f t="shared" si="23"/>
        <v>12</v>
      </c>
    </row>
    <row r="209" spans="1:13" hidden="1" x14ac:dyDescent="0.2">
      <c r="A209" s="47" t="s">
        <v>412</v>
      </c>
      <c r="B209" s="7" t="s">
        <v>15</v>
      </c>
      <c r="C209" s="7" t="s">
        <v>217</v>
      </c>
      <c r="D209" s="7" t="s">
        <v>187</v>
      </c>
      <c r="E209" s="38" t="s">
        <v>413</v>
      </c>
      <c r="G209" s="44" t="str">
        <f t="shared" si="18"/>
        <v>JMH1E</v>
      </c>
      <c r="H209" s="20" t="str">
        <f>VLOOKUP($A209,[1]Sheet2!$I$2:$O$449,7,FALSE)</f>
        <v>https://hana.modakita.com/azd942/avatar/2515001020260331151359XTS02R.jpg</v>
      </c>
      <c r="I209" s="21">
        <f t="shared" si="19"/>
        <v>11</v>
      </c>
      <c r="J209" s="21" t="str">
        <f t="shared" si="20"/>
        <v>20</v>
      </c>
      <c r="K209" s="21" t="str">
        <f t="shared" si="21"/>
        <v>03</v>
      </c>
      <c r="L209" s="21" t="str">
        <f t="shared" si="22"/>
        <v>2026</v>
      </c>
      <c r="M209" s="21">
        <f t="shared" si="23"/>
        <v>12</v>
      </c>
    </row>
    <row r="210" spans="1:13" hidden="1" x14ac:dyDescent="0.2">
      <c r="A210" s="47" t="s">
        <v>620</v>
      </c>
      <c r="B210" s="7" t="s">
        <v>15</v>
      </c>
      <c r="C210" s="7" t="s">
        <v>169</v>
      </c>
      <c r="D210" s="7" t="s">
        <v>300</v>
      </c>
      <c r="E210" s="38" t="s">
        <v>621</v>
      </c>
      <c r="G210" s="44" t="str">
        <f t="shared" si="18"/>
        <v>JMK1E</v>
      </c>
      <c r="H210" s="20" t="str">
        <f>VLOOKUP($A210,[1]Sheet2!$I$2:$O$449,7,FALSE)</f>
        <v>https://hana.modakita.com/azd942/avatar/2963440120260329105909CRSRWJ.jpg</v>
      </c>
      <c r="I210" s="21">
        <f t="shared" si="19"/>
        <v>12</v>
      </c>
      <c r="J210" s="21" t="str">
        <f t="shared" si="20"/>
        <v>17</v>
      </c>
      <c r="K210" s="21" t="str">
        <f t="shared" si="21"/>
        <v>03</v>
      </c>
      <c r="L210" s="21" t="str">
        <f t="shared" si="22"/>
        <v>2026</v>
      </c>
      <c r="M210" s="21">
        <f t="shared" si="23"/>
        <v>12</v>
      </c>
    </row>
    <row r="211" spans="1:13" hidden="1" x14ac:dyDescent="0.2">
      <c r="A211" s="47" t="s">
        <v>372</v>
      </c>
      <c r="B211" s="7" t="s">
        <v>15</v>
      </c>
      <c r="C211" s="7" t="s">
        <v>259</v>
      </c>
      <c r="D211" s="7" t="s">
        <v>154</v>
      </c>
      <c r="E211" s="38" t="s">
        <v>373</v>
      </c>
      <c r="G211" s="44" t="str">
        <f t="shared" si="18"/>
        <v>JMH1E</v>
      </c>
      <c r="H211" s="20" t="str">
        <f>VLOOKUP($A211,[1]Sheet2!$I$2:$O$449,7,FALSE)</f>
        <v>https://hana.modakita.com/azd942/avatar/2515001020260314114005YE75G2.jpg</v>
      </c>
      <c r="I211" s="21">
        <f t="shared" si="19"/>
        <v>29</v>
      </c>
      <c r="J211" s="21" t="str">
        <f t="shared" si="20"/>
        <v>13</v>
      </c>
      <c r="K211" s="21" t="str">
        <f t="shared" si="21"/>
        <v>02</v>
      </c>
      <c r="L211" s="21" t="str">
        <f t="shared" si="22"/>
        <v>2026</v>
      </c>
      <c r="M211" s="21">
        <f t="shared" si="23"/>
        <v>12</v>
      </c>
    </row>
    <row r="212" spans="1:13" hidden="1" x14ac:dyDescent="0.2">
      <c r="A212" s="47" t="s">
        <v>224</v>
      </c>
      <c r="B212" s="7" t="s">
        <v>35</v>
      </c>
      <c r="C212" s="7" t="s">
        <v>225</v>
      </c>
      <c r="D212" s="7" t="s">
        <v>143</v>
      </c>
      <c r="E212" s="38" t="s">
        <v>226</v>
      </c>
      <c r="G212" s="44" t="str">
        <f t="shared" si="18"/>
        <v>JME1E</v>
      </c>
      <c r="H212" s="20" t="str">
        <f>VLOOKUP($A212,[1]Sheet2!$I$2:$O$449,7,FALSE)</f>
        <v>https://hana.modakita.com/azd942/avatar/2515001020260303090500E3QFYY.jpg</v>
      </c>
      <c r="I212" s="21">
        <f t="shared" si="19"/>
        <v>228</v>
      </c>
      <c r="J212" s="21" t="str">
        <f t="shared" si="20"/>
        <v>18</v>
      </c>
      <c r="K212" s="21" t="str">
        <f t="shared" si="21"/>
        <v>07</v>
      </c>
      <c r="L212" s="21" t="str">
        <f t="shared" si="22"/>
        <v>2025</v>
      </c>
      <c r="M212" s="21">
        <f t="shared" si="23"/>
        <v>12</v>
      </c>
    </row>
    <row r="213" spans="1:13" hidden="1" x14ac:dyDescent="0.2">
      <c r="A213" s="47" t="s">
        <v>584</v>
      </c>
      <c r="B213" s="7" t="s">
        <v>15</v>
      </c>
      <c r="C213" s="7" t="s">
        <v>172</v>
      </c>
      <c r="D213" s="7" t="s">
        <v>169</v>
      </c>
      <c r="E213" s="38" t="s">
        <v>585</v>
      </c>
      <c r="G213" s="44" t="str">
        <f t="shared" si="18"/>
        <v>JMK1E</v>
      </c>
      <c r="H213" s="20" t="str">
        <f>VLOOKUP($A213,[1]Sheet2!$I$2:$O$449,7,FALSE)</f>
        <v>https://hana.modakita.com/azd942/avatar/2963440120260317100756RQGYWL.jpg</v>
      </c>
      <c r="I213" s="21">
        <f t="shared" si="19"/>
        <v>17</v>
      </c>
      <c r="J213" s="21" t="str">
        <f t="shared" si="20"/>
        <v>28</v>
      </c>
      <c r="K213" s="21" t="str">
        <f t="shared" si="21"/>
        <v>02</v>
      </c>
      <c r="L213" s="21" t="str">
        <f t="shared" si="22"/>
        <v>2026</v>
      </c>
      <c r="M213" s="21">
        <f t="shared" si="23"/>
        <v>12</v>
      </c>
    </row>
    <row r="214" spans="1:13" hidden="1" x14ac:dyDescent="0.2">
      <c r="A214" s="47" t="s">
        <v>696</v>
      </c>
      <c r="B214" s="7" t="s">
        <v>30</v>
      </c>
      <c r="C214" s="7" t="s">
        <v>697</v>
      </c>
      <c r="D214" s="7" t="s">
        <v>151</v>
      </c>
      <c r="E214" s="38" t="s">
        <v>698</v>
      </c>
      <c r="G214" s="44" t="str">
        <f t="shared" si="18"/>
        <v>JMC1E</v>
      </c>
      <c r="H214" s="20" t="str">
        <f>VLOOKUP($A214,[1]Sheet2!$I$2:$O$449,7,FALSE)</f>
        <v>https://hana.modakita.com/azd942/avatar/21395178620260313110106RV3GAC.jpg</v>
      </c>
      <c r="I214" s="21">
        <f t="shared" si="19"/>
        <v>141</v>
      </c>
      <c r="J214" s="21" t="str">
        <f t="shared" si="20"/>
        <v>23</v>
      </c>
      <c r="K214" s="21" t="str">
        <f t="shared" si="21"/>
        <v>10</v>
      </c>
      <c r="L214" s="21" t="str">
        <f t="shared" si="22"/>
        <v>2025</v>
      </c>
      <c r="M214" s="21">
        <f t="shared" si="23"/>
        <v>12</v>
      </c>
    </row>
    <row r="215" spans="1:13" hidden="1" x14ac:dyDescent="0.2">
      <c r="A215" s="47" t="s">
        <v>303</v>
      </c>
      <c r="B215" s="7" t="s">
        <v>15</v>
      </c>
      <c r="C215" s="7" t="s">
        <v>168</v>
      </c>
      <c r="D215" s="7" t="s">
        <v>300</v>
      </c>
      <c r="E215" s="38" t="s">
        <v>304</v>
      </c>
      <c r="G215" s="44" t="str">
        <f t="shared" si="18"/>
        <v>KFE1E</v>
      </c>
      <c r="H215" s="20" t="str">
        <f>VLOOKUP($A215,[1]Sheet2!$I$2:$O$449,7,FALSE)</f>
        <v>https://hana.modakita.com/azd942/avatar/2515001020260329110053KKBHVL.jpg</v>
      </c>
      <c r="I215" s="21">
        <f t="shared" si="19"/>
        <v>41</v>
      </c>
      <c r="J215" s="21" t="str">
        <f t="shared" si="20"/>
        <v>16</v>
      </c>
      <c r="K215" s="21" t="str">
        <f t="shared" si="21"/>
        <v>02</v>
      </c>
      <c r="L215" s="21" t="str">
        <f t="shared" si="22"/>
        <v>2026</v>
      </c>
      <c r="M215" s="21">
        <f t="shared" si="23"/>
        <v>12</v>
      </c>
    </row>
    <row r="216" spans="1:13" hidden="1" x14ac:dyDescent="0.2">
      <c r="A216" s="47" t="s">
        <v>184</v>
      </c>
      <c r="B216" s="7" t="s">
        <v>15</v>
      </c>
      <c r="C216" s="7" t="s">
        <v>154</v>
      </c>
      <c r="D216" s="7" t="s">
        <v>118</v>
      </c>
      <c r="E216" s="38" t="s">
        <v>185</v>
      </c>
      <c r="G216" s="44" t="str">
        <f t="shared" si="18"/>
        <v>JMF1E</v>
      </c>
      <c r="H216" s="20" t="str">
        <f>VLOOKUP($A216,[1]Sheet2!$I$2:$O$449,7,FALSE)</f>
        <v>https://hana.modakita.com/azd942/avatar/21395178620260330173607LUCDHO.jpg</v>
      </c>
      <c r="I216" s="21">
        <f t="shared" si="19"/>
        <v>16</v>
      </c>
      <c r="J216" s="21" t="str">
        <f t="shared" si="20"/>
        <v>14</v>
      </c>
      <c r="K216" s="21" t="str">
        <f t="shared" si="21"/>
        <v>03</v>
      </c>
      <c r="L216" s="21" t="str">
        <f t="shared" si="22"/>
        <v>2026</v>
      </c>
      <c r="M216" s="21">
        <f t="shared" si="23"/>
        <v>12</v>
      </c>
    </row>
    <row r="217" spans="1:13" hidden="1" x14ac:dyDescent="0.2">
      <c r="A217" s="47" t="s">
        <v>597</v>
      </c>
      <c r="B217" s="7" t="s">
        <v>15</v>
      </c>
      <c r="C217" s="7" t="s">
        <v>105</v>
      </c>
      <c r="D217" s="7" t="s">
        <v>598</v>
      </c>
      <c r="E217" s="38" t="s">
        <v>599</v>
      </c>
      <c r="G217" s="44" t="str">
        <f t="shared" si="18"/>
        <v>JMJ1E</v>
      </c>
      <c r="H217" s="20" t="str">
        <f>VLOOKUP($A217,[1]Sheet2!$I$2:$O$449,7,FALSE)</f>
        <v>https://hana.modakita.com/azd942/avatar/2963440120260324120721GOTZPD.jpg</v>
      </c>
      <c r="I217" s="21">
        <f t="shared" si="19"/>
        <v>29</v>
      </c>
      <c r="J217" s="21" t="str">
        <f t="shared" si="20"/>
        <v>23</v>
      </c>
      <c r="K217" s="21" t="str">
        <f t="shared" si="21"/>
        <v>02</v>
      </c>
      <c r="L217" s="21" t="str">
        <f t="shared" si="22"/>
        <v>2026</v>
      </c>
      <c r="M217" s="21">
        <f t="shared" si="23"/>
        <v>12</v>
      </c>
    </row>
    <row r="218" spans="1:13" hidden="1" x14ac:dyDescent="0.2">
      <c r="A218" s="48" t="s">
        <v>569</v>
      </c>
      <c r="B218" s="7" t="s">
        <v>15</v>
      </c>
      <c r="C218" s="7" t="s">
        <v>259</v>
      </c>
      <c r="D218" s="7" t="s">
        <v>148</v>
      </c>
      <c r="E218" s="7" t="s">
        <v>570</v>
      </c>
      <c r="F218" s="5" t="s">
        <v>812</v>
      </c>
      <c r="G218" t="str">
        <f t="shared" si="18"/>
        <v>JMK1E</v>
      </c>
      <c r="H218" s="20" t="str">
        <f>VLOOKUP($A218,[1]Sheet2!$I$2:$O$449,7,FALSE)</f>
        <v>https://hana.modakita.com/azd942/avatar/2515001020260312114959RYODYJ.jpg</v>
      </c>
      <c r="I218" s="21">
        <f t="shared" si="19"/>
        <v>27</v>
      </c>
      <c r="J218" s="21" t="str">
        <f t="shared" si="20"/>
        <v>13</v>
      </c>
      <c r="K218" s="21" t="str">
        <f t="shared" si="21"/>
        <v>02</v>
      </c>
      <c r="L218" s="21" t="str">
        <f t="shared" si="22"/>
        <v>2026</v>
      </c>
      <c r="M218" s="21">
        <f t="shared" si="23"/>
        <v>12</v>
      </c>
    </row>
    <row r="219" spans="1:13" hidden="1" x14ac:dyDescent="0.2">
      <c r="A219" s="47" t="s">
        <v>359</v>
      </c>
      <c r="B219" s="7" t="s">
        <v>15</v>
      </c>
      <c r="C219" s="7" t="s">
        <v>176</v>
      </c>
      <c r="D219" s="7" t="s">
        <v>151</v>
      </c>
      <c r="E219" s="38" t="s">
        <v>360</v>
      </c>
      <c r="G219" s="44" t="str">
        <f t="shared" si="18"/>
        <v>JMH2E</v>
      </c>
      <c r="H219" s="20" t="str">
        <f>VLOOKUP($A219,[1]Sheet2!$I$2:$O$449,7,FALSE)</f>
        <v>https://hana.modakita.com/azd942/avatar/21395178620260313115828HBVHLB.jpg</v>
      </c>
      <c r="I219" s="21">
        <f t="shared" si="19"/>
        <v>20</v>
      </c>
      <c r="J219" s="21" t="str">
        <f t="shared" si="20"/>
        <v>21</v>
      </c>
      <c r="K219" s="21" t="str">
        <f t="shared" si="21"/>
        <v>02</v>
      </c>
      <c r="L219" s="21" t="str">
        <f t="shared" si="22"/>
        <v>2026</v>
      </c>
      <c r="M219" s="21">
        <f t="shared" si="23"/>
        <v>12</v>
      </c>
    </row>
    <row r="220" spans="1:13" hidden="1" x14ac:dyDescent="0.2">
      <c r="A220" s="47" t="s">
        <v>363</v>
      </c>
      <c r="B220" s="7" t="s">
        <v>15</v>
      </c>
      <c r="C220" s="7" t="s">
        <v>176</v>
      </c>
      <c r="D220" s="7" t="s">
        <v>151</v>
      </c>
      <c r="E220" s="38" t="s">
        <v>364</v>
      </c>
      <c r="G220" s="44" t="str">
        <f t="shared" si="18"/>
        <v>JMH2E</v>
      </c>
      <c r="H220" s="20" t="str">
        <f>VLOOKUP($A220,[1]Sheet2!$I$2:$O$449,7,FALSE)</f>
        <v>https://hana.modakita.com/azd942/avatar/296344012026031312101081SLPG.jpg</v>
      </c>
      <c r="I220" s="21">
        <f t="shared" si="19"/>
        <v>20</v>
      </c>
      <c r="J220" s="21" t="str">
        <f t="shared" si="20"/>
        <v>21</v>
      </c>
      <c r="K220" s="21" t="str">
        <f t="shared" si="21"/>
        <v>02</v>
      </c>
      <c r="L220" s="21" t="str">
        <f t="shared" si="22"/>
        <v>2026</v>
      </c>
      <c r="M220" s="21">
        <f t="shared" si="23"/>
        <v>12</v>
      </c>
    </row>
    <row r="221" spans="1:13" hidden="1" x14ac:dyDescent="0.2">
      <c r="A221" s="47" t="s">
        <v>374</v>
      </c>
      <c r="B221" s="7" t="s">
        <v>15</v>
      </c>
      <c r="C221" s="7" t="s">
        <v>106</v>
      </c>
      <c r="D221" s="7" t="s">
        <v>154</v>
      </c>
      <c r="E221" s="38" t="s">
        <v>375</v>
      </c>
      <c r="G221" s="44" t="str">
        <f t="shared" si="18"/>
        <v>JMH2E</v>
      </c>
      <c r="H221" s="20" t="str">
        <f>VLOOKUP($A221,[1]Sheet2!$I$2:$O$449,7,FALSE)</f>
        <v>https://hana.modakita.com/azd942/avatar/2649897020260314134416M6OHSK.jpg</v>
      </c>
      <c r="I221" s="21">
        <f t="shared" si="19"/>
        <v>8</v>
      </c>
      <c r="J221" s="21" t="str">
        <f t="shared" si="20"/>
        <v>06</v>
      </c>
      <c r="K221" s="21" t="str">
        <f t="shared" si="21"/>
        <v>03</v>
      </c>
      <c r="L221" s="21" t="str">
        <f t="shared" si="22"/>
        <v>2026</v>
      </c>
      <c r="M221" s="21">
        <f t="shared" si="23"/>
        <v>12</v>
      </c>
    </row>
    <row r="222" spans="1:13" hidden="1" x14ac:dyDescent="0.2">
      <c r="A222" s="47" t="s">
        <v>96</v>
      </c>
      <c r="B222" s="7" t="s">
        <v>15</v>
      </c>
      <c r="C222" s="7" t="s">
        <v>97</v>
      </c>
      <c r="D222" s="7" t="s">
        <v>98</v>
      </c>
      <c r="E222" s="38" t="s">
        <v>99</v>
      </c>
      <c r="G222" s="44" t="str">
        <f t="shared" si="18"/>
        <v>KFF1E</v>
      </c>
      <c r="H222" s="20" t="str">
        <f>VLOOKUP($A222,[1]Sheet2!$I$2:$O$449,7,FALSE)</f>
        <v>https://hana.modakita.com/azd942/avatar/2515001020260302113612AZXRDA.jpg</v>
      </c>
      <c r="I222" s="21">
        <f t="shared" si="19"/>
        <v>16</v>
      </c>
      <c r="J222" s="21" t="str">
        <f t="shared" si="20"/>
        <v>14</v>
      </c>
      <c r="K222" s="21" t="str">
        <f t="shared" si="21"/>
        <v>02</v>
      </c>
      <c r="L222" s="21" t="str">
        <f t="shared" si="22"/>
        <v>2026</v>
      </c>
      <c r="M222" s="21">
        <f t="shared" si="23"/>
        <v>12</v>
      </c>
    </row>
    <row r="223" spans="1:13" x14ac:dyDescent="0.2">
      <c r="A223" s="48" t="s">
        <v>289</v>
      </c>
      <c r="B223" s="7" t="s">
        <v>15</v>
      </c>
      <c r="C223" s="7" t="s">
        <v>232</v>
      </c>
      <c r="D223" s="7" t="s">
        <v>180</v>
      </c>
      <c r="E223" s="7" t="s">
        <v>290</v>
      </c>
      <c r="F223" s="5" t="s">
        <v>800</v>
      </c>
      <c r="G223" t="str">
        <f t="shared" si="18"/>
        <v>KFE1E</v>
      </c>
      <c r="H223" s="20" t="str">
        <f>VLOOKUP($A223,[1]Sheet2!$I$2:$O$449,7,FALSE)</f>
        <v>https://hana.modakita.com/azd942/avatar/2515001020260326114427PNYMFU.jpg</v>
      </c>
      <c r="I223" s="21">
        <f t="shared" si="19"/>
        <v>19</v>
      </c>
      <c r="J223" s="21" t="str">
        <f t="shared" si="20"/>
        <v>07</v>
      </c>
      <c r="K223" s="21" t="str">
        <f t="shared" si="21"/>
        <v>03</v>
      </c>
      <c r="L223" s="21" t="str">
        <f t="shared" si="22"/>
        <v>2026</v>
      </c>
      <c r="M223" s="21">
        <f t="shared" si="23"/>
        <v>12</v>
      </c>
    </row>
    <row r="224" spans="1:13" hidden="1" x14ac:dyDescent="0.2">
      <c r="A224" s="47" t="s">
        <v>389</v>
      </c>
      <c r="B224" s="7" t="s">
        <v>15</v>
      </c>
      <c r="C224" s="7" t="s">
        <v>101</v>
      </c>
      <c r="D224" s="7" t="s">
        <v>208</v>
      </c>
      <c r="E224" s="38" t="s">
        <v>390</v>
      </c>
      <c r="G224" s="44" t="str">
        <f t="shared" si="18"/>
        <v>JMH2E</v>
      </c>
      <c r="H224" s="20" t="str">
        <f>VLOOKUP($A224,[1]Sheet2!$I$2:$O$449,7,FALSE)</f>
        <v>https://hana.modakita.com/azd942/avatar/2515001020260318090029DZOCTM.jpg</v>
      </c>
      <c r="I224" s="21">
        <f t="shared" si="19"/>
        <v>36</v>
      </c>
      <c r="J224" s="21" t="str">
        <f t="shared" si="20"/>
        <v>10</v>
      </c>
      <c r="K224" s="21" t="str">
        <f t="shared" si="21"/>
        <v>02</v>
      </c>
      <c r="L224" s="21" t="str">
        <f t="shared" si="22"/>
        <v>2026</v>
      </c>
      <c r="M224" s="21">
        <f t="shared" si="23"/>
        <v>12</v>
      </c>
    </row>
    <row r="225" spans="1:13" hidden="1" x14ac:dyDescent="0.2">
      <c r="A225" s="47" t="s">
        <v>383</v>
      </c>
      <c r="B225" s="7" t="s">
        <v>15</v>
      </c>
      <c r="C225" s="7" t="s">
        <v>97</v>
      </c>
      <c r="D225" s="7" t="s">
        <v>169</v>
      </c>
      <c r="E225" s="38" t="s">
        <v>384</v>
      </c>
      <c r="G225" s="44" t="str">
        <f t="shared" si="18"/>
        <v>JMH1E</v>
      </c>
      <c r="H225" s="20" t="str">
        <f>VLOOKUP($A225,[1]Sheet2!$I$2:$O$449,7,FALSE)</f>
        <v>https://hana.modakita.com/azd942/avatar/251500102026031711520848AQ35.jpg</v>
      </c>
      <c r="I225" s="21">
        <f t="shared" si="19"/>
        <v>31</v>
      </c>
      <c r="J225" s="21" t="str">
        <f t="shared" si="20"/>
        <v>14</v>
      </c>
      <c r="K225" s="21" t="str">
        <f t="shared" si="21"/>
        <v>02</v>
      </c>
      <c r="L225" s="21" t="str">
        <f t="shared" si="22"/>
        <v>2026</v>
      </c>
      <c r="M225" s="21">
        <f t="shared" si="23"/>
        <v>12</v>
      </c>
    </row>
    <row r="226" spans="1:13" hidden="1" x14ac:dyDescent="0.2">
      <c r="A226" s="47" t="s">
        <v>234</v>
      </c>
      <c r="B226" s="7" t="s">
        <v>35</v>
      </c>
      <c r="C226" s="7" t="s">
        <v>235</v>
      </c>
      <c r="D226" s="7" t="s">
        <v>173</v>
      </c>
      <c r="E226" s="38" t="s">
        <v>236</v>
      </c>
      <c r="G226" s="44" t="str">
        <f t="shared" si="18"/>
        <v>JME1E</v>
      </c>
      <c r="H226" s="20" t="str">
        <f>VLOOKUP($A226,[1]Sheet2!$I$2:$O$449,7,FALSE)</f>
        <v>https://hana.modakita.com/azd942/avatar/29634401202603191551496EKYQD.jpg</v>
      </c>
      <c r="I226" s="21">
        <f t="shared" si="19"/>
        <v>216</v>
      </c>
      <c r="J226" s="21" t="str">
        <f t="shared" si="20"/>
        <v>15</v>
      </c>
      <c r="K226" s="21" t="str">
        <f t="shared" si="21"/>
        <v>08</v>
      </c>
      <c r="L226" s="21" t="str">
        <f t="shared" si="22"/>
        <v>2025</v>
      </c>
      <c r="M226" s="21">
        <f t="shared" si="23"/>
        <v>12</v>
      </c>
    </row>
    <row r="227" spans="1:13" hidden="1" x14ac:dyDescent="0.2">
      <c r="A227" s="47" t="s">
        <v>688</v>
      </c>
      <c r="B227" s="7" t="s">
        <v>30</v>
      </c>
      <c r="C227" s="7" t="s">
        <v>486</v>
      </c>
      <c r="D227" s="7" t="s">
        <v>98</v>
      </c>
      <c r="E227" s="38" t="s">
        <v>689</v>
      </c>
      <c r="G227" s="44" t="str">
        <f t="shared" si="18"/>
        <v>JMC1E</v>
      </c>
      <c r="H227" s="20" t="str">
        <f>VLOOKUP($A227,[1]Sheet2!$I$2:$O$449,7,FALSE)</f>
        <v>https://hana.modakita.com/azd942/avatar/215024514202603021012281MCUJZ.jpg</v>
      </c>
      <c r="I227" s="21">
        <f t="shared" si="19"/>
        <v>352</v>
      </c>
      <c r="J227" s="21" t="str">
        <f t="shared" si="20"/>
        <v>15</v>
      </c>
      <c r="K227" s="21" t="str">
        <f t="shared" si="21"/>
        <v>03</v>
      </c>
      <c r="L227" s="21" t="str">
        <f t="shared" si="22"/>
        <v>2025</v>
      </c>
      <c r="M227" s="21">
        <f t="shared" si="23"/>
        <v>12</v>
      </c>
    </row>
    <row r="228" spans="1:13" hidden="1" x14ac:dyDescent="0.2">
      <c r="A228" s="47" t="s">
        <v>164</v>
      </c>
      <c r="B228" s="7" t="s">
        <v>15</v>
      </c>
      <c r="C228" s="7" t="s">
        <v>165</v>
      </c>
      <c r="D228" s="7" t="s">
        <v>162</v>
      </c>
      <c r="E228" s="38" t="s">
        <v>166</v>
      </c>
      <c r="G228" s="44" t="str">
        <f t="shared" si="18"/>
        <v>JMF1E</v>
      </c>
      <c r="H228" s="20" t="str">
        <f>VLOOKUP($A228,[1]Sheet2!$I$2:$O$449,7,FALSE)</f>
        <v>https://hana.modakita.com/azd942/avatar/2515001020260316135245E90Z6I.jpg</v>
      </c>
      <c r="I228" s="21">
        <f t="shared" si="19"/>
        <v>19</v>
      </c>
      <c r="J228" s="21" t="str">
        <f t="shared" si="20"/>
        <v>25</v>
      </c>
      <c r="K228" s="21" t="str">
        <f t="shared" si="21"/>
        <v>02</v>
      </c>
      <c r="L228" s="21" t="str">
        <f t="shared" si="22"/>
        <v>2026</v>
      </c>
      <c r="M228" s="21">
        <f t="shared" si="23"/>
        <v>12</v>
      </c>
    </row>
    <row r="229" spans="1:13" hidden="1" x14ac:dyDescent="0.2">
      <c r="A229" s="48" t="s">
        <v>130</v>
      </c>
      <c r="B229" s="7" t="s">
        <v>15</v>
      </c>
      <c r="C229" s="7" t="s">
        <v>131</v>
      </c>
      <c r="D229" s="7" t="s">
        <v>102</v>
      </c>
      <c r="E229" s="7" t="s">
        <v>132</v>
      </c>
      <c r="F229" s="5" t="s">
        <v>804</v>
      </c>
      <c r="G229" t="str">
        <f t="shared" si="18"/>
        <v>JMF2E</v>
      </c>
      <c r="H229" s="20" t="str">
        <f>VLOOKUP($A229,[1]Sheet2!$I$2:$O$449,7,FALSE)</f>
        <v>https://hana.modakita.com/azd942/avatar/2515001020260305132107ULYE6A.jpg</v>
      </c>
      <c r="I229" s="21">
        <f t="shared" si="19"/>
        <v>39</v>
      </c>
      <c r="J229" s="21" t="str">
        <f t="shared" si="20"/>
        <v>25</v>
      </c>
      <c r="K229" s="21" t="str">
        <f t="shared" si="21"/>
        <v>01</v>
      </c>
      <c r="L229" s="21" t="str">
        <f t="shared" si="22"/>
        <v>2026</v>
      </c>
      <c r="M229" s="21">
        <f t="shared" si="23"/>
        <v>12</v>
      </c>
    </row>
    <row r="230" spans="1:13" hidden="1" x14ac:dyDescent="0.2">
      <c r="A230" s="48" t="s">
        <v>399</v>
      </c>
      <c r="B230" s="7" t="s">
        <v>15</v>
      </c>
      <c r="C230" s="7" t="s">
        <v>169</v>
      </c>
      <c r="D230" s="7" t="s">
        <v>180</v>
      </c>
      <c r="E230" s="7" t="s">
        <v>302</v>
      </c>
      <c r="F230" s="5" t="s">
        <v>806</v>
      </c>
      <c r="G230" t="str">
        <f t="shared" si="18"/>
        <v>JMH1E</v>
      </c>
      <c r="H230" s="20" t="str">
        <f>VLOOKUP($A230,[1]Sheet2!$I$2:$O$449,7,FALSE)</f>
        <v>https://hana.modakita.com/azd942/avatar/2515001020260326105630ZMUQDP.jpg</v>
      </c>
      <c r="I230" s="21">
        <f t="shared" si="19"/>
        <v>9</v>
      </c>
      <c r="J230" s="21" t="str">
        <f t="shared" si="20"/>
        <v>17</v>
      </c>
      <c r="K230" s="21" t="str">
        <f t="shared" si="21"/>
        <v>03</v>
      </c>
      <c r="L230" s="21" t="str">
        <f t="shared" si="22"/>
        <v>2026</v>
      </c>
      <c r="M230" s="21">
        <f t="shared" si="23"/>
        <v>12</v>
      </c>
    </row>
    <row r="231" spans="1:13" hidden="1" x14ac:dyDescent="0.2">
      <c r="A231" s="47" t="s">
        <v>348</v>
      </c>
      <c r="B231" s="7" t="s">
        <v>15</v>
      </c>
      <c r="C231" s="7" t="s">
        <v>161</v>
      </c>
      <c r="D231" s="7" t="s">
        <v>232</v>
      </c>
      <c r="E231" s="38" t="s">
        <v>349</v>
      </c>
      <c r="G231" s="44" t="str">
        <f t="shared" si="18"/>
        <v>JMH2E</v>
      </c>
      <c r="H231" s="20" t="str">
        <f>VLOOKUP($A231,[1]Sheet2!$I$2:$O$449,7,FALSE)</f>
        <v>https://hana.modakita.com/azd942/avatar/2515001020260307134830J4AQ26.jpg</v>
      </c>
      <c r="I231" s="21">
        <f t="shared" si="19"/>
        <v>29</v>
      </c>
      <c r="J231" s="21" t="str">
        <f t="shared" si="20"/>
        <v>06</v>
      </c>
      <c r="K231" s="21" t="str">
        <f t="shared" si="21"/>
        <v>02</v>
      </c>
      <c r="L231" s="21" t="str">
        <f t="shared" si="22"/>
        <v>2026</v>
      </c>
      <c r="M231" s="21">
        <f t="shared" si="23"/>
        <v>12</v>
      </c>
    </row>
    <row r="232" spans="1:13" hidden="1" x14ac:dyDescent="0.2">
      <c r="A232" s="47" t="s">
        <v>186</v>
      </c>
      <c r="B232" s="7" t="s">
        <v>15</v>
      </c>
      <c r="C232" s="7" t="s">
        <v>172</v>
      </c>
      <c r="D232" s="7" t="s">
        <v>187</v>
      </c>
      <c r="E232" s="38" t="s">
        <v>188</v>
      </c>
      <c r="G232" s="44" t="str">
        <f t="shared" si="18"/>
        <v>JME1E</v>
      </c>
      <c r="H232" s="20" t="str">
        <f>VLOOKUP($A232,[1]Sheet2!$I$2:$O$449,7,FALSE)</f>
        <v>https://hana.modakita.com/azd942/avatar/21395178620260331172428Y3UVXM.jpg</v>
      </c>
      <c r="I232" s="21">
        <f t="shared" si="19"/>
        <v>31</v>
      </c>
      <c r="J232" s="21" t="str">
        <f t="shared" si="20"/>
        <v>28</v>
      </c>
      <c r="K232" s="21" t="str">
        <f t="shared" si="21"/>
        <v>02</v>
      </c>
      <c r="L232" s="21" t="str">
        <f t="shared" si="22"/>
        <v>2026</v>
      </c>
      <c r="M232" s="21">
        <f t="shared" si="23"/>
        <v>12</v>
      </c>
    </row>
    <row r="233" spans="1:13" hidden="1" x14ac:dyDescent="0.2">
      <c r="A233" s="48" t="s">
        <v>595</v>
      </c>
      <c r="B233" s="7" t="s">
        <v>15</v>
      </c>
      <c r="C233" s="7" t="s">
        <v>168</v>
      </c>
      <c r="D233" s="7" t="s">
        <v>217</v>
      </c>
      <c r="E233" s="7" t="s">
        <v>596</v>
      </c>
      <c r="F233" s="5" t="s">
        <v>810</v>
      </c>
      <c r="G233" t="str">
        <f t="shared" si="18"/>
        <v>JMK1E</v>
      </c>
      <c r="H233" s="20" t="str">
        <f>VLOOKUP($A233,[1]Sheet2!$I$2:$O$449,7,FALSE)</f>
        <v>https://hana.modakita.com/azd942/avatar/2649897020260320083305BZ1LRL.jpg</v>
      </c>
      <c r="I233" s="21">
        <f t="shared" si="19"/>
        <v>32</v>
      </c>
      <c r="J233" s="21" t="str">
        <f t="shared" si="20"/>
        <v>16</v>
      </c>
      <c r="K233" s="21" t="str">
        <f t="shared" si="21"/>
        <v>02</v>
      </c>
      <c r="L233" s="21" t="str">
        <f t="shared" si="22"/>
        <v>2026</v>
      </c>
      <c r="M233" s="21">
        <f t="shared" si="23"/>
        <v>12</v>
      </c>
    </row>
    <row r="234" spans="1:13" hidden="1" x14ac:dyDescent="0.2">
      <c r="A234" s="48" t="s">
        <v>622</v>
      </c>
      <c r="B234" s="7" t="s">
        <v>15</v>
      </c>
      <c r="C234" s="7" t="s">
        <v>106</v>
      </c>
      <c r="D234" s="7" t="s">
        <v>118</v>
      </c>
      <c r="E234" s="7" t="s">
        <v>596</v>
      </c>
      <c r="F234" s="5" t="s">
        <v>810</v>
      </c>
      <c r="G234" t="str">
        <f t="shared" si="18"/>
        <v>JMK1E</v>
      </c>
      <c r="H234" s="20" t="str">
        <f>VLOOKUP($A234,[1]Sheet2!$I$2:$O$449,7,FALSE)</f>
        <v>https://hana.modakita.com/azd942/avatar/2649897020260330120258HLLPAJ.jpg</v>
      </c>
      <c r="I234" s="21">
        <f t="shared" si="19"/>
        <v>24</v>
      </c>
      <c r="J234" s="21" t="str">
        <f t="shared" si="20"/>
        <v>06</v>
      </c>
      <c r="K234" s="21" t="str">
        <f t="shared" si="21"/>
        <v>03</v>
      </c>
      <c r="L234" s="21" t="str">
        <f t="shared" si="22"/>
        <v>2026</v>
      </c>
      <c r="M234" s="21">
        <f t="shared" si="23"/>
        <v>12</v>
      </c>
    </row>
    <row r="235" spans="1:13" hidden="1" x14ac:dyDescent="0.2">
      <c r="A235" s="48" t="s">
        <v>771</v>
      </c>
      <c r="B235" s="7" t="s">
        <v>15</v>
      </c>
      <c r="C235" s="7" t="s">
        <v>148</v>
      </c>
      <c r="D235" s="7" t="s">
        <v>118</v>
      </c>
      <c r="E235" s="7" t="s">
        <v>772</v>
      </c>
      <c r="F235" s="5" t="s">
        <v>814</v>
      </c>
      <c r="G235" t="str">
        <f t="shared" si="18"/>
        <v>KC04E</v>
      </c>
      <c r="H235" s="20" t="str">
        <f>VLOOKUP($A235,[1]Sheet2!$I$2:$O$449,7,FALSE)</f>
        <v>https://hana.modakita.com/azd942/avatar/21502451420260330103513TGLVTU.jpg</v>
      </c>
      <c r="I235" s="21">
        <f t="shared" si="19"/>
        <v>18</v>
      </c>
      <c r="J235" s="21" t="str">
        <f t="shared" si="20"/>
        <v>12</v>
      </c>
      <c r="K235" s="21" t="str">
        <f t="shared" si="21"/>
        <v>03</v>
      </c>
      <c r="L235" s="21" t="str">
        <f t="shared" si="22"/>
        <v>2026</v>
      </c>
      <c r="M235" s="21">
        <f t="shared" si="23"/>
        <v>12</v>
      </c>
    </row>
    <row r="236" spans="1:13" hidden="1" x14ac:dyDescent="0.2">
      <c r="A236" s="47" t="s">
        <v>249</v>
      </c>
      <c r="B236" s="7" t="s">
        <v>15</v>
      </c>
      <c r="C236" s="7" t="s">
        <v>250</v>
      </c>
      <c r="D236" s="7" t="s">
        <v>158</v>
      </c>
      <c r="E236" s="38" t="s">
        <v>251</v>
      </c>
      <c r="G236" s="44" t="str">
        <f t="shared" si="18"/>
        <v>KD11E</v>
      </c>
      <c r="H236" s="20" t="str">
        <f>VLOOKUP($A236,[1]Sheet2!$I$2:$O$449,7,FALSE)</f>
        <v>https://hana.modakita.com/azd942/avatar/21395178620260315121356WUW68A.jpg</v>
      </c>
      <c r="I236" s="21">
        <f t="shared" si="19"/>
        <v>28</v>
      </c>
      <c r="J236" s="21" t="str">
        <f t="shared" si="20"/>
        <v>15</v>
      </c>
      <c r="K236" s="21" t="str">
        <f t="shared" si="21"/>
        <v>02</v>
      </c>
      <c r="L236" s="21" t="str">
        <f t="shared" si="22"/>
        <v>2026</v>
      </c>
      <c r="M236" s="21">
        <f t="shared" si="23"/>
        <v>12</v>
      </c>
    </row>
    <row r="237" spans="1:13" hidden="1" x14ac:dyDescent="0.2">
      <c r="A237" s="47" t="s">
        <v>356</v>
      </c>
      <c r="B237" s="7" t="s">
        <v>15</v>
      </c>
      <c r="C237" s="7" t="s">
        <v>117</v>
      </c>
      <c r="D237" s="7" t="s">
        <v>110</v>
      </c>
      <c r="E237" s="38" t="s">
        <v>357</v>
      </c>
      <c r="G237" s="44" t="str">
        <f t="shared" si="18"/>
        <v>JMH1E</v>
      </c>
      <c r="H237" s="20" t="str">
        <f>VLOOKUP($A237,[1]Sheet2!$I$2:$O$449,7,FALSE)</f>
        <v>https://hana.modakita.com/azd942/avatar/2649897020260311103303CVYGUW.jpg</v>
      </c>
      <c r="I237" s="21">
        <f t="shared" si="19"/>
        <v>12</v>
      </c>
      <c r="J237" s="21" t="str">
        <f t="shared" si="20"/>
        <v>27</v>
      </c>
      <c r="K237" s="21" t="str">
        <f t="shared" si="21"/>
        <v>02</v>
      </c>
      <c r="L237" s="21" t="str">
        <f t="shared" si="22"/>
        <v>2026</v>
      </c>
      <c r="M237" s="21">
        <f t="shared" si="23"/>
        <v>12</v>
      </c>
    </row>
    <row r="238" spans="1:13" hidden="1" x14ac:dyDescent="0.2">
      <c r="A238" s="47" t="s">
        <v>391</v>
      </c>
      <c r="B238" s="7" t="s">
        <v>15</v>
      </c>
      <c r="C238" s="7" t="s">
        <v>176</v>
      </c>
      <c r="D238" s="7" t="s">
        <v>208</v>
      </c>
      <c r="E238" s="38" t="s">
        <v>392</v>
      </c>
      <c r="G238" s="44" t="str">
        <f t="shared" si="18"/>
        <v>JMH1E</v>
      </c>
      <c r="H238" s="20" t="str">
        <f>VLOOKUP($A238,[1]Sheet2!$I$2:$O$449,7,FALSE)</f>
        <v>https://hana.modakita.com/azd942/avatar/2963440120260318121709Y3UTS8.jpg</v>
      </c>
      <c r="I238" s="21">
        <f t="shared" si="19"/>
        <v>25</v>
      </c>
      <c r="J238" s="21" t="str">
        <f t="shared" si="20"/>
        <v>21</v>
      </c>
      <c r="K238" s="21" t="str">
        <f t="shared" si="21"/>
        <v>02</v>
      </c>
      <c r="L238" s="21" t="str">
        <f t="shared" si="22"/>
        <v>2026</v>
      </c>
      <c r="M238" s="21">
        <f t="shared" si="23"/>
        <v>12</v>
      </c>
    </row>
    <row r="239" spans="1:13" hidden="1" x14ac:dyDescent="0.2">
      <c r="A239" s="48" t="s">
        <v>626</v>
      </c>
      <c r="B239" s="7" t="s">
        <v>15</v>
      </c>
      <c r="C239" s="7" t="s">
        <v>217</v>
      </c>
      <c r="D239" s="7" t="s">
        <v>118</v>
      </c>
      <c r="E239" s="7" t="s">
        <v>607</v>
      </c>
      <c r="F239" s="5" t="s">
        <v>811</v>
      </c>
      <c r="G239" t="str">
        <f t="shared" si="18"/>
        <v>JMK1E</v>
      </c>
      <c r="H239" s="20" t="str">
        <f>VLOOKUP($A239,[1]Sheet2!$I$2:$O$449,7,FALSE)</f>
        <v>https://hana.modakita.com/azd942/avatar/2515001020260330130537A1LFPH.jpg</v>
      </c>
      <c r="I239" s="21">
        <f t="shared" si="19"/>
        <v>10</v>
      </c>
      <c r="J239" s="21" t="str">
        <f t="shared" si="20"/>
        <v>20</v>
      </c>
      <c r="K239" s="21" t="str">
        <f t="shared" si="21"/>
        <v>03</v>
      </c>
      <c r="L239" s="21" t="str">
        <f t="shared" si="22"/>
        <v>2026</v>
      </c>
      <c r="M239" s="21">
        <f t="shared" si="23"/>
        <v>12</v>
      </c>
    </row>
    <row r="240" spans="1:13" hidden="1" x14ac:dyDescent="0.2">
      <c r="A240" s="48" t="s">
        <v>606</v>
      </c>
      <c r="B240" s="7" t="s">
        <v>15</v>
      </c>
      <c r="C240" s="7" t="s">
        <v>165</v>
      </c>
      <c r="D240" s="7" t="s">
        <v>180</v>
      </c>
      <c r="E240" s="7" t="s">
        <v>607</v>
      </c>
      <c r="F240" s="5" t="s">
        <v>811</v>
      </c>
      <c r="G240" t="str">
        <f t="shared" si="18"/>
        <v>JMK1E</v>
      </c>
      <c r="H240" s="20" t="str">
        <f>VLOOKUP($A240,[1]Sheet2!$I$2:$O$449,7,FALSE)</f>
        <v>https://hana.modakita.com/azd942/avatar/2515001020260326113928NOUJCM.jpg</v>
      </c>
      <c r="I240" s="21">
        <f t="shared" si="19"/>
        <v>29</v>
      </c>
      <c r="J240" s="21" t="str">
        <f t="shared" si="20"/>
        <v>25</v>
      </c>
      <c r="K240" s="21" t="str">
        <f t="shared" si="21"/>
        <v>02</v>
      </c>
      <c r="L240" s="21" t="str">
        <f t="shared" si="22"/>
        <v>2026</v>
      </c>
      <c r="M240" s="21">
        <f t="shared" si="23"/>
        <v>12</v>
      </c>
    </row>
    <row r="241" spans="1:13" hidden="1" x14ac:dyDescent="0.2">
      <c r="A241" s="47" t="s">
        <v>563</v>
      </c>
      <c r="B241" s="7" t="s">
        <v>15</v>
      </c>
      <c r="C241" s="7" t="s">
        <v>334</v>
      </c>
      <c r="D241" s="7" t="s">
        <v>110</v>
      </c>
      <c r="E241" s="38" t="s">
        <v>564</v>
      </c>
      <c r="G241" s="44" t="str">
        <f t="shared" si="18"/>
        <v>JMJ1E</v>
      </c>
      <c r="H241" s="20" t="str">
        <f>VLOOKUP($A241,[1]Sheet2!$I$2:$O$449,7,FALSE)</f>
        <v>https://hana.modakita.com/azd942/avatar/2515001020260311083538RFG37I.jpg</v>
      </c>
      <c r="I241" s="21">
        <f t="shared" si="19"/>
        <v>19</v>
      </c>
      <c r="J241" s="21" t="str">
        <f t="shared" si="20"/>
        <v>20</v>
      </c>
      <c r="K241" s="21" t="str">
        <f t="shared" si="21"/>
        <v>02</v>
      </c>
      <c r="L241" s="21" t="str">
        <f t="shared" si="22"/>
        <v>2026</v>
      </c>
      <c r="M241" s="21">
        <f t="shared" si="23"/>
        <v>12</v>
      </c>
    </row>
    <row r="242" spans="1:13" hidden="1" x14ac:dyDescent="0.2">
      <c r="A242" s="47" t="s">
        <v>724</v>
      </c>
      <c r="B242" s="7" t="s">
        <v>15</v>
      </c>
      <c r="C242" s="7" t="s">
        <v>98</v>
      </c>
      <c r="D242" s="7" t="s">
        <v>114</v>
      </c>
      <c r="E242" s="38" t="s">
        <v>725</v>
      </c>
      <c r="G242" s="44" t="str">
        <f t="shared" si="18"/>
        <v>KFA1E</v>
      </c>
      <c r="H242" s="20" t="str">
        <f>VLOOKUP($A242,[1]Sheet2!$I$2:$O$449,7,FALSE)</f>
        <v>https://hana.modakita.com/azd942/avatar/2649897020260327132504OD1GR0.jpg</v>
      </c>
      <c r="I242" s="21">
        <f t="shared" si="19"/>
        <v>25</v>
      </c>
      <c r="J242" s="21" t="str">
        <f t="shared" si="20"/>
        <v>02</v>
      </c>
      <c r="K242" s="21" t="str">
        <f t="shared" si="21"/>
        <v>03</v>
      </c>
      <c r="L242" s="21" t="str">
        <f t="shared" si="22"/>
        <v>2026</v>
      </c>
      <c r="M242" s="21">
        <f t="shared" si="23"/>
        <v>12</v>
      </c>
    </row>
    <row r="243" spans="1:13" hidden="1" x14ac:dyDescent="0.2">
      <c r="A243" s="48" t="s">
        <v>761</v>
      </c>
      <c r="B243" s="7" t="s">
        <v>15</v>
      </c>
      <c r="C243" s="7" t="s">
        <v>151</v>
      </c>
      <c r="D243" s="7" t="s">
        <v>169</v>
      </c>
      <c r="E243" s="7" t="s">
        <v>762</v>
      </c>
      <c r="F243" s="5" t="s">
        <v>814</v>
      </c>
      <c r="G243" t="str">
        <f t="shared" si="18"/>
        <v>KC04E</v>
      </c>
      <c r="H243" s="20" t="str">
        <f>VLOOKUP($A243,[1]Sheet2!$I$2:$O$449,7,FALSE)</f>
        <v>https://hana.modakita.com/azd942/avatar/2649897020260317121655C2WECQ.jpg</v>
      </c>
      <c r="I243" s="21">
        <f t="shared" si="19"/>
        <v>4</v>
      </c>
      <c r="J243" s="21" t="str">
        <f t="shared" si="20"/>
        <v>13</v>
      </c>
      <c r="K243" s="21" t="str">
        <f t="shared" si="21"/>
        <v>03</v>
      </c>
      <c r="L243" s="21" t="str">
        <f t="shared" si="22"/>
        <v>2026</v>
      </c>
      <c r="M243" s="21">
        <f t="shared" si="23"/>
        <v>12</v>
      </c>
    </row>
    <row r="244" spans="1:13" hidden="1" x14ac:dyDescent="0.2">
      <c r="A244" s="47" t="s">
        <v>722</v>
      </c>
      <c r="B244" s="7" t="s">
        <v>15</v>
      </c>
      <c r="C244" s="7" t="s">
        <v>151</v>
      </c>
      <c r="D244" s="7" t="s">
        <v>180</v>
      </c>
      <c r="E244" s="38" t="s">
        <v>723</v>
      </c>
      <c r="G244" s="44" t="str">
        <f t="shared" si="18"/>
        <v>KF01E</v>
      </c>
      <c r="H244" s="20" t="str">
        <f>VLOOKUP($A244,[1]Sheet2!$I$2:$O$449,7,FALSE)</f>
        <v>https://hana.modakita.com/azd942/avatar/25150010202603261112268NM72K.jpg</v>
      </c>
      <c r="I244" s="21">
        <f t="shared" si="19"/>
        <v>13</v>
      </c>
      <c r="J244" s="21" t="str">
        <f t="shared" si="20"/>
        <v>13</v>
      </c>
      <c r="K244" s="21" t="str">
        <f t="shared" si="21"/>
        <v>03</v>
      </c>
      <c r="L244" s="21" t="str">
        <f t="shared" si="22"/>
        <v>2026</v>
      </c>
      <c r="M244" s="21">
        <f t="shared" si="23"/>
        <v>12</v>
      </c>
    </row>
    <row r="245" spans="1:13" hidden="1" x14ac:dyDescent="0.2">
      <c r="A245" s="47" t="s">
        <v>685</v>
      </c>
      <c r="B245" s="7" t="s">
        <v>35</v>
      </c>
      <c r="C245" s="7" t="s">
        <v>686</v>
      </c>
      <c r="D245" s="7" t="s">
        <v>300</v>
      </c>
      <c r="E245" s="38" t="s">
        <v>687</v>
      </c>
      <c r="G245" s="44" t="str">
        <f t="shared" si="18"/>
        <v>JMC1E</v>
      </c>
      <c r="H245" s="20" t="str">
        <f>VLOOKUP($A245,[1]Sheet2!$I$2:$O$449,7,FALSE)</f>
        <v>https://hana.modakita.com/azd942/avatar/2515001020260329113259SENX9O.jpg</v>
      </c>
      <c r="I245" s="21">
        <f t="shared" si="19"/>
        <v>142</v>
      </c>
      <c r="J245" s="21" t="str">
        <f t="shared" si="20"/>
        <v>07</v>
      </c>
      <c r="K245" s="21" t="str">
        <f t="shared" si="21"/>
        <v>11</v>
      </c>
      <c r="L245" s="21" t="str">
        <f t="shared" si="22"/>
        <v>2025</v>
      </c>
      <c r="M245" s="21">
        <f t="shared" si="23"/>
        <v>12</v>
      </c>
    </row>
    <row r="246" spans="1:13" hidden="1" x14ac:dyDescent="0.2">
      <c r="A246" s="48" t="s">
        <v>112</v>
      </c>
      <c r="B246" s="7" t="s">
        <v>15</v>
      </c>
      <c r="C246" s="7" t="s">
        <v>113</v>
      </c>
      <c r="D246" s="7" t="s">
        <v>114</v>
      </c>
      <c r="E246" s="7" t="s">
        <v>115</v>
      </c>
      <c r="F246" s="5" t="s">
        <v>818</v>
      </c>
      <c r="G246" t="str">
        <f t="shared" si="18"/>
        <v>KFF3E</v>
      </c>
      <c r="H246" s="20" t="str">
        <f>VLOOKUP($A246,[1]Sheet2!$I$2:$O$449,7,FALSE)</f>
        <v>https://hana.modakita.com/azd942/avatar/2515001020260327135552WMWC5K.jpg</v>
      </c>
      <c r="I246" s="21">
        <f t="shared" si="19"/>
        <v>23</v>
      </c>
      <c r="J246" s="21" t="str">
        <f t="shared" si="20"/>
        <v>04</v>
      </c>
      <c r="K246" s="21" t="str">
        <f t="shared" si="21"/>
        <v>03</v>
      </c>
      <c r="L246" s="21" t="str">
        <f t="shared" si="22"/>
        <v>2026</v>
      </c>
      <c r="M246" s="21">
        <f t="shared" si="23"/>
        <v>12</v>
      </c>
    </row>
    <row r="247" spans="1:13" hidden="1" x14ac:dyDescent="0.2">
      <c r="A247" s="48" t="s">
        <v>473</v>
      </c>
      <c r="B247" s="7" t="s">
        <v>35</v>
      </c>
      <c r="C247" s="7" t="s">
        <v>474</v>
      </c>
      <c r="D247" s="7" t="s">
        <v>151</v>
      </c>
      <c r="E247" s="7" t="s">
        <v>475</v>
      </c>
      <c r="F247" s="5" t="s">
        <v>807</v>
      </c>
      <c r="G247" t="str">
        <f t="shared" si="18"/>
        <v>JMH1E</v>
      </c>
      <c r="H247" s="20" t="str">
        <f>VLOOKUP($A247,[1]Sheet2!$I$2:$O$449,7,FALSE)</f>
        <v>https://hana.modakita.com/azd942/avatar/2515001020260313105548ARG31R.jpg</v>
      </c>
      <c r="I247" s="21">
        <f t="shared" si="19"/>
        <v>74</v>
      </c>
      <c r="J247" s="21" t="str">
        <f t="shared" si="20"/>
        <v>29</v>
      </c>
      <c r="K247" s="21" t="str">
        <f t="shared" si="21"/>
        <v>12</v>
      </c>
      <c r="L247" s="21" t="str">
        <f t="shared" si="22"/>
        <v>2025</v>
      </c>
      <c r="M247" s="21">
        <f t="shared" si="23"/>
        <v>12</v>
      </c>
    </row>
    <row r="248" spans="1:13" hidden="1" x14ac:dyDescent="0.2">
      <c r="A248" s="47" t="s">
        <v>774</v>
      </c>
      <c r="B248" s="7" t="s">
        <v>15</v>
      </c>
      <c r="C248" s="7" t="s">
        <v>180</v>
      </c>
      <c r="D248" s="7" t="s">
        <v>187</v>
      </c>
      <c r="E248" s="38" t="s">
        <v>775</v>
      </c>
      <c r="G248" s="44" t="str">
        <f t="shared" si="18"/>
        <v>KC04E</v>
      </c>
      <c r="H248" s="20" t="str">
        <f>VLOOKUP($A248,[1]Sheet2!$I$2:$O$449,7,FALSE)</f>
        <v>https://hana.modakita.com/azd942/avatar/21395178620260331133123HDAGJP.jpg</v>
      </c>
      <c r="I248" s="21">
        <f t="shared" si="19"/>
        <v>5</v>
      </c>
      <c r="J248" s="21" t="str">
        <f t="shared" si="20"/>
        <v>26</v>
      </c>
      <c r="K248" s="21" t="str">
        <f t="shared" si="21"/>
        <v>03</v>
      </c>
      <c r="L248" s="21" t="str">
        <f t="shared" si="22"/>
        <v>2026</v>
      </c>
      <c r="M248" s="21">
        <f t="shared" si="23"/>
        <v>12</v>
      </c>
    </row>
    <row r="249" spans="1:13" hidden="1" x14ac:dyDescent="0.2">
      <c r="A249" s="47" t="s">
        <v>702</v>
      </c>
      <c r="B249" s="7" t="s">
        <v>30</v>
      </c>
      <c r="C249" s="7" t="s">
        <v>703</v>
      </c>
      <c r="D249" s="7" t="s">
        <v>180</v>
      </c>
      <c r="E249" s="38" t="s">
        <v>704</v>
      </c>
      <c r="G249" s="44" t="str">
        <f t="shared" si="18"/>
        <v>JMD1E</v>
      </c>
      <c r="H249" s="20" t="str">
        <f>VLOOKUP($A249,[1]Sheet2!$I$2:$O$449,7,FALSE)</f>
        <v>https://hana.modakita.com/azd942/avatar/2515001020260326132613EMHUSL.jpg</v>
      </c>
      <c r="I249" s="21">
        <f t="shared" si="19"/>
        <v>364</v>
      </c>
      <c r="J249" s="21" t="str">
        <f t="shared" si="20"/>
        <v>27</v>
      </c>
      <c r="K249" s="21" t="str">
        <f t="shared" si="21"/>
        <v>03</v>
      </c>
      <c r="L249" s="21" t="str">
        <f t="shared" si="22"/>
        <v>2025</v>
      </c>
      <c r="M249" s="21">
        <f t="shared" si="23"/>
        <v>12</v>
      </c>
    </row>
    <row r="250" spans="1:13" hidden="1" x14ac:dyDescent="0.2">
      <c r="A250" s="47" t="s">
        <v>690</v>
      </c>
      <c r="B250" s="7" t="s">
        <v>30</v>
      </c>
      <c r="C250" s="7" t="s">
        <v>691</v>
      </c>
      <c r="D250" s="7" t="s">
        <v>232</v>
      </c>
      <c r="E250" s="38" t="s">
        <v>692</v>
      </c>
      <c r="G250" s="44" t="str">
        <f t="shared" si="18"/>
        <v>JMC1E</v>
      </c>
      <c r="H250" s="20" t="str">
        <f>VLOOKUP($A250,[1]Sheet2!$I$2:$O$449,7,FALSE)</f>
        <v>https://hana.modakita.com/azd942/avatar/2963440120260307130254LDYKYE.jpg</v>
      </c>
      <c r="I250" s="21">
        <f t="shared" si="19"/>
        <v>272</v>
      </c>
      <c r="J250" s="21" t="str">
        <f t="shared" si="20"/>
        <v>08</v>
      </c>
      <c r="K250" s="21" t="str">
        <f t="shared" si="21"/>
        <v>06</v>
      </c>
      <c r="L250" s="21" t="str">
        <f t="shared" si="22"/>
        <v>2025</v>
      </c>
      <c r="M250" s="21">
        <f t="shared" si="23"/>
        <v>12</v>
      </c>
    </row>
    <row r="251" spans="1:13" hidden="1" x14ac:dyDescent="0.2">
      <c r="A251" s="47" t="s">
        <v>753</v>
      </c>
      <c r="B251" s="7" t="s">
        <v>35</v>
      </c>
      <c r="C251" s="7" t="s">
        <v>754</v>
      </c>
      <c r="D251" s="7" t="s">
        <v>180</v>
      </c>
      <c r="E251" s="38" t="s">
        <v>755</v>
      </c>
      <c r="G251" s="44" t="str">
        <f t="shared" si="18"/>
        <v>KF01E</v>
      </c>
      <c r="H251" s="20" t="str">
        <f>VLOOKUP($A251,[1]Sheet2!$I$2:$O$449,7,FALSE)</f>
        <v>https://hana.modakita.com/azd942/avatar/25150010202603261051189WN3AU.jpg</v>
      </c>
      <c r="I251" s="21">
        <f t="shared" si="19"/>
        <v>230</v>
      </c>
      <c r="J251" s="21" t="str">
        <f t="shared" si="20"/>
        <v>08</v>
      </c>
      <c r="K251" s="21" t="str">
        <f t="shared" si="21"/>
        <v>08</v>
      </c>
      <c r="L251" s="21" t="str">
        <f t="shared" si="22"/>
        <v>2025</v>
      </c>
      <c r="M251" s="21">
        <f t="shared" si="23"/>
        <v>12</v>
      </c>
    </row>
    <row r="252" spans="1:13" hidden="1" x14ac:dyDescent="0.2">
      <c r="A252" s="47" t="s">
        <v>100</v>
      </c>
      <c r="B252" s="7" t="s">
        <v>15</v>
      </c>
      <c r="C252" s="7" t="s">
        <v>101</v>
      </c>
      <c r="D252" s="7" t="s">
        <v>102</v>
      </c>
      <c r="E252" s="38" t="s">
        <v>103</v>
      </c>
      <c r="G252" s="44" t="str">
        <f t="shared" si="18"/>
        <v>KFF1E</v>
      </c>
      <c r="H252" s="20" t="str">
        <f>VLOOKUP($A252,[1]Sheet2!$I$2:$O$449,7,FALSE)</f>
        <v>https://hana.modakita.com/azd942/avatar/213951786202603051049485XFZYI.jpg</v>
      </c>
      <c r="I252" s="21">
        <f t="shared" si="19"/>
        <v>23</v>
      </c>
      <c r="J252" s="21" t="str">
        <f t="shared" si="20"/>
        <v>10</v>
      </c>
      <c r="K252" s="21" t="str">
        <f t="shared" si="21"/>
        <v>02</v>
      </c>
      <c r="L252" s="21" t="str">
        <f t="shared" si="22"/>
        <v>2026</v>
      </c>
      <c r="M252" s="21">
        <f t="shared" si="23"/>
        <v>12</v>
      </c>
    </row>
    <row r="253" spans="1:13" hidden="1" x14ac:dyDescent="0.2">
      <c r="A253" s="47" t="s">
        <v>313</v>
      </c>
      <c r="B253" s="7" t="s">
        <v>25</v>
      </c>
      <c r="C253" s="7" t="s">
        <v>161</v>
      </c>
      <c r="D253" s="7" t="s">
        <v>154</v>
      </c>
      <c r="E253" s="38" t="s">
        <v>314</v>
      </c>
      <c r="G253" s="44" t="str">
        <f t="shared" si="18"/>
        <v>KFE1E</v>
      </c>
      <c r="H253" s="20" t="str">
        <f>VLOOKUP($A253,[1]Sheet2!$I$2:$O$449,7,FALSE)</f>
        <v>https://hana.modakita.com/azd942/avatar/21395178620260314131004W7IA3R.jpg</v>
      </c>
      <c r="I253" s="21">
        <f t="shared" si="19"/>
        <v>36</v>
      </c>
      <c r="J253" s="21" t="str">
        <f t="shared" si="20"/>
        <v>06</v>
      </c>
      <c r="K253" s="21" t="str">
        <f t="shared" si="21"/>
        <v>02</v>
      </c>
      <c r="L253" s="21" t="str">
        <f t="shared" si="22"/>
        <v>2026</v>
      </c>
      <c r="M253" s="21">
        <f t="shared" si="23"/>
        <v>12</v>
      </c>
    </row>
    <row r="254" spans="1:13" hidden="1" x14ac:dyDescent="0.2">
      <c r="A254" s="47" t="s">
        <v>727</v>
      </c>
      <c r="B254" s="7" t="s">
        <v>15</v>
      </c>
      <c r="C254" s="7" t="s">
        <v>151</v>
      </c>
      <c r="D254" s="7" t="s">
        <v>219</v>
      </c>
      <c r="E254" s="38" t="s">
        <v>728</v>
      </c>
      <c r="G254" s="44" t="str">
        <f t="shared" si="18"/>
        <v>KF01E</v>
      </c>
      <c r="H254" s="20" t="str">
        <f>VLOOKUP($A254,[1]Sheet2!$I$2:$O$449,7,FALSE)</f>
        <v>https://hana.modakita.com/azd942/avatar/26498970202603281217009TTX0O.jpg</v>
      </c>
      <c r="I254" s="21">
        <f t="shared" si="19"/>
        <v>15</v>
      </c>
      <c r="J254" s="21" t="str">
        <f t="shared" si="20"/>
        <v>13</v>
      </c>
      <c r="K254" s="21" t="str">
        <f t="shared" si="21"/>
        <v>03</v>
      </c>
      <c r="L254" s="21" t="str">
        <f t="shared" si="22"/>
        <v>2026</v>
      </c>
      <c r="M254" s="21">
        <f t="shared" si="23"/>
        <v>12</v>
      </c>
    </row>
    <row r="255" spans="1:13" hidden="1" x14ac:dyDescent="0.2">
      <c r="A255" s="47" t="s">
        <v>745</v>
      </c>
      <c r="B255" s="7" t="s">
        <v>25</v>
      </c>
      <c r="C255" s="7" t="s">
        <v>193</v>
      </c>
      <c r="D255" s="7" t="s">
        <v>114</v>
      </c>
      <c r="E255" s="38" t="s">
        <v>746</v>
      </c>
      <c r="G255" s="44" t="str">
        <f t="shared" si="18"/>
        <v>KF01E</v>
      </c>
      <c r="H255" s="20" t="str">
        <f>VLOOKUP($A255,[1]Sheet2!$I$2:$O$449,7,FALSE)</f>
        <v>https://hana.modakita.com/azd942/avatar/2963440120260327110603R4LQMJ.jpg</v>
      </c>
      <c r="I255" s="21">
        <f t="shared" si="19"/>
        <v>81</v>
      </c>
      <c r="J255" s="21" t="str">
        <f t="shared" si="20"/>
        <v>05</v>
      </c>
      <c r="K255" s="21" t="str">
        <f t="shared" si="21"/>
        <v>01</v>
      </c>
      <c r="L255" s="21" t="str">
        <f t="shared" si="22"/>
        <v>2026</v>
      </c>
      <c r="M255" s="21">
        <f t="shared" si="23"/>
        <v>12</v>
      </c>
    </row>
    <row r="256" spans="1:13" hidden="1" x14ac:dyDescent="0.2">
      <c r="A256" s="47" t="s">
        <v>246</v>
      </c>
      <c r="B256" s="7" t="s">
        <v>30</v>
      </c>
      <c r="C256" s="7" t="s">
        <v>247</v>
      </c>
      <c r="D256" s="7" t="s">
        <v>187</v>
      </c>
      <c r="E256" s="38" t="s">
        <v>248</v>
      </c>
      <c r="G256" s="44" t="str">
        <f t="shared" si="18"/>
        <v>JMF1E</v>
      </c>
      <c r="H256" s="20" t="str">
        <f>VLOOKUP($A256,[1]Sheet2!$I$2:$O$449,7,FALSE)</f>
        <v>https://hana.modakita.com/azd942/avatar/21393666120260331132445F6DP2J.jpg</v>
      </c>
      <c r="I256" s="21">
        <f t="shared" si="19"/>
        <v>293</v>
      </c>
      <c r="J256" s="21" t="str">
        <f t="shared" si="20"/>
        <v>11</v>
      </c>
      <c r="K256" s="21" t="str">
        <f t="shared" si="21"/>
        <v>06</v>
      </c>
      <c r="L256" s="21" t="str">
        <f t="shared" si="22"/>
        <v>2025</v>
      </c>
      <c r="M256" s="21">
        <f t="shared" si="23"/>
        <v>12</v>
      </c>
    </row>
    <row r="257" spans="1:13" hidden="1" x14ac:dyDescent="0.2">
      <c r="A257" s="47" t="s">
        <v>485</v>
      </c>
      <c r="B257" s="7" t="s">
        <v>30</v>
      </c>
      <c r="C257" s="7" t="s">
        <v>486</v>
      </c>
      <c r="D257" s="7" t="s">
        <v>110</v>
      </c>
      <c r="E257" s="38" t="s">
        <v>487</v>
      </c>
      <c r="G257" s="44" t="str">
        <f t="shared" si="18"/>
        <v>JMH1E</v>
      </c>
      <c r="H257" s="20" t="str">
        <f>VLOOKUP($A257,[1]Sheet2!$I$2:$O$449,7,FALSE)</f>
        <v>https://hana.modakita.com/azd942/avatar/213951786202603111735246BWOSP.jpg</v>
      </c>
      <c r="I257" s="21">
        <f t="shared" si="19"/>
        <v>361</v>
      </c>
      <c r="J257" s="21" t="str">
        <f t="shared" si="20"/>
        <v>15</v>
      </c>
      <c r="K257" s="21" t="str">
        <f t="shared" si="21"/>
        <v>03</v>
      </c>
      <c r="L257" s="21" t="str">
        <f t="shared" si="22"/>
        <v>2025</v>
      </c>
      <c r="M257" s="21">
        <f t="shared" si="23"/>
        <v>12</v>
      </c>
    </row>
    <row r="258" spans="1:13" hidden="1" x14ac:dyDescent="0.2">
      <c r="A258" s="47" t="s">
        <v>781</v>
      </c>
      <c r="B258" s="7" t="s">
        <v>25</v>
      </c>
      <c r="C258" s="7" t="s">
        <v>497</v>
      </c>
      <c r="D258" s="7" t="s">
        <v>110</v>
      </c>
      <c r="E258" s="38" t="s">
        <v>782</v>
      </c>
      <c r="G258" s="44" t="str">
        <f t="shared" ref="G258:G288" si="24">LEFT(A258,5)</f>
        <v>KC04E</v>
      </c>
      <c r="H258" s="20" t="str">
        <f>VLOOKUP($A258,[1]Sheet2!$I$2:$O$449,7,FALSE)</f>
        <v>https://hana.modakita.com/azd942/avatar/2963440120260311115731WBLQZ8.jpg</v>
      </c>
      <c r="I258" s="21">
        <f t="shared" ref="I258:I288" si="25">D258-C258</f>
        <v>30</v>
      </c>
      <c r="J258" s="21" t="str">
        <f t="shared" ref="J258:J288" si="26">LEFT(C258,2)</f>
        <v>09</v>
      </c>
      <c r="K258" s="21" t="str">
        <f t="shared" ref="K258:K288" si="27">MID(C258,4,2)</f>
        <v>02</v>
      </c>
      <c r="L258" s="21" t="str">
        <f t="shared" ref="L258:L288" si="28">RIGHT(C258,4)</f>
        <v>2026</v>
      </c>
      <c r="M258" s="21">
        <f t="shared" ref="M258:M288" si="29">LEN(A258)</f>
        <v>12</v>
      </c>
    </row>
    <row r="259" spans="1:13" hidden="1" x14ac:dyDescent="0.2">
      <c r="A259" s="47" t="s">
        <v>768</v>
      </c>
      <c r="B259" s="7" t="s">
        <v>15</v>
      </c>
      <c r="C259" s="7" t="s">
        <v>114</v>
      </c>
      <c r="D259" s="7" t="s">
        <v>219</v>
      </c>
      <c r="E259" s="38" t="s">
        <v>330</v>
      </c>
      <c r="G259" s="44" t="str">
        <f t="shared" si="24"/>
        <v>KC04E</v>
      </c>
      <c r="H259" s="20" t="str">
        <f>VLOOKUP($A259,[1]Sheet2!$I$2:$O$449,7,FALSE)</f>
        <v>https://hana.modakita.com/azd942/avatar/2963440120260328134338CJJ8RO.jpg</v>
      </c>
      <c r="I259" s="21">
        <f t="shared" si="25"/>
        <v>1</v>
      </c>
      <c r="J259" s="21" t="str">
        <f t="shared" si="26"/>
        <v>27</v>
      </c>
      <c r="K259" s="21" t="str">
        <f t="shared" si="27"/>
        <v>03</v>
      </c>
      <c r="L259" s="21" t="str">
        <f t="shared" si="28"/>
        <v>2026</v>
      </c>
      <c r="M259" s="21">
        <f t="shared" si="29"/>
        <v>12</v>
      </c>
    </row>
    <row r="260" spans="1:13" hidden="1" x14ac:dyDescent="0.2">
      <c r="A260" s="48" t="s">
        <v>769</v>
      </c>
      <c r="B260" s="7" t="s">
        <v>15</v>
      </c>
      <c r="C260" s="7" t="s">
        <v>157</v>
      </c>
      <c r="D260" s="7" t="s">
        <v>219</v>
      </c>
      <c r="E260" s="7" t="s">
        <v>770</v>
      </c>
      <c r="F260" s="5" t="s">
        <v>807</v>
      </c>
      <c r="G260" t="str">
        <f t="shared" si="24"/>
        <v>KC04E</v>
      </c>
      <c r="H260" s="20" t="str">
        <f>VLOOKUP($A260,[1]Sheet2!$I$2:$O$449,7,FALSE)</f>
        <v>https://hana.modakita.com/azd942/avatar/21395178620260328135125GMBJ6Z.jpg</v>
      </c>
      <c r="I260" s="21">
        <f t="shared" si="25"/>
        <v>30</v>
      </c>
      <c r="J260" s="21" t="str">
        <f t="shared" si="26"/>
        <v>26</v>
      </c>
      <c r="K260" s="21" t="str">
        <f t="shared" si="27"/>
        <v>02</v>
      </c>
      <c r="L260" s="21" t="str">
        <f t="shared" si="28"/>
        <v>2026</v>
      </c>
      <c r="M260" s="21">
        <f t="shared" si="29"/>
        <v>12</v>
      </c>
    </row>
    <row r="261" spans="1:13" hidden="1" x14ac:dyDescent="0.2">
      <c r="A261" s="47" t="s">
        <v>577</v>
      </c>
      <c r="B261" s="7" t="s">
        <v>15</v>
      </c>
      <c r="C261" s="7" t="s">
        <v>176</v>
      </c>
      <c r="D261" s="7" t="s">
        <v>154</v>
      </c>
      <c r="E261" s="38" t="s">
        <v>578</v>
      </c>
      <c r="G261" s="44" t="str">
        <f t="shared" si="24"/>
        <v>JMK1E</v>
      </c>
      <c r="H261" s="20" t="str">
        <f>VLOOKUP($A261,[1]Sheet2!$I$2:$O$449,7,FALSE)</f>
        <v>https://hana.modakita.com/azd942/avatar/21395178620260314105219TTJUWZ.jpg</v>
      </c>
      <c r="I261" s="21">
        <f t="shared" si="25"/>
        <v>21</v>
      </c>
      <c r="J261" s="21" t="str">
        <f t="shared" si="26"/>
        <v>21</v>
      </c>
      <c r="K261" s="21" t="str">
        <f t="shared" si="27"/>
        <v>02</v>
      </c>
      <c r="L261" s="21" t="str">
        <f t="shared" si="28"/>
        <v>2026</v>
      </c>
      <c r="M261" s="21">
        <f t="shared" si="29"/>
        <v>12</v>
      </c>
    </row>
    <row r="262" spans="1:13" hidden="1" x14ac:dyDescent="0.2">
      <c r="A262" s="47" t="s">
        <v>324</v>
      </c>
      <c r="B262" s="7" t="s">
        <v>15</v>
      </c>
      <c r="C262" s="7" t="s">
        <v>137</v>
      </c>
      <c r="D262" s="7" t="s">
        <v>143</v>
      </c>
      <c r="E262" s="38" t="s">
        <v>325</v>
      </c>
      <c r="G262" s="44" t="str">
        <f t="shared" si="24"/>
        <v>JBK1E</v>
      </c>
      <c r="H262" s="20" t="str">
        <f>VLOOKUP($A262,[1]Sheet2!$I$2:$O$449,7,FALSE)</f>
        <v>https://hana.modakita.com/azd942/avatar/2515001020260303111321HCGVLY.jpg</v>
      </c>
      <c r="I262" s="21">
        <f t="shared" si="25"/>
        <v>7</v>
      </c>
      <c r="J262" s="21" t="str">
        <f t="shared" si="26"/>
        <v>24</v>
      </c>
      <c r="K262" s="21" t="str">
        <f t="shared" si="27"/>
        <v>02</v>
      </c>
      <c r="L262" s="21" t="str">
        <f t="shared" si="28"/>
        <v>2026</v>
      </c>
      <c r="M262" s="21">
        <f t="shared" si="29"/>
        <v>12</v>
      </c>
    </row>
    <row r="263" spans="1:13" hidden="1" x14ac:dyDescent="0.2">
      <c r="A263" s="48" t="s">
        <v>243</v>
      </c>
      <c r="B263" s="7" t="s">
        <v>30</v>
      </c>
      <c r="C263" s="7" t="s">
        <v>244</v>
      </c>
      <c r="D263" s="7" t="s">
        <v>118</v>
      </c>
      <c r="E263" s="7" t="s">
        <v>245</v>
      </c>
      <c r="F263" s="5" t="s">
        <v>802</v>
      </c>
      <c r="G263" t="str">
        <f t="shared" si="24"/>
        <v>JME1E</v>
      </c>
      <c r="H263" s="20" t="str">
        <f>VLOOKUP($A263,[1]Sheet2!$I$2:$O$449,7,FALSE)</f>
        <v>https://hana.modakita.com/azd942/avatar/21395178620260330120113PIQUGF.jpg</v>
      </c>
      <c r="I263" s="21">
        <f t="shared" si="25"/>
        <v>371</v>
      </c>
      <c r="J263" s="21" t="str">
        <f t="shared" si="26"/>
        <v>24</v>
      </c>
      <c r="K263" s="21" t="str">
        <f t="shared" si="27"/>
        <v>03</v>
      </c>
      <c r="L263" s="21" t="str">
        <f t="shared" si="28"/>
        <v>2025</v>
      </c>
      <c r="M263" s="21">
        <f t="shared" si="29"/>
        <v>12</v>
      </c>
    </row>
    <row r="264" spans="1:13" x14ac:dyDescent="0.2">
      <c r="A264" s="48" t="s">
        <v>297</v>
      </c>
      <c r="B264" s="7" t="s">
        <v>15</v>
      </c>
      <c r="C264" s="46" t="s">
        <v>114</v>
      </c>
      <c r="D264" s="7" t="s">
        <v>219</v>
      </c>
      <c r="E264" s="38" t="s">
        <v>298</v>
      </c>
      <c r="F264" s="5" t="s">
        <v>822</v>
      </c>
      <c r="G264" s="44" t="str">
        <f t="shared" si="24"/>
        <v>KFE1E</v>
      </c>
      <c r="H264" s="20" t="str">
        <f>VLOOKUP($A264,[1]Sheet2!$I$2:$O$449,7,FALSE)</f>
        <v>https://hana.modakita.com/azd942/avatar/26498970202603281145420I9BJI.jpg</v>
      </c>
      <c r="I264" s="21">
        <f t="shared" si="25"/>
        <v>1</v>
      </c>
      <c r="J264" s="21" t="str">
        <f t="shared" si="26"/>
        <v>27</v>
      </c>
      <c r="K264" s="21" t="str">
        <f t="shared" si="27"/>
        <v>03</v>
      </c>
      <c r="L264" s="21" t="str">
        <f t="shared" si="28"/>
        <v>2026</v>
      </c>
      <c r="M264" s="21">
        <f t="shared" si="29"/>
        <v>12</v>
      </c>
    </row>
    <row r="265" spans="1:13" hidden="1" x14ac:dyDescent="0.2">
      <c r="A265" s="47" t="s">
        <v>581</v>
      </c>
      <c r="B265" s="7" t="s">
        <v>15</v>
      </c>
      <c r="C265" s="7" t="s">
        <v>508</v>
      </c>
      <c r="D265" s="7" t="s">
        <v>158</v>
      </c>
      <c r="E265" s="38" t="s">
        <v>582</v>
      </c>
      <c r="G265" s="44" t="str">
        <f t="shared" si="24"/>
        <v>JMJ1E</v>
      </c>
      <c r="H265" s="20" t="str">
        <f>VLOOKUP($A265,[1]Sheet2!$I$2:$O$449,7,FALSE)</f>
        <v>https://hana.modakita.com/azd942/avatar/213951786202603151216308QNB3W.jpg</v>
      </c>
      <c r="I265" s="21">
        <f t="shared" si="25"/>
        <v>24</v>
      </c>
      <c r="J265" s="21" t="str">
        <f t="shared" si="26"/>
        <v>19</v>
      </c>
      <c r="K265" s="21" t="str">
        <f t="shared" si="27"/>
        <v>02</v>
      </c>
      <c r="L265" s="21" t="str">
        <f t="shared" si="28"/>
        <v>2026</v>
      </c>
      <c r="M265" s="21">
        <f t="shared" si="29"/>
        <v>12</v>
      </c>
    </row>
    <row r="266" spans="1:13" hidden="1" x14ac:dyDescent="0.2">
      <c r="A266" s="47" t="s">
        <v>393</v>
      </c>
      <c r="B266" s="7" t="s">
        <v>15</v>
      </c>
      <c r="C266" s="7" t="s">
        <v>172</v>
      </c>
      <c r="D266" s="7" t="s">
        <v>177</v>
      </c>
      <c r="E266" s="38" t="s">
        <v>394</v>
      </c>
      <c r="G266" s="44" t="str">
        <f t="shared" si="24"/>
        <v>JMH2E</v>
      </c>
      <c r="H266" s="20" t="str">
        <f>VLOOKUP($A266,[1]Sheet2!$I$2:$O$449,7,FALSE)</f>
        <v>https://hana.modakita.com/azd942/avatar/2515001020260325141723GKA2JP.jpg</v>
      </c>
      <c r="I266" s="21">
        <f t="shared" si="25"/>
        <v>25</v>
      </c>
      <c r="J266" s="21" t="str">
        <f t="shared" si="26"/>
        <v>28</v>
      </c>
      <c r="K266" s="21" t="str">
        <f t="shared" si="27"/>
        <v>02</v>
      </c>
      <c r="L266" s="21" t="str">
        <f t="shared" si="28"/>
        <v>2026</v>
      </c>
      <c r="M266" s="21">
        <f t="shared" si="29"/>
        <v>12</v>
      </c>
    </row>
    <row r="267" spans="1:13" hidden="1" x14ac:dyDescent="0.2">
      <c r="A267" s="47" t="s">
        <v>424</v>
      </c>
      <c r="B267" s="7" t="s">
        <v>25</v>
      </c>
      <c r="C267" s="7" t="s">
        <v>425</v>
      </c>
      <c r="D267" s="7" t="s">
        <v>106</v>
      </c>
      <c r="E267" s="38" t="s">
        <v>426</v>
      </c>
      <c r="G267" s="44" t="str">
        <f t="shared" si="24"/>
        <v>JMH2E</v>
      </c>
      <c r="H267" s="20" t="str">
        <f>VLOOKUP($A267,[1]Sheet2!$I$2:$O$449,7,FALSE)</f>
        <v>https://hana.modakita.com/azd942/avatar/2515001020260306125933LWLJD8.jpg</v>
      </c>
      <c r="I267" s="21">
        <f t="shared" si="25"/>
        <v>109</v>
      </c>
      <c r="J267" s="21" t="str">
        <f t="shared" si="26"/>
        <v>17</v>
      </c>
      <c r="K267" s="21" t="str">
        <f t="shared" si="27"/>
        <v>11</v>
      </c>
      <c r="L267" s="21" t="str">
        <f t="shared" si="28"/>
        <v>2025</v>
      </c>
      <c r="M267" s="21">
        <f t="shared" si="29"/>
        <v>12</v>
      </c>
    </row>
    <row r="268" spans="1:13" hidden="1" x14ac:dyDescent="0.2">
      <c r="A268" s="47" t="s">
        <v>255</v>
      </c>
      <c r="B268" s="7" t="s">
        <v>15</v>
      </c>
      <c r="C268" s="7" t="s">
        <v>256</v>
      </c>
      <c r="D268" s="7" t="s">
        <v>208</v>
      </c>
      <c r="E268" s="38" t="s">
        <v>257</v>
      </c>
      <c r="G268" s="44" t="str">
        <f t="shared" si="24"/>
        <v>JMA1E</v>
      </c>
      <c r="H268" s="20" t="str">
        <f>VLOOKUP($A268,[1]Sheet2!$I$2:$O$449,7,FALSE)</f>
        <v>https://hana.modakita.com/azd942/avatar/2515001020260318101111Z3YJDY.jpg</v>
      </c>
      <c r="I268" s="21">
        <f t="shared" si="25"/>
        <v>56</v>
      </c>
      <c r="J268" s="21" t="str">
        <f t="shared" si="26"/>
        <v>21</v>
      </c>
      <c r="K268" s="21" t="str">
        <f t="shared" si="27"/>
        <v>01</v>
      </c>
      <c r="L268" s="21" t="str">
        <f t="shared" si="28"/>
        <v>2026</v>
      </c>
      <c r="M268" s="21">
        <f t="shared" si="29"/>
        <v>12</v>
      </c>
    </row>
    <row r="269" spans="1:13" hidden="1" x14ac:dyDescent="0.2">
      <c r="A269" s="47" t="s">
        <v>588</v>
      </c>
      <c r="B269" s="7" t="s">
        <v>15</v>
      </c>
      <c r="C269" s="7" t="s">
        <v>168</v>
      </c>
      <c r="D269" s="7" t="s">
        <v>208</v>
      </c>
      <c r="E269" s="38" t="s">
        <v>589</v>
      </c>
      <c r="G269" s="44" t="str">
        <f t="shared" si="24"/>
        <v>JMK1E</v>
      </c>
      <c r="H269" s="20" t="str">
        <f>VLOOKUP($A269,[1]Sheet2!$I$2:$O$449,7,FALSE)</f>
        <v>https://hana.modakita.com/azd942/avatar/2649897020260318123618WD5FSX.jpg</v>
      </c>
      <c r="I269" s="21">
        <f t="shared" si="25"/>
        <v>30</v>
      </c>
      <c r="J269" s="21" t="str">
        <f t="shared" si="26"/>
        <v>16</v>
      </c>
      <c r="K269" s="21" t="str">
        <f t="shared" si="27"/>
        <v>02</v>
      </c>
      <c r="L269" s="21" t="str">
        <f t="shared" si="28"/>
        <v>2026</v>
      </c>
      <c r="M269" s="21">
        <f t="shared" si="29"/>
        <v>12</v>
      </c>
    </row>
    <row r="270" spans="1:13" hidden="1" x14ac:dyDescent="0.2">
      <c r="A270" s="47" t="s">
        <v>291</v>
      </c>
      <c r="B270" s="7" t="s">
        <v>15</v>
      </c>
      <c r="C270" s="7" t="s">
        <v>154</v>
      </c>
      <c r="D270" s="7" t="s">
        <v>180</v>
      </c>
      <c r="E270" s="38" t="s">
        <v>292</v>
      </c>
      <c r="G270" s="44" t="str">
        <f t="shared" si="24"/>
        <v>KFE1E</v>
      </c>
      <c r="H270" s="20" t="str">
        <f>VLOOKUP($A270,[1]Sheet2!$I$2:$O$449,7,FALSE)</f>
        <v>https://hana.modakita.com/azd942/avatar/2963440120260326172908YWGBTX.jpg</v>
      </c>
      <c r="I270" s="21">
        <f t="shared" si="25"/>
        <v>12</v>
      </c>
      <c r="J270" s="21" t="str">
        <f t="shared" si="26"/>
        <v>14</v>
      </c>
      <c r="K270" s="21" t="str">
        <f t="shared" si="27"/>
        <v>03</v>
      </c>
      <c r="L270" s="21" t="str">
        <f t="shared" si="28"/>
        <v>2026</v>
      </c>
      <c r="M270" s="21">
        <f t="shared" si="29"/>
        <v>12</v>
      </c>
    </row>
    <row r="271" spans="1:13" hidden="1" x14ac:dyDescent="0.2">
      <c r="A271" s="47" t="s">
        <v>403</v>
      </c>
      <c r="B271" s="7" t="s">
        <v>15</v>
      </c>
      <c r="C271" s="7" t="s">
        <v>217</v>
      </c>
      <c r="D271" s="7" t="s">
        <v>219</v>
      </c>
      <c r="E271" s="38" t="s">
        <v>404</v>
      </c>
      <c r="G271" s="44" t="str">
        <f t="shared" si="24"/>
        <v>JMH1E</v>
      </c>
      <c r="H271" s="20" t="str">
        <f>VLOOKUP($A271,[1]Sheet2!$I$2:$O$449,7,FALSE)</f>
        <v>https://hana.modakita.com/azd942/avatar/2649897020260328113130NX2HOL.jpg</v>
      </c>
      <c r="I271" s="21">
        <f t="shared" si="25"/>
        <v>8</v>
      </c>
      <c r="J271" s="21" t="str">
        <f t="shared" si="26"/>
        <v>20</v>
      </c>
      <c r="K271" s="21" t="str">
        <f t="shared" si="27"/>
        <v>03</v>
      </c>
      <c r="L271" s="21" t="str">
        <f t="shared" si="28"/>
        <v>2026</v>
      </c>
      <c r="M271" s="21">
        <f t="shared" si="29"/>
        <v>12</v>
      </c>
    </row>
    <row r="272" spans="1:13" hidden="1" x14ac:dyDescent="0.2">
      <c r="A272" s="47" t="s">
        <v>142</v>
      </c>
      <c r="B272" s="7" t="s">
        <v>15</v>
      </c>
      <c r="C272" s="7" t="s">
        <v>143</v>
      </c>
      <c r="D272" s="7" t="s">
        <v>144</v>
      </c>
      <c r="E272" s="38" t="s">
        <v>145</v>
      </c>
      <c r="G272" s="44" t="str">
        <f t="shared" si="24"/>
        <v>JMF2E</v>
      </c>
      <c r="H272" s="20" t="str">
        <f>VLOOKUP($A272,[1]Sheet2!$I$2:$O$449,7,FALSE)</f>
        <v>https://hana.modakita.com/azd942/avatar/2649897020260310111119XVDRQX.jpg</v>
      </c>
      <c r="I272" s="21">
        <f t="shared" si="25"/>
        <v>7</v>
      </c>
      <c r="J272" s="21" t="str">
        <f t="shared" si="26"/>
        <v>03</v>
      </c>
      <c r="K272" s="21" t="str">
        <f t="shared" si="27"/>
        <v>03</v>
      </c>
      <c r="L272" s="21" t="str">
        <f t="shared" si="28"/>
        <v>2026</v>
      </c>
      <c r="M272" s="21">
        <f t="shared" si="29"/>
        <v>12</v>
      </c>
    </row>
    <row r="273" spans="1:13" hidden="1" x14ac:dyDescent="0.2">
      <c r="A273" s="47" t="s">
        <v>261</v>
      </c>
      <c r="B273" s="7" t="s">
        <v>15</v>
      </c>
      <c r="C273" s="7" t="s">
        <v>168</v>
      </c>
      <c r="D273" s="7" t="s">
        <v>98</v>
      </c>
      <c r="E273" s="38" t="s">
        <v>262</v>
      </c>
      <c r="G273" s="44" t="str">
        <f t="shared" si="24"/>
        <v>KFE1E</v>
      </c>
      <c r="H273" s="20" t="str">
        <f>VLOOKUP($A273,[1]Sheet2!$I$2:$O$449,7,FALSE)</f>
        <v>https://hana.modakita.com/azd942/avatar/2515001020260302130610JSAQEY.jpg</v>
      </c>
      <c r="I273" s="21">
        <f t="shared" si="25"/>
        <v>14</v>
      </c>
      <c r="J273" s="21" t="str">
        <f t="shared" si="26"/>
        <v>16</v>
      </c>
      <c r="K273" s="21" t="str">
        <f t="shared" si="27"/>
        <v>02</v>
      </c>
      <c r="L273" s="21" t="str">
        <f t="shared" si="28"/>
        <v>2026</v>
      </c>
      <c r="M273" s="21">
        <f t="shared" si="29"/>
        <v>12</v>
      </c>
    </row>
    <row r="274" spans="1:13" hidden="1" x14ac:dyDescent="0.2">
      <c r="A274" s="47" t="s">
        <v>537</v>
      </c>
      <c r="B274" s="7" t="s">
        <v>15</v>
      </c>
      <c r="C274" s="7" t="s">
        <v>168</v>
      </c>
      <c r="D274" s="7" t="s">
        <v>110</v>
      </c>
      <c r="E274" s="38" t="s">
        <v>538</v>
      </c>
      <c r="G274" s="44" t="str">
        <f t="shared" si="24"/>
        <v>JBP1E</v>
      </c>
      <c r="H274" s="20" t="str">
        <f>VLOOKUP($A274,[1]Sheet2!$I$2:$O$449,7,FALSE)</f>
        <v>https://hana.modakita.com/azd942/avatar/21395178620260311120540GJSWAH.jpg</v>
      </c>
      <c r="I274" s="21">
        <f t="shared" si="25"/>
        <v>23</v>
      </c>
      <c r="J274" s="21" t="str">
        <f t="shared" si="26"/>
        <v>16</v>
      </c>
      <c r="K274" s="21" t="str">
        <f t="shared" si="27"/>
        <v>02</v>
      </c>
      <c r="L274" s="21" t="str">
        <f t="shared" si="28"/>
        <v>2026</v>
      </c>
      <c r="M274" s="21">
        <f t="shared" si="29"/>
        <v>12</v>
      </c>
    </row>
    <row r="275" spans="1:13" hidden="1" x14ac:dyDescent="0.2">
      <c r="A275" s="47" t="s">
        <v>104</v>
      </c>
      <c r="B275" s="7" t="s">
        <v>15</v>
      </c>
      <c r="C275" s="7" t="s">
        <v>105</v>
      </c>
      <c r="D275" s="7" t="s">
        <v>106</v>
      </c>
      <c r="E275" s="38" t="s">
        <v>107</v>
      </c>
      <c r="G275" s="44" t="str">
        <f t="shared" si="24"/>
        <v>KFF1E</v>
      </c>
      <c r="H275" s="20" t="str">
        <f>VLOOKUP($A275,[1]Sheet2!$I$2:$O$449,7,FALSE)</f>
        <v>https://hana.modakita.com/azd942/avatar/2515001020260306085356JTXABJ.jpg</v>
      </c>
      <c r="I275" s="21">
        <f t="shared" si="25"/>
        <v>11</v>
      </c>
      <c r="J275" s="21" t="str">
        <f t="shared" si="26"/>
        <v>23</v>
      </c>
      <c r="K275" s="21" t="str">
        <f t="shared" si="27"/>
        <v>02</v>
      </c>
      <c r="L275" s="21" t="str">
        <f t="shared" si="28"/>
        <v>2026</v>
      </c>
      <c r="M275" s="21">
        <f t="shared" si="29"/>
        <v>12</v>
      </c>
    </row>
    <row r="276" spans="1:13" hidden="1" x14ac:dyDescent="0.2">
      <c r="A276" s="48" t="s">
        <v>600</v>
      </c>
      <c r="B276" s="7" t="s">
        <v>15</v>
      </c>
      <c r="C276" s="7" t="s">
        <v>250</v>
      </c>
      <c r="D276" s="7" t="s">
        <v>598</v>
      </c>
      <c r="E276" s="7" t="s">
        <v>601</v>
      </c>
      <c r="F276" s="5" t="s">
        <v>813</v>
      </c>
      <c r="G276" t="str">
        <f t="shared" si="24"/>
        <v>JMK1E</v>
      </c>
      <c r="H276" s="20" t="str">
        <f>VLOOKUP($A276,[1]Sheet2!$I$2:$O$449,7,FALSE)</f>
        <v>https://hana.modakita.com/azd942/avatar/2963440120260324121118XMU5WN.jpg</v>
      </c>
      <c r="I276" s="21">
        <f t="shared" si="25"/>
        <v>37</v>
      </c>
      <c r="J276" s="21" t="str">
        <f t="shared" si="26"/>
        <v>15</v>
      </c>
      <c r="K276" s="21" t="str">
        <f t="shared" si="27"/>
        <v>02</v>
      </c>
      <c r="L276" s="21" t="str">
        <f t="shared" si="28"/>
        <v>2026</v>
      </c>
      <c r="M276" s="21">
        <f t="shared" si="29"/>
        <v>12</v>
      </c>
    </row>
    <row r="277" spans="1:13" hidden="1" x14ac:dyDescent="0.2">
      <c r="A277" s="47" t="s">
        <v>643</v>
      </c>
      <c r="B277" s="7" t="s">
        <v>25</v>
      </c>
      <c r="C277" s="7" t="s">
        <v>316</v>
      </c>
      <c r="D277" s="7" t="s">
        <v>162</v>
      </c>
      <c r="E277" s="38" t="s">
        <v>644</v>
      </c>
      <c r="G277" s="44" t="str">
        <f t="shared" si="24"/>
        <v>JMD1E</v>
      </c>
      <c r="H277" s="20" t="str">
        <f>VLOOKUP($A277,[1]Sheet2!$I$2:$O$449,7,FALSE)</f>
        <v>https://hana.modakita.com/azd942/avatar/2515001020260316103948MIAHPU.jpg</v>
      </c>
      <c r="I277" s="21">
        <f t="shared" si="25"/>
        <v>98</v>
      </c>
      <c r="J277" s="21" t="str">
        <f t="shared" si="26"/>
        <v>08</v>
      </c>
      <c r="K277" s="21" t="str">
        <f t="shared" si="27"/>
        <v>12</v>
      </c>
      <c r="L277" s="21" t="str">
        <f t="shared" si="28"/>
        <v>2025</v>
      </c>
      <c r="M277" s="21">
        <f t="shared" si="29"/>
        <v>12</v>
      </c>
    </row>
    <row r="278" spans="1:13" hidden="1" x14ac:dyDescent="0.2">
      <c r="A278" s="47" t="s">
        <v>339</v>
      </c>
      <c r="B278" s="7" t="s">
        <v>30</v>
      </c>
      <c r="C278" s="7" t="s">
        <v>340</v>
      </c>
      <c r="D278" s="7" t="s">
        <v>110</v>
      </c>
      <c r="E278" s="38" t="s">
        <v>341</v>
      </c>
      <c r="G278" s="44" t="str">
        <f t="shared" si="24"/>
        <v>JBK1E</v>
      </c>
      <c r="H278" s="20" t="str">
        <f>VLOOKUP($A278,[1]Sheet2!$I$2:$O$449,7,FALSE)</f>
        <v>https://hana.modakita.com/azd942/avatar/2963440120260311142555LG2TBV.jpg</v>
      </c>
      <c r="I278" s="21">
        <f t="shared" si="25"/>
        <v>354</v>
      </c>
      <c r="J278" s="21" t="str">
        <f t="shared" si="26"/>
        <v>22</v>
      </c>
      <c r="K278" s="21" t="str">
        <f t="shared" si="27"/>
        <v>03</v>
      </c>
      <c r="L278" s="21" t="str">
        <f t="shared" si="28"/>
        <v>2025</v>
      </c>
      <c r="M278" s="21">
        <f t="shared" si="29"/>
        <v>12</v>
      </c>
    </row>
    <row r="279" spans="1:13" hidden="1" x14ac:dyDescent="0.2">
      <c r="A279" s="47" t="s">
        <v>299</v>
      </c>
      <c r="B279" s="7" t="s">
        <v>15</v>
      </c>
      <c r="C279" s="7" t="s">
        <v>172</v>
      </c>
      <c r="D279" s="7" t="s">
        <v>300</v>
      </c>
      <c r="E279" s="38" t="s">
        <v>301</v>
      </c>
      <c r="G279" s="44" t="str">
        <f t="shared" si="24"/>
        <v>KFE1E</v>
      </c>
      <c r="H279" s="20" t="str">
        <f>VLOOKUP($A279,[1]Sheet2!$I$2:$O$449,7,FALSE)</f>
        <v>https://hana.modakita.com/azd942/avatar/2515001020260329105823GL6QF9.jpg</v>
      </c>
      <c r="I279" s="21">
        <f t="shared" si="25"/>
        <v>29</v>
      </c>
      <c r="J279" s="21" t="str">
        <f t="shared" si="26"/>
        <v>28</v>
      </c>
      <c r="K279" s="21" t="str">
        <f t="shared" si="27"/>
        <v>02</v>
      </c>
      <c r="L279" s="21" t="str">
        <f t="shared" si="28"/>
        <v>2026</v>
      </c>
      <c r="M279" s="21">
        <f t="shared" si="29"/>
        <v>12</v>
      </c>
    </row>
    <row r="280" spans="1:13" hidden="1" x14ac:dyDescent="0.2">
      <c r="A280" s="47" t="s">
        <v>198</v>
      </c>
      <c r="B280" s="7" t="s">
        <v>25</v>
      </c>
      <c r="C280" s="7" t="s">
        <v>199</v>
      </c>
      <c r="D280" s="7" t="s">
        <v>151</v>
      </c>
      <c r="E280" s="38" t="s">
        <v>200</v>
      </c>
      <c r="G280" s="44" t="str">
        <f t="shared" si="24"/>
        <v>JMF1E</v>
      </c>
      <c r="H280" s="20" t="str">
        <f>VLOOKUP($A280,[1]Sheet2!$I$2:$O$449,7,FALSE)</f>
        <v>https://hana.modakita.com/azd942/avatar/21395178620260313175323SEF9UV.jpg</v>
      </c>
      <c r="I280" s="21">
        <f t="shared" si="25"/>
        <v>46</v>
      </c>
      <c r="J280" s="21" t="str">
        <f t="shared" si="26"/>
        <v>26</v>
      </c>
      <c r="K280" s="21" t="str">
        <f t="shared" si="27"/>
        <v>01</v>
      </c>
      <c r="L280" s="21" t="str">
        <f t="shared" si="28"/>
        <v>2026</v>
      </c>
      <c r="M280" s="21">
        <f t="shared" si="29"/>
        <v>12</v>
      </c>
    </row>
    <row r="281" spans="1:13" hidden="1" x14ac:dyDescent="0.2">
      <c r="A281" s="47" t="s">
        <v>268</v>
      </c>
      <c r="B281" s="7" t="s">
        <v>15</v>
      </c>
      <c r="C281" s="7" t="s">
        <v>105</v>
      </c>
      <c r="D281" s="7" t="s">
        <v>106</v>
      </c>
      <c r="E281" s="38" t="s">
        <v>269</v>
      </c>
      <c r="G281" s="44" t="str">
        <f t="shared" si="24"/>
        <v>KFE1E</v>
      </c>
      <c r="H281" s="20" t="str">
        <f>VLOOKUP($A281,[1]Sheet2!$I$2:$O$449,7,FALSE)</f>
        <v>https://hana.modakita.com/azd942/avatar/25150010202603061146191UX1PG.jpg</v>
      </c>
      <c r="I281" s="21">
        <f t="shared" si="25"/>
        <v>11</v>
      </c>
      <c r="J281" s="21" t="str">
        <f t="shared" si="26"/>
        <v>23</v>
      </c>
      <c r="K281" s="21" t="str">
        <f t="shared" si="27"/>
        <v>02</v>
      </c>
      <c r="L281" s="21" t="str">
        <f t="shared" si="28"/>
        <v>2026</v>
      </c>
      <c r="M281" s="21">
        <f t="shared" si="29"/>
        <v>12</v>
      </c>
    </row>
    <row r="282" spans="1:13" hidden="1" x14ac:dyDescent="0.2">
      <c r="A282" s="47" t="s">
        <v>503</v>
      </c>
      <c r="B282" s="7" t="s">
        <v>15</v>
      </c>
      <c r="C282" s="7" t="s">
        <v>259</v>
      </c>
      <c r="D282" s="7" t="s">
        <v>148</v>
      </c>
      <c r="E282" s="38" t="s">
        <v>504</v>
      </c>
      <c r="G282" s="44" t="str">
        <f t="shared" si="24"/>
        <v>KFC1E</v>
      </c>
      <c r="H282" s="20" t="str">
        <f>VLOOKUP($A282,[1]Sheet2!$I$2:$O$449,7,FALSE)</f>
        <v>https://hana.modakita.com/azd942/avatar/26498970202603121144238ZIW7R.jpg</v>
      </c>
      <c r="I282" s="21">
        <f t="shared" si="25"/>
        <v>27</v>
      </c>
      <c r="J282" s="21" t="str">
        <f t="shared" si="26"/>
        <v>13</v>
      </c>
      <c r="K282" s="21" t="str">
        <f t="shared" si="27"/>
        <v>02</v>
      </c>
      <c r="L282" s="21" t="str">
        <f t="shared" si="28"/>
        <v>2026</v>
      </c>
      <c r="M282" s="21">
        <f t="shared" si="29"/>
        <v>12</v>
      </c>
    </row>
    <row r="283" spans="1:13" hidden="1" x14ac:dyDescent="0.2">
      <c r="A283" s="47" t="s">
        <v>515</v>
      </c>
      <c r="B283" s="7" t="s">
        <v>15</v>
      </c>
      <c r="C283" s="7" t="s">
        <v>172</v>
      </c>
      <c r="D283" s="7" t="s">
        <v>187</v>
      </c>
      <c r="E283" s="38" t="s">
        <v>516</v>
      </c>
      <c r="G283" s="44" t="str">
        <f t="shared" si="24"/>
        <v>KFD1E</v>
      </c>
      <c r="H283" s="20" t="str">
        <f>VLOOKUP($A283,[1]Sheet2!$I$2:$O$449,7,FALSE)</f>
        <v>https://hana.modakita.com/azd942/avatar/21395178620260331132905M8GOED.jpg</v>
      </c>
      <c r="I283" s="21">
        <f t="shared" si="25"/>
        <v>31</v>
      </c>
      <c r="J283" s="21" t="str">
        <f t="shared" si="26"/>
        <v>28</v>
      </c>
      <c r="K283" s="21" t="str">
        <f t="shared" si="27"/>
        <v>02</v>
      </c>
      <c r="L283" s="21" t="str">
        <f t="shared" si="28"/>
        <v>2026</v>
      </c>
      <c r="M283" s="21">
        <f t="shared" si="29"/>
        <v>12</v>
      </c>
    </row>
    <row r="284" spans="1:13" hidden="1" x14ac:dyDescent="0.2">
      <c r="A284" s="47" t="s">
        <v>351</v>
      </c>
      <c r="B284" s="7" t="s">
        <v>15</v>
      </c>
      <c r="C284" s="7" t="s">
        <v>98</v>
      </c>
      <c r="D284" s="7" t="s">
        <v>144</v>
      </c>
      <c r="E284" s="38" t="s">
        <v>352</v>
      </c>
      <c r="G284" s="44" t="str">
        <f t="shared" si="24"/>
        <v>JMH2E</v>
      </c>
      <c r="H284" s="20" t="str">
        <f>VLOOKUP($A284,[1]Sheet2!$I$2:$O$449,7,FALSE)</f>
        <v>https://hana.modakita.com/azd942/avatar/2515001020260310100326HBIJIM.jpg</v>
      </c>
      <c r="I284" s="21">
        <f t="shared" si="25"/>
        <v>8</v>
      </c>
      <c r="J284" s="21" t="str">
        <f t="shared" si="26"/>
        <v>02</v>
      </c>
      <c r="K284" s="21" t="str">
        <f t="shared" si="27"/>
        <v>03</v>
      </c>
      <c r="L284" s="21" t="str">
        <f t="shared" si="28"/>
        <v>2026</v>
      </c>
      <c r="M284" s="21">
        <f t="shared" si="29"/>
        <v>12</v>
      </c>
    </row>
    <row r="285" spans="1:13" hidden="1" x14ac:dyDescent="0.2">
      <c r="A285" s="47" t="s">
        <v>369</v>
      </c>
      <c r="B285" s="7" t="s">
        <v>15</v>
      </c>
      <c r="C285" s="7" t="s">
        <v>370</v>
      </c>
      <c r="D285" s="7" t="s">
        <v>154</v>
      </c>
      <c r="E285" s="38" t="s">
        <v>371</v>
      </c>
      <c r="G285" s="44" t="str">
        <f t="shared" si="24"/>
        <v>JMH1E</v>
      </c>
      <c r="H285" s="20" t="str">
        <f>VLOOKUP($A285,[1]Sheet2!$I$2:$O$449,7,FALSE)</f>
        <v>https://hana.modakita.com/azd942/avatar/2515001020260314091031AFJ6C8.jpg</v>
      </c>
      <c r="I285" s="21">
        <f t="shared" si="25"/>
        <v>54</v>
      </c>
      <c r="J285" s="21" t="str">
        <f t="shared" si="26"/>
        <v>19</v>
      </c>
      <c r="K285" s="21" t="str">
        <f t="shared" si="27"/>
        <v>01</v>
      </c>
      <c r="L285" s="21" t="str">
        <f t="shared" si="28"/>
        <v>2026</v>
      </c>
      <c r="M285" s="21">
        <f t="shared" si="29"/>
        <v>12</v>
      </c>
    </row>
    <row r="286" spans="1:13" hidden="1" x14ac:dyDescent="0.2">
      <c r="A286" s="47" t="s">
        <v>729</v>
      </c>
      <c r="B286" s="7" t="s">
        <v>15</v>
      </c>
      <c r="C286" s="7" t="s">
        <v>217</v>
      </c>
      <c r="D286" s="7" t="s">
        <v>187</v>
      </c>
      <c r="E286" s="38" t="s">
        <v>730</v>
      </c>
      <c r="G286" s="44" t="str">
        <f t="shared" si="24"/>
        <v>KF01E</v>
      </c>
      <c r="H286" s="20" t="str">
        <f>VLOOKUP($A286,[1]Sheet2!$I$2:$O$449,7,FALSE)</f>
        <v>https://hana.modakita.com/azd942/avatar/2649897020260331142139WSOYK5.jpg</v>
      </c>
      <c r="I286" s="21">
        <f t="shared" si="25"/>
        <v>11</v>
      </c>
      <c r="J286" s="21" t="str">
        <f t="shared" si="26"/>
        <v>20</v>
      </c>
      <c r="K286" s="21" t="str">
        <f t="shared" si="27"/>
        <v>03</v>
      </c>
      <c r="L286" s="21" t="str">
        <f t="shared" si="28"/>
        <v>2026</v>
      </c>
      <c r="M286" s="21">
        <f t="shared" si="29"/>
        <v>12</v>
      </c>
    </row>
    <row r="287" spans="1:13" hidden="1" x14ac:dyDescent="0.2">
      <c r="A287" s="47" t="s">
        <v>441</v>
      </c>
      <c r="B287" s="7" t="s">
        <v>25</v>
      </c>
      <c r="C287" s="7" t="s">
        <v>442</v>
      </c>
      <c r="D287" s="7" t="s">
        <v>154</v>
      </c>
      <c r="E287" s="38" t="s">
        <v>443</v>
      </c>
      <c r="G287" s="44" t="str">
        <f t="shared" si="24"/>
        <v>JMH1E</v>
      </c>
      <c r="H287" s="20" t="str">
        <f>VLOOKUP($A287,[1]Sheet2!$I$2:$O$449,7,FALSE)</f>
        <v>https://hana.modakita.com/azd942/avatar/2515001020260314114438ESHUTD.jpg</v>
      </c>
      <c r="I287" s="21">
        <f t="shared" si="25"/>
        <v>103</v>
      </c>
      <c r="J287" s="21" t="str">
        <f t="shared" si="26"/>
        <v>01</v>
      </c>
      <c r="K287" s="21" t="str">
        <f t="shared" si="27"/>
        <v>12</v>
      </c>
      <c r="L287" s="21" t="str">
        <f t="shared" si="28"/>
        <v>2025</v>
      </c>
      <c r="M287" s="21">
        <f t="shared" si="29"/>
        <v>12</v>
      </c>
    </row>
    <row r="288" spans="1:13" hidden="1" x14ac:dyDescent="0.2">
      <c r="A288" s="47" t="s">
        <v>295</v>
      </c>
      <c r="B288" s="7" t="s">
        <v>15</v>
      </c>
      <c r="C288" s="7" t="s">
        <v>172</v>
      </c>
      <c r="D288" s="7" t="s">
        <v>114</v>
      </c>
      <c r="E288" s="38" t="s">
        <v>296</v>
      </c>
      <c r="G288" s="44" t="str">
        <f t="shared" si="24"/>
        <v>KFE1E</v>
      </c>
      <c r="H288" s="20" t="str">
        <f>VLOOKUP($A288,[1]Sheet2!$I$2:$O$449,7,FALSE)</f>
        <v>https://hana.modakita.com/azd942/avatar/25150010202603271253442KZQUD.jpg</v>
      </c>
      <c r="I288" s="21">
        <f t="shared" si="25"/>
        <v>27</v>
      </c>
      <c r="J288" s="21" t="str">
        <f t="shared" si="26"/>
        <v>28</v>
      </c>
      <c r="K288" s="21" t="str">
        <f t="shared" si="27"/>
        <v>02</v>
      </c>
      <c r="L288" s="21" t="str">
        <f t="shared" si="28"/>
        <v>2026</v>
      </c>
      <c r="M288" s="21">
        <f t="shared" si="29"/>
        <v>12</v>
      </c>
    </row>
  </sheetData>
  <autoFilter ref="A1:M288" xr:uid="{00000000-0001-0000-0100-000000000000}">
    <filterColumn colId="5">
      <filters>
        <filter val="KM WEBC"/>
        <filter val="SALAH KM"/>
        <filter val="TGL BELI"/>
      </filters>
    </filterColumn>
    <sortState xmlns:xlrd2="http://schemas.microsoft.com/office/spreadsheetml/2017/richdata2" ref="A2:M288">
      <sortCondition ref="E1:E288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CDCA-FEAB-4397-BAA2-41915C5B5AA3}">
  <sheetPr filterMode="1"/>
  <dimension ref="A1:XFA288"/>
  <sheetViews>
    <sheetView zoomScale="145" zoomScaleNormal="145" workbookViewId="0">
      <selection activeCell="A72" sqref="A72"/>
    </sheetView>
  </sheetViews>
  <sheetFormatPr defaultRowHeight="12.75" x14ac:dyDescent="0.2"/>
  <cols>
    <col min="1" max="1" width="14.28515625" style="5" customWidth="1"/>
    <col min="2" max="3" width="8.140625" style="5" customWidth="1"/>
    <col min="4" max="8" width="11.28515625" style="5" customWidth="1"/>
    <col min="9" max="9" width="7.140625" style="5" customWidth="1"/>
    <col min="10" max="16384" width="9.140625" style="5"/>
  </cols>
  <sheetData>
    <row r="1" spans="1:16381" ht="16.7" customHeight="1" x14ac:dyDescent="0.2">
      <c r="A1" s="10" t="s">
        <v>89</v>
      </c>
      <c r="B1" s="11" t="s">
        <v>90</v>
      </c>
      <c r="C1" s="11" t="s">
        <v>95</v>
      </c>
      <c r="D1" s="11" t="s">
        <v>91</v>
      </c>
      <c r="E1" s="12" t="s">
        <v>785</v>
      </c>
      <c r="F1" s="12" t="s">
        <v>786</v>
      </c>
      <c r="G1" s="11" t="s">
        <v>92</v>
      </c>
      <c r="H1" s="11" t="s">
        <v>95</v>
      </c>
      <c r="I1" s="13" t="s">
        <v>93</v>
      </c>
      <c r="J1" s="14" t="s">
        <v>95</v>
      </c>
      <c r="K1" s="15" t="s">
        <v>787</v>
      </c>
      <c r="L1" s="15" t="s">
        <v>788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</row>
    <row r="2" spans="1:16381" x14ac:dyDescent="0.2">
      <c r="A2" s="8" t="s">
        <v>96</v>
      </c>
      <c r="B2" s="37" t="s">
        <v>15</v>
      </c>
      <c r="C2" s="16" t="str">
        <f>VLOOKUP($A2,[1]Sheet2!$I$2:$O$449,3,FALSE)</f>
        <v>KPB1</v>
      </c>
      <c r="D2" s="22" t="s">
        <v>97</v>
      </c>
      <c r="E2" s="24" t="str">
        <f>VLOOKUP($A2,[1]Sheet2!$I$2:$O$449,5,FALSE)</f>
        <v>2026-02-14</v>
      </c>
      <c r="F2" s="19">
        <f>D2-E2</f>
        <v>0</v>
      </c>
      <c r="G2" s="38" t="s">
        <v>98</v>
      </c>
      <c r="H2" s="16" t="str">
        <f>VLOOKUP($A2,[1]Sheet2!$I$2:$O$449,6,FALSE)</f>
        <v>2026-03-02</v>
      </c>
      <c r="I2" s="38" t="s">
        <v>99</v>
      </c>
      <c r="J2" s="16">
        <f>VLOOKUP($A2,[1]Sheet2!$I$2:$O$449,4,FALSE)</f>
        <v>701</v>
      </c>
      <c r="K2" s="17">
        <f>G2-H2</f>
        <v>0</v>
      </c>
      <c r="L2" s="18">
        <f>I2-J2</f>
        <v>0</v>
      </c>
    </row>
    <row r="3" spans="1:16381" x14ac:dyDescent="0.2">
      <c r="A3" s="47" t="s">
        <v>100</v>
      </c>
      <c r="B3" s="38" t="s">
        <v>15</v>
      </c>
      <c r="C3" s="16" t="str">
        <f>VLOOKUP($A3,[1]Sheet2!$I$2:$O$449,3,FALSE)</f>
        <v>KPB1</v>
      </c>
      <c r="D3" s="7" t="s">
        <v>101</v>
      </c>
      <c r="E3" s="24" t="str">
        <f>VLOOKUP($A3,[1]Sheet2!$I$2:$O$449,5,FALSE)</f>
        <v>2026-02-04</v>
      </c>
      <c r="F3" s="19">
        <f t="shared" ref="F3:F66" si="0">D3-E3</f>
        <v>6</v>
      </c>
      <c r="G3" s="38" t="s">
        <v>102</v>
      </c>
      <c r="H3" s="16" t="str">
        <f>VLOOKUP($A3,[1]Sheet2!$I$2:$O$449,6,FALSE)</f>
        <v>2026-03-05</v>
      </c>
      <c r="I3" s="38" t="s">
        <v>103</v>
      </c>
      <c r="J3" s="16">
        <f>VLOOKUP($A3,[1]Sheet2!$I$2:$O$449,4,FALSE)</f>
        <v>815</v>
      </c>
      <c r="K3" s="17">
        <f t="shared" ref="K3:K66" si="1">G3-H3</f>
        <v>0</v>
      </c>
      <c r="L3" s="18">
        <f t="shared" ref="L3:L66" si="2">I3-J3</f>
        <v>0</v>
      </c>
    </row>
    <row r="4" spans="1:16381" x14ac:dyDescent="0.2">
      <c r="A4" s="8" t="s">
        <v>104</v>
      </c>
      <c r="B4" s="38" t="s">
        <v>15</v>
      </c>
      <c r="C4" s="16" t="str">
        <f>VLOOKUP($A4,[1]Sheet2!$I$2:$O$449,3,FALSE)</f>
        <v>KPB1</v>
      </c>
      <c r="D4" s="7" t="s">
        <v>105</v>
      </c>
      <c r="E4" s="24" t="str">
        <f>VLOOKUP($A4,[1]Sheet2!$I$2:$O$449,5,FALSE)</f>
        <v>2026-02-23</v>
      </c>
      <c r="F4" s="19">
        <f t="shared" si="0"/>
        <v>0</v>
      </c>
      <c r="G4" s="38" t="s">
        <v>106</v>
      </c>
      <c r="H4" s="16" t="str">
        <f>VLOOKUP($A4,[1]Sheet2!$I$2:$O$449,6,FALSE)</f>
        <v>2026-03-06</v>
      </c>
      <c r="I4" s="38" t="s">
        <v>107</v>
      </c>
      <c r="J4" s="16">
        <f>VLOOKUP($A4,[1]Sheet2!$I$2:$O$449,4,FALSE)</f>
        <v>93</v>
      </c>
      <c r="K4" s="17">
        <f t="shared" si="1"/>
        <v>0</v>
      </c>
      <c r="L4" s="18">
        <f t="shared" si="2"/>
        <v>0</v>
      </c>
    </row>
    <row r="5" spans="1:16381" hidden="1" x14ac:dyDescent="0.2">
      <c r="A5" s="48" t="s">
        <v>108</v>
      </c>
      <c r="B5" s="38" t="s">
        <v>15</v>
      </c>
      <c r="C5" s="16" t="str">
        <f>VLOOKUP($A5,[1]Sheet2!$I$2:$O$449,3,FALSE)</f>
        <v>KPB1</v>
      </c>
      <c r="D5" s="7" t="s">
        <v>109</v>
      </c>
      <c r="E5" s="24" t="str">
        <f>VLOOKUP($A5,[1]Sheet2!$I$2:$O$449,5,FALSE)</f>
        <v>2026-02-03</v>
      </c>
      <c r="F5" s="19">
        <f t="shared" si="0"/>
        <v>4</v>
      </c>
      <c r="G5" s="38" t="s">
        <v>110</v>
      </c>
      <c r="H5" s="16" t="str">
        <f>VLOOKUP($A5,[1]Sheet2!$I$2:$O$449,6,FALSE)</f>
        <v>2026-03-11</v>
      </c>
      <c r="I5" s="38" t="s">
        <v>111</v>
      </c>
      <c r="J5" s="16">
        <f>VLOOKUP($A5,[1]Sheet2!$I$2:$O$449,4,FALSE)</f>
        <v>565</v>
      </c>
      <c r="K5" s="17">
        <f t="shared" si="1"/>
        <v>0</v>
      </c>
      <c r="L5" s="18">
        <f t="shared" si="2"/>
        <v>0</v>
      </c>
    </row>
    <row r="6" spans="1:16381" x14ac:dyDescent="0.2">
      <c r="A6" s="8" t="s">
        <v>112</v>
      </c>
      <c r="B6" s="38" t="s">
        <v>15</v>
      </c>
      <c r="C6" s="16" t="str">
        <f>VLOOKUP($A6,[1]Sheet2!$I$2:$O$449,3,FALSE)</f>
        <v>KPB1</v>
      </c>
      <c r="D6" s="7" t="s">
        <v>113</v>
      </c>
      <c r="E6" s="24" t="str">
        <f>VLOOKUP($A6,[1]Sheet2!$I$2:$O$449,5,FALSE)</f>
        <v>2026-03-04</v>
      </c>
      <c r="F6" s="19">
        <f t="shared" si="0"/>
        <v>0</v>
      </c>
      <c r="G6" s="38" t="s">
        <v>114</v>
      </c>
      <c r="H6" s="16" t="str">
        <f>VLOOKUP($A6,[1]Sheet2!$I$2:$O$449,6,FALSE)</f>
        <v>2026-03-27</v>
      </c>
      <c r="I6" s="38" t="s">
        <v>115</v>
      </c>
      <c r="J6" s="16">
        <f>VLOOKUP($A6,[1]Sheet2!$I$2:$O$449,4,FALSE)</f>
        <v>80</v>
      </c>
      <c r="K6" s="17">
        <f t="shared" si="1"/>
        <v>0</v>
      </c>
      <c r="L6" s="18">
        <f t="shared" si="2"/>
        <v>0</v>
      </c>
    </row>
    <row r="7" spans="1:16381" x14ac:dyDescent="0.2">
      <c r="A7" s="8" t="s">
        <v>116</v>
      </c>
      <c r="B7" s="38" t="s">
        <v>15</v>
      </c>
      <c r="C7" s="16" t="str">
        <f>VLOOKUP($A7,[1]Sheet2!$I$2:$O$449,3,FALSE)</f>
        <v>KPB1</v>
      </c>
      <c r="D7" s="7" t="s">
        <v>117</v>
      </c>
      <c r="E7" s="24" t="str">
        <f>VLOOKUP($A7,[1]Sheet2!$I$2:$O$449,5,FALSE)</f>
        <v>2026-02-25</v>
      </c>
      <c r="F7" s="19">
        <f t="shared" si="0"/>
        <v>2</v>
      </c>
      <c r="G7" s="38" t="s">
        <v>118</v>
      </c>
      <c r="H7" s="16" t="str">
        <f>VLOOKUP($A7,[1]Sheet2!$I$2:$O$449,6,FALSE)</f>
        <v>2026-03-30</v>
      </c>
      <c r="I7" s="38" t="s">
        <v>119</v>
      </c>
      <c r="J7" s="16">
        <f>VLOOKUP($A7,[1]Sheet2!$I$2:$O$449,4,FALSE)</f>
        <v>569</v>
      </c>
      <c r="K7" s="17">
        <f t="shared" si="1"/>
        <v>0</v>
      </c>
      <c r="L7" s="18">
        <f t="shared" si="2"/>
        <v>0</v>
      </c>
    </row>
    <row r="8" spans="1:16381" x14ac:dyDescent="0.2">
      <c r="A8" s="8" t="s">
        <v>120</v>
      </c>
      <c r="B8" s="38" t="s">
        <v>35</v>
      </c>
      <c r="C8" s="16" t="str">
        <f>VLOOKUP($A8,[1]Sheet2!$I$2:$O$449,3,FALSE)</f>
        <v>KPB3</v>
      </c>
      <c r="D8" s="7" t="s">
        <v>121</v>
      </c>
      <c r="E8" s="24" t="str">
        <f>VLOOKUP($A8,[1]Sheet2!$I$2:$O$449,5,FALSE)</f>
        <v>2025-08-19</v>
      </c>
      <c r="F8" s="19">
        <f t="shared" si="0"/>
        <v>0</v>
      </c>
      <c r="G8" s="38" t="s">
        <v>102</v>
      </c>
      <c r="H8" s="16" t="str">
        <f>VLOOKUP($A8,[1]Sheet2!$I$2:$O$449,6,FALSE)</f>
        <v>2026-03-05</v>
      </c>
      <c r="I8" s="38" t="s">
        <v>122</v>
      </c>
      <c r="J8" s="16">
        <f>VLOOKUP($A8,[1]Sheet2!$I$2:$O$449,4,FALSE)</f>
        <v>11667</v>
      </c>
      <c r="K8" s="17">
        <f t="shared" si="1"/>
        <v>0</v>
      </c>
      <c r="L8" s="18">
        <f t="shared" si="2"/>
        <v>0</v>
      </c>
    </row>
    <row r="9" spans="1:16381" x14ac:dyDescent="0.2">
      <c r="A9" s="8" t="s">
        <v>123</v>
      </c>
      <c r="B9" s="38" t="s">
        <v>15</v>
      </c>
      <c r="C9" s="16" t="str">
        <f>VLOOKUP($A9,[1]Sheet2!$I$2:$O$449,3,FALSE)</f>
        <v>KPB1</v>
      </c>
      <c r="D9" s="7" t="s">
        <v>124</v>
      </c>
      <c r="E9" s="24" t="str">
        <f>VLOOKUP($A9,[1]Sheet2!$I$2:$O$449,5,FALSE)</f>
        <v>2026-01-27</v>
      </c>
      <c r="F9" s="19">
        <f t="shared" si="0"/>
        <v>0</v>
      </c>
      <c r="G9" s="38" t="s">
        <v>98</v>
      </c>
      <c r="H9" s="16" t="str">
        <f>VLOOKUP($A9,[1]Sheet2!$I$2:$O$449,6,FALSE)</f>
        <v>2026-03-02</v>
      </c>
      <c r="I9" s="38" t="s">
        <v>125</v>
      </c>
      <c r="J9" s="16">
        <f>VLOOKUP($A9,[1]Sheet2!$I$2:$O$449,4,FALSE)</f>
        <v>1186</v>
      </c>
      <c r="K9" s="17">
        <f t="shared" si="1"/>
        <v>0</v>
      </c>
      <c r="L9" s="18">
        <f t="shared" si="2"/>
        <v>0</v>
      </c>
    </row>
    <row r="10" spans="1:16381" x14ac:dyDescent="0.2">
      <c r="A10" s="8" t="s">
        <v>126</v>
      </c>
      <c r="B10" s="38" t="s">
        <v>15</v>
      </c>
      <c r="C10" s="16" t="str">
        <f>VLOOKUP($A10,[1]Sheet2!$I$2:$O$449,3,FALSE)</f>
        <v>KPB1</v>
      </c>
      <c r="D10" s="7" t="s">
        <v>127</v>
      </c>
      <c r="E10" s="24" t="str">
        <f>VLOOKUP($A10,[1]Sheet2!$I$2:$O$449,5,FALSE)</f>
        <v>2026-02-06</v>
      </c>
      <c r="F10" s="19">
        <f t="shared" si="0"/>
        <v>2</v>
      </c>
      <c r="G10" s="38" t="s">
        <v>102</v>
      </c>
      <c r="H10" s="16" t="str">
        <f>VLOOKUP($A10,[1]Sheet2!$I$2:$O$449,6,FALSE)</f>
        <v>2026-03-05</v>
      </c>
      <c r="I10" s="38" t="s">
        <v>128</v>
      </c>
      <c r="J10" s="16">
        <f>VLOOKUP($A10,[1]Sheet2!$I$2:$O$449,4,FALSE)</f>
        <v>183</v>
      </c>
      <c r="K10" s="17">
        <f t="shared" si="1"/>
        <v>0</v>
      </c>
      <c r="L10" s="18">
        <f t="shared" si="2"/>
        <v>0</v>
      </c>
    </row>
    <row r="11" spans="1:16381" x14ac:dyDescent="0.2">
      <c r="A11" s="8" t="s">
        <v>129</v>
      </c>
      <c r="B11" s="38" t="s">
        <v>15</v>
      </c>
      <c r="C11" s="16" t="str">
        <f>VLOOKUP($A11,[1]Sheet2!$I$2:$O$449,3,FALSE)</f>
        <v>KPB1</v>
      </c>
      <c r="D11" s="7" t="s">
        <v>98</v>
      </c>
      <c r="E11" s="24" t="str">
        <f>VLOOKUP($A11,[1]Sheet2!$I$2:$O$449,5,FALSE)</f>
        <v>2026-03-02</v>
      </c>
      <c r="F11" s="19">
        <f t="shared" si="0"/>
        <v>0</v>
      </c>
      <c r="G11" s="38" t="s">
        <v>102</v>
      </c>
      <c r="H11" s="16" t="str">
        <f>VLOOKUP($A11,[1]Sheet2!$I$2:$O$449,6,FALSE)</f>
        <v>2026-03-05</v>
      </c>
      <c r="I11" s="38" t="s">
        <v>18</v>
      </c>
      <c r="J11" s="16">
        <f>VLOOKUP($A11,[1]Sheet2!$I$2:$O$449,4,FALSE)</f>
        <v>6</v>
      </c>
      <c r="K11" s="17">
        <f t="shared" si="1"/>
        <v>0</v>
      </c>
      <c r="L11" s="18">
        <f t="shared" si="2"/>
        <v>0</v>
      </c>
    </row>
    <row r="12" spans="1:16381" x14ac:dyDescent="0.2">
      <c r="A12" s="8" t="s">
        <v>130</v>
      </c>
      <c r="B12" s="38" t="s">
        <v>15</v>
      </c>
      <c r="C12" s="16" t="str">
        <f>VLOOKUP($A12,[1]Sheet2!$I$2:$O$449,3,FALSE)</f>
        <v>KPB1</v>
      </c>
      <c r="D12" s="7" t="s">
        <v>131</v>
      </c>
      <c r="E12" s="24" t="str">
        <f>VLOOKUP($A12,[1]Sheet2!$I$2:$O$449,5,FALSE)</f>
        <v>2026-01-26</v>
      </c>
      <c r="F12" s="19">
        <f t="shared" si="0"/>
        <v>-1</v>
      </c>
      <c r="G12" s="38" t="s">
        <v>102</v>
      </c>
      <c r="H12" s="16" t="str">
        <f>VLOOKUP($A12,[1]Sheet2!$I$2:$O$449,6,FALSE)</f>
        <v>2026-03-05</v>
      </c>
      <c r="I12" s="38" t="s">
        <v>132</v>
      </c>
      <c r="J12" s="16">
        <f>VLOOKUP($A12,[1]Sheet2!$I$2:$O$449,4,FALSE)</f>
        <v>721</v>
      </c>
      <c r="K12" s="17">
        <f t="shared" si="1"/>
        <v>0</v>
      </c>
      <c r="L12" s="18">
        <f t="shared" si="2"/>
        <v>0</v>
      </c>
    </row>
    <row r="13" spans="1:16381" x14ac:dyDescent="0.2">
      <c r="A13" s="8" t="s">
        <v>133</v>
      </c>
      <c r="B13" s="38" t="s">
        <v>15</v>
      </c>
      <c r="C13" s="16" t="str">
        <f>VLOOKUP($A13,[1]Sheet2!$I$2:$O$449,3,FALSE)</f>
        <v>KPB1</v>
      </c>
      <c r="D13" s="7" t="s">
        <v>134</v>
      </c>
      <c r="E13" s="24" t="str">
        <f>VLOOKUP($A13,[1]Sheet2!$I$2:$O$449,5,FALSE)</f>
        <v>2026-01-23</v>
      </c>
      <c r="F13" s="19">
        <f t="shared" si="0"/>
        <v>0</v>
      </c>
      <c r="G13" s="38" t="s">
        <v>106</v>
      </c>
      <c r="H13" s="16" t="str">
        <f>VLOOKUP($A13,[1]Sheet2!$I$2:$O$449,6,FALSE)</f>
        <v>2026-03-06</v>
      </c>
      <c r="I13" s="38" t="s">
        <v>135</v>
      </c>
      <c r="J13" s="16">
        <f>VLOOKUP($A13,[1]Sheet2!$I$2:$O$449,4,FALSE)</f>
        <v>53</v>
      </c>
      <c r="K13" s="17">
        <f t="shared" si="1"/>
        <v>0</v>
      </c>
      <c r="L13" s="18">
        <f t="shared" si="2"/>
        <v>0</v>
      </c>
    </row>
    <row r="14" spans="1:16381" x14ac:dyDescent="0.2">
      <c r="A14" s="8" t="s">
        <v>136</v>
      </c>
      <c r="B14" s="38" t="s">
        <v>15</v>
      </c>
      <c r="C14" s="16" t="str">
        <f>VLOOKUP($A14,[1]Sheet2!$I$2:$O$449,3,FALSE)</f>
        <v>KPB1</v>
      </c>
      <c r="D14" s="7" t="s">
        <v>137</v>
      </c>
      <c r="E14" s="24" t="str">
        <f>VLOOKUP($A14,[1]Sheet2!$I$2:$O$449,5,FALSE)</f>
        <v>2026-02-21</v>
      </c>
      <c r="F14" s="19">
        <f t="shared" si="0"/>
        <v>3</v>
      </c>
      <c r="G14" s="38" t="s">
        <v>138</v>
      </c>
      <c r="H14" s="16" t="str">
        <f>VLOOKUP($A14,[1]Sheet2!$I$2:$O$449,6,FALSE)</f>
        <v>2026-03-09</v>
      </c>
      <c r="I14" s="38" t="s">
        <v>139</v>
      </c>
      <c r="J14" s="16">
        <f>VLOOKUP($A14,[1]Sheet2!$I$2:$O$449,4,FALSE)</f>
        <v>1014</v>
      </c>
      <c r="K14" s="17">
        <f t="shared" si="1"/>
        <v>0</v>
      </c>
      <c r="L14" s="18">
        <f t="shared" si="2"/>
        <v>0</v>
      </c>
    </row>
    <row r="15" spans="1:16381" x14ac:dyDescent="0.2">
      <c r="A15" s="8" t="s">
        <v>140</v>
      </c>
      <c r="B15" s="38" t="s">
        <v>15</v>
      </c>
      <c r="C15" s="16" t="str">
        <f>VLOOKUP($A15,[1]Sheet2!$I$2:$O$449,3,FALSE)</f>
        <v>KPB1</v>
      </c>
      <c r="D15" s="7" t="s">
        <v>137</v>
      </c>
      <c r="E15" s="24" t="str">
        <f>VLOOKUP($A15,[1]Sheet2!$I$2:$O$449,5,FALSE)</f>
        <v>2026-02-24</v>
      </c>
      <c r="F15" s="19">
        <f t="shared" si="0"/>
        <v>0</v>
      </c>
      <c r="G15" s="38" t="s">
        <v>138</v>
      </c>
      <c r="H15" s="16" t="str">
        <f>VLOOKUP($A15,[1]Sheet2!$I$2:$O$449,6,FALSE)</f>
        <v>2026-03-09</v>
      </c>
      <c r="I15" s="38" t="s">
        <v>141</v>
      </c>
      <c r="J15" s="16">
        <f>VLOOKUP($A15,[1]Sheet2!$I$2:$O$449,4,FALSE)</f>
        <v>530</v>
      </c>
      <c r="K15" s="17">
        <f t="shared" si="1"/>
        <v>0</v>
      </c>
      <c r="L15" s="18">
        <f t="shared" si="2"/>
        <v>0</v>
      </c>
    </row>
    <row r="16" spans="1:16381" x14ac:dyDescent="0.2">
      <c r="A16" s="8" t="s">
        <v>142</v>
      </c>
      <c r="B16" s="38" t="s">
        <v>15</v>
      </c>
      <c r="C16" s="16" t="str">
        <f>VLOOKUP($A16,[1]Sheet2!$I$2:$O$449,3,FALSE)</f>
        <v>KPB1</v>
      </c>
      <c r="D16" s="7" t="s">
        <v>143</v>
      </c>
      <c r="E16" s="24" t="str">
        <f>VLOOKUP($A16,[1]Sheet2!$I$2:$O$449,5,FALSE)</f>
        <v>2026-03-03</v>
      </c>
      <c r="F16" s="19">
        <f t="shared" si="0"/>
        <v>0</v>
      </c>
      <c r="G16" s="38" t="s">
        <v>144</v>
      </c>
      <c r="H16" s="16" t="str">
        <f>VLOOKUP($A16,[1]Sheet2!$I$2:$O$449,6,FALSE)</f>
        <v>2026-03-10</v>
      </c>
      <c r="I16" s="38" t="s">
        <v>145</v>
      </c>
      <c r="J16" s="16">
        <f>VLOOKUP($A16,[1]Sheet2!$I$2:$O$449,4,FALSE)</f>
        <v>906</v>
      </c>
      <c r="K16" s="17">
        <f t="shared" si="1"/>
        <v>0</v>
      </c>
      <c r="L16" s="18">
        <f t="shared" si="2"/>
        <v>0</v>
      </c>
    </row>
    <row r="17" spans="1:12" x14ac:dyDescent="0.2">
      <c r="A17" s="8" t="s">
        <v>146</v>
      </c>
      <c r="B17" s="38" t="s">
        <v>15</v>
      </c>
      <c r="C17" s="16" t="str">
        <f>VLOOKUP($A17,[1]Sheet2!$I$2:$O$449,3,FALSE)</f>
        <v>KPB1</v>
      </c>
      <c r="D17" s="7" t="s">
        <v>147</v>
      </c>
      <c r="E17" s="24" t="str">
        <f>VLOOKUP($A17,[1]Sheet2!$I$2:$O$449,5,FALSE)</f>
        <v>2026-02-12</v>
      </c>
      <c r="F17" s="19">
        <f t="shared" si="0"/>
        <v>0</v>
      </c>
      <c r="G17" s="38" t="s">
        <v>148</v>
      </c>
      <c r="H17" s="16" t="str">
        <f>VLOOKUP($A17,[1]Sheet2!$I$2:$O$449,6,FALSE)</f>
        <v>2026-03-12</v>
      </c>
      <c r="I17" s="38" t="s">
        <v>149</v>
      </c>
      <c r="J17" s="16">
        <f>VLOOKUP($A17,[1]Sheet2!$I$2:$O$449,4,FALSE)</f>
        <v>567</v>
      </c>
      <c r="K17" s="17">
        <f t="shared" si="1"/>
        <v>0</v>
      </c>
      <c r="L17" s="18">
        <f t="shared" si="2"/>
        <v>0</v>
      </c>
    </row>
    <row r="18" spans="1:12" x14ac:dyDescent="0.2">
      <c r="A18" s="8" t="s">
        <v>150</v>
      </c>
      <c r="B18" s="38" t="s">
        <v>15</v>
      </c>
      <c r="C18" s="16" t="str">
        <f>VLOOKUP($A18,[1]Sheet2!$I$2:$O$449,3,FALSE)</f>
        <v>KPB1</v>
      </c>
      <c r="D18" s="7" t="s">
        <v>110</v>
      </c>
      <c r="E18" s="24" t="str">
        <f>VLOOKUP($A18,[1]Sheet2!$I$2:$O$449,5,FALSE)</f>
        <v>2026-03-10</v>
      </c>
      <c r="F18" s="19">
        <f t="shared" si="0"/>
        <v>1</v>
      </c>
      <c r="G18" s="38" t="s">
        <v>151</v>
      </c>
      <c r="H18" s="16" t="str">
        <f>VLOOKUP($A18,[1]Sheet2!$I$2:$O$449,6,FALSE)</f>
        <v>2026-03-13</v>
      </c>
      <c r="I18" s="38" t="s">
        <v>152</v>
      </c>
      <c r="J18" s="16">
        <f>VLOOKUP($A18,[1]Sheet2!$I$2:$O$449,4,FALSE)</f>
        <v>19</v>
      </c>
      <c r="K18" s="17">
        <f t="shared" si="1"/>
        <v>0</v>
      </c>
      <c r="L18" s="18">
        <f t="shared" si="2"/>
        <v>0</v>
      </c>
    </row>
    <row r="19" spans="1:12" x14ac:dyDescent="0.2">
      <c r="A19" s="8" t="s">
        <v>153</v>
      </c>
      <c r="B19" s="38" t="s">
        <v>15</v>
      </c>
      <c r="C19" s="16" t="str">
        <f>VLOOKUP($A19,[1]Sheet2!$I$2:$O$449,3,FALSE)</f>
        <v>KPB1</v>
      </c>
      <c r="D19" s="7" t="s">
        <v>137</v>
      </c>
      <c r="E19" s="24" t="str">
        <f>VLOOKUP($A19,[1]Sheet2!$I$2:$O$449,5,FALSE)</f>
        <v>2026-02-24</v>
      </c>
      <c r="F19" s="19">
        <f t="shared" si="0"/>
        <v>0</v>
      </c>
      <c r="G19" s="38" t="s">
        <v>154</v>
      </c>
      <c r="H19" s="16" t="str">
        <f>VLOOKUP($A19,[1]Sheet2!$I$2:$O$449,6,FALSE)</f>
        <v>2026-03-14</v>
      </c>
      <c r="I19" s="38" t="s">
        <v>155</v>
      </c>
      <c r="J19" s="16">
        <f>VLOOKUP($A19,[1]Sheet2!$I$2:$O$449,4,FALSE)</f>
        <v>281</v>
      </c>
      <c r="K19" s="17">
        <f t="shared" si="1"/>
        <v>0</v>
      </c>
      <c r="L19" s="18">
        <f t="shared" si="2"/>
        <v>0</v>
      </c>
    </row>
    <row r="20" spans="1:12" x14ac:dyDescent="0.2">
      <c r="A20" s="8" t="s">
        <v>156</v>
      </c>
      <c r="B20" s="38" t="s">
        <v>15</v>
      </c>
      <c r="C20" s="16" t="str">
        <f>VLOOKUP($A20,[1]Sheet2!$I$2:$O$449,3,FALSE)</f>
        <v>KPB1</v>
      </c>
      <c r="D20" s="7" t="s">
        <v>157</v>
      </c>
      <c r="E20" s="24" t="str">
        <f>VLOOKUP($A20,[1]Sheet2!$I$2:$O$449,5,FALSE)</f>
        <v>2026-02-26</v>
      </c>
      <c r="F20" s="19">
        <f t="shared" si="0"/>
        <v>0</v>
      </c>
      <c r="G20" s="38" t="s">
        <v>158</v>
      </c>
      <c r="H20" s="16" t="str">
        <f>VLOOKUP($A20,[1]Sheet2!$I$2:$O$449,6,FALSE)</f>
        <v>2026-03-15</v>
      </c>
      <c r="I20" s="38" t="s">
        <v>159</v>
      </c>
      <c r="J20" s="16">
        <f>VLOOKUP($A20,[1]Sheet2!$I$2:$O$449,4,FALSE)</f>
        <v>1097</v>
      </c>
      <c r="K20" s="17">
        <f t="shared" si="1"/>
        <v>0</v>
      </c>
      <c r="L20" s="18">
        <f t="shared" si="2"/>
        <v>0</v>
      </c>
    </row>
    <row r="21" spans="1:12" x14ac:dyDescent="0.2">
      <c r="A21" s="8" t="s">
        <v>160</v>
      </c>
      <c r="B21" s="38" t="s">
        <v>15</v>
      </c>
      <c r="C21" s="16" t="str">
        <f>VLOOKUP($A21,[1]Sheet2!$I$2:$O$449,3,FALSE)</f>
        <v>KPB1</v>
      </c>
      <c r="D21" s="7" t="s">
        <v>161</v>
      </c>
      <c r="E21" s="24" t="str">
        <f>VLOOKUP($A21,[1]Sheet2!$I$2:$O$449,5,FALSE)</f>
        <v>2026-02-06</v>
      </c>
      <c r="F21" s="19">
        <f t="shared" si="0"/>
        <v>0</v>
      </c>
      <c r="G21" s="38" t="s">
        <v>162</v>
      </c>
      <c r="H21" s="16" t="str">
        <f>VLOOKUP($A21,[1]Sheet2!$I$2:$O$449,6,FALSE)</f>
        <v>2026-03-16</v>
      </c>
      <c r="I21" s="38" t="s">
        <v>163</v>
      </c>
      <c r="J21" s="16">
        <f>VLOOKUP($A21,[1]Sheet2!$I$2:$O$449,4,FALSE)</f>
        <v>630</v>
      </c>
      <c r="K21" s="17">
        <f t="shared" si="1"/>
        <v>0</v>
      </c>
      <c r="L21" s="18">
        <f t="shared" si="2"/>
        <v>0</v>
      </c>
    </row>
    <row r="22" spans="1:12" x14ac:dyDescent="0.2">
      <c r="A22" s="8" t="s">
        <v>164</v>
      </c>
      <c r="B22" s="38" t="s">
        <v>15</v>
      </c>
      <c r="C22" s="16" t="str">
        <f>VLOOKUP($A22,[1]Sheet2!$I$2:$O$449,3,FALSE)</f>
        <v>KPB1</v>
      </c>
      <c r="D22" s="7" t="s">
        <v>165</v>
      </c>
      <c r="E22" s="24" t="str">
        <f>VLOOKUP($A22,[1]Sheet2!$I$2:$O$449,5,FALSE)</f>
        <v>2026-02-25</v>
      </c>
      <c r="F22" s="19">
        <f t="shared" si="0"/>
        <v>0</v>
      </c>
      <c r="G22" s="38" t="s">
        <v>162</v>
      </c>
      <c r="H22" s="16" t="str">
        <f>VLOOKUP($A22,[1]Sheet2!$I$2:$O$449,6,FALSE)</f>
        <v>2026-03-16</v>
      </c>
      <c r="I22" s="38" t="s">
        <v>166</v>
      </c>
      <c r="J22" s="16">
        <f>VLOOKUP($A22,[1]Sheet2!$I$2:$O$449,4,FALSE)</f>
        <v>716</v>
      </c>
      <c r="K22" s="17">
        <f t="shared" si="1"/>
        <v>0</v>
      </c>
      <c r="L22" s="18">
        <f t="shared" si="2"/>
        <v>0</v>
      </c>
    </row>
    <row r="23" spans="1:12" x14ac:dyDescent="0.2">
      <c r="A23" s="8" t="s">
        <v>167</v>
      </c>
      <c r="B23" s="38" t="s">
        <v>15</v>
      </c>
      <c r="C23" s="16" t="str">
        <f>VLOOKUP($A23,[1]Sheet2!$I$2:$O$449,3,FALSE)</f>
        <v>KPB1</v>
      </c>
      <c r="D23" s="7" t="s">
        <v>168</v>
      </c>
      <c r="E23" s="24" t="str">
        <f>VLOOKUP($A23,[1]Sheet2!$I$2:$O$449,5,FALSE)</f>
        <v>2026-02-16</v>
      </c>
      <c r="F23" s="19">
        <f t="shared" si="0"/>
        <v>0</v>
      </c>
      <c r="G23" s="38" t="s">
        <v>169</v>
      </c>
      <c r="H23" s="16" t="str">
        <f>VLOOKUP($A23,[1]Sheet2!$I$2:$O$449,6,FALSE)</f>
        <v>2026-03-17</v>
      </c>
      <c r="I23" s="38" t="s">
        <v>170</v>
      </c>
      <c r="J23" s="16">
        <f>VLOOKUP($A23,[1]Sheet2!$I$2:$O$449,4,FALSE)</f>
        <v>127</v>
      </c>
      <c r="K23" s="17">
        <f t="shared" si="1"/>
        <v>0</v>
      </c>
      <c r="L23" s="18">
        <f t="shared" si="2"/>
        <v>0</v>
      </c>
    </row>
    <row r="24" spans="1:12" x14ac:dyDescent="0.2">
      <c r="A24" s="8" t="s">
        <v>171</v>
      </c>
      <c r="B24" s="38" t="s">
        <v>15</v>
      </c>
      <c r="C24" s="16" t="str">
        <f>VLOOKUP($A24,[1]Sheet2!$I$2:$O$449,3,FALSE)</f>
        <v>KPB1</v>
      </c>
      <c r="D24" s="7" t="s">
        <v>172</v>
      </c>
      <c r="E24" s="24" t="str">
        <f>VLOOKUP($A24,[1]Sheet2!$I$2:$O$449,5,FALSE)</f>
        <v>2026-02-28</v>
      </c>
      <c r="F24" s="19">
        <f t="shared" si="0"/>
        <v>0</v>
      </c>
      <c r="G24" s="38" t="s">
        <v>173</v>
      </c>
      <c r="H24" s="16" t="str">
        <f>VLOOKUP($A24,[1]Sheet2!$I$2:$O$449,6,FALSE)</f>
        <v>2026-03-19</v>
      </c>
      <c r="I24" s="38" t="s">
        <v>174</v>
      </c>
      <c r="J24" s="16">
        <f>VLOOKUP($A24,[1]Sheet2!$I$2:$O$449,4,FALSE)</f>
        <v>459</v>
      </c>
      <c r="K24" s="17">
        <f t="shared" si="1"/>
        <v>0</v>
      </c>
      <c r="L24" s="18">
        <f t="shared" si="2"/>
        <v>0</v>
      </c>
    </row>
    <row r="25" spans="1:12" x14ac:dyDescent="0.2">
      <c r="A25" s="8" t="s">
        <v>175</v>
      </c>
      <c r="B25" s="38" t="s">
        <v>15</v>
      </c>
      <c r="C25" s="16" t="str">
        <f>VLOOKUP($A25,[1]Sheet2!$I$2:$O$449,3,FALSE)</f>
        <v>KPB1</v>
      </c>
      <c r="D25" s="7" t="s">
        <v>176</v>
      </c>
      <c r="E25" s="24" t="str">
        <f>VLOOKUP($A25,[1]Sheet2!$I$2:$O$449,5,FALSE)</f>
        <v>2026-02-21</v>
      </c>
      <c r="F25" s="19">
        <f t="shared" si="0"/>
        <v>0</v>
      </c>
      <c r="G25" s="38" t="s">
        <v>177</v>
      </c>
      <c r="H25" s="16" t="str">
        <f>VLOOKUP($A25,[1]Sheet2!$I$2:$O$449,6,FALSE)</f>
        <v>2026-03-25</v>
      </c>
      <c r="I25" s="38" t="s">
        <v>178</v>
      </c>
      <c r="J25" s="16">
        <f>VLOOKUP($A25,[1]Sheet2!$I$2:$O$449,4,FALSE)</f>
        <v>430</v>
      </c>
      <c r="K25" s="17">
        <f t="shared" si="1"/>
        <v>0</v>
      </c>
      <c r="L25" s="18">
        <f t="shared" si="2"/>
        <v>0</v>
      </c>
    </row>
    <row r="26" spans="1:12" x14ac:dyDescent="0.2">
      <c r="A26" s="8" t="s">
        <v>179</v>
      </c>
      <c r="B26" s="38" t="s">
        <v>15</v>
      </c>
      <c r="C26" s="16" t="str">
        <f>VLOOKUP($A26,[1]Sheet2!$I$2:$O$449,3,FALSE)</f>
        <v>KPB1</v>
      </c>
      <c r="D26" s="7" t="s">
        <v>162</v>
      </c>
      <c r="E26" s="24" t="str">
        <f>VLOOKUP($A26,[1]Sheet2!$I$2:$O$449,5,FALSE)</f>
        <v>2026-03-16</v>
      </c>
      <c r="F26" s="19">
        <f t="shared" si="0"/>
        <v>0</v>
      </c>
      <c r="G26" s="38" t="s">
        <v>180</v>
      </c>
      <c r="H26" s="16" t="str">
        <f>VLOOKUP($A26,[1]Sheet2!$I$2:$O$449,6,FALSE)</f>
        <v>2026-03-26</v>
      </c>
      <c r="I26" s="38" t="s">
        <v>181</v>
      </c>
      <c r="J26" s="16">
        <f>VLOOKUP($A26,[1]Sheet2!$I$2:$O$449,4,FALSE)</f>
        <v>1102</v>
      </c>
      <c r="K26" s="17">
        <f t="shared" si="1"/>
        <v>0</v>
      </c>
      <c r="L26" s="18">
        <f t="shared" si="2"/>
        <v>0</v>
      </c>
    </row>
    <row r="27" spans="1:12" x14ac:dyDescent="0.2">
      <c r="A27" s="8" t="s">
        <v>182</v>
      </c>
      <c r="B27" s="38" t="s">
        <v>15</v>
      </c>
      <c r="C27" s="16" t="str">
        <f>VLOOKUP($A27,[1]Sheet2!$I$2:$O$449,3,FALSE)</f>
        <v>KPB1</v>
      </c>
      <c r="D27" s="7" t="s">
        <v>144</v>
      </c>
      <c r="E27" s="24" t="str">
        <f>VLOOKUP($A27,[1]Sheet2!$I$2:$O$449,5,FALSE)</f>
        <v>2026-03-10</v>
      </c>
      <c r="F27" s="19">
        <f t="shared" si="0"/>
        <v>0</v>
      </c>
      <c r="G27" s="38" t="s">
        <v>180</v>
      </c>
      <c r="H27" s="16" t="str">
        <f>VLOOKUP($A27,[1]Sheet2!$I$2:$O$449,6,FALSE)</f>
        <v>2026-03-26</v>
      </c>
      <c r="I27" s="38" t="s">
        <v>183</v>
      </c>
      <c r="J27" s="16">
        <f>VLOOKUP($A27,[1]Sheet2!$I$2:$O$449,4,FALSE)</f>
        <v>628</v>
      </c>
      <c r="K27" s="17">
        <f t="shared" si="1"/>
        <v>0</v>
      </c>
      <c r="L27" s="18">
        <f t="shared" si="2"/>
        <v>0</v>
      </c>
    </row>
    <row r="28" spans="1:12" x14ac:dyDescent="0.2">
      <c r="A28" s="8" t="s">
        <v>184</v>
      </c>
      <c r="B28" s="38" t="s">
        <v>15</v>
      </c>
      <c r="C28" s="16" t="str">
        <f>VLOOKUP($A28,[1]Sheet2!$I$2:$O$449,3,FALSE)</f>
        <v>KPB1</v>
      </c>
      <c r="D28" s="7" t="s">
        <v>154</v>
      </c>
      <c r="E28" s="24" t="str">
        <f>VLOOKUP($A28,[1]Sheet2!$I$2:$O$449,5,FALSE)</f>
        <v>2026-03-13</v>
      </c>
      <c r="F28" s="19">
        <f t="shared" si="0"/>
        <v>1</v>
      </c>
      <c r="G28" s="38" t="s">
        <v>118</v>
      </c>
      <c r="H28" s="16" t="str">
        <f>VLOOKUP($A28,[1]Sheet2!$I$2:$O$449,6,FALSE)</f>
        <v>2026-03-30</v>
      </c>
      <c r="I28" s="38" t="s">
        <v>185</v>
      </c>
      <c r="J28" s="16">
        <f>VLOOKUP($A28,[1]Sheet2!$I$2:$O$449,4,FALSE)</f>
        <v>670</v>
      </c>
      <c r="K28" s="17">
        <f t="shared" si="1"/>
        <v>0</v>
      </c>
      <c r="L28" s="18">
        <f t="shared" si="2"/>
        <v>0</v>
      </c>
    </row>
    <row r="29" spans="1:12" x14ac:dyDescent="0.2">
      <c r="A29" s="8" t="s">
        <v>186</v>
      </c>
      <c r="B29" s="38" t="s">
        <v>15</v>
      </c>
      <c r="C29" s="16" t="str">
        <f>VLOOKUP($A29,[1]Sheet2!$I$2:$O$449,3,FALSE)</f>
        <v>KPB1</v>
      </c>
      <c r="D29" s="7" t="s">
        <v>172</v>
      </c>
      <c r="E29" s="24" t="str">
        <f>VLOOKUP($A29,[1]Sheet2!$I$2:$O$449,5,FALSE)</f>
        <v>2026-02-27</v>
      </c>
      <c r="F29" s="19">
        <f t="shared" si="0"/>
        <v>1</v>
      </c>
      <c r="G29" s="38" t="s">
        <v>187</v>
      </c>
      <c r="H29" s="16" t="str">
        <f>VLOOKUP($A29,[1]Sheet2!$I$2:$O$449,6,FALSE)</f>
        <v>2026-03-31</v>
      </c>
      <c r="I29" s="38" t="s">
        <v>188</v>
      </c>
      <c r="J29" s="16">
        <f>VLOOKUP($A29,[1]Sheet2!$I$2:$O$449,4,FALSE)</f>
        <v>739</v>
      </c>
      <c r="K29" s="17">
        <f t="shared" si="1"/>
        <v>0</v>
      </c>
      <c r="L29" s="18">
        <f t="shared" si="2"/>
        <v>0</v>
      </c>
    </row>
    <row r="30" spans="1:12" x14ac:dyDescent="0.2">
      <c r="A30" s="47" t="s">
        <v>189</v>
      </c>
      <c r="B30" s="38" t="s">
        <v>25</v>
      </c>
      <c r="C30" s="16" t="str">
        <f>VLOOKUP($A30,[1]Sheet2!$I$2:$O$449,3,FALSE)</f>
        <v>KPB2</v>
      </c>
      <c r="D30" s="7" t="s">
        <v>190</v>
      </c>
      <c r="E30" s="24" t="str">
        <f>VLOOKUP($A30,[1]Sheet2!$I$2:$O$449,5,FALSE)</f>
        <v>2026-02-05</v>
      </c>
      <c r="F30" s="19">
        <f t="shared" si="0"/>
        <v>-5</v>
      </c>
      <c r="G30" s="38" t="s">
        <v>143</v>
      </c>
      <c r="H30" s="16" t="str">
        <f>VLOOKUP($A30,[1]Sheet2!$I$2:$O$449,6,FALSE)</f>
        <v>2026-03-03</v>
      </c>
      <c r="I30" s="38" t="s">
        <v>191</v>
      </c>
      <c r="J30" s="16">
        <f>VLOOKUP($A30,[1]Sheet2!$I$2:$O$449,4,FALSE)</f>
        <v>1319</v>
      </c>
      <c r="K30" s="17">
        <f t="shared" si="1"/>
        <v>0</v>
      </c>
      <c r="L30" s="18">
        <f t="shared" si="2"/>
        <v>0</v>
      </c>
    </row>
    <row r="31" spans="1:12" x14ac:dyDescent="0.2">
      <c r="A31" s="8" t="s">
        <v>192</v>
      </c>
      <c r="B31" s="38" t="s">
        <v>25</v>
      </c>
      <c r="C31" s="16" t="str">
        <f>VLOOKUP($A31,[1]Sheet2!$I$2:$O$449,3,FALSE)</f>
        <v>KPB2</v>
      </c>
      <c r="D31" s="7" t="s">
        <v>193</v>
      </c>
      <c r="E31" s="24" t="str">
        <f>VLOOKUP($A31,[1]Sheet2!$I$2:$O$449,5,FALSE)</f>
        <v>2026-01-05</v>
      </c>
      <c r="F31" s="19">
        <f t="shared" si="0"/>
        <v>0</v>
      </c>
      <c r="G31" s="38" t="s">
        <v>110</v>
      </c>
      <c r="H31" s="16" t="str">
        <f>VLOOKUP($A31,[1]Sheet2!$I$2:$O$449,6,FALSE)</f>
        <v>2026-03-11</v>
      </c>
      <c r="I31" s="38" t="s">
        <v>194</v>
      </c>
      <c r="J31" s="16">
        <f>VLOOKUP($A31,[1]Sheet2!$I$2:$O$449,4,FALSE)</f>
        <v>1693</v>
      </c>
      <c r="K31" s="17">
        <f t="shared" si="1"/>
        <v>0</v>
      </c>
      <c r="L31" s="18">
        <f t="shared" si="2"/>
        <v>0</v>
      </c>
    </row>
    <row r="32" spans="1:12" x14ac:dyDescent="0.2">
      <c r="A32" s="8" t="s">
        <v>195</v>
      </c>
      <c r="B32" s="38" t="s">
        <v>25</v>
      </c>
      <c r="C32" s="16" t="str">
        <f>VLOOKUP($A32,[1]Sheet2!$I$2:$O$449,3,FALSE)</f>
        <v>KPB2</v>
      </c>
      <c r="D32" s="7" t="s">
        <v>196</v>
      </c>
      <c r="E32" s="24" t="str">
        <f>VLOOKUP($A32,[1]Sheet2!$I$2:$O$449,5,FALSE)</f>
        <v>2026-01-06</v>
      </c>
      <c r="F32" s="19">
        <f t="shared" si="0"/>
        <v>2</v>
      </c>
      <c r="G32" s="38" t="s">
        <v>110</v>
      </c>
      <c r="H32" s="16" t="str">
        <f>VLOOKUP($A32,[1]Sheet2!$I$2:$O$449,6,FALSE)</f>
        <v>2026-03-11</v>
      </c>
      <c r="I32" s="38" t="s">
        <v>197</v>
      </c>
      <c r="J32" s="16">
        <f>VLOOKUP($A32,[1]Sheet2!$I$2:$O$449,4,FALSE)</f>
        <v>1037</v>
      </c>
      <c r="K32" s="17">
        <f t="shared" si="1"/>
        <v>0</v>
      </c>
      <c r="L32" s="18">
        <f t="shared" si="2"/>
        <v>0</v>
      </c>
    </row>
    <row r="33" spans="1:12" x14ac:dyDescent="0.2">
      <c r="A33" s="8" t="s">
        <v>198</v>
      </c>
      <c r="B33" s="38" t="s">
        <v>25</v>
      </c>
      <c r="C33" s="16" t="str">
        <f>VLOOKUP($A33,[1]Sheet2!$I$2:$O$449,3,FALSE)</f>
        <v>KPB2</v>
      </c>
      <c r="D33" s="7" t="s">
        <v>199</v>
      </c>
      <c r="E33" s="24" t="str">
        <f>VLOOKUP($A33,[1]Sheet2!$I$2:$O$449,5,FALSE)</f>
        <v>2026-01-28</v>
      </c>
      <c r="F33" s="19">
        <f t="shared" si="0"/>
        <v>-2</v>
      </c>
      <c r="G33" s="38" t="s">
        <v>151</v>
      </c>
      <c r="H33" s="16" t="str">
        <f>VLOOKUP($A33,[1]Sheet2!$I$2:$O$449,6,FALSE)</f>
        <v>2026-03-13</v>
      </c>
      <c r="I33" s="38" t="s">
        <v>200</v>
      </c>
      <c r="J33" s="16">
        <f>VLOOKUP($A33,[1]Sheet2!$I$2:$O$449,4,FALSE)</f>
        <v>942</v>
      </c>
      <c r="K33" s="17">
        <f t="shared" si="1"/>
        <v>0</v>
      </c>
      <c r="L33" s="18">
        <f t="shared" si="2"/>
        <v>0</v>
      </c>
    </row>
    <row r="34" spans="1:12" x14ac:dyDescent="0.2">
      <c r="A34" s="47" t="s">
        <v>201</v>
      </c>
      <c r="B34" s="38" t="s">
        <v>25</v>
      </c>
      <c r="C34" s="16" t="str">
        <f>VLOOKUP($A34,[1]Sheet2!$I$2:$O$449,3,FALSE)</f>
        <v>KPB2</v>
      </c>
      <c r="D34" s="7" t="s">
        <v>168</v>
      </c>
      <c r="E34" s="24" t="str">
        <f>VLOOKUP($A34,[1]Sheet2!$I$2:$O$449,5,FALSE)</f>
        <v>2026-02-21</v>
      </c>
      <c r="F34" s="19">
        <f t="shared" si="0"/>
        <v>-5</v>
      </c>
      <c r="G34" s="38" t="s">
        <v>154</v>
      </c>
      <c r="H34" s="16" t="str">
        <f>VLOOKUP($A34,[1]Sheet2!$I$2:$O$449,6,FALSE)</f>
        <v>2026-03-14</v>
      </c>
      <c r="I34" s="38" t="s">
        <v>202</v>
      </c>
      <c r="J34" s="16">
        <f>VLOOKUP($A34,[1]Sheet2!$I$2:$O$449,4,FALSE)</f>
        <v>1297</v>
      </c>
      <c r="K34" s="17">
        <f t="shared" si="1"/>
        <v>0</v>
      </c>
      <c r="L34" s="18">
        <f t="shared" si="2"/>
        <v>0</v>
      </c>
    </row>
    <row r="35" spans="1:12" x14ac:dyDescent="0.2">
      <c r="A35" s="8" t="s">
        <v>203</v>
      </c>
      <c r="B35" s="38" t="s">
        <v>25</v>
      </c>
      <c r="C35" s="16" t="str">
        <f>VLOOKUP($A35,[1]Sheet2!$I$2:$O$449,3,FALSE)</f>
        <v>KPB2</v>
      </c>
      <c r="D35" s="7" t="s">
        <v>204</v>
      </c>
      <c r="E35" s="24" t="str">
        <f>VLOOKUP($A35,[1]Sheet2!$I$2:$O$449,5,FALSE)</f>
        <v>2025-12-15</v>
      </c>
      <c r="F35" s="19">
        <f t="shared" si="0"/>
        <v>-1</v>
      </c>
      <c r="G35" s="38" t="s">
        <v>158</v>
      </c>
      <c r="H35" s="16" t="str">
        <f>VLOOKUP($A35,[1]Sheet2!$I$2:$O$449,6,FALSE)</f>
        <v>2026-03-15</v>
      </c>
      <c r="I35" s="38" t="s">
        <v>205</v>
      </c>
      <c r="J35" s="16">
        <f>VLOOKUP($A35,[1]Sheet2!$I$2:$O$449,4,FALSE)</f>
        <v>497</v>
      </c>
      <c r="K35" s="17">
        <f t="shared" si="1"/>
        <v>0</v>
      </c>
      <c r="L35" s="18">
        <f t="shared" si="2"/>
        <v>0</v>
      </c>
    </row>
    <row r="36" spans="1:12" x14ac:dyDescent="0.2">
      <c r="A36" s="8" t="s">
        <v>206</v>
      </c>
      <c r="B36" s="38" t="s">
        <v>25</v>
      </c>
      <c r="C36" s="16" t="str">
        <f>VLOOKUP($A36,[1]Sheet2!$I$2:$O$449,3,FALSE)</f>
        <v>KPB2</v>
      </c>
      <c r="D36" s="7" t="s">
        <v>207</v>
      </c>
      <c r="E36" s="24" t="str">
        <f>VLOOKUP($A36,[1]Sheet2!$I$2:$O$449,5,FALSE)</f>
        <v>2025-11-27</v>
      </c>
      <c r="F36" s="19">
        <f t="shared" si="0"/>
        <v>0</v>
      </c>
      <c r="G36" s="38" t="s">
        <v>208</v>
      </c>
      <c r="H36" s="16" t="str">
        <f>VLOOKUP($A36,[1]Sheet2!$I$2:$O$449,6,FALSE)</f>
        <v>2026-03-18</v>
      </c>
      <c r="I36" s="38" t="s">
        <v>194</v>
      </c>
      <c r="J36" s="16">
        <f>VLOOKUP($A36,[1]Sheet2!$I$2:$O$449,4,FALSE)</f>
        <v>1693</v>
      </c>
      <c r="K36" s="17">
        <f t="shared" si="1"/>
        <v>0</v>
      </c>
      <c r="L36" s="18">
        <f t="shared" si="2"/>
        <v>0</v>
      </c>
    </row>
    <row r="37" spans="1:12" x14ac:dyDescent="0.2">
      <c r="A37" s="8" t="s">
        <v>209</v>
      </c>
      <c r="B37" s="38" t="s">
        <v>25</v>
      </c>
      <c r="C37" s="16" t="str">
        <f>VLOOKUP($A37,[1]Sheet2!$I$2:$O$449,3,FALSE)</f>
        <v>KPB2</v>
      </c>
      <c r="D37" s="7" t="s">
        <v>210</v>
      </c>
      <c r="E37" s="24" t="str">
        <f>VLOOKUP($A37,[1]Sheet2!$I$2:$O$449,5,FALSE)</f>
        <v>2025-12-31</v>
      </c>
      <c r="F37" s="19">
        <f t="shared" si="0"/>
        <v>0</v>
      </c>
      <c r="G37" s="38" t="s">
        <v>173</v>
      </c>
      <c r="H37" s="16" t="str">
        <f>VLOOKUP($A37,[1]Sheet2!$I$2:$O$449,6,FALSE)</f>
        <v>2026-03-19</v>
      </c>
      <c r="I37" s="38" t="s">
        <v>211</v>
      </c>
      <c r="J37" s="16">
        <f>VLOOKUP($A37,[1]Sheet2!$I$2:$O$449,4,FALSE)</f>
        <v>3405</v>
      </c>
      <c r="K37" s="17">
        <f t="shared" si="1"/>
        <v>0</v>
      </c>
      <c r="L37" s="18">
        <f t="shared" si="2"/>
        <v>0</v>
      </c>
    </row>
    <row r="38" spans="1:12" x14ac:dyDescent="0.2">
      <c r="A38" s="8" t="s">
        <v>212</v>
      </c>
      <c r="B38" s="38" t="s">
        <v>25</v>
      </c>
      <c r="C38" s="16" t="str">
        <f>VLOOKUP($A38,[1]Sheet2!$I$2:$O$449,3,FALSE)</f>
        <v>KPB2</v>
      </c>
      <c r="D38" s="7" t="s">
        <v>213</v>
      </c>
      <c r="E38" s="24" t="str">
        <f>VLOOKUP($A38,[1]Sheet2!$I$2:$O$449,5,FALSE)</f>
        <v>2026-01-25</v>
      </c>
      <c r="F38" s="19">
        <f t="shared" si="0"/>
        <v>-1</v>
      </c>
      <c r="G38" s="38" t="s">
        <v>173</v>
      </c>
      <c r="H38" s="16" t="str">
        <f>VLOOKUP($A38,[1]Sheet2!$I$2:$O$449,6,FALSE)</f>
        <v>2026-03-19</v>
      </c>
      <c r="I38" s="38" t="s">
        <v>214</v>
      </c>
      <c r="J38" s="16">
        <f>VLOOKUP($A38,[1]Sheet2!$I$2:$O$449,4,FALSE)</f>
        <v>1126</v>
      </c>
      <c r="K38" s="17">
        <f t="shared" si="1"/>
        <v>0</v>
      </c>
      <c r="L38" s="18">
        <f t="shared" si="2"/>
        <v>0</v>
      </c>
    </row>
    <row r="39" spans="1:12" x14ac:dyDescent="0.2">
      <c r="A39" s="25" t="s">
        <v>215</v>
      </c>
      <c r="B39" s="39" t="s">
        <v>25</v>
      </c>
      <c r="C39" s="40" t="str">
        <f>VLOOKUP($A39,[1]Sheet2!$I$2:$O$449,3,FALSE)</f>
        <v>KPB2</v>
      </c>
      <c r="D39" s="26" t="s">
        <v>216</v>
      </c>
      <c r="E39" s="27" t="str">
        <f>VLOOKUP($A39,[1]Sheet2!$I$2:$O$449,5,FALSE)</f>
        <v>2026-01-06</v>
      </c>
      <c r="F39" s="28">
        <f t="shared" si="0"/>
        <v>0</v>
      </c>
      <c r="G39" s="39" t="s">
        <v>217</v>
      </c>
      <c r="H39" s="40" t="str">
        <f>VLOOKUP($A39,[1]Sheet2!$I$2:$O$449,6,FALSE)</f>
        <v>2026-03-20</v>
      </c>
      <c r="I39" s="39" t="s">
        <v>218</v>
      </c>
      <c r="J39" s="40">
        <f>VLOOKUP($A39,[1]Sheet2!$I$2:$O$449,4,FALSE)</f>
        <v>3385</v>
      </c>
      <c r="K39" s="17">
        <f t="shared" si="1"/>
        <v>0</v>
      </c>
      <c r="L39" s="18">
        <f t="shared" si="2"/>
        <v>0</v>
      </c>
    </row>
    <row r="40" spans="1:12" x14ac:dyDescent="0.2">
      <c r="A40" s="32" t="s">
        <v>140</v>
      </c>
      <c r="B40" s="41" t="s">
        <v>25</v>
      </c>
      <c r="C40" s="16" t="s">
        <v>795</v>
      </c>
      <c r="D40" s="19" t="s">
        <v>137</v>
      </c>
      <c r="E40" s="24" t="str">
        <f>VLOOKUP($A40,[1]Sheet2!$I$2:$O$449,5,FALSE)</f>
        <v>2026-02-24</v>
      </c>
      <c r="F40" s="19">
        <f t="shared" si="0"/>
        <v>0</v>
      </c>
      <c r="G40" s="41" t="s">
        <v>219</v>
      </c>
      <c r="H40" s="16" t="s">
        <v>796</v>
      </c>
      <c r="I40" s="41" t="s">
        <v>220</v>
      </c>
      <c r="J40" s="16">
        <v>1635</v>
      </c>
      <c r="K40" s="17">
        <f t="shared" si="1"/>
        <v>0</v>
      </c>
      <c r="L40" s="18">
        <f t="shared" si="2"/>
        <v>0</v>
      </c>
    </row>
    <row r="41" spans="1:12" x14ac:dyDescent="0.2">
      <c r="A41" s="29" t="s">
        <v>221</v>
      </c>
      <c r="B41" s="42" t="s">
        <v>35</v>
      </c>
      <c r="C41" s="43" t="str">
        <f>VLOOKUP($A41,[1]Sheet2!$I$2:$O$449,3,FALSE)</f>
        <v>KPB3</v>
      </c>
      <c r="D41" s="23" t="s">
        <v>222</v>
      </c>
      <c r="E41" s="30" t="str">
        <f>VLOOKUP($A41,[1]Sheet2!$I$2:$O$449,5,FALSE)</f>
        <v>2025-07-08</v>
      </c>
      <c r="F41" s="31">
        <f t="shared" si="0"/>
        <v>1</v>
      </c>
      <c r="G41" s="42" t="s">
        <v>98</v>
      </c>
      <c r="H41" s="43" t="str">
        <f>VLOOKUP($A41,[1]Sheet2!$I$2:$O$449,6,FALSE)</f>
        <v>2026-03-02</v>
      </c>
      <c r="I41" s="42" t="s">
        <v>223</v>
      </c>
      <c r="J41" s="43">
        <f>VLOOKUP($A41,[1]Sheet2!$I$2:$O$449,4,FALSE)</f>
        <v>3047</v>
      </c>
      <c r="K41" s="17">
        <f t="shared" si="1"/>
        <v>0</v>
      </c>
      <c r="L41" s="18">
        <f t="shared" si="2"/>
        <v>0</v>
      </c>
    </row>
    <row r="42" spans="1:12" x14ac:dyDescent="0.2">
      <c r="A42" s="8" t="s">
        <v>224</v>
      </c>
      <c r="B42" s="38" t="s">
        <v>35</v>
      </c>
      <c r="C42" s="16" t="str">
        <f>VLOOKUP($A42,[1]Sheet2!$I$2:$O$449,3,FALSE)</f>
        <v>KPB3</v>
      </c>
      <c r="D42" s="7" t="s">
        <v>225</v>
      </c>
      <c r="E42" s="24" t="str">
        <f>VLOOKUP($A42,[1]Sheet2!$I$2:$O$449,5,FALSE)</f>
        <v>2025-07-19</v>
      </c>
      <c r="F42" s="19">
        <f t="shared" si="0"/>
        <v>-1</v>
      </c>
      <c r="G42" s="38" t="s">
        <v>143</v>
      </c>
      <c r="H42" s="16" t="str">
        <f>VLOOKUP($A42,[1]Sheet2!$I$2:$O$449,6,FALSE)</f>
        <v>2026-03-03</v>
      </c>
      <c r="I42" s="38" t="s">
        <v>226</v>
      </c>
      <c r="J42" s="16">
        <f>VLOOKUP($A42,[1]Sheet2!$I$2:$O$449,4,FALSE)</f>
        <v>6517</v>
      </c>
      <c r="K42" s="17">
        <f t="shared" si="1"/>
        <v>0</v>
      </c>
      <c r="L42" s="18">
        <f t="shared" si="2"/>
        <v>0</v>
      </c>
    </row>
    <row r="43" spans="1:12" x14ac:dyDescent="0.2">
      <c r="A43" s="8" t="s">
        <v>227</v>
      </c>
      <c r="B43" s="38" t="s">
        <v>35</v>
      </c>
      <c r="C43" s="16" t="str">
        <f>VLOOKUP($A43,[1]Sheet2!$I$2:$O$449,3,FALSE)</f>
        <v>KPB3</v>
      </c>
      <c r="D43" s="7" t="s">
        <v>228</v>
      </c>
      <c r="E43" s="24" t="str">
        <f>VLOOKUP($A43,[1]Sheet2!$I$2:$O$449,5,FALSE)</f>
        <v>2025-11-05</v>
      </c>
      <c r="F43" s="19">
        <f t="shared" si="0"/>
        <v>-1</v>
      </c>
      <c r="G43" s="38" t="s">
        <v>113</v>
      </c>
      <c r="H43" s="16" t="str">
        <f>VLOOKUP($A43,[1]Sheet2!$I$2:$O$449,6,FALSE)</f>
        <v>2026-03-04</v>
      </c>
      <c r="I43" s="38" t="s">
        <v>229</v>
      </c>
      <c r="J43" s="16">
        <f>VLOOKUP($A43,[1]Sheet2!$I$2:$O$449,4,FALSE)</f>
        <v>5593</v>
      </c>
      <c r="K43" s="17">
        <f t="shared" si="1"/>
        <v>0</v>
      </c>
      <c r="L43" s="18">
        <f t="shared" si="2"/>
        <v>0</v>
      </c>
    </row>
    <row r="44" spans="1:12" x14ac:dyDescent="0.2">
      <c r="A44" s="8" t="s">
        <v>230</v>
      </c>
      <c r="B44" s="38" t="s">
        <v>35</v>
      </c>
      <c r="C44" s="16" t="str">
        <f>VLOOKUP($A44,[1]Sheet2!$I$2:$O$449,3,FALSE)</f>
        <v>KPB3</v>
      </c>
      <c r="D44" s="7" t="s">
        <v>231</v>
      </c>
      <c r="E44" s="24" t="str">
        <f>VLOOKUP($A44,[1]Sheet2!$I$2:$O$449,5,FALSE)</f>
        <v>2025-09-03</v>
      </c>
      <c r="F44" s="19">
        <f t="shared" si="0"/>
        <v>0</v>
      </c>
      <c r="G44" s="38" t="s">
        <v>232</v>
      </c>
      <c r="H44" s="16" t="str">
        <f>VLOOKUP($A44,[1]Sheet2!$I$2:$O$449,6,FALSE)</f>
        <v>2026-03-07</v>
      </c>
      <c r="I44" s="38" t="s">
        <v>233</v>
      </c>
      <c r="J44" s="16">
        <f>VLOOKUP($A44,[1]Sheet2!$I$2:$O$449,4,FALSE)</f>
        <v>3316</v>
      </c>
      <c r="K44" s="17">
        <f t="shared" si="1"/>
        <v>0</v>
      </c>
      <c r="L44" s="18">
        <f t="shared" si="2"/>
        <v>0</v>
      </c>
    </row>
    <row r="45" spans="1:12" x14ac:dyDescent="0.2">
      <c r="A45" s="8" t="s">
        <v>234</v>
      </c>
      <c r="B45" s="38" t="s">
        <v>35</v>
      </c>
      <c r="C45" s="16" t="str">
        <f>VLOOKUP($A45,[1]Sheet2!$I$2:$O$449,3,FALSE)</f>
        <v>KPB3</v>
      </c>
      <c r="D45" s="7" t="s">
        <v>235</v>
      </c>
      <c r="E45" s="24" t="str">
        <f>VLOOKUP($A45,[1]Sheet2!$I$2:$O$449,5,FALSE)</f>
        <v>2025-08-15</v>
      </c>
      <c r="F45" s="19">
        <f t="shared" si="0"/>
        <v>0</v>
      </c>
      <c r="G45" s="38" t="s">
        <v>173</v>
      </c>
      <c r="H45" s="16" t="str">
        <f>VLOOKUP($A45,[1]Sheet2!$I$2:$O$449,6,FALSE)</f>
        <v>2026-03-19</v>
      </c>
      <c r="I45" s="38" t="s">
        <v>236</v>
      </c>
      <c r="J45" s="16">
        <f>VLOOKUP($A45,[1]Sheet2!$I$2:$O$449,4,FALSE)</f>
        <v>7074</v>
      </c>
      <c r="K45" s="17">
        <f t="shared" si="1"/>
        <v>0</v>
      </c>
      <c r="L45" s="18">
        <f t="shared" si="2"/>
        <v>0</v>
      </c>
    </row>
    <row r="46" spans="1:12" x14ac:dyDescent="0.2">
      <c r="A46" s="8" t="s">
        <v>237</v>
      </c>
      <c r="B46" s="38" t="s">
        <v>30</v>
      </c>
      <c r="C46" s="16" t="str">
        <f>VLOOKUP($A46,[1]Sheet2!$I$2:$O$449,3,FALSE)</f>
        <v>KPB4</v>
      </c>
      <c r="D46" s="7" t="s">
        <v>238</v>
      </c>
      <c r="E46" s="24" t="str">
        <f>VLOOKUP($A46,[1]Sheet2!$I$2:$O$449,5,FALSE)</f>
        <v>2025-06-16</v>
      </c>
      <c r="F46" s="19">
        <f t="shared" si="0"/>
        <v>0</v>
      </c>
      <c r="G46" s="38" t="s">
        <v>148</v>
      </c>
      <c r="H46" s="16" t="str">
        <f>VLOOKUP($A46,[1]Sheet2!$I$2:$O$449,6,FALSE)</f>
        <v>2026-03-12</v>
      </c>
      <c r="I46" s="38" t="s">
        <v>239</v>
      </c>
      <c r="J46" s="16">
        <f>VLOOKUP($A46,[1]Sheet2!$I$2:$O$449,4,FALSE)</f>
        <v>4320</v>
      </c>
      <c r="K46" s="17">
        <f t="shared" si="1"/>
        <v>0</v>
      </c>
      <c r="L46" s="18">
        <f t="shared" si="2"/>
        <v>0</v>
      </c>
    </row>
    <row r="47" spans="1:12" x14ac:dyDescent="0.2">
      <c r="A47" s="8" t="s">
        <v>240</v>
      </c>
      <c r="B47" s="38" t="s">
        <v>30</v>
      </c>
      <c r="C47" s="16" t="str">
        <f>VLOOKUP($A47,[1]Sheet2!$I$2:$O$449,3,FALSE)</f>
        <v>KPB4</v>
      </c>
      <c r="D47" s="7" t="s">
        <v>241</v>
      </c>
      <c r="E47" s="24" t="str">
        <f>VLOOKUP($A47,[1]Sheet2!$I$2:$O$449,5,FALSE)</f>
        <v>2025-06-04</v>
      </c>
      <c r="F47" s="19">
        <f t="shared" si="0"/>
        <v>0</v>
      </c>
      <c r="G47" s="38" t="s">
        <v>151</v>
      </c>
      <c r="H47" s="16" t="str">
        <f>VLOOKUP($A47,[1]Sheet2!$I$2:$O$449,6,FALSE)</f>
        <v>2026-03-13</v>
      </c>
      <c r="I47" s="38" t="s">
        <v>242</v>
      </c>
      <c r="J47" s="16">
        <f>VLOOKUP($A47,[1]Sheet2!$I$2:$O$449,4,FALSE)</f>
        <v>2712</v>
      </c>
      <c r="K47" s="17">
        <f t="shared" si="1"/>
        <v>0</v>
      </c>
      <c r="L47" s="18">
        <f t="shared" si="2"/>
        <v>0</v>
      </c>
    </row>
    <row r="48" spans="1:12" x14ac:dyDescent="0.2">
      <c r="A48" s="8" t="s">
        <v>243</v>
      </c>
      <c r="B48" s="38" t="s">
        <v>30</v>
      </c>
      <c r="C48" s="16" t="str">
        <f>VLOOKUP($A48,[1]Sheet2!$I$2:$O$449,3,FALSE)</f>
        <v>KPB4</v>
      </c>
      <c r="D48" s="7" t="s">
        <v>244</v>
      </c>
      <c r="E48" s="24" t="str">
        <f>VLOOKUP($A48,[1]Sheet2!$I$2:$O$449,5,FALSE)</f>
        <v>2025-03-22</v>
      </c>
      <c r="F48" s="19">
        <f t="shared" si="0"/>
        <v>2</v>
      </c>
      <c r="G48" s="38" t="s">
        <v>118</v>
      </c>
      <c r="H48" s="16" t="str">
        <f>VLOOKUP($A48,[1]Sheet2!$I$2:$O$449,6,FALSE)</f>
        <v>2026-03-30</v>
      </c>
      <c r="I48" s="38" t="s">
        <v>245</v>
      </c>
      <c r="J48" s="16">
        <f>VLOOKUP($A48,[1]Sheet2!$I$2:$O$449,4,FALSE)</f>
        <v>8527</v>
      </c>
      <c r="K48" s="17">
        <f t="shared" si="1"/>
        <v>0</v>
      </c>
      <c r="L48" s="18">
        <f t="shared" si="2"/>
        <v>0</v>
      </c>
    </row>
    <row r="49" spans="1:12" x14ac:dyDescent="0.2">
      <c r="A49" s="8" t="s">
        <v>246</v>
      </c>
      <c r="B49" s="38" t="s">
        <v>30</v>
      </c>
      <c r="C49" s="16" t="str">
        <f>VLOOKUP($A49,[1]Sheet2!$I$2:$O$449,3,FALSE)</f>
        <v>KPB4</v>
      </c>
      <c r="D49" s="7" t="s">
        <v>247</v>
      </c>
      <c r="E49" s="24" t="str">
        <f>VLOOKUP($A49,[1]Sheet2!$I$2:$O$449,5,FALSE)</f>
        <v>2025-06-12</v>
      </c>
      <c r="F49" s="19">
        <f t="shared" si="0"/>
        <v>-1</v>
      </c>
      <c r="G49" s="38" t="s">
        <v>187</v>
      </c>
      <c r="H49" s="16" t="str">
        <f>VLOOKUP($A49,[1]Sheet2!$I$2:$O$449,6,FALSE)</f>
        <v>2026-03-31</v>
      </c>
      <c r="I49" s="38" t="s">
        <v>248</v>
      </c>
      <c r="J49" s="16">
        <f>VLOOKUP($A49,[1]Sheet2!$I$2:$O$449,4,FALSE)</f>
        <v>8316</v>
      </c>
      <c r="K49" s="17">
        <f t="shared" si="1"/>
        <v>0</v>
      </c>
      <c r="L49" s="18">
        <f t="shared" si="2"/>
        <v>0</v>
      </c>
    </row>
    <row r="50" spans="1:12" x14ac:dyDescent="0.2">
      <c r="A50" s="8" t="s">
        <v>249</v>
      </c>
      <c r="B50" s="38" t="s">
        <v>15</v>
      </c>
      <c r="C50" s="16" t="str">
        <f>VLOOKUP($A50,[1]Sheet2!$I$2:$O$449,3,FALSE)</f>
        <v>KPB1</v>
      </c>
      <c r="D50" s="7" t="s">
        <v>250</v>
      </c>
      <c r="E50" s="24" t="str">
        <f>VLOOKUP($A50,[1]Sheet2!$I$2:$O$449,5,FALSE)</f>
        <v>2026-02-16</v>
      </c>
      <c r="F50" s="19">
        <f t="shared" si="0"/>
        <v>-1</v>
      </c>
      <c r="G50" s="38" t="s">
        <v>158</v>
      </c>
      <c r="H50" s="16" t="str">
        <f>VLOOKUP($A50,[1]Sheet2!$I$2:$O$449,6,FALSE)</f>
        <v>2026-03-15</v>
      </c>
      <c r="I50" s="38" t="s">
        <v>251</v>
      </c>
      <c r="J50" s="16">
        <f>VLOOKUP($A50,[1]Sheet2!$I$2:$O$449,4,FALSE)</f>
        <v>750</v>
      </c>
      <c r="K50" s="17">
        <f t="shared" si="1"/>
        <v>0</v>
      </c>
      <c r="L50" s="18">
        <f t="shared" si="2"/>
        <v>0</v>
      </c>
    </row>
    <row r="51" spans="1:12" x14ac:dyDescent="0.2">
      <c r="A51" s="8" t="s">
        <v>252</v>
      </c>
      <c r="B51" s="38" t="s">
        <v>15</v>
      </c>
      <c r="C51" s="16" t="str">
        <f>VLOOKUP($A51,[1]Sheet2!$I$2:$O$449,3,FALSE)</f>
        <v>KPB1</v>
      </c>
      <c r="D51" s="7" t="s">
        <v>253</v>
      </c>
      <c r="E51" s="24" t="str">
        <f>VLOOKUP($A51,[1]Sheet2!$I$2:$O$449,5,FALSE)</f>
        <v>2026-01-14</v>
      </c>
      <c r="F51" s="19">
        <f t="shared" si="0"/>
        <v>0</v>
      </c>
      <c r="G51" s="38" t="s">
        <v>102</v>
      </c>
      <c r="H51" s="16" t="str">
        <f>VLOOKUP($A51,[1]Sheet2!$I$2:$O$449,6,FALSE)</f>
        <v>2026-03-05</v>
      </c>
      <c r="I51" s="38" t="s">
        <v>254</v>
      </c>
      <c r="J51" s="16">
        <f>VLOOKUP($A51,[1]Sheet2!$I$2:$O$449,4,FALSE)</f>
        <v>426</v>
      </c>
      <c r="K51" s="17">
        <f t="shared" si="1"/>
        <v>0</v>
      </c>
      <c r="L51" s="18">
        <f t="shared" si="2"/>
        <v>0</v>
      </c>
    </row>
    <row r="52" spans="1:12" x14ac:dyDescent="0.2">
      <c r="A52" s="8" t="s">
        <v>255</v>
      </c>
      <c r="B52" s="38" t="s">
        <v>15</v>
      </c>
      <c r="C52" s="16" t="str">
        <f>VLOOKUP($A52,[1]Sheet2!$I$2:$O$449,3,FALSE)</f>
        <v>KPB1</v>
      </c>
      <c r="D52" s="7" t="s">
        <v>256</v>
      </c>
      <c r="E52" s="24" t="str">
        <f>VLOOKUP($A52,[1]Sheet2!$I$2:$O$449,5,FALSE)</f>
        <v>2026-01-21</v>
      </c>
      <c r="F52" s="19">
        <f t="shared" si="0"/>
        <v>0</v>
      </c>
      <c r="G52" s="38" t="s">
        <v>208</v>
      </c>
      <c r="H52" s="16" t="str">
        <f>VLOOKUP($A52,[1]Sheet2!$I$2:$O$449,6,FALSE)</f>
        <v>2026-03-18</v>
      </c>
      <c r="I52" s="38" t="s">
        <v>257</v>
      </c>
      <c r="J52" s="16">
        <f>VLOOKUP($A52,[1]Sheet2!$I$2:$O$449,4,FALSE)</f>
        <v>89</v>
      </c>
      <c r="K52" s="17">
        <f t="shared" si="1"/>
        <v>0</v>
      </c>
      <c r="L52" s="18">
        <f t="shared" si="2"/>
        <v>0</v>
      </c>
    </row>
    <row r="53" spans="1:12" x14ac:dyDescent="0.2">
      <c r="A53" s="8" t="s">
        <v>258</v>
      </c>
      <c r="B53" s="38" t="s">
        <v>25</v>
      </c>
      <c r="C53" s="16" t="str">
        <f>VLOOKUP($A53,[1]Sheet2!$I$2:$O$449,3,FALSE)</f>
        <v>KPB2</v>
      </c>
      <c r="D53" s="7" t="s">
        <v>259</v>
      </c>
      <c r="E53" s="24" t="str">
        <f>VLOOKUP($A53,[1]Sheet2!$I$2:$O$449,5,FALSE)</f>
        <v>2026-02-11</v>
      </c>
      <c r="F53" s="19">
        <f t="shared" si="0"/>
        <v>2</v>
      </c>
      <c r="G53" s="38" t="s">
        <v>118</v>
      </c>
      <c r="H53" s="16" t="str">
        <f>VLOOKUP($A53,[1]Sheet2!$I$2:$O$449,6,FALSE)</f>
        <v>2026-03-30</v>
      </c>
      <c r="I53" s="38" t="s">
        <v>260</v>
      </c>
      <c r="J53" s="16">
        <f>VLOOKUP($A53,[1]Sheet2!$I$2:$O$449,4,FALSE)</f>
        <v>2734</v>
      </c>
      <c r="K53" s="17">
        <f t="shared" si="1"/>
        <v>0</v>
      </c>
      <c r="L53" s="18">
        <f t="shared" si="2"/>
        <v>0</v>
      </c>
    </row>
    <row r="54" spans="1:12" x14ac:dyDescent="0.2">
      <c r="A54" s="8" t="s">
        <v>261</v>
      </c>
      <c r="B54" s="38" t="s">
        <v>15</v>
      </c>
      <c r="C54" s="16" t="str">
        <f>VLOOKUP($A54,[1]Sheet2!$I$2:$O$449,3,FALSE)</f>
        <v>KPB1</v>
      </c>
      <c r="D54" s="7" t="s">
        <v>168</v>
      </c>
      <c r="E54" s="24" t="str">
        <f>VLOOKUP($A54,[1]Sheet2!$I$2:$O$449,5,FALSE)</f>
        <v>2026-02-16</v>
      </c>
      <c r="F54" s="19">
        <f t="shared" si="0"/>
        <v>0</v>
      </c>
      <c r="G54" s="38" t="s">
        <v>98</v>
      </c>
      <c r="H54" s="16" t="str">
        <f>VLOOKUP($A54,[1]Sheet2!$I$2:$O$449,6,FALSE)</f>
        <v>2026-03-02</v>
      </c>
      <c r="I54" s="38" t="s">
        <v>262</v>
      </c>
      <c r="J54" s="16">
        <f>VLOOKUP($A54,[1]Sheet2!$I$2:$O$449,4,FALSE)</f>
        <v>918</v>
      </c>
      <c r="K54" s="17">
        <f t="shared" si="1"/>
        <v>0</v>
      </c>
      <c r="L54" s="18">
        <f t="shared" si="2"/>
        <v>0</v>
      </c>
    </row>
    <row r="55" spans="1:12" x14ac:dyDescent="0.2">
      <c r="A55" s="8" t="s">
        <v>263</v>
      </c>
      <c r="B55" s="38" t="s">
        <v>15</v>
      </c>
      <c r="C55" s="16" t="str">
        <f>VLOOKUP($A55,[1]Sheet2!$I$2:$O$449,3,FALSE)</f>
        <v>KPB1</v>
      </c>
      <c r="D55" s="7" t="s">
        <v>147</v>
      </c>
      <c r="E55" s="24" t="str">
        <f>VLOOKUP($A55,[1]Sheet2!$I$2:$O$449,5,FALSE)</f>
        <v>2026-02-12</v>
      </c>
      <c r="F55" s="19">
        <f t="shared" si="0"/>
        <v>0</v>
      </c>
      <c r="G55" s="38" t="s">
        <v>143</v>
      </c>
      <c r="H55" s="16" t="str">
        <f>VLOOKUP($A55,[1]Sheet2!$I$2:$O$449,6,FALSE)</f>
        <v>2026-03-03</v>
      </c>
      <c r="I55" s="38" t="s">
        <v>264</v>
      </c>
      <c r="J55" s="16">
        <f>VLOOKUP($A55,[1]Sheet2!$I$2:$O$449,4,FALSE)</f>
        <v>1158</v>
      </c>
      <c r="K55" s="17">
        <f t="shared" si="1"/>
        <v>0</v>
      </c>
      <c r="L55" s="18">
        <f t="shared" si="2"/>
        <v>0</v>
      </c>
    </row>
    <row r="56" spans="1:12" x14ac:dyDescent="0.2">
      <c r="A56" s="8" t="s">
        <v>265</v>
      </c>
      <c r="B56" s="38" t="s">
        <v>15</v>
      </c>
      <c r="C56" s="16" t="str">
        <f>VLOOKUP($A56,[1]Sheet2!$I$2:$O$449,3,FALSE)</f>
        <v>KPB1</v>
      </c>
      <c r="D56" s="7" t="s">
        <v>266</v>
      </c>
      <c r="E56" s="24" t="str">
        <f>VLOOKUP($A56,[1]Sheet2!$I$2:$O$449,5,FALSE)</f>
        <v>2026-02-04</v>
      </c>
      <c r="F56" s="19">
        <f t="shared" si="0"/>
        <v>-1</v>
      </c>
      <c r="G56" s="38" t="s">
        <v>106</v>
      </c>
      <c r="H56" s="16" t="str">
        <f>VLOOKUP($A56,[1]Sheet2!$I$2:$O$449,6,FALSE)</f>
        <v>2026-03-06</v>
      </c>
      <c r="I56" s="38" t="s">
        <v>267</v>
      </c>
      <c r="J56" s="16">
        <f>VLOOKUP($A56,[1]Sheet2!$I$2:$O$449,4,FALSE)</f>
        <v>238</v>
      </c>
      <c r="K56" s="17">
        <f t="shared" si="1"/>
        <v>0</v>
      </c>
      <c r="L56" s="18">
        <f t="shared" si="2"/>
        <v>0</v>
      </c>
    </row>
    <row r="57" spans="1:12" x14ac:dyDescent="0.2">
      <c r="A57" s="47" t="s">
        <v>268</v>
      </c>
      <c r="B57" s="38" t="s">
        <v>15</v>
      </c>
      <c r="C57" s="16" t="str">
        <f>VLOOKUP($A57,[1]Sheet2!$I$2:$O$449,3,FALSE)</f>
        <v>KPB1</v>
      </c>
      <c r="D57" s="7" t="s">
        <v>105</v>
      </c>
      <c r="E57" s="24" t="str">
        <f>VLOOKUP($A57,[1]Sheet2!$I$2:$O$449,5,FALSE)</f>
        <v>2026-02-16</v>
      </c>
      <c r="F57" s="19">
        <f t="shared" si="0"/>
        <v>7</v>
      </c>
      <c r="G57" s="38" t="s">
        <v>106</v>
      </c>
      <c r="H57" s="16" t="str">
        <f>VLOOKUP($A57,[1]Sheet2!$I$2:$O$449,6,FALSE)</f>
        <v>2026-03-06</v>
      </c>
      <c r="I57" s="38" t="s">
        <v>269</v>
      </c>
      <c r="J57" s="16">
        <f>VLOOKUP($A57,[1]Sheet2!$I$2:$O$449,4,FALSE)</f>
        <v>943</v>
      </c>
      <c r="K57" s="17">
        <f t="shared" si="1"/>
        <v>0</v>
      </c>
      <c r="L57" s="18">
        <f t="shared" si="2"/>
        <v>0</v>
      </c>
    </row>
    <row r="58" spans="1:12" x14ac:dyDescent="0.2">
      <c r="A58" s="8" t="s">
        <v>270</v>
      </c>
      <c r="B58" s="38" t="s">
        <v>15</v>
      </c>
      <c r="C58" s="16" t="str">
        <f>VLOOKUP($A58,[1]Sheet2!$I$2:$O$449,3,FALSE)</f>
        <v>KPB1</v>
      </c>
      <c r="D58" s="7" t="s">
        <v>210</v>
      </c>
      <c r="E58" s="24" t="str">
        <f>VLOOKUP($A58,[1]Sheet2!$I$2:$O$449,5,FALSE)</f>
        <v>2025-12-31</v>
      </c>
      <c r="F58" s="19">
        <f t="shared" si="0"/>
        <v>0</v>
      </c>
      <c r="G58" s="38" t="s">
        <v>232</v>
      </c>
      <c r="H58" s="16" t="str">
        <f>VLOOKUP($A58,[1]Sheet2!$I$2:$O$449,6,FALSE)</f>
        <v>2026-03-07</v>
      </c>
      <c r="I58" s="38" t="s">
        <v>271</v>
      </c>
      <c r="J58" s="16">
        <f>VLOOKUP($A58,[1]Sheet2!$I$2:$O$449,4,FALSE)</f>
        <v>543</v>
      </c>
      <c r="K58" s="17">
        <f t="shared" si="1"/>
        <v>0</v>
      </c>
      <c r="L58" s="18">
        <f t="shared" si="2"/>
        <v>0</v>
      </c>
    </row>
    <row r="59" spans="1:12" x14ac:dyDescent="0.2">
      <c r="A59" s="8" t="s">
        <v>272</v>
      </c>
      <c r="B59" s="38" t="s">
        <v>15</v>
      </c>
      <c r="C59" s="16" t="str">
        <f>VLOOKUP($A59,[1]Sheet2!$I$2:$O$449,3,FALSE)</f>
        <v>KPB1</v>
      </c>
      <c r="D59" s="7" t="s">
        <v>147</v>
      </c>
      <c r="E59" s="24" t="str">
        <f>VLOOKUP($A59,[1]Sheet2!$I$2:$O$449,5,FALSE)</f>
        <v>2026-02-11</v>
      </c>
      <c r="F59" s="19">
        <f t="shared" si="0"/>
        <v>1</v>
      </c>
      <c r="G59" s="38" t="s">
        <v>144</v>
      </c>
      <c r="H59" s="16" t="str">
        <f>VLOOKUP($A59,[1]Sheet2!$I$2:$O$449,6,FALSE)</f>
        <v>2026-03-10</v>
      </c>
      <c r="I59" s="38" t="s">
        <v>273</v>
      </c>
      <c r="J59" s="16">
        <f>VLOOKUP($A59,[1]Sheet2!$I$2:$O$449,4,FALSE)</f>
        <v>1034</v>
      </c>
      <c r="K59" s="17">
        <f t="shared" si="1"/>
        <v>0</v>
      </c>
      <c r="L59" s="18">
        <f t="shared" si="2"/>
        <v>0</v>
      </c>
    </row>
    <row r="60" spans="1:12" x14ac:dyDescent="0.2">
      <c r="A60" s="8" t="s">
        <v>274</v>
      </c>
      <c r="B60" s="38" t="s">
        <v>15</v>
      </c>
      <c r="C60" s="16" t="str">
        <f>VLOOKUP($A60,[1]Sheet2!$I$2:$O$449,3,FALSE)</f>
        <v>KPB1</v>
      </c>
      <c r="D60" s="7" t="s">
        <v>275</v>
      </c>
      <c r="E60" s="24" t="str">
        <f>VLOOKUP($A60,[1]Sheet2!$I$2:$O$449,5,FALSE)</f>
        <v>2026-02-18</v>
      </c>
      <c r="F60" s="19">
        <f t="shared" si="0"/>
        <v>0</v>
      </c>
      <c r="G60" s="38" t="s">
        <v>144</v>
      </c>
      <c r="H60" s="16" t="str">
        <f>VLOOKUP($A60,[1]Sheet2!$I$2:$O$449,6,FALSE)</f>
        <v>2026-03-10</v>
      </c>
      <c r="I60" s="38" t="s">
        <v>271</v>
      </c>
      <c r="J60" s="16">
        <f>VLOOKUP($A60,[1]Sheet2!$I$2:$O$449,4,FALSE)</f>
        <v>543</v>
      </c>
      <c r="K60" s="17">
        <f t="shared" si="1"/>
        <v>0</v>
      </c>
      <c r="L60" s="18">
        <f t="shared" si="2"/>
        <v>0</v>
      </c>
    </row>
    <row r="61" spans="1:12" x14ac:dyDescent="0.2">
      <c r="A61" s="8" t="s">
        <v>276</v>
      </c>
      <c r="B61" s="38" t="s">
        <v>15</v>
      </c>
      <c r="C61" s="16" t="str">
        <f>VLOOKUP($A61,[1]Sheet2!$I$2:$O$449,3,FALSE)</f>
        <v>KPB1</v>
      </c>
      <c r="D61" s="7" t="s">
        <v>259</v>
      </c>
      <c r="E61" s="24" t="str">
        <f>VLOOKUP($A61,[1]Sheet2!$I$2:$O$449,5,FALSE)</f>
        <v>2026-02-14</v>
      </c>
      <c r="F61" s="19">
        <f t="shared" si="0"/>
        <v>-1</v>
      </c>
      <c r="G61" s="38" t="s">
        <v>148</v>
      </c>
      <c r="H61" s="16" t="str">
        <f>VLOOKUP($A61,[1]Sheet2!$I$2:$O$449,6,FALSE)</f>
        <v>2026-03-12</v>
      </c>
      <c r="I61" s="38" t="s">
        <v>277</v>
      </c>
      <c r="J61" s="16">
        <f>VLOOKUP($A61,[1]Sheet2!$I$2:$O$449,4,FALSE)</f>
        <v>186</v>
      </c>
      <c r="K61" s="17">
        <f t="shared" si="1"/>
        <v>0</v>
      </c>
      <c r="L61" s="18">
        <f t="shared" si="2"/>
        <v>0</v>
      </c>
    </row>
    <row r="62" spans="1:12" x14ac:dyDescent="0.2">
      <c r="A62" s="8" t="s">
        <v>278</v>
      </c>
      <c r="B62" s="38" t="s">
        <v>15</v>
      </c>
      <c r="C62" s="16" t="str">
        <f>VLOOKUP($A62,[1]Sheet2!$I$2:$O$449,3,FALSE)</f>
        <v>KPB1</v>
      </c>
      <c r="D62" s="7" t="s">
        <v>168</v>
      </c>
      <c r="E62" s="24" t="str">
        <f>VLOOKUP($A62,[1]Sheet2!$I$2:$O$449,5,FALSE)</f>
        <v>2026-02-14</v>
      </c>
      <c r="F62" s="19">
        <f t="shared" si="0"/>
        <v>2</v>
      </c>
      <c r="G62" s="38" t="s">
        <v>151</v>
      </c>
      <c r="H62" s="16" t="str">
        <f>VLOOKUP($A62,[1]Sheet2!$I$2:$O$449,6,FALSE)</f>
        <v>2026-03-13</v>
      </c>
      <c r="I62" s="38" t="s">
        <v>279</v>
      </c>
      <c r="J62" s="16">
        <f>VLOOKUP($A62,[1]Sheet2!$I$2:$O$449,4,FALSE)</f>
        <v>478</v>
      </c>
      <c r="K62" s="17">
        <f t="shared" si="1"/>
        <v>0</v>
      </c>
      <c r="L62" s="18">
        <f t="shared" si="2"/>
        <v>0</v>
      </c>
    </row>
    <row r="63" spans="1:12" x14ac:dyDescent="0.2">
      <c r="A63" s="8" t="s">
        <v>280</v>
      </c>
      <c r="B63" s="38" t="s">
        <v>15</v>
      </c>
      <c r="C63" s="16" t="str">
        <f>VLOOKUP($A63,[1]Sheet2!$I$2:$O$449,3,FALSE)</f>
        <v>KPB1</v>
      </c>
      <c r="D63" s="7" t="s">
        <v>138</v>
      </c>
      <c r="E63" s="24" t="str">
        <f>VLOOKUP($A63,[1]Sheet2!$I$2:$O$449,5,FALSE)</f>
        <v>2026-03-09</v>
      </c>
      <c r="F63" s="19">
        <f t="shared" si="0"/>
        <v>0</v>
      </c>
      <c r="G63" s="38" t="s">
        <v>151</v>
      </c>
      <c r="H63" s="16" t="str">
        <f>VLOOKUP($A63,[1]Sheet2!$I$2:$O$449,6,FALSE)</f>
        <v>2026-03-13</v>
      </c>
      <c r="I63" s="38" t="s">
        <v>281</v>
      </c>
      <c r="J63" s="16">
        <f>VLOOKUP($A63,[1]Sheet2!$I$2:$O$449,4,FALSE)</f>
        <v>175</v>
      </c>
      <c r="K63" s="17">
        <f t="shared" si="1"/>
        <v>0</v>
      </c>
      <c r="L63" s="18">
        <f t="shared" si="2"/>
        <v>0</v>
      </c>
    </row>
    <row r="64" spans="1:12" x14ac:dyDescent="0.2">
      <c r="A64" s="8" t="s">
        <v>282</v>
      </c>
      <c r="B64" s="38" t="s">
        <v>15</v>
      </c>
      <c r="C64" s="16" t="str">
        <f>VLOOKUP($A64,[1]Sheet2!$I$2:$O$449,3,FALSE)</f>
        <v>KPB1</v>
      </c>
      <c r="D64" s="7" t="s">
        <v>97</v>
      </c>
      <c r="E64" s="24" t="str">
        <f>VLOOKUP($A64,[1]Sheet2!$I$2:$O$449,5,FALSE)</f>
        <v>2026-02-14</v>
      </c>
      <c r="F64" s="19">
        <f t="shared" si="0"/>
        <v>0</v>
      </c>
      <c r="G64" s="38" t="s">
        <v>162</v>
      </c>
      <c r="H64" s="16" t="str">
        <f>VLOOKUP($A64,[1]Sheet2!$I$2:$O$449,6,FALSE)</f>
        <v>2026-03-16</v>
      </c>
      <c r="I64" s="38" t="s">
        <v>283</v>
      </c>
      <c r="J64" s="16">
        <f>VLOOKUP($A64,[1]Sheet2!$I$2:$O$449,4,FALSE)</f>
        <v>451</v>
      </c>
      <c r="K64" s="17">
        <f t="shared" si="1"/>
        <v>0</v>
      </c>
      <c r="L64" s="18">
        <f t="shared" si="2"/>
        <v>0</v>
      </c>
    </row>
    <row r="65" spans="1:12" x14ac:dyDescent="0.2">
      <c r="A65" s="8" t="s">
        <v>284</v>
      </c>
      <c r="B65" s="38" t="s">
        <v>15</v>
      </c>
      <c r="C65" s="16" t="str">
        <f>VLOOKUP($A65,[1]Sheet2!$I$2:$O$449,3,FALSE)</f>
        <v>KPB1</v>
      </c>
      <c r="D65" s="7" t="s">
        <v>105</v>
      </c>
      <c r="E65" s="24" t="str">
        <f>VLOOKUP($A65,[1]Sheet2!$I$2:$O$449,5,FALSE)</f>
        <v>2026-02-23</v>
      </c>
      <c r="F65" s="19">
        <f t="shared" si="0"/>
        <v>0</v>
      </c>
      <c r="G65" s="38" t="s">
        <v>173</v>
      </c>
      <c r="H65" s="16" t="str">
        <f>VLOOKUP($A65,[1]Sheet2!$I$2:$O$449,6,FALSE)</f>
        <v>2026-03-19</v>
      </c>
      <c r="I65" s="38" t="s">
        <v>285</v>
      </c>
      <c r="J65" s="16">
        <f>VLOOKUP($A65,[1]Sheet2!$I$2:$O$449,4,FALSE)</f>
        <v>321</v>
      </c>
      <c r="K65" s="17">
        <f t="shared" si="1"/>
        <v>0</v>
      </c>
      <c r="L65" s="18">
        <f t="shared" si="2"/>
        <v>0</v>
      </c>
    </row>
    <row r="66" spans="1:12" x14ac:dyDescent="0.2">
      <c r="A66" s="8" t="s">
        <v>286</v>
      </c>
      <c r="B66" s="38" t="s">
        <v>15</v>
      </c>
      <c r="C66" s="16" t="str">
        <f>VLOOKUP($A66,[1]Sheet2!$I$2:$O$449,3,FALSE)</f>
        <v>KPB1</v>
      </c>
      <c r="D66" s="7" t="s">
        <v>143</v>
      </c>
      <c r="E66" s="24" t="str">
        <f>VLOOKUP($A66,[1]Sheet2!$I$2:$O$449,5,FALSE)</f>
        <v>2026-03-03</v>
      </c>
      <c r="F66" s="19">
        <f t="shared" si="0"/>
        <v>0</v>
      </c>
      <c r="G66" s="38" t="s">
        <v>177</v>
      </c>
      <c r="H66" s="16" t="str">
        <f>VLOOKUP($A66,[1]Sheet2!$I$2:$O$449,6,FALSE)</f>
        <v>2026-03-25</v>
      </c>
      <c r="I66" s="38" t="s">
        <v>287</v>
      </c>
      <c r="J66" s="16">
        <f>VLOOKUP($A66,[1]Sheet2!$I$2:$O$449,4,FALSE)</f>
        <v>266</v>
      </c>
      <c r="K66" s="17">
        <f t="shared" si="1"/>
        <v>0</v>
      </c>
      <c r="L66" s="18">
        <f t="shared" si="2"/>
        <v>0</v>
      </c>
    </row>
    <row r="67" spans="1:12" x14ac:dyDescent="0.2">
      <c r="A67" s="8" t="s">
        <v>288</v>
      </c>
      <c r="B67" s="38" t="s">
        <v>15</v>
      </c>
      <c r="C67" s="16" t="str">
        <f>VLOOKUP($A67,[1]Sheet2!$I$2:$O$449,3,FALSE)</f>
        <v>KPB1</v>
      </c>
      <c r="D67" s="7" t="s">
        <v>98</v>
      </c>
      <c r="E67" s="24" t="str">
        <f>VLOOKUP($A67,[1]Sheet2!$I$2:$O$449,5,FALSE)</f>
        <v>2026-03-02</v>
      </c>
      <c r="F67" s="19">
        <f t="shared" ref="F67:F130" si="3">D67-E67</f>
        <v>0</v>
      </c>
      <c r="G67" s="38" t="s">
        <v>177</v>
      </c>
      <c r="H67" s="16" t="str">
        <f>VLOOKUP($A67,[1]Sheet2!$I$2:$O$449,6,FALSE)</f>
        <v>2026-03-25</v>
      </c>
      <c r="I67" s="38" t="s">
        <v>183</v>
      </c>
      <c r="J67" s="16">
        <f>VLOOKUP($A67,[1]Sheet2!$I$2:$O$449,4,FALSE)</f>
        <v>628</v>
      </c>
      <c r="K67" s="17">
        <f t="shared" ref="K67:K130" si="4">G67-H67</f>
        <v>0</v>
      </c>
      <c r="L67" s="18">
        <f t="shared" ref="L67:L130" si="5">I67-J67</f>
        <v>0</v>
      </c>
    </row>
    <row r="68" spans="1:12" hidden="1" x14ac:dyDescent="0.2">
      <c r="A68" s="36" t="s">
        <v>289</v>
      </c>
      <c r="B68" s="7" t="s">
        <v>15</v>
      </c>
      <c r="C68" s="24" t="str">
        <f>VLOOKUP($A68,[1]Sheet2!$I$2:$O$449,3,FALSE)</f>
        <v>KPB1</v>
      </c>
      <c r="D68" s="7" t="s">
        <v>232</v>
      </c>
      <c r="E68" s="24" t="str">
        <f>VLOOKUP($A68,[1]Sheet2!$I$2:$O$449,5,FALSE)</f>
        <v>2026-03-07</v>
      </c>
      <c r="F68" s="19">
        <f t="shared" si="3"/>
        <v>0</v>
      </c>
      <c r="G68" s="7" t="s">
        <v>180</v>
      </c>
      <c r="H68" s="24" t="str">
        <f>VLOOKUP($A68,[1]Sheet2!$I$2:$O$449,6,FALSE)</f>
        <v>2026-03-26</v>
      </c>
      <c r="I68" s="34" t="s">
        <v>290</v>
      </c>
      <c r="J68" s="35">
        <f>VLOOKUP($A68,[1]Sheet2!$I$2:$O$449,4,FALSE)</f>
        <v>702</v>
      </c>
      <c r="K68" s="17">
        <f t="shared" si="4"/>
        <v>0</v>
      </c>
      <c r="L68" s="33">
        <f t="shared" si="5"/>
        <v>2</v>
      </c>
    </row>
    <row r="69" spans="1:12" x14ac:dyDescent="0.2">
      <c r="A69" s="8" t="s">
        <v>291</v>
      </c>
      <c r="B69" s="38" t="s">
        <v>15</v>
      </c>
      <c r="C69" s="16" t="str">
        <f>VLOOKUP($A69,[1]Sheet2!$I$2:$O$449,3,FALSE)</f>
        <v>KPB1</v>
      </c>
      <c r="D69" s="7" t="s">
        <v>154</v>
      </c>
      <c r="E69" s="24" t="str">
        <f>VLOOKUP($A69,[1]Sheet2!$I$2:$O$449,5,FALSE)</f>
        <v>2026-03-12</v>
      </c>
      <c r="F69" s="19">
        <f t="shared" si="3"/>
        <v>2</v>
      </c>
      <c r="G69" s="38" t="s">
        <v>180</v>
      </c>
      <c r="H69" s="16" t="str">
        <f>VLOOKUP($A69,[1]Sheet2!$I$2:$O$449,6,FALSE)</f>
        <v>2026-03-26</v>
      </c>
      <c r="I69" s="38" t="s">
        <v>292</v>
      </c>
      <c r="J69" s="16">
        <f>VLOOKUP($A69,[1]Sheet2!$I$2:$O$449,4,FALSE)</f>
        <v>893</v>
      </c>
      <c r="K69" s="17">
        <f t="shared" si="4"/>
        <v>0</v>
      </c>
      <c r="L69" s="18">
        <f t="shared" si="5"/>
        <v>0</v>
      </c>
    </row>
    <row r="70" spans="1:12" x14ac:dyDescent="0.2">
      <c r="A70" s="8" t="s">
        <v>293</v>
      </c>
      <c r="B70" s="38" t="s">
        <v>15</v>
      </c>
      <c r="C70" s="16" t="str">
        <f>VLOOKUP($A70,[1]Sheet2!$I$2:$O$449,3,FALSE)</f>
        <v>KPB1</v>
      </c>
      <c r="D70" s="7" t="s">
        <v>148</v>
      </c>
      <c r="E70" s="24" t="str">
        <f>VLOOKUP($A70,[1]Sheet2!$I$2:$O$449,5,FALSE)</f>
        <v>2026-03-12</v>
      </c>
      <c r="F70" s="19">
        <f t="shared" si="3"/>
        <v>0</v>
      </c>
      <c r="G70" s="38" t="s">
        <v>114</v>
      </c>
      <c r="H70" s="16" t="str">
        <f>VLOOKUP($A70,[1]Sheet2!$I$2:$O$449,6,FALSE)</f>
        <v>2026-03-27</v>
      </c>
      <c r="I70" s="38" t="s">
        <v>294</v>
      </c>
      <c r="J70" s="16">
        <f>VLOOKUP($A70,[1]Sheet2!$I$2:$O$449,4,FALSE)</f>
        <v>1000</v>
      </c>
      <c r="K70" s="17">
        <f t="shared" si="4"/>
        <v>0</v>
      </c>
      <c r="L70" s="18">
        <f t="shared" si="5"/>
        <v>0</v>
      </c>
    </row>
    <row r="71" spans="1:12" x14ac:dyDescent="0.2">
      <c r="A71" s="8" t="s">
        <v>295</v>
      </c>
      <c r="B71" s="38" t="s">
        <v>15</v>
      </c>
      <c r="C71" s="16" t="str">
        <f>VLOOKUP($A71,[1]Sheet2!$I$2:$O$449,3,FALSE)</f>
        <v>KPB1</v>
      </c>
      <c r="D71" s="7" t="s">
        <v>172</v>
      </c>
      <c r="E71" s="24" t="str">
        <f>VLOOKUP($A71,[1]Sheet2!$I$2:$O$449,5,FALSE)</f>
        <v>2026-02-28</v>
      </c>
      <c r="F71" s="19">
        <f t="shared" si="3"/>
        <v>0</v>
      </c>
      <c r="G71" s="38" t="s">
        <v>114</v>
      </c>
      <c r="H71" s="16" t="str">
        <f>VLOOKUP($A71,[1]Sheet2!$I$2:$O$449,6,FALSE)</f>
        <v>2026-03-27</v>
      </c>
      <c r="I71" s="38" t="s">
        <v>296</v>
      </c>
      <c r="J71" s="16">
        <f>VLOOKUP($A71,[1]Sheet2!$I$2:$O$449,4,FALSE)</f>
        <v>986</v>
      </c>
      <c r="K71" s="17">
        <f t="shared" si="4"/>
        <v>0</v>
      </c>
      <c r="L71" s="18">
        <f t="shared" si="5"/>
        <v>0</v>
      </c>
    </row>
    <row r="72" spans="1:12" x14ac:dyDescent="0.2">
      <c r="A72" s="48" t="s">
        <v>297</v>
      </c>
      <c r="B72" s="38" t="s">
        <v>15</v>
      </c>
      <c r="C72" s="16" t="str">
        <f>VLOOKUP($A72,[1]Sheet2!$I$2:$O$449,3,FALSE)</f>
        <v>KPB1</v>
      </c>
      <c r="D72" s="7" t="s">
        <v>114</v>
      </c>
      <c r="E72" s="24" t="str">
        <f>VLOOKUP($A72,[1]Sheet2!$I$2:$O$449,5,FALSE)</f>
        <v>2026-03-17</v>
      </c>
      <c r="F72" s="19">
        <f t="shared" si="3"/>
        <v>10</v>
      </c>
      <c r="G72" s="38" t="s">
        <v>219</v>
      </c>
      <c r="H72" s="16" t="str">
        <f>VLOOKUP($A72,[1]Sheet2!$I$2:$O$449,6,FALSE)</f>
        <v>2026-03-28</v>
      </c>
      <c r="I72" s="38" t="s">
        <v>298</v>
      </c>
      <c r="J72" s="16">
        <f>VLOOKUP($A72,[1]Sheet2!$I$2:$O$449,4,FALSE)</f>
        <v>872</v>
      </c>
      <c r="K72" s="17">
        <f t="shared" si="4"/>
        <v>0</v>
      </c>
      <c r="L72" s="18">
        <f t="shared" si="5"/>
        <v>0</v>
      </c>
    </row>
    <row r="73" spans="1:12" x14ac:dyDescent="0.2">
      <c r="A73" s="8" t="s">
        <v>299</v>
      </c>
      <c r="B73" s="38" t="s">
        <v>15</v>
      </c>
      <c r="C73" s="16" t="str">
        <f>VLOOKUP($A73,[1]Sheet2!$I$2:$O$449,3,FALSE)</f>
        <v>KPB1</v>
      </c>
      <c r="D73" s="7" t="s">
        <v>172</v>
      </c>
      <c r="E73" s="24" t="str">
        <f>VLOOKUP($A73,[1]Sheet2!$I$2:$O$449,5,FALSE)</f>
        <v>2026-02-28</v>
      </c>
      <c r="F73" s="19">
        <f t="shared" si="3"/>
        <v>0</v>
      </c>
      <c r="G73" s="38" t="s">
        <v>300</v>
      </c>
      <c r="H73" s="16" t="str">
        <f>VLOOKUP($A73,[1]Sheet2!$I$2:$O$449,6,FALSE)</f>
        <v>2026-03-29</v>
      </c>
      <c r="I73" s="38" t="s">
        <v>301</v>
      </c>
      <c r="J73" s="16">
        <f>VLOOKUP($A73,[1]Sheet2!$I$2:$O$449,4,FALSE)</f>
        <v>941</v>
      </c>
      <c r="K73" s="17">
        <f t="shared" si="4"/>
        <v>0</v>
      </c>
      <c r="L73" s="18">
        <f t="shared" si="5"/>
        <v>0</v>
      </c>
    </row>
    <row r="74" spans="1:12" x14ac:dyDescent="0.2">
      <c r="A74" s="8" t="s">
        <v>303</v>
      </c>
      <c r="B74" s="38" t="s">
        <v>15</v>
      </c>
      <c r="C74" s="16" t="str">
        <f>VLOOKUP($A74,[1]Sheet2!$I$2:$O$449,3,FALSE)</f>
        <v>KPB1</v>
      </c>
      <c r="D74" s="7" t="s">
        <v>168</v>
      </c>
      <c r="E74" s="24" t="str">
        <f>VLOOKUP($A74,[1]Sheet2!$I$2:$O$449,5,FALSE)</f>
        <v>2026-02-16</v>
      </c>
      <c r="F74" s="19">
        <f t="shared" si="3"/>
        <v>0</v>
      </c>
      <c r="G74" s="38" t="s">
        <v>300</v>
      </c>
      <c r="H74" s="16" t="str">
        <f>VLOOKUP($A74,[1]Sheet2!$I$2:$O$449,6,FALSE)</f>
        <v>2026-03-29</v>
      </c>
      <c r="I74" s="38" t="s">
        <v>304</v>
      </c>
      <c r="J74" s="16">
        <f>VLOOKUP($A74,[1]Sheet2!$I$2:$O$449,4,FALSE)</f>
        <v>667</v>
      </c>
      <c r="K74" s="17">
        <f t="shared" si="4"/>
        <v>0</v>
      </c>
      <c r="L74" s="18">
        <f t="shared" si="5"/>
        <v>0</v>
      </c>
    </row>
    <row r="75" spans="1:12" x14ac:dyDescent="0.2">
      <c r="A75" s="47" t="s">
        <v>305</v>
      </c>
      <c r="B75" s="38" t="s">
        <v>15</v>
      </c>
      <c r="C75" s="16" t="str">
        <f>VLOOKUP($A75,[1]Sheet2!$I$2:$O$449,3,FALSE)</f>
        <v>KPB1</v>
      </c>
      <c r="D75" s="7" t="s">
        <v>148</v>
      </c>
      <c r="E75" s="24" t="str">
        <f>VLOOKUP($A75,[1]Sheet2!$I$2:$O$449,5,FALSE)</f>
        <v>2026-03-07</v>
      </c>
      <c r="F75" s="19">
        <f t="shared" si="3"/>
        <v>5</v>
      </c>
      <c r="G75" s="38" t="s">
        <v>118</v>
      </c>
      <c r="H75" s="16" t="str">
        <f>VLOOKUP($A75,[1]Sheet2!$I$2:$O$449,6,FALSE)</f>
        <v>2026-03-30</v>
      </c>
      <c r="I75" s="38" t="s">
        <v>306</v>
      </c>
      <c r="J75" s="16">
        <f>VLOOKUP($A75,[1]Sheet2!$I$2:$O$449,4,FALSE)</f>
        <v>362</v>
      </c>
      <c r="K75" s="17">
        <f t="shared" si="4"/>
        <v>0</v>
      </c>
      <c r="L75" s="18">
        <f t="shared" si="5"/>
        <v>0</v>
      </c>
    </row>
    <row r="76" spans="1:12" x14ac:dyDescent="0.2">
      <c r="A76" s="8" t="s">
        <v>307</v>
      </c>
      <c r="B76" s="38" t="s">
        <v>25</v>
      </c>
      <c r="C76" s="16" t="str">
        <f>VLOOKUP($A76,[1]Sheet2!$I$2:$O$449,3,FALSE)</f>
        <v>KPB2</v>
      </c>
      <c r="D76" s="7" t="s">
        <v>308</v>
      </c>
      <c r="E76" s="24" t="str">
        <f>VLOOKUP($A76,[1]Sheet2!$I$2:$O$449,5,FALSE)</f>
        <v>2025-09-04</v>
      </c>
      <c r="F76" s="19">
        <f t="shared" si="3"/>
        <v>2</v>
      </c>
      <c r="G76" s="38" t="s">
        <v>113</v>
      </c>
      <c r="H76" s="16" t="str">
        <f>VLOOKUP($A76,[1]Sheet2!$I$2:$O$449,6,FALSE)</f>
        <v>2026-03-04</v>
      </c>
      <c r="I76" s="38" t="s">
        <v>309</v>
      </c>
      <c r="J76" s="16">
        <f>VLOOKUP($A76,[1]Sheet2!$I$2:$O$449,4,FALSE)</f>
        <v>1941</v>
      </c>
      <c r="K76" s="17">
        <f t="shared" si="4"/>
        <v>0</v>
      </c>
      <c r="L76" s="18">
        <f t="shared" si="5"/>
        <v>0</v>
      </c>
    </row>
    <row r="77" spans="1:12" x14ac:dyDescent="0.2">
      <c r="A77" s="8" t="s">
        <v>310</v>
      </c>
      <c r="B77" s="38" t="s">
        <v>25</v>
      </c>
      <c r="C77" s="16" t="str">
        <f>VLOOKUP($A77,[1]Sheet2!$I$2:$O$449,3,FALSE)</f>
        <v>KPB2</v>
      </c>
      <c r="D77" s="7" t="s">
        <v>311</v>
      </c>
      <c r="E77" s="24" t="str">
        <f>VLOOKUP($A77,[1]Sheet2!$I$2:$O$449,5,FALSE)</f>
        <v>2025-09-28</v>
      </c>
      <c r="F77" s="19">
        <f t="shared" si="3"/>
        <v>2</v>
      </c>
      <c r="G77" s="38" t="s">
        <v>148</v>
      </c>
      <c r="H77" s="16" t="str">
        <f>VLOOKUP($A77,[1]Sheet2!$I$2:$O$449,6,FALSE)</f>
        <v>2026-03-12</v>
      </c>
      <c r="I77" s="38" t="s">
        <v>312</v>
      </c>
      <c r="J77" s="16">
        <f>VLOOKUP($A77,[1]Sheet2!$I$2:$O$449,4,FALSE)</f>
        <v>2986</v>
      </c>
      <c r="K77" s="17">
        <f t="shared" si="4"/>
        <v>0</v>
      </c>
      <c r="L77" s="18">
        <f t="shared" si="5"/>
        <v>0</v>
      </c>
    </row>
    <row r="78" spans="1:12" x14ac:dyDescent="0.2">
      <c r="A78" s="8" t="s">
        <v>313</v>
      </c>
      <c r="B78" s="38" t="s">
        <v>25</v>
      </c>
      <c r="C78" s="16" t="str">
        <f>VLOOKUP($A78,[1]Sheet2!$I$2:$O$449,3,FALSE)</f>
        <v>KPB2</v>
      </c>
      <c r="D78" s="7" t="s">
        <v>161</v>
      </c>
      <c r="E78" s="24" t="str">
        <f>VLOOKUP($A78,[1]Sheet2!$I$2:$O$449,5,FALSE)</f>
        <v>2026-02-07</v>
      </c>
      <c r="F78" s="19">
        <f t="shared" si="3"/>
        <v>-1</v>
      </c>
      <c r="G78" s="38" t="s">
        <v>154</v>
      </c>
      <c r="H78" s="16" t="str">
        <f>VLOOKUP($A78,[1]Sheet2!$I$2:$O$449,6,FALSE)</f>
        <v>2026-03-14</v>
      </c>
      <c r="I78" s="38" t="s">
        <v>314</v>
      </c>
      <c r="J78" s="16">
        <f>VLOOKUP($A78,[1]Sheet2!$I$2:$O$449,4,FALSE)</f>
        <v>817</v>
      </c>
      <c r="K78" s="17">
        <f t="shared" si="4"/>
        <v>0</v>
      </c>
      <c r="L78" s="18">
        <f t="shared" si="5"/>
        <v>0</v>
      </c>
    </row>
    <row r="79" spans="1:12" x14ac:dyDescent="0.2">
      <c r="A79" s="8" t="s">
        <v>315</v>
      </c>
      <c r="B79" s="38" t="s">
        <v>25</v>
      </c>
      <c r="C79" s="16" t="str">
        <f>VLOOKUP($A79,[1]Sheet2!$I$2:$O$449,3,FALSE)</f>
        <v>KPB2</v>
      </c>
      <c r="D79" s="7" t="s">
        <v>316</v>
      </c>
      <c r="E79" s="24" t="str">
        <f>VLOOKUP($A79,[1]Sheet2!$I$2:$O$449,5,FALSE)</f>
        <v>2025-12-06</v>
      </c>
      <c r="F79" s="19">
        <f t="shared" si="3"/>
        <v>2</v>
      </c>
      <c r="G79" s="38" t="s">
        <v>162</v>
      </c>
      <c r="H79" s="16" t="str">
        <f>VLOOKUP($A79,[1]Sheet2!$I$2:$O$449,6,FALSE)</f>
        <v>2026-03-16</v>
      </c>
      <c r="I79" s="38" t="s">
        <v>317</v>
      </c>
      <c r="J79" s="16">
        <f>VLOOKUP($A79,[1]Sheet2!$I$2:$O$449,4,FALSE)</f>
        <v>2525</v>
      </c>
      <c r="K79" s="17">
        <f t="shared" si="4"/>
        <v>0</v>
      </c>
      <c r="L79" s="18">
        <f t="shared" si="5"/>
        <v>0</v>
      </c>
    </row>
    <row r="80" spans="1:12" x14ac:dyDescent="0.2">
      <c r="A80" s="47" t="s">
        <v>318</v>
      </c>
      <c r="B80" s="38" t="s">
        <v>35</v>
      </c>
      <c r="C80" s="16" t="str">
        <f>VLOOKUP($A80,[1]Sheet2!$I$2:$O$449,3,FALSE)</f>
        <v>KPB3</v>
      </c>
      <c r="D80" s="7" t="s">
        <v>319</v>
      </c>
      <c r="E80" s="24" t="str">
        <f>VLOOKUP($A80,[1]Sheet2!$I$2:$O$449,5,FALSE)</f>
        <v>2025-07-05</v>
      </c>
      <c r="F80" s="19">
        <f t="shared" si="3"/>
        <v>5</v>
      </c>
      <c r="G80" s="38" t="s">
        <v>232</v>
      </c>
      <c r="H80" s="16" t="str">
        <f>VLOOKUP($A80,[1]Sheet2!$I$2:$O$449,6,FALSE)</f>
        <v>2026-03-07</v>
      </c>
      <c r="I80" s="38" t="s">
        <v>320</v>
      </c>
      <c r="J80" s="16">
        <f>VLOOKUP($A80,[1]Sheet2!$I$2:$O$449,4,FALSE)</f>
        <v>5893</v>
      </c>
      <c r="K80" s="17">
        <f t="shared" si="4"/>
        <v>0</v>
      </c>
      <c r="L80" s="18">
        <f t="shared" si="5"/>
        <v>0</v>
      </c>
    </row>
    <row r="81" spans="1:12" x14ac:dyDescent="0.2">
      <c r="A81" s="8" t="s">
        <v>321</v>
      </c>
      <c r="B81" s="38" t="s">
        <v>35</v>
      </c>
      <c r="C81" s="16" t="str">
        <f>VLOOKUP($A81,[1]Sheet2!$I$2:$O$449,3,FALSE)</f>
        <v>KPB3</v>
      </c>
      <c r="D81" s="7" t="s">
        <v>322</v>
      </c>
      <c r="E81" s="24" t="str">
        <f>VLOOKUP($A81,[1]Sheet2!$I$2:$O$449,5,FALSE)</f>
        <v>2025-04-09</v>
      </c>
      <c r="F81" s="19">
        <f t="shared" si="3"/>
        <v>1</v>
      </c>
      <c r="G81" s="38" t="s">
        <v>148</v>
      </c>
      <c r="H81" s="16" t="str">
        <f>VLOOKUP($A81,[1]Sheet2!$I$2:$O$449,6,FALSE)</f>
        <v>2026-03-12</v>
      </c>
      <c r="I81" s="38" t="s">
        <v>323</v>
      </c>
      <c r="J81" s="16">
        <f>VLOOKUP($A81,[1]Sheet2!$I$2:$O$449,4,FALSE)</f>
        <v>3195</v>
      </c>
      <c r="K81" s="17">
        <f t="shared" si="4"/>
        <v>0</v>
      </c>
      <c r="L81" s="18">
        <f t="shared" si="5"/>
        <v>0</v>
      </c>
    </row>
    <row r="82" spans="1:12" x14ac:dyDescent="0.2">
      <c r="A82" s="8" t="s">
        <v>324</v>
      </c>
      <c r="B82" s="38" t="s">
        <v>15</v>
      </c>
      <c r="C82" s="16" t="str">
        <f>VLOOKUP($A82,[1]Sheet2!$I$2:$O$449,3,FALSE)</f>
        <v>KPB1</v>
      </c>
      <c r="D82" s="7" t="s">
        <v>137</v>
      </c>
      <c r="E82" s="24" t="str">
        <f>VLOOKUP($A82,[1]Sheet2!$I$2:$O$449,5,FALSE)</f>
        <v>2026-02-24</v>
      </c>
      <c r="F82" s="19">
        <f t="shared" si="3"/>
        <v>0</v>
      </c>
      <c r="G82" s="38" t="s">
        <v>143</v>
      </c>
      <c r="H82" s="16" t="str">
        <f>VLOOKUP($A82,[1]Sheet2!$I$2:$O$449,6,FALSE)</f>
        <v>2026-03-03</v>
      </c>
      <c r="I82" s="38" t="s">
        <v>325</v>
      </c>
      <c r="J82" s="16">
        <f>VLOOKUP($A82,[1]Sheet2!$I$2:$O$449,4,FALSE)</f>
        <v>852</v>
      </c>
      <c r="K82" s="17">
        <f t="shared" si="4"/>
        <v>0</v>
      </c>
      <c r="L82" s="18">
        <f t="shared" si="5"/>
        <v>0</v>
      </c>
    </row>
    <row r="83" spans="1:12" x14ac:dyDescent="0.2">
      <c r="A83" s="8" t="s">
        <v>326</v>
      </c>
      <c r="B83" s="38" t="s">
        <v>15</v>
      </c>
      <c r="C83" s="16" t="str">
        <f>VLOOKUP($A83,[1]Sheet2!$I$2:$O$449,3,FALSE)</f>
        <v>KPB1</v>
      </c>
      <c r="D83" s="7" t="s">
        <v>172</v>
      </c>
      <c r="E83" s="24" t="str">
        <f>VLOOKUP($A83,[1]Sheet2!$I$2:$O$449,5,FALSE)</f>
        <v>2026-03-02</v>
      </c>
      <c r="F83" s="19">
        <f t="shared" si="3"/>
        <v>-2</v>
      </c>
      <c r="G83" s="38" t="s">
        <v>102</v>
      </c>
      <c r="H83" s="16" t="str">
        <f>VLOOKUP($A83,[1]Sheet2!$I$2:$O$449,6,FALSE)</f>
        <v>2026-03-05</v>
      </c>
      <c r="I83" s="38" t="s">
        <v>327</v>
      </c>
      <c r="J83" s="16">
        <f>VLOOKUP($A83,[1]Sheet2!$I$2:$O$449,4,FALSE)</f>
        <v>446</v>
      </c>
      <c r="K83" s="17">
        <f t="shared" si="4"/>
        <v>0</v>
      </c>
      <c r="L83" s="18">
        <f t="shared" si="5"/>
        <v>0</v>
      </c>
    </row>
    <row r="84" spans="1:12" x14ac:dyDescent="0.2">
      <c r="A84" s="8" t="s">
        <v>328</v>
      </c>
      <c r="B84" s="38" t="s">
        <v>15</v>
      </c>
      <c r="C84" s="16" t="str">
        <f>VLOOKUP($A84,[1]Sheet2!$I$2:$O$449,3,FALSE)</f>
        <v>KPB1</v>
      </c>
      <c r="D84" s="7" t="s">
        <v>165</v>
      </c>
      <c r="E84" s="24" t="str">
        <f>VLOOKUP($A84,[1]Sheet2!$I$2:$O$449,5,FALSE)</f>
        <v>2026-02-25</v>
      </c>
      <c r="F84" s="19">
        <f t="shared" si="3"/>
        <v>0</v>
      </c>
      <c r="G84" s="38" t="s">
        <v>162</v>
      </c>
      <c r="H84" s="16" t="str">
        <f>VLOOKUP($A84,[1]Sheet2!$I$2:$O$449,6,FALSE)</f>
        <v>2026-03-16</v>
      </c>
      <c r="I84" s="38" t="s">
        <v>329</v>
      </c>
      <c r="J84" s="16">
        <f>VLOOKUP($A84,[1]Sheet2!$I$2:$O$449,4,FALSE)</f>
        <v>519</v>
      </c>
      <c r="K84" s="17">
        <f t="shared" si="4"/>
        <v>0</v>
      </c>
      <c r="L84" s="18">
        <f t="shared" si="5"/>
        <v>0</v>
      </c>
    </row>
    <row r="85" spans="1:12" hidden="1" x14ac:dyDescent="0.2">
      <c r="A85" s="36" t="s">
        <v>331</v>
      </c>
      <c r="B85" s="7" t="s">
        <v>15</v>
      </c>
      <c r="C85" s="24" t="str">
        <f>VLOOKUP($A85,[1]Sheet2!$I$2:$O$449,3,FALSE)</f>
        <v>KPB1</v>
      </c>
      <c r="D85" s="7" t="s">
        <v>138</v>
      </c>
      <c r="E85" s="24" t="str">
        <f>VLOOKUP($A85,[1]Sheet2!$I$2:$O$449,5,FALSE)</f>
        <v>2026-03-09</v>
      </c>
      <c r="F85" s="19">
        <f t="shared" si="3"/>
        <v>0</v>
      </c>
      <c r="G85" s="7" t="s">
        <v>169</v>
      </c>
      <c r="H85" s="24" t="str">
        <f>VLOOKUP($A85,[1]Sheet2!$I$2:$O$449,6,FALSE)</f>
        <v>2026-03-17</v>
      </c>
      <c r="I85" s="34" t="s">
        <v>332</v>
      </c>
      <c r="J85" s="35">
        <f>VLOOKUP($A85,[1]Sheet2!$I$2:$O$449,4,FALSE)</f>
        <v>286</v>
      </c>
      <c r="K85" s="17">
        <f t="shared" si="4"/>
        <v>0</v>
      </c>
      <c r="L85" s="33">
        <f t="shared" si="5"/>
        <v>-18</v>
      </c>
    </row>
    <row r="86" spans="1:12" x14ac:dyDescent="0.2">
      <c r="A86" s="8" t="s">
        <v>333</v>
      </c>
      <c r="B86" s="38" t="s">
        <v>25</v>
      </c>
      <c r="C86" s="16" t="str">
        <f>VLOOKUP($A86,[1]Sheet2!$I$2:$O$449,3,FALSE)</f>
        <v>KPB2</v>
      </c>
      <c r="D86" s="7" t="s">
        <v>334</v>
      </c>
      <c r="E86" s="24" t="str">
        <f>VLOOKUP($A86,[1]Sheet2!$I$2:$O$449,5,FALSE)</f>
        <v>2026-02-21</v>
      </c>
      <c r="F86" s="19">
        <f t="shared" si="3"/>
        <v>-1</v>
      </c>
      <c r="G86" s="38" t="s">
        <v>148</v>
      </c>
      <c r="H86" s="16" t="str">
        <f>VLOOKUP($A86,[1]Sheet2!$I$2:$O$449,6,FALSE)</f>
        <v>2026-03-12</v>
      </c>
      <c r="I86" s="38" t="s">
        <v>335</v>
      </c>
      <c r="J86" s="16">
        <f>VLOOKUP($A86,[1]Sheet2!$I$2:$O$449,4,FALSE)</f>
        <v>582</v>
      </c>
      <c r="K86" s="17">
        <f t="shared" si="4"/>
        <v>0</v>
      </c>
      <c r="L86" s="18">
        <f t="shared" si="5"/>
        <v>0</v>
      </c>
    </row>
    <row r="87" spans="1:12" x14ac:dyDescent="0.2">
      <c r="A87" s="8" t="s">
        <v>336</v>
      </c>
      <c r="B87" s="38" t="s">
        <v>35</v>
      </c>
      <c r="C87" s="16" t="str">
        <f>VLOOKUP($A87,[1]Sheet2!$I$2:$O$449,3,FALSE)</f>
        <v>KPB3</v>
      </c>
      <c r="D87" s="7" t="s">
        <v>337</v>
      </c>
      <c r="E87" s="24" t="str">
        <f>VLOOKUP($A87,[1]Sheet2!$I$2:$O$449,5,FALSE)</f>
        <v>2025-11-04</v>
      </c>
      <c r="F87" s="19">
        <f t="shared" si="3"/>
        <v>1</v>
      </c>
      <c r="G87" s="38" t="s">
        <v>187</v>
      </c>
      <c r="H87" s="16" t="str">
        <f>VLOOKUP($A87,[1]Sheet2!$I$2:$O$449,6,FALSE)</f>
        <v>2026-03-31</v>
      </c>
      <c r="I87" s="38" t="s">
        <v>338</v>
      </c>
      <c r="J87" s="16">
        <f>VLOOKUP($A87,[1]Sheet2!$I$2:$O$449,4,FALSE)</f>
        <v>1552</v>
      </c>
      <c r="K87" s="17">
        <f t="shared" si="4"/>
        <v>0</v>
      </c>
      <c r="L87" s="18">
        <f t="shared" si="5"/>
        <v>0</v>
      </c>
    </row>
    <row r="88" spans="1:12" x14ac:dyDescent="0.2">
      <c r="A88" s="8" t="s">
        <v>339</v>
      </c>
      <c r="B88" s="38" t="s">
        <v>30</v>
      </c>
      <c r="C88" s="16" t="str">
        <f>VLOOKUP($A88,[1]Sheet2!$I$2:$O$449,3,FALSE)</f>
        <v>KPB4</v>
      </c>
      <c r="D88" s="7" t="s">
        <v>340</v>
      </c>
      <c r="E88" s="24" t="str">
        <f>VLOOKUP($A88,[1]Sheet2!$I$2:$O$449,5,FALSE)</f>
        <v>2025-03-22</v>
      </c>
      <c r="F88" s="19">
        <f t="shared" si="3"/>
        <v>0</v>
      </c>
      <c r="G88" s="38" t="s">
        <v>110</v>
      </c>
      <c r="H88" s="16" t="str">
        <f>VLOOKUP($A88,[1]Sheet2!$I$2:$O$449,6,FALSE)</f>
        <v>2026-03-11</v>
      </c>
      <c r="I88" s="38" t="s">
        <v>341</v>
      </c>
      <c r="J88" s="16">
        <f>VLOOKUP($A88,[1]Sheet2!$I$2:$O$449,4,FALSE)</f>
        <v>9407</v>
      </c>
      <c r="K88" s="17">
        <f t="shared" si="4"/>
        <v>0</v>
      </c>
      <c r="L88" s="18">
        <f t="shared" si="5"/>
        <v>0</v>
      </c>
    </row>
    <row r="89" spans="1:12" x14ac:dyDescent="0.2">
      <c r="A89" s="8" t="s">
        <v>342</v>
      </c>
      <c r="B89" s="38" t="s">
        <v>15</v>
      </c>
      <c r="C89" s="16" t="str">
        <f>VLOOKUP($A89,[1]Sheet2!$I$2:$O$449,3,FALSE)</f>
        <v>KPB1</v>
      </c>
      <c r="D89" s="7" t="s">
        <v>147</v>
      </c>
      <c r="E89" s="24" t="str">
        <f>VLOOKUP($A89,[1]Sheet2!$I$2:$O$449,5,FALSE)</f>
        <v>2026-02-12</v>
      </c>
      <c r="F89" s="19">
        <f t="shared" si="3"/>
        <v>0</v>
      </c>
      <c r="G89" s="38" t="s">
        <v>98</v>
      </c>
      <c r="H89" s="16" t="str">
        <f>VLOOKUP($A89,[1]Sheet2!$I$2:$O$449,6,FALSE)</f>
        <v>2026-03-02</v>
      </c>
      <c r="I89" s="38" t="s">
        <v>343</v>
      </c>
      <c r="J89" s="16">
        <f>VLOOKUP($A89,[1]Sheet2!$I$2:$O$449,4,FALSE)</f>
        <v>206</v>
      </c>
      <c r="K89" s="17">
        <f t="shared" si="4"/>
        <v>0</v>
      </c>
      <c r="L89" s="18">
        <f t="shared" si="5"/>
        <v>0</v>
      </c>
    </row>
    <row r="90" spans="1:12" x14ac:dyDescent="0.2">
      <c r="A90" s="8" t="s">
        <v>344</v>
      </c>
      <c r="B90" s="38" t="s">
        <v>15</v>
      </c>
      <c r="C90" s="16" t="str">
        <f>VLOOKUP($A90,[1]Sheet2!$I$2:$O$449,3,FALSE)</f>
        <v>KPB1</v>
      </c>
      <c r="D90" s="7" t="s">
        <v>259</v>
      </c>
      <c r="E90" s="24" t="str">
        <f>VLOOKUP($A90,[1]Sheet2!$I$2:$O$449,5,FALSE)</f>
        <v>2026-02-12</v>
      </c>
      <c r="F90" s="19">
        <f t="shared" si="3"/>
        <v>1</v>
      </c>
      <c r="G90" s="38" t="s">
        <v>143</v>
      </c>
      <c r="H90" s="16" t="str">
        <f>VLOOKUP($A90,[1]Sheet2!$I$2:$O$449,6,FALSE)</f>
        <v>2026-03-03</v>
      </c>
      <c r="I90" s="38" t="s">
        <v>345</v>
      </c>
      <c r="J90" s="16">
        <f>VLOOKUP($A90,[1]Sheet2!$I$2:$O$449,4,FALSE)</f>
        <v>437</v>
      </c>
      <c r="K90" s="17">
        <f t="shared" si="4"/>
        <v>0</v>
      </c>
      <c r="L90" s="18">
        <f t="shared" si="5"/>
        <v>0</v>
      </c>
    </row>
    <row r="91" spans="1:12" x14ac:dyDescent="0.2">
      <c r="A91" s="8" t="s">
        <v>346</v>
      </c>
      <c r="B91" s="38" t="s">
        <v>15</v>
      </c>
      <c r="C91" s="16" t="str">
        <f>VLOOKUP($A91,[1]Sheet2!$I$2:$O$449,3,FALSE)</f>
        <v>KPB1</v>
      </c>
      <c r="D91" s="7" t="s">
        <v>147</v>
      </c>
      <c r="E91" s="24" t="str">
        <f>VLOOKUP($A91,[1]Sheet2!$I$2:$O$449,5,FALSE)</f>
        <v>2026-02-12</v>
      </c>
      <c r="F91" s="19">
        <f t="shared" si="3"/>
        <v>0</v>
      </c>
      <c r="G91" s="38" t="s">
        <v>143</v>
      </c>
      <c r="H91" s="16" t="str">
        <f>VLOOKUP($A91,[1]Sheet2!$I$2:$O$449,6,FALSE)</f>
        <v>2026-03-03</v>
      </c>
      <c r="I91" s="38" t="s">
        <v>347</v>
      </c>
      <c r="J91" s="16">
        <f>VLOOKUP($A91,[1]Sheet2!$I$2:$O$449,4,FALSE)</f>
        <v>228</v>
      </c>
      <c r="K91" s="17">
        <f t="shared" si="4"/>
        <v>0</v>
      </c>
      <c r="L91" s="18">
        <f t="shared" si="5"/>
        <v>0</v>
      </c>
    </row>
    <row r="92" spans="1:12" x14ac:dyDescent="0.2">
      <c r="A92" s="8" t="s">
        <v>348</v>
      </c>
      <c r="B92" s="38" t="s">
        <v>15</v>
      </c>
      <c r="C92" s="16" t="str">
        <f>VLOOKUP($A92,[1]Sheet2!$I$2:$O$449,3,FALSE)</f>
        <v>KPB1</v>
      </c>
      <c r="D92" s="7" t="s">
        <v>161</v>
      </c>
      <c r="E92" s="24" t="str">
        <f>VLOOKUP($A92,[1]Sheet2!$I$2:$O$449,5,FALSE)</f>
        <v>2026-02-06</v>
      </c>
      <c r="F92" s="19">
        <f t="shared" si="3"/>
        <v>0</v>
      </c>
      <c r="G92" s="38" t="s">
        <v>232</v>
      </c>
      <c r="H92" s="16" t="str">
        <f>VLOOKUP($A92,[1]Sheet2!$I$2:$O$449,6,FALSE)</f>
        <v>2026-03-07</v>
      </c>
      <c r="I92" s="38" t="s">
        <v>349</v>
      </c>
      <c r="J92" s="16">
        <f>VLOOKUP($A92,[1]Sheet2!$I$2:$O$449,4,FALSE)</f>
        <v>738</v>
      </c>
      <c r="K92" s="17">
        <f t="shared" si="4"/>
        <v>0</v>
      </c>
      <c r="L92" s="18">
        <f t="shared" si="5"/>
        <v>0</v>
      </c>
    </row>
    <row r="93" spans="1:12" x14ac:dyDescent="0.2">
      <c r="A93" s="8" t="s">
        <v>350</v>
      </c>
      <c r="B93" s="38" t="s">
        <v>15</v>
      </c>
      <c r="C93" s="16" t="str">
        <f>VLOOKUP($A93,[1]Sheet2!$I$2:$O$449,3,FALSE)</f>
        <v>KPB1</v>
      </c>
      <c r="D93" s="7" t="s">
        <v>147</v>
      </c>
      <c r="E93" s="24" t="str">
        <f>VLOOKUP($A93,[1]Sheet2!$I$2:$O$449,5,FALSE)</f>
        <v>2026-02-11</v>
      </c>
      <c r="F93" s="19">
        <f t="shared" si="3"/>
        <v>1</v>
      </c>
      <c r="G93" s="38" t="s">
        <v>138</v>
      </c>
      <c r="H93" s="16" t="str">
        <f>VLOOKUP($A93,[1]Sheet2!$I$2:$O$449,6,FALSE)</f>
        <v>2026-03-09</v>
      </c>
      <c r="I93" s="38" t="s">
        <v>279</v>
      </c>
      <c r="J93" s="16">
        <f>VLOOKUP($A93,[1]Sheet2!$I$2:$O$449,4,FALSE)</f>
        <v>478</v>
      </c>
      <c r="K93" s="17">
        <f t="shared" si="4"/>
        <v>0</v>
      </c>
      <c r="L93" s="18">
        <f t="shared" si="5"/>
        <v>0</v>
      </c>
    </row>
    <row r="94" spans="1:12" x14ac:dyDescent="0.2">
      <c r="A94" s="8" t="s">
        <v>351</v>
      </c>
      <c r="B94" s="38" t="s">
        <v>15</v>
      </c>
      <c r="C94" s="16" t="str">
        <f>VLOOKUP($A94,[1]Sheet2!$I$2:$O$449,3,FALSE)</f>
        <v>KPB1</v>
      </c>
      <c r="D94" s="7" t="s">
        <v>98</v>
      </c>
      <c r="E94" s="24" t="str">
        <f>VLOOKUP($A94,[1]Sheet2!$I$2:$O$449,5,FALSE)</f>
        <v>2026-03-02</v>
      </c>
      <c r="F94" s="19">
        <f t="shared" si="3"/>
        <v>0</v>
      </c>
      <c r="G94" s="38" t="s">
        <v>144</v>
      </c>
      <c r="H94" s="16" t="str">
        <f>VLOOKUP($A94,[1]Sheet2!$I$2:$O$449,6,FALSE)</f>
        <v>2026-03-10</v>
      </c>
      <c r="I94" s="38" t="s">
        <v>352</v>
      </c>
      <c r="J94" s="16">
        <f>VLOOKUP($A94,[1]Sheet2!$I$2:$O$449,4,FALSE)</f>
        <v>97</v>
      </c>
      <c r="K94" s="17">
        <f t="shared" si="4"/>
        <v>0</v>
      </c>
      <c r="L94" s="18">
        <f t="shared" si="5"/>
        <v>0</v>
      </c>
    </row>
    <row r="95" spans="1:12" x14ac:dyDescent="0.2">
      <c r="A95" s="8" t="s">
        <v>353</v>
      </c>
      <c r="B95" s="38" t="s">
        <v>15</v>
      </c>
      <c r="C95" s="16" t="str">
        <f>VLOOKUP($A95,[1]Sheet2!$I$2:$O$449,3,FALSE)</f>
        <v>KPB1</v>
      </c>
      <c r="D95" s="7" t="s">
        <v>168</v>
      </c>
      <c r="E95" s="24" t="str">
        <f>VLOOKUP($A95,[1]Sheet2!$I$2:$O$449,5,FALSE)</f>
        <v>2026-02-16</v>
      </c>
      <c r="F95" s="19">
        <f t="shared" si="3"/>
        <v>0</v>
      </c>
      <c r="G95" s="38" t="s">
        <v>110</v>
      </c>
      <c r="H95" s="16" t="str">
        <f>VLOOKUP($A95,[1]Sheet2!$I$2:$O$449,6,FALSE)</f>
        <v>2026-03-11</v>
      </c>
      <c r="I95" s="38" t="s">
        <v>354</v>
      </c>
      <c r="J95" s="16">
        <f>VLOOKUP($A95,[1]Sheet2!$I$2:$O$449,4,FALSE)</f>
        <v>579</v>
      </c>
      <c r="K95" s="17">
        <f t="shared" si="4"/>
        <v>0</v>
      </c>
      <c r="L95" s="18">
        <f t="shared" si="5"/>
        <v>0</v>
      </c>
    </row>
    <row r="96" spans="1:12" hidden="1" x14ac:dyDescent="0.2">
      <c r="A96" s="36" t="s">
        <v>355</v>
      </c>
      <c r="B96" s="7" t="s">
        <v>15</v>
      </c>
      <c r="C96" s="24" t="str">
        <f>VLOOKUP($A96,[1]Sheet2!$I$2:$O$449,3,FALSE)</f>
        <v>KPB1</v>
      </c>
      <c r="D96" s="7" t="s">
        <v>161</v>
      </c>
      <c r="E96" s="24" t="str">
        <f>VLOOKUP($A96,[1]Sheet2!$I$2:$O$449,5,FALSE)</f>
        <v>2026-02-06</v>
      </c>
      <c r="F96" s="19">
        <f t="shared" si="3"/>
        <v>0</v>
      </c>
      <c r="G96" s="7" t="s">
        <v>110</v>
      </c>
      <c r="H96" s="24" t="str">
        <f>VLOOKUP($A96,[1]Sheet2!$I$2:$O$449,6,FALSE)</f>
        <v>2026-03-11</v>
      </c>
      <c r="I96" s="34" t="s">
        <v>170</v>
      </c>
      <c r="J96" s="35">
        <f>VLOOKUP($A96,[1]Sheet2!$I$2:$O$449,4,FALSE)</f>
        <v>124</v>
      </c>
      <c r="K96" s="17">
        <f t="shared" si="4"/>
        <v>0</v>
      </c>
      <c r="L96" s="33">
        <f t="shared" si="5"/>
        <v>3</v>
      </c>
    </row>
    <row r="97" spans="1:12" x14ac:dyDescent="0.2">
      <c r="A97" s="8" t="s">
        <v>356</v>
      </c>
      <c r="B97" s="38" t="s">
        <v>15</v>
      </c>
      <c r="C97" s="16" t="str">
        <f>VLOOKUP($A97,[1]Sheet2!$I$2:$O$449,3,FALSE)</f>
        <v>KPB1</v>
      </c>
      <c r="D97" s="7" t="s">
        <v>117</v>
      </c>
      <c r="E97" s="24" t="str">
        <f>VLOOKUP($A97,[1]Sheet2!$I$2:$O$449,5,FALSE)</f>
        <v>2026-02-27</v>
      </c>
      <c r="F97" s="19">
        <f t="shared" si="3"/>
        <v>0</v>
      </c>
      <c r="G97" s="38" t="s">
        <v>110</v>
      </c>
      <c r="H97" s="16" t="str">
        <f>VLOOKUP($A97,[1]Sheet2!$I$2:$O$449,6,FALSE)</f>
        <v>2026-03-11</v>
      </c>
      <c r="I97" s="38" t="s">
        <v>357</v>
      </c>
      <c r="J97" s="16">
        <f>VLOOKUP($A97,[1]Sheet2!$I$2:$O$449,4,FALSE)</f>
        <v>756</v>
      </c>
      <c r="K97" s="17">
        <f t="shared" si="4"/>
        <v>0</v>
      </c>
      <c r="L97" s="18">
        <f t="shared" si="5"/>
        <v>0</v>
      </c>
    </row>
    <row r="98" spans="1:12" x14ac:dyDescent="0.2">
      <c r="A98" s="8" t="s">
        <v>358</v>
      </c>
      <c r="B98" s="38" t="s">
        <v>15</v>
      </c>
      <c r="C98" s="16" t="str">
        <f>VLOOKUP($A98,[1]Sheet2!$I$2:$O$449,3,FALSE)</f>
        <v>KPB1</v>
      </c>
      <c r="D98" s="7" t="s">
        <v>110</v>
      </c>
      <c r="E98" s="24" t="str">
        <f>VLOOKUP($A98,[1]Sheet2!$I$2:$O$449,5,FALSE)</f>
        <v>2026-03-11</v>
      </c>
      <c r="F98" s="19">
        <f t="shared" si="3"/>
        <v>0</v>
      </c>
      <c r="G98" s="38" t="s">
        <v>151</v>
      </c>
      <c r="H98" s="16" t="str">
        <f>VLOOKUP($A98,[1]Sheet2!$I$2:$O$449,6,FALSE)</f>
        <v>2026-03-13</v>
      </c>
      <c r="I98" s="38" t="s">
        <v>25</v>
      </c>
      <c r="J98" s="16">
        <f>VLOOKUP($A98,[1]Sheet2!$I$2:$O$449,4,FALSE)</f>
        <v>2</v>
      </c>
      <c r="K98" s="17">
        <f t="shared" si="4"/>
        <v>0</v>
      </c>
      <c r="L98" s="18">
        <f t="shared" si="5"/>
        <v>0</v>
      </c>
    </row>
    <row r="99" spans="1:12" x14ac:dyDescent="0.2">
      <c r="A99" s="8" t="s">
        <v>359</v>
      </c>
      <c r="B99" s="38" t="s">
        <v>15</v>
      </c>
      <c r="C99" s="16" t="str">
        <f>VLOOKUP($A99,[1]Sheet2!$I$2:$O$449,3,FALSE)</f>
        <v>KPB1</v>
      </c>
      <c r="D99" s="7" t="s">
        <v>176</v>
      </c>
      <c r="E99" s="24" t="str">
        <f>VLOOKUP($A99,[1]Sheet2!$I$2:$O$449,5,FALSE)</f>
        <v>2026-02-21</v>
      </c>
      <c r="F99" s="19">
        <f t="shared" si="3"/>
        <v>0</v>
      </c>
      <c r="G99" s="38" t="s">
        <v>151</v>
      </c>
      <c r="H99" s="16" t="str">
        <f>VLOOKUP($A99,[1]Sheet2!$I$2:$O$449,6,FALSE)</f>
        <v>2026-03-13</v>
      </c>
      <c r="I99" s="38" t="s">
        <v>360</v>
      </c>
      <c r="J99" s="16">
        <f>VLOOKUP($A99,[1]Sheet2!$I$2:$O$449,4,FALSE)</f>
        <v>680</v>
      </c>
      <c r="K99" s="17">
        <f t="shared" si="4"/>
        <v>0</v>
      </c>
      <c r="L99" s="18">
        <f t="shared" si="5"/>
        <v>0</v>
      </c>
    </row>
    <row r="100" spans="1:12" x14ac:dyDescent="0.2">
      <c r="A100" s="8" t="s">
        <v>361</v>
      </c>
      <c r="B100" s="38" t="s">
        <v>15</v>
      </c>
      <c r="C100" s="16" t="str">
        <f>VLOOKUP($A100,[1]Sheet2!$I$2:$O$449,3,FALSE)</f>
        <v>KPB1</v>
      </c>
      <c r="D100" s="7" t="s">
        <v>97</v>
      </c>
      <c r="E100" s="24" t="str">
        <f>VLOOKUP($A100,[1]Sheet2!$I$2:$O$449,5,FALSE)</f>
        <v>2026-02-13</v>
      </c>
      <c r="F100" s="19">
        <f t="shared" si="3"/>
        <v>1</v>
      </c>
      <c r="G100" s="38" t="s">
        <v>151</v>
      </c>
      <c r="H100" s="16" t="str">
        <f>VLOOKUP($A100,[1]Sheet2!$I$2:$O$449,6,FALSE)</f>
        <v>2026-03-13</v>
      </c>
      <c r="I100" s="38" t="s">
        <v>362</v>
      </c>
      <c r="J100" s="16">
        <f>VLOOKUP($A100,[1]Sheet2!$I$2:$O$449,4,FALSE)</f>
        <v>360</v>
      </c>
      <c r="K100" s="17">
        <f t="shared" si="4"/>
        <v>0</v>
      </c>
      <c r="L100" s="18">
        <f t="shared" si="5"/>
        <v>0</v>
      </c>
    </row>
    <row r="101" spans="1:12" x14ac:dyDescent="0.2">
      <c r="A101" s="8" t="s">
        <v>363</v>
      </c>
      <c r="B101" s="38" t="s">
        <v>15</v>
      </c>
      <c r="C101" s="16" t="str">
        <f>VLOOKUP($A101,[1]Sheet2!$I$2:$O$449,3,FALSE)</f>
        <v>KPB1</v>
      </c>
      <c r="D101" s="7" t="s">
        <v>176</v>
      </c>
      <c r="E101" s="24" t="str">
        <f>VLOOKUP($A101,[1]Sheet2!$I$2:$O$449,5,FALSE)</f>
        <v>2026-02-20</v>
      </c>
      <c r="F101" s="19">
        <f t="shared" si="3"/>
        <v>1</v>
      </c>
      <c r="G101" s="38" t="s">
        <v>151</v>
      </c>
      <c r="H101" s="16" t="str">
        <f>VLOOKUP($A101,[1]Sheet2!$I$2:$O$449,6,FALSE)</f>
        <v>2026-03-13</v>
      </c>
      <c r="I101" s="38" t="s">
        <v>364</v>
      </c>
      <c r="J101" s="16">
        <f>VLOOKUP($A101,[1]Sheet2!$I$2:$O$449,4,FALSE)</f>
        <v>682</v>
      </c>
      <c r="K101" s="17">
        <f t="shared" si="4"/>
        <v>0</v>
      </c>
      <c r="L101" s="18">
        <f t="shared" si="5"/>
        <v>0</v>
      </c>
    </row>
    <row r="102" spans="1:12" x14ac:dyDescent="0.2">
      <c r="A102" s="8" t="s">
        <v>365</v>
      </c>
      <c r="B102" s="38" t="s">
        <v>15</v>
      </c>
      <c r="C102" s="16" t="str">
        <f>VLOOKUP($A102,[1]Sheet2!$I$2:$O$449,3,FALSE)</f>
        <v>KPB1</v>
      </c>
      <c r="D102" s="7" t="s">
        <v>105</v>
      </c>
      <c r="E102" s="24" t="str">
        <f>VLOOKUP($A102,[1]Sheet2!$I$2:$O$449,5,FALSE)</f>
        <v>2026-02-23</v>
      </c>
      <c r="F102" s="19">
        <f t="shared" si="3"/>
        <v>0</v>
      </c>
      <c r="G102" s="38" t="s">
        <v>151</v>
      </c>
      <c r="H102" s="16" t="str">
        <f>VLOOKUP($A102,[1]Sheet2!$I$2:$O$449,6,FALSE)</f>
        <v>2026-03-13</v>
      </c>
      <c r="I102" s="38" t="s">
        <v>366</v>
      </c>
      <c r="J102" s="16">
        <f>VLOOKUP($A102,[1]Sheet2!$I$2:$O$449,4,FALSE)</f>
        <v>581</v>
      </c>
      <c r="K102" s="17">
        <f t="shared" si="4"/>
        <v>0</v>
      </c>
      <c r="L102" s="18">
        <f t="shared" si="5"/>
        <v>0</v>
      </c>
    </row>
    <row r="103" spans="1:12" hidden="1" x14ac:dyDescent="0.2">
      <c r="A103" s="36" t="s">
        <v>367</v>
      </c>
      <c r="B103" s="7" t="s">
        <v>15</v>
      </c>
      <c r="C103" s="24" t="str">
        <f>VLOOKUP($A103,[1]Sheet2!$I$2:$O$449,3,FALSE)</f>
        <v>KPB1</v>
      </c>
      <c r="D103" s="7" t="s">
        <v>124</v>
      </c>
      <c r="E103" s="24" t="str">
        <f>VLOOKUP($A103,[1]Sheet2!$I$2:$O$449,5,FALSE)</f>
        <v>2026-01-27</v>
      </c>
      <c r="F103" s="19">
        <f t="shared" si="3"/>
        <v>0</v>
      </c>
      <c r="G103" s="7" t="s">
        <v>154</v>
      </c>
      <c r="H103" s="24" t="str">
        <f>VLOOKUP($A103,[1]Sheet2!$I$2:$O$449,6,FALSE)</f>
        <v>2026-03-14</v>
      </c>
      <c r="I103" s="34" t="s">
        <v>368</v>
      </c>
      <c r="J103" s="35">
        <f>VLOOKUP($A103,[1]Sheet2!$I$2:$O$449,4,FALSE)</f>
        <v>204</v>
      </c>
      <c r="K103" s="17">
        <f t="shared" si="4"/>
        <v>0</v>
      </c>
      <c r="L103" s="33">
        <f t="shared" si="5"/>
        <v>10</v>
      </c>
    </row>
    <row r="104" spans="1:12" x14ac:dyDescent="0.2">
      <c r="A104" s="8" t="s">
        <v>369</v>
      </c>
      <c r="B104" s="38" t="s">
        <v>15</v>
      </c>
      <c r="C104" s="16" t="str">
        <f>VLOOKUP($A104,[1]Sheet2!$I$2:$O$449,3,FALSE)</f>
        <v>KPB1</v>
      </c>
      <c r="D104" s="7" t="s">
        <v>370</v>
      </c>
      <c r="E104" s="24" t="str">
        <f>VLOOKUP($A104,[1]Sheet2!$I$2:$O$449,5,FALSE)</f>
        <v>2026-01-19</v>
      </c>
      <c r="F104" s="19">
        <f t="shared" si="3"/>
        <v>0</v>
      </c>
      <c r="G104" s="38" t="s">
        <v>154</v>
      </c>
      <c r="H104" s="16" t="str">
        <f>VLOOKUP($A104,[1]Sheet2!$I$2:$O$449,6,FALSE)</f>
        <v>2026-03-14</v>
      </c>
      <c r="I104" s="38" t="s">
        <v>371</v>
      </c>
      <c r="J104" s="16">
        <f>VLOOKUP($A104,[1]Sheet2!$I$2:$O$449,4,FALSE)</f>
        <v>975</v>
      </c>
      <c r="K104" s="17">
        <f t="shared" si="4"/>
        <v>0</v>
      </c>
      <c r="L104" s="18">
        <f t="shared" si="5"/>
        <v>0</v>
      </c>
    </row>
    <row r="105" spans="1:12" x14ac:dyDescent="0.2">
      <c r="A105" s="8" t="s">
        <v>372</v>
      </c>
      <c r="B105" s="38" t="s">
        <v>15</v>
      </c>
      <c r="C105" s="16" t="str">
        <f>VLOOKUP($A105,[1]Sheet2!$I$2:$O$449,3,FALSE)</f>
        <v>KPB1</v>
      </c>
      <c r="D105" s="7" t="s">
        <v>259</v>
      </c>
      <c r="E105" s="24" t="str">
        <f>VLOOKUP($A105,[1]Sheet2!$I$2:$O$449,5,FALSE)</f>
        <v>2026-02-13</v>
      </c>
      <c r="F105" s="19">
        <f t="shared" si="3"/>
        <v>0</v>
      </c>
      <c r="G105" s="38" t="s">
        <v>154</v>
      </c>
      <c r="H105" s="16" t="str">
        <f>VLOOKUP($A105,[1]Sheet2!$I$2:$O$449,6,FALSE)</f>
        <v>2026-03-14</v>
      </c>
      <c r="I105" s="38" t="s">
        <v>373</v>
      </c>
      <c r="J105" s="16">
        <f>VLOOKUP($A105,[1]Sheet2!$I$2:$O$449,4,FALSE)</f>
        <v>650</v>
      </c>
      <c r="K105" s="17">
        <f t="shared" si="4"/>
        <v>0</v>
      </c>
      <c r="L105" s="18">
        <f t="shared" si="5"/>
        <v>0</v>
      </c>
    </row>
    <row r="106" spans="1:12" x14ac:dyDescent="0.2">
      <c r="A106" s="8" t="s">
        <v>374</v>
      </c>
      <c r="B106" s="38" t="s">
        <v>15</v>
      </c>
      <c r="C106" s="16" t="str">
        <f>VLOOKUP($A106,[1]Sheet2!$I$2:$O$449,3,FALSE)</f>
        <v>KPB1</v>
      </c>
      <c r="D106" s="7" t="s">
        <v>106</v>
      </c>
      <c r="E106" s="24" t="str">
        <f>VLOOKUP($A106,[1]Sheet2!$I$2:$O$449,5,FALSE)</f>
        <v>2026-03-07</v>
      </c>
      <c r="F106" s="19">
        <f t="shared" si="3"/>
        <v>-1</v>
      </c>
      <c r="G106" s="38" t="s">
        <v>154</v>
      </c>
      <c r="H106" s="16" t="str">
        <f>VLOOKUP($A106,[1]Sheet2!$I$2:$O$449,6,FALSE)</f>
        <v>2026-03-14</v>
      </c>
      <c r="I106" s="38" t="s">
        <v>375</v>
      </c>
      <c r="J106" s="16">
        <f>VLOOKUP($A106,[1]Sheet2!$I$2:$O$449,4,FALSE)</f>
        <v>692</v>
      </c>
      <c r="K106" s="17">
        <f t="shared" si="4"/>
        <v>0</v>
      </c>
      <c r="L106" s="18">
        <f t="shared" si="5"/>
        <v>0</v>
      </c>
    </row>
    <row r="107" spans="1:12" x14ac:dyDescent="0.2">
      <c r="A107" s="8" t="s">
        <v>376</v>
      </c>
      <c r="B107" s="38" t="s">
        <v>15</v>
      </c>
      <c r="C107" s="16" t="str">
        <f>VLOOKUP($A107,[1]Sheet2!$I$2:$O$449,3,FALSE)</f>
        <v>KPB1</v>
      </c>
      <c r="D107" s="7" t="s">
        <v>165</v>
      </c>
      <c r="E107" s="24" t="str">
        <f>VLOOKUP($A107,[1]Sheet2!$I$2:$O$449,5,FALSE)</f>
        <v>2026-02-23</v>
      </c>
      <c r="F107" s="19">
        <f t="shared" si="3"/>
        <v>2</v>
      </c>
      <c r="G107" s="38" t="s">
        <v>158</v>
      </c>
      <c r="H107" s="16" t="str">
        <f>VLOOKUP($A107,[1]Sheet2!$I$2:$O$449,6,FALSE)</f>
        <v>2026-03-15</v>
      </c>
      <c r="I107" s="38" t="s">
        <v>377</v>
      </c>
      <c r="J107" s="16">
        <f>VLOOKUP($A107,[1]Sheet2!$I$2:$O$449,4,FALSE)</f>
        <v>458</v>
      </c>
      <c r="K107" s="17">
        <f t="shared" si="4"/>
        <v>0</v>
      </c>
      <c r="L107" s="18">
        <f t="shared" si="5"/>
        <v>0</v>
      </c>
    </row>
    <row r="108" spans="1:12" x14ac:dyDescent="0.2">
      <c r="A108" s="47" t="s">
        <v>378</v>
      </c>
      <c r="B108" s="38" t="s">
        <v>15</v>
      </c>
      <c r="C108" s="16" t="str">
        <f>VLOOKUP($A108,[1]Sheet2!$I$2:$O$449,3,FALSE)</f>
        <v>KPB1</v>
      </c>
      <c r="D108" s="7" t="s">
        <v>253</v>
      </c>
      <c r="E108" s="24" t="str">
        <f>VLOOKUP($A108,[1]Sheet2!$I$2:$O$449,5,FALSE)</f>
        <v>2026-01-19</v>
      </c>
      <c r="F108" s="19">
        <f t="shared" si="3"/>
        <v>-5</v>
      </c>
      <c r="G108" s="38" t="s">
        <v>158</v>
      </c>
      <c r="H108" s="16" t="str">
        <f>VLOOKUP($A108,[1]Sheet2!$I$2:$O$449,6,FALSE)</f>
        <v>2026-03-15</v>
      </c>
      <c r="I108" s="38" t="s">
        <v>379</v>
      </c>
      <c r="J108" s="16">
        <f>VLOOKUP($A108,[1]Sheet2!$I$2:$O$449,4,FALSE)</f>
        <v>1004</v>
      </c>
      <c r="K108" s="17">
        <f t="shared" si="4"/>
        <v>0</v>
      </c>
      <c r="L108" s="18">
        <f t="shared" si="5"/>
        <v>0</v>
      </c>
    </row>
    <row r="109" spans="1:12" x14ac:dyDescent="0.2">
      <c r="A109" s="47" t="s">
        <v>380</v>
      </c>
      <c r="B109" s="38" t="s">
        <v>15</v>
      </c>
      <c r="C109" s="16" t="str">
        <f>VLOOKUP($A109,[1]Sheet2!$I$2:$O$449,3,FALSE)</f>
        <v>KPB1</v>
      </c>
      <c r="D109" s="7" t="s">
        <v>147</v>
      </c>
      <c r="E109" s="24" t="str">
        <f>VLOOKUP($A109,[1]Sheet2!$I$2:$O$449,5,FALSE)</f>
        <v>2026-02-18</v>
      </c>
      <c r="F109" s="19">
        <f t="shared" si="3"/>
        <v>-6</v>
      </c>
      <c r="G109" s="38" t="s">
        <v>162</v>
      </c>
      <c r="H109" s="16" t="str">
        <f>VLOOKUP($A109,[1]Sheet2!$I$2:$O$449,6,FALSE)</f>
        <v>2026-03-16</v>
      </c>
      <c r="I109" s="38" t="s">
        <v>368</v>
      </c>
      <c r="J109" s="16">
        <f>VLOOKUP($A109,[1]Sheet2!$I$2:$O$449,4,FALSE)</f>
        <v>214</v>
      </c>
      <c r="K109" s="17">
        <f t="shared" si="4"/>
        <v>0</v>
      </c>
      <c r="L109" s="18">
        <f t="shared" si="5"/>
        <v>0</v>
      </c>
    </row>
    <row r="110" spans="1:12" x14ac:dyDescent="0.2">
      <c r="A110" s="8" t="s">
        <v>381</v>
      </c>
      <c r="B110" s="38" t="s">
        <v>15</v>
      </c>
      <c r="C110" s="16" t="str">
        <f>VLOOKUP($A110,[1]Sheet2!$I$2:$O$449,3,FALSE)</f>
        <v>KPB1</v>
      </c>
      <c r="D110" s="7" t="s">
        <v>172</v>
      </c>
      <c r="E110" s="24" t="str">
        <f>VLOOKUP($A110,[1]Sheet2!$I$2:$O$449,5,FALSE)</f>
        <v>2026-02-28</v>
      </c>
      <c r="F110" s="19">
        <f t="shared" si="3"/>
        <v>0</v>
      </c>
      <c r="G110" s="38" t="s">
        <v>162</v>
      </c>
      <c r="H110" s="16" t="str">
        <f>VLOOKUP($A110,[1]Sheet2!$I$2:$O$449,6,FALSE)</f>
        <v>2026-03-16</v>
      </c>
      <c r="I110" s="38" t="s">
        <v>382</v>
      </c>
      <c r="J110" s="16">
        <f>VLOOKUP($A110,[1]Sheet2!$I$2:$O$449,4,FALSE)</f>
        <v>297</v>
      </c>
      <c r="K110" s="17">
        <f t="shared" si="4"/>
        <v>0</v>
      </c>
      <c r="L110" s="18">
        <f t="shared" si="5"/>
        <v>0</v>
      </c>
    </row>
    <row r="111" spans="1:12" x14ac:dyDescent="0.2">
      <c r="A111" s="8" t="s">
        <v>383</v>
      </c>
      <c r="B111" s="38" t="s">
        <v>15</v>
      </c>
      <c r="C111" s="16" t="str">
        <f>VLOOKUP($A111,[1]Sheet2!$I$2:$O$449,3,FALSE)</f>
        <v>KPB1</v>
      </c>
      <c r="D111" s="7" t="s">
        <v>97</v>
      </c>
      <c r="E111" s="24" t="str">
        <f>VLOOKUP($A111,[1]Sheet2!$I$2:$O$449,5,FALSE)</f>
        <v>2026-02-14</v>
      </c>
      <c r="F111" s="19">
        <f t="shared" si="3"/>
        <v>0</v>
      </c>
      <c r="G111" s="38" t="s">
        <v>169</v>
      </c>
      <c r="H111" s="16" t="str">
        <f>VLOOKUP($A111,[1]Sheet2!$I$2:$O$449,6,FALSE)</f>
        <v>2026-03-17</v>
      </c>
      <c r="I111" s="38" t="s">
        <v>384</v>
      </c>
      <c r="J111" s="16">
        <f>VLOOKUP($A111,[1]Sheet2!$I$2:$O$449,4,FALSE)</f>
        <v>707</v>
      </c>
      <c r="K111" s="17">
        <f t="shared" si="4"/>
        <v>0</v>
      </c>
      <c r="L111" s="18">
        <f t="shared" si="5"/>
        <v>0</v>
      </c>
    </row>
    <row r="112" spans="1:12" x14ac:dyDescent="0.2">
      <c r="A112" s="8" t="s">
        <v>386</v>
      </c>
      <c r="B112" s="38" t="s">
        <v>15</v>
      </c>
      <c r="C112" s="16" t="str">
        <f>VLOOKUP($A112,[1]Sheet2!$I$2:$O$449,3,FALSE)</f>
        <v>KPB1</v>
      </c>
      <c r="D112" s="7" t="s">
        <v>387</v>
      </c>
      <c r="E112" s="24" t="str">
        <f>VLOOKUP($A112,[1]Sheet2!$I$2:$O$449,5,FALSE)</f>
        <v>2026-01-20</v>
      </c>
      <c r="F112" s="19">
        <f t="shared" si="3"/>
        <v>0</v>
      </c>
      <c r="G112" s="38" t="s">
        <v>169</v>
      </c>
      <c r="H112" s="16" t="str">
        <f>VLOOKUP($A112,[1]Sheet2!$I$2:$O$449,6,FALSE)</f>
        <v>2026-03-17</v>
      </c>
      <c r="I112" s="38" t="s">
        <v>388</v>
      </c>
      <c r="J112" s="16">
        <f>VLOOKUP($A112,[1]Sheet2!$I$2:$O$449,4,FALSE)</f>
        <v>140</v>
      </c>
      <c r="K112" s="17">
        <f t="shared" si="4"/>
        <v>0</v>
      </c>
      <c r="L112" s="18">
        <f t="shared" si="5"/>
        <v>0</v>
      </c>
    </row>
    <row r="113" spans="1:12" x14ac:dyDescent="0.2">
      <c r="A113" s="8" t="s">
        <v>389</v>
      </c>
      <c r="B113" s="38" t="s">
        <v>15</v>
      </c>
      <c r="C113" s="16" t="str">
        <f>VLOOKUP($A113,[1]Sheet2!$I$2:$O$449,3,FALSE)</f>
        <v>KPB1</v>
      </c>
      <c r="D113" s="7" t="s">
        <v>101</v>
      </c>
      <c r="E113" s="24" t="str">
        <f>VLOOKUP($A113,[1]Sheet2!$I$2:$O$449,5,FALSE)</f>
        <v>2026-02-07</v>
      </c>
      <c r="F113" s="19">
        <f t="shared" si="3"/>
        <v>3</v>
      </c>
      <c r="G113" s="38" t="s">
        <v>208</v>
      </c>
      <c r="H113" s="16" t="str">
        <f>VLOOKUP($A113,[1]Sheet2!$I$2:$O$449,6,FALSE)</f>
        <v>2026-03-18</v>
      </c>
      <c r="I113" s="38" t="s">
        <v>390</v>
      </c>
      <c r="J113" s="16">
        <f>VLOOKUP($A113,[1]Sheet2!$I$2:$O$449,4,FALSE)</f>
        <v>706</v>
      </c>
      <c r="K113" s="17">
        <f t="shared" si="4"/>
        <v>0</v>
      </c>
      <c r="L113" s="18">
        <f t="shared" si="5"/>
        <v>0</v>
      </c>
    </row>
    <row r="114" spans="1:12" x14ac:dyDescent="0.2">
      <c r="A114" s="47" t="s">
        <v>391</v>
      </c>
      <c r="B114" s="38" t="s">
        <v>15</v>
      </c>
      <c r="C114" s="16" t="str">
        <f>VLOOKUP($A114,[1]Sheet2!$I$2:$O$449,3,FALSE)</f>
        <v>KPB1</v>
      </c>
      <c r="D114" s="7" t="s">
        <v>176</v>
      </c>
      <c r="E114" s="24" t="str">
        <f>VLOOKUP($A114,[1]Sheet2!$I$2:$O$449,5,FALSE)</f>
        <v>2026-02-26</v>
      </c>
      <c r="F114" s="19">
        <f t="shared" si="3"/>
        <v>-5</v>
      </c>
      <c r="G114" s="38" t="s">
        <v>208</v>
      </c>
      <c r="H114" s="16" t="str">
        <f>VLOOKUP($A114,[1]Sheet2!$I$2:$O$449,6,FALSE)</f>
        <v>2026-03-18</v>
      </c>
      <c r="I114" s="38" t="s">
        <v>392</v>
      </c>
      <c r="J114" s="16">
        <f>VLOOKUP($A114,[1]Sheet2!$I$2:$O$449,4,FALSE)</f>
        <v>759</v>
      </c>
      <c r="K114" s="17">
        <f t="shared" si="4"/>
        <v>0</v>
      </c>
      <c r="L114" s="18">
        <f t="shared" si="5"/>
        <v>0</v>
      </c>
    </row>
    <row r="115" spans="1:12" x14ac:dyDescent="0.2">
      <c r="A115" s="8" t="s">
        <v>393</v>
      </c>
      <c r="B115" s="38" t="s">
        <v>15</v>
      </c>
      <c r="C115" s="16" t="str">
        <f>VLOOKUP($A115,[1]Sheet2!$I$2:$O$449,3,FALSE)</f>
        <v>KPB1</v>
      </c>
      <c r="D115" s="7" t="s">
        <v>172</v>
      </c>
      <c r="E115" s="24" t="str">
        <f>VLOOKUP($A115,[1]Sheet2!$I$2:$O$449,5,FALSE)</f>
        <v>2026-03-02</v>
      </c>
      <c r="F115" s="19">
        <f t="shared" si="3"/>
        <v>-2</v>
      </c>
      <c r="G115" s="38" t="s">
        <v>177</v>
      </c>
      <c r="H115" s="16" t="str">
        <f>VLOOKUP($A115,[1]Sheet2!$I$2:$O$449,6,FALSE)</f>
        <v>2026-03-25</v>
      </c>
      <c r="I115" s="38" t="s">
        <v>394</v>
      </c>
      <c r="J115" s="16">
        <f>VLOOKUP($A115,[1]Sheet2!$I$2:$O$449,4,FALSE)</f>
        <v>887</v>
      </c>
      <c r="K115" s="17">
        <f t="shared" si="4"/>
        <v>0</v>
      </c>
      <c r="L115" s="18">
        <f t="shared" si="5"/>
        <v>0</v>
      </c>
    </row>
    <row r="116" spans="1:12" x14ac:dyDescent="0.2">
      <c r="A116" s="8" t="s">
        <v>395</v>
      </c>
      <c r="B116" s="38" t="s">
        <v>15</v>
      </c>
      <c r="C116" s="16" t="str">
        <f>VLOOKUP($A116,[1]Sheet2!$I$2:$O$449,3,FALSE)</f>
        <v>KPB1</v>
      </c>
      <c r="D116" s="7" t="s">
        <v>117</v>
      </c>
      <c r="E116" s="24" t="str">
        <f>VLOOKUP($A116,[1]Sheet2!$I$2:$O$449,5,FALSE)</f>
        <v>2026-02-27</v>
      </c>
      <c r="F116" s="19">
        <f t="shared" si="3"/>
        <v>0</v>
      </c>
      <c r="G116" s="38" t="s">
        <v>177</v>
      </c>
      <c r="H116" s="16" t="str">
        <f>VLOOKUP($A116,[1]Sheet2!$I$2:$O$449,6,FALSE)</f>
        <v>2026-03-25</v>
      </c>
      <c r="I116" s="38" t="s">
        <v>396</v>
      </c>
      <c r="J116" s="16">
        <f>VLOOKUP($A116,[1]Sheet2!$I$2:$O$449,4,FALSE)</f>
        <v>517</v>
      </c>
      <c r="K116" s="17">
        <f t="shared" si="4"/>
        <v>0</v>
      </c>
      <c r="L116" s="18">
        <f t="shared" si="5"/>
        <v>0</v>
      </c>
    </row>
    <row r="117" spans="1:12" x14ac:dyDescent="0.2">
      <c r="A117" s="8" t="s">
        <v>397</v>
      </c>
      <c r="B117" s="38" t="s">
        <v>15</v>
      </c>
      <c r="C117" s="16" t="str">
        <f>VLOOKUP($A117,[1]Sheet2!$I$2:$O$449,3,FALSE)</f>
        <v>KPB1</v>
      </c>
      <c r="D117" s="7" t="s">
        <v>165</v>
      </c>
      <c r="E117" s="24" t="str">
        <f>VLOOKUP($A117,[1]Sheet2!$I$2:$O$449,5,FALSE)</f>
        <v>2026-02-25</v>
      </c>
      <c r="F117" s="19">
        <f t="shared" si="3"/>
        <v>0</v>
      </c>
      <c r="G117" s="38" t="s">
        <v>180</v>
      </c>
      <c r="H117" s="16" t="str">
        <f>VLOOKUP($A117,[1]Sheet2!$I$2:$O$449,6,FALSE)</f>
        <v>2026-03-26</v>
      </c>
      <c r="I117" s="38" t="s">
        <v>398</v>
      </c>
      <c r="J117" s="16">
        <f>VLOOKUP($A117,[1]Sheet2!$I$2:$O$449,4,FALSE)</f>
        <v>460</v>
      </c>
      <c r="K117" s="17">
        <f t="shared" si="4"/>
        <v>0</v>
      </c>
      <c r="L117" s="18">
        <f t="shared" si="5"/>
        <v>0</v>
      </c>
    </row>
    <row r="118" spans="1:12" x14ac:dyDescent="0.2">
      <c r="A118" s="8" t="s">
        <v>399</v>
      </c>
      <c r="B118" s="38" t="s">
        <v>15</v>
      </c>
      <c r="C118" s="16" t="str">
        <f>VLOOKUP($A118,[1]Sheet2!$I$2:$O$449,3,FALSE)</f>
        <v>KPB1</v>
      </c>
      <c r="D118" s="7" t="s">
        <v>169</v>
      </c>
      <c r="E118" s="24" t="str">
        <f>VLOOKUP($A118,[1]Sheet2!$I$2:$O$449,5,FALSE)</f>
        <v>2026-03-17</v>
      </c>
      <c r="F118" s="19">
        <f t="shared" si="3"/>
        <v>0</v>
      </c>
      <c r="G118" s="38" t="s">
        <v>180</v>
      </c>
      <c r="H118" s="16" t="str">
        <f>VLOOKUP($A118,[1]Sheet2!$I$2:$O$449,6,FALSE)</f>
        <v>2026-03-26</v>
      </c>
      <c r="I118" s="38" t="s">
        <v>302</v>
      </c>
      <c r="J118" s="16">
        <f>VLOOKUP($A118,[1]Sheet2!$I$2:$O$449,4,FALSE)</f>
        <v>73</v>
      </c>
      <c r="K118" s="17">
        <f t="shared" si="4"/>
        <v>0</v>
      </c>
      <c r="L118" s="18">
        <f t="shared" si="5"/>
        <v>0</v>
      </c>
    </row>
    <row r="119" spans="1:12" x14ac:dyDescent="0.2">
      <c r="A119" s="8" t="s">
        <v>400</v>
      </c>
      <c r="B119" s="38" t="s">
        <v>15</v>
      </c>
      <c r="C119" s="16" t="str">
        <f>VLOOKUP($A119,[1]Sheet2!$I$2:$O$449,3,FALSE)</f>
        <v>KPB1</v>
      </c>
      <c r="D119" s="7" t="s">
        <v>102</v>
      </c>
      <c r="E119" s="24" t="str">
        <f>VLOOKUP($A119,[1]Sheet2!$I$2:$O$449,5,FALSE)</f>
        <v>2026-03-05</v>
      </c>
      <c r="F119" s="19">
        <f t="shared" si="3"/>
        <v>0</v>
      </c>
      <c r="G119" s="38" t="s">
        <v>114</v>
      </c>
      <c r="H119" s="16" t="str">
        <f>VLOOKUP($A119,[1]Sheet2!$I$2:$O$449,6,FALSE)</f>
        <v>2026-03-27</v>
      </c>
      <c r="I119" s="38" t="s">
        <v>368</v>
      </c>
      <c r="J119" s="16">
        <f>VLOOKUP($A119,[1]Sheet2!$I$2:$O$449,4,FALSE)</f>
        <v>214</v>
      </c>
      <c r="K119" s="17">
        <f t="shared" si="4"/>
        <v>0</v>
      </c>
      <c r="L119" s="18">
        <f t="shared" si="5"/>
        <v>0</v>
      </c>
    </row>
    <row r="120" spans="1:12" x14ac:dyDescent="0.2">
      <c r="A120" s="8" t="s">
        <v>401</v>
      </c>
      <c r="B120" s="38" t="s">
        <v>15</v>
      </c>
      <c r="C120" s="16" t="str">
        <f>VLOOKUP($A120,[1]Sheet2!$I$2:$O$449,3,FALSE)</f>
        <v>KPB1</v>
      </c>
      <c r="D120" s="7" t="s">
        <v>165</v>
      </c>
      <c r="E120" s="24" t="str">
        <f>VLOOKUP($A120,[1]Sheet2!$I$2:$O$449,5,FALSE)</f>
        <v>2026-02-23</v>
      </c>
      <c r="F120" s="19">
        <f t="shared" si="3"/>
        <v>2</v>
      </c>
      <c r="G120" s="38" t="s">
        <v>219</v>
      </c>
      <c r="H120" s="16" t="str">
        <f>VLOOKUP($A120,[1]Sheet2!$I$2:$O$449,6,FALSE)</f>
        <v>2026-03-28</v>
      </c>
      <c r="I120" s="38" t="s">
        <v>402</v>
      </c>
      <c r="J120" s="16">
        <f>VLOOKUP($A120,[1]Sheet2!$I$2:$O$449,4,FALSE)</f>
        <v>1212</v>
      </c>
      <c r="K120" s="17">
        <f t="shared" si="4"/>
        <v>0</v>
      </c>
      <c r="L120" s="18">
        <f t="shared" si="5"/>
        <v>0</v>
      </c>
    </row>
    <row r="121" spans="1:12" x14ac:dyDescent="0.2">
      <c r="A121" s="8" t="s">
        <v>403</v>
      </c>
      <c r="B121" s="38" t="s">
        <v>15</v>
      </c>
      <c r="C121" s="16" t="str">
        <f>VLOOKUP($A121,[1]Sheet2!$I$2:$O$449,3,FALSE)</f>
        <v>KPB1</v>
      </c>
      <c r="D121" s="7" t="s">
        <v>217</v>
      </c>
      <c r="E121" s="24" t="str">
        <f>VLOOKUP($A121,[1]Sheet2!$I$2:$O$449,5,FALSE)</f>
        <v>2026-03-19</v>
      </c>
      <c r="F121" s="19">
        <f t="shared" si="3"/>
        <v>1</v>
      </c>
      <c r="G121" s="38" t="s">
        <v>219</v>
      </c>
      <c r="H121" s="16" t="str">
        <f>VLOOKUP($A121,[1]Sheet2!$I$2:$O$449,6,FALSE)</f>
        <v>2026-03-28</v>
      </c>
      <c r="I121" s="38" t="s">
        <v>404</v>
      </c>
      <c r="J121" s="16">
        <f>VLOOKUP($A121,[1]Sheet2!$I$2:$O$449,4,FALSE)</f>
        <v>900</v>
      </c>
      <c r="K121" s="17">
        <f t="shared" si="4"/>
        <v>0</v>
      </c>
      <c r="L121" s="18">
        <f t="shared" si="5"/>
        <v>0</v>
      </c>
    </row>
    <row r="122" spans="1:12" x14ac:dyDescent="0.2">
      <c r="A122" s="47" t="s">
        <v>405</v>
      </c>
      <c r="B122" s="38" t="s">
        <v>15</v>
      </c>
      <c r="C122" s="16" t="str">
        <f>VLOOKUP($A122,[1]Sheet2!$I$2:$O$449,3,FALSE)</f>
        <v>KPB1</v>
      </c>
      <c r="D122" s="7" t="s">
        <v>169</v>
      </c>
      <c r="E122" s="24" t="str">
        <f>VLOOKUP($A122,[1]Sheet2!$I$2:$O$449,5,FALSE)</f>
        <v>2026-03-13</v>
      </c>
      <c r="F122" s="19">
        <f t="shared" si="3"/>
        <v>4</v>
      </c>
      <c r="G122" s="38" t="s">
        <v>219</v>
      </c>
      <c r="H122" s="16" t="str">
        <f>VLOOKUP($A122,[1]Sheet2!$I$2:$O$449,6,FALSE)</f>
        <v>2026-03-28</v>
      </c>
      <c r="I122" s="38" t="s">
        <v>205</v>
      </c>
      <c r="J122" s="16">
        <f>VLOOKUP($A122,[1]Sheet2!$I$2:$O$449,4,FALSE)</f>
        <v>497</v>
      </c>
      <c r="K122" s="17">
        <f t="shared" si="4"/>
        <v>0</v>
      </c>
      <c r="L122" s="18">
        <f t="shared" si="5"/>
        <v>0</v>
      </c>
    </row>
    <row r="123" spans="1:12" x14ac:dyDescent="0.2">
      <c r="A123" s="8" t="s">
        <v>406</v>
      </c>
      <c r="B123" s="38" t="s">
        <v>15</v>
      </c>
      <c r="C123" s="16" t="str">
        <f>VLOOKUP($A123,[1]Sheet2!$I$2:$O$449,3,FALSE)</f>
        <v>KPB1</v>
      </c>
      <c r="D123" s="7" t="s">
        <v>162</v>
      </c>
      <c r="E123" s="24" t="str">
        <f>VLOOKUP($A123,[1]Sheet2!$I$2:$O$449,5,FALSE)</f>
        <v>2026-03-16</v>
      </c>
      <c r="F123" s="19">
        <f t="shared" si="3"/>
        <v>0</v>
      </c>
      <c r="G123" s="38" t="s">
        <v>219</v>
      </c>
      <c r="H123" s="16" t="str">
        <f>VLOOKUP($A123,[1]Sheet2!$I$2:$O$449,6,FALSE)</f>
        <v>2026-03-28</v>
      </c>
      <c r="I123" s="38" t="s">
        <v>407</v>
      </c>
      <c r="J123" s="16">
        <f>VLOOKUP($A123,[1]Sheet2!$I$2:$O$449,4,FALSE)</f>
        <v>292</v>
      </c>
      <c r="K123" s="17">
        <f t="shared" si="4"/>
        <v>0</v>
      </c>
      <c r="L123" s="18">
        <f t="shared" si="5"/>
        <v>0</v>
      </c>
    </row>
    <row r="124" spans="1:12" x14ac:dyDescent="0.2">
      <c r="A124" s="47" t="s">
        <v>408</v>
      </c>
      <c r="B124" s="38" t="s">
        <v>15</v>
      </c>
      <c r="C124" s="16" t="str">
        <f>VLOOKUP($A124,[1]Sheet2!$I$2:$O$449,3,FALSE)</f>
        <v>KPB1</v>
      </c>
      <c r="D124" s="7" t="s">
        <v>180</v>
      </c>
      <c r="E124" s="24" t="str">
        <f>VLOOKUP($A124,[1]Sheet2!$I$2:$O$449,5,FALSE)</f>
        <v>2026-03-18</v>
      </c>
      <c r="F124" s="19">
        <f t="shared" si="3"/>
        <v>8</v>
      </c>
      <c r="G124" s="38" t="s">
        <v>118</v>
      </c>
      <c r="H124" s="16" t="str">
        <f>VLOOKUP($A124,[1]Sheet2!$I$2:$O$449,6,FALSE)</f>
        <v>2026-03-30</v>
      </c>
      <c r="I124" s="38" t="s">
        <v>409</v>
      </c>
      <c r="J124" s="16">
        <f>VLOOKUP($A124,[1]Sheet2!$I$2:$O$449,4,FALSE)</f>
        <v>522</v>
      </c>
      <c r="K124" s="17">
        <f t="shared" si="4"/>
        <v>0</v>
      </c>
      <c r="L124" s="18">
        <f t="shared" si="5"/>
        <v>0</v>
      </c>
    </row>
    <row r="125" spans="1:12" x14ac:dyDescent="0.2">
      <c r="A125" s="8" t="s">
        <v>410</v>
      </c>
      <c r="B125" s="38" t="s">
        <v>15</v>
      </c>
      <c r="C125" s="16" t="str">
        <f>VLOOKUP($A125,[1]Sheet2!$I$2:$O$449,3,FALSE)</f>
        <v>KPB1</v>
      </c>
      <c r="D125" s="7" t="s">
        <v>137</v>
      </c>
      <c r="E125" s="24" t="str">
        <f>VLOOKUP($A125,[1]Sheet2!$I$2:$O$449,5,FALSE)</f>
        <v>2026-02-24</v>
      </c>
      <c r="F125" s="19">
        <f t="shared" si="3"/>
        <v>0</v>
      </c>
      <c r="G125" s="38" t="s">
        <v>187</v>
      </c>
      <c r="H125" s="16" t="str">
        <f>VLOOKUP($A125,[1]Sheet2!$I$2:$O$449,6,FALSE)</f>
        <v>2026-03-31</v>
      </c>
      <c r="I125" s="38" t="s">
        <v>411</v>
      </c>
      <c r="J125" s="16">
        <f>VLOOKUP($A125,[1]Sheet2!$I$2:$O$449,4,FALSE)</f>
        <v>529</v>
      </c>
      <c r="K125" s="17">
        <f t="shared" si="4"/>
        <v>0</v>
      </c>
      <c r="L125" s="18">
        <f t="shared" si="5"/>
        <v>0</v>
      </c>
    </row>
    <row r="126" spans="1:12" x14ac:dyDescent="0.2">
      <c r="A126" s="8" t="s">
        <v>412</v>
      </c>
      <c r="B126" s="38" t="s">
        <v>15</v>
      </c>
      <c r="C126" s="16" t="str">
        <f>VLOOKUP($A126,[1]Sheet2!$I$2:$O$449,3,FALSE)</f>
        <v>KPB1</v>
      </c>
      <c r="D126" s="7" t="s">
        <v>217</v>
      </c>
      <c r="E126" s="24" t="str">
        <f>VLOOKUP($A126,[1]Sheet2!$I$2:$O$449,5,FALSE)</f>
        <v>2026-03-19</v>
      </c>
      <c r="F126" s="19">
        <f t="shared" si="3"/>
        <v>1</v>
      </c>
      <c r="G126" s="38" t="s">
        <v>187</v>
      </c>
      <c r="H126" s="16" t="str">
        <f>VLOOKUP($A126,[1]Sheet2!$I$2:$O$449,6,FALSE)</f>
        <v>2026-03-31</v>
      </c>
      <c r="I126" s="38" t="s">
        <v>413</v>
      </c>
      <c r="J126" s="16">
        <f>VLOOKUP($A126,[1]Sheet2!$I$2:$O$449,4,FALSE)</f>
        <v>648</v>
      </c>
      <c r="K126" s="17">
        <f t="shared" si="4"/>
        <v>0</v>
      </c>
      <c r="L126" s="18">
        <f t="shared" si="5"/>
        <v>0</v>
      </c>
    </row>
    <row r="127" spans="1:12" x14ac:dyDescent="0.2">
      <c r="A127" s="8" t="s">
        <v>414</v>
      </c>
      <c r="B127" s="38" t="s">
        <v>15</v>
      </c>
      <c r="C127" s="16" t="str">
        <f>VLOOKUP($A127,[1]Sheet2!$I$2:$O$449,3,FALSE)</f>
        <v>KPB1</v>
      </c>
      <c r="D127" s="7" t="s">
        <v>105</v>
      </c>
      <c r="E127" s="24" t="str">
        <f>VLOOKUP($A127,[1]Sheet2!$I$2:$O$449,5,FALSE)</f>
        <v>2026-02-23</v>
      </c>
      <c r="F127" s="19">
        <f t="shared" si="3"/>
        <v>0</v>
      </c>
      <c r="G127" s="38" t="s">
        <v>187</v>
      </c>
      <c r="H127" s="16" t="str">
        <f>VLOOKUP($A127,[1]Sheet2!$I$2:$O$449,6,FALSE)</f>
        <v>2026-03-31</v>
      </c>
      <c r="I127" s="38" t="s">
        <v>415</v>
      </c>
      <c r="J127" s="16">
        <f>VLOOKUP($A127,[1]Sheet2!$I$2:$O$449,4,FALSE)</f>
        <v>611</v>
      </c>
      <c r="K127" s="17">
        <f t="shared" si="4"/>
        <v>0</v>
      </c>
      <c r="L127" s="18">
        <f t="shared" si="5"/>
        <v>0</v>
      </c>
    </row>
    <row r="128" spans="1:12" x14ac:dyDescent="0.2">
      <c r="A128" s="47" t="s">
        <v>416</v>
      </c>
      <c r="B128" s="38" t="s">
        <v>15</v>
      </c>
      <c r="C128" s="16" t="str">
        <f>VLOOKUP($A128,[1]Sheet2!$I$2:$O$449,3,FALSE)</f>
        <v>KPB1</v>
      </c>
      <c r="D128" s="7" t="s">
        <v>180</v>
      </c>
      <c r="E128" s="24" t="str">
        <f>VLOOKUP($A128,[1]Sheet2!$I$2:$O$449,5,FALSE)</f>
        <v>2026-03-19</v>
      </c>
      <c r="F128" s="19">
        <f t="shared" si="3"/>
        <v>7</v>
      </c>
      <c r="G128" s="38" t="s">
        <v>187</v>
      </c>
      <c r="H128" s="16" t="str">
        <f>VLOOKUP($A128,[1]Sheet2!$I$2:$O$449,6,FALSE)</f>
        <v>2026-03-31</v>
      </c>
      <c r="I128" s="38" t="s">
        <v>417</v>
      </c>
      <c r="J128" s="16">
        <f>VLOOKUP($A128,[1]Sheet2!$I$2:$O$449,4,FALSE)</f>
        <v>1064</v>
      </c>
      <c r="K128" s="17">
        <f t="shared" si="4"/>
        <v>0</v>
      </c>
      <c r="L128" s="18">
        <f t="shared" si="5"/>
        <v>0</v>
      </c>
    </row>
    <row r="129" spans="1:12" x14ac:dyDescent="0.2">
      <c r="A129" s="8" t="s">
        <v>418</v>
      </c>
      <c r="B129" s="38" t="s">
        <v>25</v>
      </c>
      <c r="C129" s="16" t="str">
        <f>VLOOKUP($A129,[1]Sheet2!$I$2:$O$449,3,FALSE)</f>
        <v>KPB2</v>
      </c>
      <c r="D129" s="7" t="s">
        <v>419</v>
      </c>
      <c r="E129" s="24" t="str">
        <f>VLOOKUP($A129,[1]Sheet2!$I$2:$O$449,5,FALSE)</f>
        <v>2026-02-07</v>
      </c>
      <c r="F129" s="19">
        <f t="shared" si="3"/>
        <v>-2</v>
      </c>
      <c r="G129" s="38" t="s">
        <v>143</v>
      </c>
      <c r="H129" s="16" t="str">
        <f>VLOOKUP($A129,[1]Sheet2!$I$2:$O$449,6,FALSE)</f>
        <v>2026-03-03</v>
      </c>
      <c r="I129" s="38" t="s">
        <v>420</v>
      </c>
      <c r="J129" s="16">
        <f>VLOOKUP($A129,[1]Sheet2!$I$2:$O$449,4,FALSE)</f>
        <v>1519</v>
      </c>
      <c r="K129" s="17">
        <f t="shared" si="4"/>
        <v>0</v>
      </c>
      <c r="L129" s="18">
        <f t="shared" si="5"/>
        <v>0</v>
      </c>
    </row>
    <row r="130" spans="1:12" x14ac:dyDescent="0.2">
      <c r="A130" s="8" t="s">
        <v>421</v>
      </c>
      <c r="B130" s="38" t="s">
        <v>25</v>
      </c>
      <c r="C130" s="16" t="str">
        <f>VLOOKUP($A130,[1]Sheet2!$I$2:$O$449,3,FALSE)</f>
        <v>KPB2</v>
      </c>
      <c r="D130" s="7" t="s">
        <v>422</v>
      </c>
      <c r="E130" s="24" t="str">
        <f>VLOOKUP($A130,[1]Sheet2!$I$2:$O$449,5,FALSE)</f>
        <v>2025-12-02</v>
      </c>
      <c r="F130" s="19">
        <f t="shared" si="3"/>
        <v>0</v>
      </c>
      <c r="G130" s="38" t="s">
        <v>143</v>
      </c>
      <c r="H130" s="16" t="str">
        <f>VLOOKUP($A130,[1]Sheet2!$I$2:$O$449,6,FALSE)</f>
        <v>2026-03-03</v>
      </c>
      <c r="I130" s="38" t="s">
        <v>423</v>
      </c>
      <c r="J130" s="16">
        <f>VLOOKUP($A130,[1]Sheet2!$I$2:$O$449,4,FALSE)</f>
        <v>2294</v>
      </c>
      <c r="K130" s="17">
        <f t="shared" si="4"/>
        <v>0</v>
      </c>
      <c r="L130" s="18">
        <f t="shared" si="5"/>
        <v>0</v>
      </c>
    </row>
    <row r="131" spans="1:12" x14ac:dyDescent="0.2">
      <c r="A131" s="8" t="s">
        <v>424</v>
      </c>
      <c r="B131" s="38" t="s">
        <v>25</v>
      </c>
      <c r="C131" s="16" t="str">
        <f>VLOOKUP($A131,[1]Sheet2!$I$2:$O$449,3,FALSE)</f>
        <v>KPB2</v>
      </c>
      <c r="D131" s="7" t="s">
        <v>425</v>
      </c>
      <c r="E131" s="24" t="str">
        <f>VLOOKUP($A131,[1]Sheet2!$I$2:$O$449,5,FALSE)</f>
        <v>2025-11-17</v>
      </c>
      <c r="F131" s="19">
        <f t="shared" ref="F131:F194" si="6">D131-E131</f>
        <v>0</v>
      </c>
      <c r="G131" s="38" t="s">
        <v>106</v>
      </c>
      <c r="H131" s="16" t="str">
        <f>VLOOKUP($A131,[1]Sheet2!$I$2:$O$449,6,FALSE)</f>
        <v>2026-03-06</v>
      </c>
      <c r="I131" s="38" t="s">
        <v>426</v>
      </c>
      <c r="J131" s="16">
        <f>VLOOKUP($A131,[1]Sheet2!$I$2:$O$449,4,FALSE)</f>
        <v>888</v>
      </c>
      <c r="K131" s="17">
        <f t="shared" ref="K131:K194" si="7">G131-H131</f>
        <v>0</v>
      </c>
      <c r="L131" s="18">
        <f t="shared" ref="L131:L194" si="8">I131-J131</f>
        <v>0</v>
      </c>
    </row>
    <row r="132" spans="1:12" x14ac:dyDescent="0.2">
      <c r="A132" s="8" t="s">
        <v>427</v>
      </c>
      <c r="B132" s="38" t="s">
        <v>25</v>
      </c>
      <c r="C132" s="16" t="str">
        <f>VLOOKUP($A132,[1]Sheet2!$I$2:$O$449,3,FALSE)</f>
        <v>KPB2</v>
      </c>
      <c r="D132" s="7" t="s">
        <v>428</v>
      </c>
      <c r="E132" s="24" t="str">
        <f>VLOOKUP($A132,[1]Sheet2!$I$2:$O$449,5,FALSE)</f>
        <v>2025-12-13</v>
      </c>
      <c r="F132" s="19">
        <f t="shared" si="6"/>
        <v>-1</v>
      </c>
      <c r="G132" s="38" t="s">
        <v>232</v>
      </c>
      <c r="H132" s="16" t="str">
        <f>VLOOKUP($A132,[1]Sheet2!$I$2:$O$449,6,FALSE)</f>
        <v>2026-03-07</v>
      </c>
      <c r="I132" s="38" t="s">
        <v>429</v>
      </c>
      <c r="J132" s="16">
        <f>VLOOKUP($A132,[1]Sheet2!$I$2:$O$449,4,FALSE)</f>
        <v>1762</v>
      </c>
      <c r="K132" s="17">
        <f t="shared" si="7"/>
        <v>0</v>
      </c>
      <c r="L132" s="18">
        <f t="shared" si="8"/>
        <v>0</v>
      </c>
    </row>
    <row r="133" spans="1:12" x14ac:dyDescent="0.2">
      <c r="A133" s="47" t="s">
        <v>430</v>
      </c>
      <c r="B133" s="38" t="s">
        <v>25</v>
      </c>
      <c r="C133" s="16" t="str">
        <f>VLOOKUP($A133,[1]Sheet2!$I$2:$O$449,3,FALSE)</f>
        <v>KPB2</v>
      </c>
      <c r="D133" s="7" t="s">
        <v>210</v>
      </c>
      <c r="E133" s="24" t="str">
        <f>VLOOKUP($A133,[1]Sheet2!$I$2:$O$449,5,FALSE)</f>
        <v>2026-01-09</v>
      </c>
      <c r="F133" s="19">
        <f t="shared" si="6"/>
        <v>-9</v>
      </c>
      <c r="G133" s="38" t="s">
        <v>232</v>
      </c>
      <c r="H133" s="16" t="str">
        <f>VLOOKUP($A133,[1]Sheet2!$I$2:$O$449,6,FALSE)</f>
        <v>2026-03-07</v>
      </c>
      <c r="I133" s="38" t="s">
        <v>431</v>
      </c>
      <c r="J133" s="16">
        <f>VLOOKUP($A133,[1]Sheet2!$I$2:$O$449,4,FALSE)</f>
        <v>1643</v>
      </c>
      <c r="K133" s="17">
        <f t="shared" si="7"/>
        <v>0</v>
      </c>
      <c r="L133" s="18">
        <f t="shared" si="8"/>
        <v>0</v>
      </c>
    </row>
    <row r="134" spans="1:12" x14ac:dyDescent="0.2">
      <c r="A134" s="8" t="s">
        <v>432</v>
      </c>
      <c r="B134" s="38" t="s">
        <v>25</v>
      </c>
      <c r="C134" s="16" t="str">
        <f>VLOOKUP($A134,[1]Sheet2!$I$2:$O$449,3,FALSE)</f>
        <v>KPB2</v>
      </c>
      <c r="D134" s="7" t="s">
        <v>387</v>
      </c>
      <c r="E134" s="24" t="str">
        <f>VLOOKUP($A134,[1]Sheet2!$I$2:$O$449,5,FALSE)</f>
        <v>2026-01-21</v>
      </c>
      <c r="F134" s="19">
        <f t="shared" si="6"/>
        <v>-1</v>
      </c>
      <c r="G134" s="38" t="s">
        <v>433</v>
      </c>
      <c r="H134" s="16" t="str">
        <f>VLOOKUP($A134,[1]Sheet2!$I$2:$O$449,6,FALSE)</f>
        <v>2026-03-08</v>
      </c>
      <c r="I134" s="38" t="s">
        <v>434</v>
      </c>
      <c r="J134" s="16">
        <f>VLOOKUP($A134,[1]Sheet2!$I$2:$O$449,4,FALSE)</f>
        <v>1339</v>
      </c>
      <c r="K134" s="17">
        <f t="shared" si="7"/>
        <v>0</v>
      </c>
      <c r="L134" s="18">
        <f t="shared" si="8"/>
        <v>0</v>
      </c>
    </row>
    <row r="135" spans="1:12" x14ac:dyDescent="0.2">
      <c r="A135" s="8" t="s">
        <v>435</v>
      </c>
      <c r="B135" s="38" t="s">
        <v>25</v>
      </c>
      <c r="C135" s="16" t="str">
        <f>VLOOKUP($A135,[1]Sheet2!$I$2:$O$449,3,FALSE)</f>
        <v>KPB2</v>
      </c>
      <c r="D135" s="7" t="s">
        <v>436</v>
      </c>
      <c r="E135" s="24" t="str">
        <f>VLOOKUP($A135,[1]Sheet2!$I$2:$O$449,5,FALSE)</f>
        <v>2025-12-18</v>
      </c>
      <c r="F135" s="19">
        <f t="shared" si="6"/>
        <v>-1</v>
      </c>
      <c r="G135" s="38" t="s">
        <v>138</v>
      </c>
      <c r="H135" s="16" t="str">
        <f>VLOOKUP($A135,[1]Sheet2!$I$2:$O$449,6,FALSE)</f>
        <v>2026-03-09</v>
      </c>
      <c r="I135" s="38" t="s">
        <v>437</v>
      </c>
      <c r="J135" s="16">
        <f>VLOOKUP($A135,[1]Sheet2!$I$2:$O$449,4,FALSE)</f>
        <v>2019</v>
      </c>
      <c r="K135" s="17">
        <f t="shared" si="7"/>
        <v>0</v>
      </c>
      <c r="L135" s="18">
        <f t="shared" si="8"/>
        <v>0</v>
      </c>
    </row>
    <row r="136" spans="1:12" x14ac:dyDescent="0.2">
      <c r="A136" s="8" t="s">
        <v>438</v>
      </c>
      <c r="B136" s="38" t="s">
        <v>25</v>
      </c>
      <c r="C136" s="16" t="str">
        <f>VLOOKUP($A136,[1]Sheet2!$I$2:$O$449,3,FALSE)</f>
        <v>KPB2</v>
      </c>
      <c r="D136" s="7" t="s">
        <v>439</v>
      </c>
      <c r="E136" s="24" t="str">
        <f>VLOOKUP($A136,[1]Sheet2!$I$2:$O$449,5,FALSE)</f>
        <v>2025-12-18</v>
      </c>
      <c r="F136" s="19">
        <f t="shared" si="6"/>
        <v>0</v>
      </c>
      <c r="G136" s="38" t="s">
        <v>110</v>
      </c>
      <c r="H136" s="16" t="str">
        <f>VLOOKUP($A136,[1]Sheet2!$I$2:$O$449,6,FALSE)</f>
        <v>2026-03-11</v>
      </c>
      <c r="I136" s="38" t="s">
        <v>440</v>
      </c>
      <c r="J136" s="16">
        <f>VLOOKUP($A136,[1]Sheet2!$I$2:$O$449,4,FALSE)</f>
        <v>2286</v>
      </c>
      <c r="K136" s="17">
        <f t="shared" si="7"/>
        <v>0</v>
      </c>
      <c r="L136" s="18">
        <f t="shared" si="8"/>
        <v>0</v>
      </c>
    </row>
    <row r="137" spans="1:12" x14ac:dyDescent="0.2">
      <c r="A137" s="8" t="s">
        <v>441</v>
      </c>
      <c r="B137" s="38" t="s">
        <v>25</v>
      </c>
      <c r="C137" s="16" t="str">
        <f>VLOOKUP($A137,[1]Sheet2!$I$2:$O$449,3,FALSE)</f>
        <v>KPB2</v>
      </c>
      <c r="D137" s="7" t="s">
        <v>442</v>
      </c>
      <c r="E137" s="24" t="str">
        <f>VLOOKUP($A137,[1]Sheet2!$I$2:$O$449,5,FALSE)</f>
        <v>2025-12-03</v>
      </c>
      <c r="F137" s="19">
        <f t="shared" si="6"/>
        <v>-2</v>
      </c>
      <c r="G137" s="38" t="s">
        <v>154</v>
      </c>
      <c r="H137" s="16" t="str">
        <f>VLOOKUP($A137,[1]Sheet2!$I$2:$O$449,6,FALSE)</f>
        <v>2026-03-14</v>
      </c>
      <c r="I137" s="38" t="s">
        <v>443</v>
      </c>
      <c r="J137" s="16">
        <f>VLOOKUP($A137,[1]Sheet2!$I$2:$O$449,4,FALSE)</f>
        <v>979</v>
      </c>
      <c r="K137" s="17">
        <f t="shared" si="7"/>
        <v>0</v>
      </c>
      <c r="L137" s="18">
        <f t="shared" si="8"/>
        <v>0</v>
      </c>
    </row>
    <row r="138" spans="1:12" x14ac:dyDescent="0.2">
      <c r="A138" s="8" t="s">
        <v>444</v>
      </c>
      <c r="B138" s="38" t="s">
        <v>25</v>
      </c>
      <c r="C138" s="16" t="str">
        <f>VLOOKUP($A138,[1]Sheet2!$I$2:$O$449,3,FALSE)</f>
        <v>KPB2</v>
      </c>
      <c r="D138" s="7" t="s">
        <v>334</v>
      </c>
      <c r="E138" s="24" t="str">
        <f>VLOOKUP($A138,[1]Sheet2!$I$2:$O$449,5,FALSE)</f>
        <v>2026-02-21</v>
      </c>
      <c r="F138" s="19">
        <f t="shared" si="6"/>
        <v>-1</v>
      </c>
      <c r="G138" s="38" t="s">
        <v>162</v>
      </c>
      <c r="H138" s="16" t="str">
        <f>VLOOKUP($A138,[1]Sheet2!$I$2:$O$449,6,FALSE)</f>
        <v>2026-03-16</v>
      </c>
      <c r="I138" s="38" t="s">
        <v>445</v>
      </c>
      <c r="J138" s="16">
        <f>VLOOKUP($A138,[1]Sheet2!$I$2:$O$449,4,FALSE)</f>
        <v>1070</v>
      </c>
      <c r="K138" s="17">
        <f t="shared" si="7"/>
        <v>0</v>
      </c>
      <c r="L138" s="18">
        <f t="shared" si="8"/>
        <v>0</v>
      </c>
    </row>
    <row r="139" spans="1:12" x14ac:dyDescent="0.2">
      <c r="A139" s="8" t="s">
        <v>446</v>
      </c>
      <c r="B139" s="38" t="s">
        <v>25</v>
      </c>
      <c r="C139" s="16" t="str">
        <f>VLOOKUP($A139,[1]Sheet2!$I$2:$O$449,3,FALSE)</f>
        <v>KPB2</v>
      </c>
      <c r="D139" s="7" t="s">
        <v>137</v>
      </c>
      <c r="E139" s="24" t="str">
        <f>VLOOKUP($A139,[1]Sheet2!$I$2:$O$449,5,FALSE)</f>
        <v>2026-02-24</v>
      </c>
      <c r="F139" s="19">
        <f t="shared" si="6"/>
        <v>0</v>
      </c>
      <c r="G139" s="38" t="s">
        <v>169</v>
      </c>
      <c r="H139" s="16" t="str">
        <f>VLOOKUP($A139,[1]Sheet2!$I$2:$O$449,6,FALSE)</f>
        <v>2026-03-17</v>
      </c>
      <c r="I139" s="38" t="s">
        <v>279</v>
      </c>
      <c r="J139" s="16">
        <f>VLOOKUP($A139,[1]Sheet2!$I$2:$O$449,4,FALSE)</f>
        <v>478</v>
      </c>
      <c r="K139" s="17">
        <f t="shared" si="7"/>
        <v>0</v>
      </c>
      <c r="L139" s="18">
        <f t="shared" si="8"/>
        <v>0</v>
      </c>
    </row>
    <row r="140" spans="1:12" x14ac:dyDescent="0.2">
      <c r="A140" s="8" t="s">
        <v>447</v>
      </c>
      <c r="B140" s="38" t="s">
        <v>25</v>
      </c>
      <c r="C140" s="16" t="str">
        <f>VLOOKUP($A140,[1]Sheet2!$I$2:$O$449,3,FALSE)</f>
        <v>KPB2</v>
      </c>
      <c r="D140" s="7" t="s">
        <v>199</v>
      </c>
      <c r="E140" s="24" t="str">
        <f>VLOOKUP($A140,[1]Sheet2!$I$2:$O$449,5,FALSE)</f>
        <v>2026-01-26</v>
      </c>
      <c r="F140" s="19">
        <f t="shared" si="6"/>
        <v>0</v>
      </c>
      <c r="G140" s="38" t="s">
        <v>169</v>
      </c>
      <c r="H140" s="16" t="str">
        <f>VLOOKUP($A140,[1]Sheet2!$I$2:$O$449,6,FALSE)</f>
        <v>2026-03-17</v>
      </c>
      <c r="I140" s="38" t="s">
        <v>448</v>
      </c>
      <c r="J140" s="16">
        <f>VLOOKUP($A140,[1]Sheet2!$I$2:$O$449,4,FALSE)</f>
        <v>1991</v>
      </c>
      <c r="K140" s="17">
        <f t="shared" si="7"/>
        <v>0</v>
      </c>
      <c r="L140" s="18">
        <f t="shared" si="8"/>
        <v>0</v>
      </c>
    </row>
    <row r="141" spans="1:12" x14ac:dyDescent="0.2">
      <c r="A141" s="8" t="s">
        <v>449</v>
      </c>
      <c r="B141" s="38" t="s">
        <v>25</v>
      </c>
      <c r="C141" s="16" t="str">
        <f>VLOOKUP($A141,[1]Sheet2!$I$2:$O$449,3,FALSE)</f>
        <v>KPB2</v>
      </c>
      <c r="D141" s="7" t="s">
        <v>117</v>
      </c>
      <c r="E141" s="24" t="str">
        <f>VLOOKUP($A141,[1]Sheet2!$I$2:$O$449,5,FALSE)</f>
        <v>2026-02-27</v>
      </c>
      <c r="F141" s="19">
        <f t="shared" si="6"/>
        <v>0</v>
      </c>
      <c r="G141" s="38" t="s">
        <v>180</v>
      </c>
      <c r="H141" s="16" t="str">
        <f>VLOOKUP($A141,[1]Sheet2!$I$2:$O$449,6,FALSE)</f>
        <v>2026-03-26</v>
      </c>
      <c r="I141" s="38" t="s">
        <v>450</v>
      </c>
      <c r="J141" s="16">
        <f>VLOOKUP($A141,[1]Sheet2!$I$2:$O$449,4,FALSE)</f>
        <v>1043</v>
      </c>
      <c r="K141" s="17">
        <f t="shared" si="7"/>
        <v>0</v>
      </c>
      <c r="L141" s="18">
        <f t="shared" si="8"/>
        <v>0</v>
      </c>
    </row>
    <row r="142" spans="1:12" x14ac:dyDescent="0.2">
      <c r="A142" s="8" t="s">
        <v>452</v>
      </c>
      <c r="B142" s="38" t="s">
        <v>25</v>
      </c>
      <c r="C142" s="16" t="str">
        <f>VLOOKUP($A142,[1]Sheet2!$I$2:$O$449,3,FALSE)</f>
        <v>KPB2</v>
      </c>
      <c r="D142" s="7" t="s">
        <v>165</v>
      </c>
      <c r="E142" s="24" t="str">
        <f>VLOOKUP($A142,[1]Sheet2!$I$2:$O$449,5,FALSE)</f>
        <v>2026-02-25</v>
      </c>
      <c r="F142" s="19">
        <f t="shared" si="6"/>
        <v>0</v>
      </c>
      <c r="G142" s="38" t="s">
        <v>219</v>
      </c>
      <c r="H142" s="16" t="str">
        <f>VLOOKUP($A142,[1]Sheet2!$I$2:$O$449,6,FALSE)</f>
        <v>2026-03-28</v>
      </c>
      <c r="I142" s="38" t="s">
        <v>453</v>
      </c>
      <c r="J142" s="16">
        <f>VLOOKUP($A142,[1]Sheet2!$I$2:$O$449,4,FALSE)</f>
        <v>2042</v>
      </c>
      <c r="K142" s="17">
        <f t="shared" si="7"/>
        <v>0</v>
      </c>
      <c r="L142" s="18">
        <f t="shared" si="8"/>
        <v>0</v>
      </c>
    </row>
    <row r="143" spans="1:12" x14ac:dyDescent="0.2">
      <c r="A143" s="47" t="s">
        <v>455</v>
      </c>
      <c r="B143" s="38" t="s">
        <v>25</v>
      </c>
      <c r="C143" s="16" t="str">
        <f>VLOOKUP($A143,[1]Sheet2!$I$2:$O$449,3,FALSE)</f>
        <v>KPB2</v>
      </c>
      <c r="D143" s="7" t="s">
        <v>97</v>
      </c>
      <c r="E143" s="24" t="str">
        <f>VLOOKUP($A143,[1]Sheet2!$I$2:$O$449,5,FALSE)</f>
        <v>2026-02-20</v>
      </c>
      <c r="F143" s="19">
        <f t="shared" si="6"/>
        <v>-6</v>
      </c>
      <c r="G143" s="38" t="s">
        <v>219</v>
      </c>
      <c r="H143" s="16" t="str">
        <f>VLOOKUP($A143,[1]Sheet2!$I$2:$O$449,6,FALSE)</f>
        <v>2026-03-28</v>
      </c>
      <c r="I143" s="38" t="s">
        <v>456</v>
      </c>
      <c r="J143" s="16">
        <f>VLOOKUP($A143,[1]Sheet2!$I$2:$O$449,4,FALSE)</f>
        <v>1620</v>
      </c>
      <c r="K143" s="17">
        <f t="shared" si="7"/>
        <v>0</v>
      </c>
      <c r="L143" s="18">
        <f t="shared" si="8"/>
        <v>0</v>
      </c>
    </row>
    <row r="144" spans="1:12" x14ac:dyDescent="0.2">
      <c r="A144" s="25" t="s">
        <v>457</v>
      </c>
      <c r="B144" s="39" t="s">
        <v>25</v>
      </c>
      <c r="C144" s="40" t="str">
        <f>VLOOKUP($A144,[1]Sheet2!$I$2:$O$449,3,FALSE)</f>
        <v>KPB2</v>
      </c>
      <c r="D144" s="26" t="s">
        <v>458</v>
      </c>
      <c r="E144" s="27" t="str">
        <f>VLOOKUP($A144,[1]Sheet2!$I$2:$O$449,5,FALSE)</f>
        <v>2026-01-17</v>
      </c>
      <c r="F144" s="28">
        <f t="shared" si="6"/>
        <v>0</v>
      </c>
      <c r="G144" s="39" t="s">
        <v>300</v>
      </c>
      <c r="H144" s="40" t="str">
        <f>VLOOKUP($A144,[1]Sheet2!$I$2:$O$449,6,FALSE)</f>
        <v>2026-03-29</v>
      </c>
      <c r="I144" s="39" t="s">
        <v>459</v>
      </c>
      <c r="J144" s="40">
        <f>VLOOKUP($A144,[1]Sheet2!$I$2:$O$449,4,FALSE)</f>
        <v>1969</v>
      </c>
      <c r="K144" s="17">
        <f t="shared" si="7"/>
        <v>0</v>
      </c>
      <c r="L144" s="18">
        <f t="shared" si="8"/>
        <v>0</v>
      </c>
    </row>
    <row r="145" spans="1:12" x14ac:dyDescent="0.2">
      <c r="A145" s="32" t="s">
        <v>389</v>
      </c>
      <c r="B145" s="41" t="s">
        <v>25</v>
      </c>
      <c r="C145" s="16" t="s">
        <v>795</v>
      </c>
      <c r="D145" s="19" t="s">
        <v>101</v>
      </c>
      <c r="E145" s="24" t="str">
        <f>VLOOKUP($A145,[1]Sheet2!$I$2:$O$449,5,FALSE)</f>
        <v>2026-02-07</v>
      </c>
      <c r="F145" s="19">
        <f t="shared" si="6"/>
        <v>3</v>
      </c>
      <c r="G145" s="41" t="s">
        <v>300</v>
      </c>
      <c r="H145" s="16" t="s">
        <v>798</v>
      </c>
      <c r="I145" s="41" t="s">
        <v>460</v>
      </c>
      <c r="J145" s="16">
        <v>1432</v>
      </c>
      <c r="K145" s="17">
        <f t="shared" si="7"/>
        <v>0</v>
      </c>
      <c r="L145" s="18">
        <f t="shared" si="8"/>
        <v>0</v>
      </c>
    </row>
    <row r="146" spans="1:12" x14ac:dyDescent="0.2">
      <c r="A146" s="29" t="s">
        <v>461</v>
      </c>
      <c r="B146" s="42" t="s">
        <v>25</v>
      </c>
      <c r="C146" s="43" t="str">
        <f>VLOOKUP($A146,[1]Sheet2!$I$2:$O$449,3,FALSE)</f>
        <v>KPB2</v>
      </c>
      <c r="D146" s="23" t="s">
        <v>462</v>
      </c>
      <c r="E146" s="30" t="str">
        <f>VLOOKUP($A146,[1]Sheet2!$I$2:$O$449,5,FALSE)</f>
        <v>2025-11-20</v>
      </c>
      <c r="F146" s="31">
        <f t="shared" si="6"/>
        <v>0</v>
      </c>
      <c r="G146" s="42" t="s">
        <v>118</v>
      </c>
      <c r="H146" s="43" t="str">
        <f>VLOOKUP($A146,[1]Sheet2!$I$2:$O$449,6,FALSE)</f>
        <v>2026-03-30</v>
      </c>
      <c r="I146" s="42" t="s">
        <v>463</v>
      </c>
      <c r="J146" s="43">
        <f>VLOOKUP($A146,[1]Sheet2!$I$2:$O$449,4,FALSE)</f>
        <v>2059</v>
      </c>
      <c r="K146" s="17">
        <f t="shared" si="7"/>
        <v>0</v>
      </c>
      <c r="L146" s="18">
        <f t="shared" si="8"/>
        <v>0</v>
      </c>
    </row>
    <row r="147" spans="1:12" x14ac:dyDescent="0.2">
      <c r="A147" s="8" t="s">
        <v>465</v>
      </c>
      <c r="B147" s="38" t="s">
        <v>25</v>
      </c>
      <c r="C147" s="16" t="str">
        <f>VLOOKUP($A147,[1]Sheet2!$I$2:$O$449,3,FALSE)</f>
        <v>KPB2</v>
      </c>
      <c r="D147" s="7" t="s">
        <v>466</v>
      </c>
      <c r="E147" s="24" t="str">
        <f>VLOOKUP($A147,[1]Sheet2!$I$2:$O$449,5,FALSE)</f>
        <v>2025-12-04</v>
      </c>
      <c r="F147" s="19">
        <f t="shared" si="6"/>
        <v>1</v>
      </c>
      <c r="G147" s="38" t="s">
        <v>118</v>
      </c>
      <c r="H147" s="16" t="str">
        <f>VLOOKUP($A147,[1]Sheet2!$I$2:$O$449,6,FALSE)</f>
        <v>2026-03-30</v>
      </c>
      <c r="I147" s="38" t="s">
        <v>467</v>
      </c>
      <c r="J147" s="16">
        <f>VLOOKUP($A147,[1]Sheet2!$I$2:$O$449,4,FALSE)</f>
        <v>1074</v>
      </c>
      <c r="K147" s="17">
        <f t="shared" si="7"/>
        <v>0</v>
      </c>
      <c r="L147" s="18">
        <f t="shared" si="8"/>
        <v>0</v>
      </c>
    </row>
    <row r="148" spans="1:12" x14ac:dyDescent="0.2">
      <c r="A148" s="8" t="s">
        <v>468</v>
      </c>
      <c r="B148" s="38" t="s">
        <v>25</v>
      </c>
      <c r="C148" s="16" t="str">
        <f>VLOOKUP($A148,[1]Sheet2!$I$2:$O$449,3,FALSE)</f>
        <v>KPB2</v>
      </c>
      <c r="D148" s="7" t="s">
        <v>334</v>
      </c>
      <c r="E148" s="24" t="str">
        <f>VLOOKUP($A148,[1]Sheet2!$I$2:$O$449,5,FALSE)</f>
        <v>2026-02-21</v>
      </c>
      <c r="F148" s="19">
        <f t="shared" si="6"/>
        <v>-1</v>
      </c>
      <c r="G148" s="38" t="s">
        <v>187</v>
      </c>
      <c r="H148" s="16" t="str">
        <f>VLOOKUP($A148,[1]Sheet2!$I$2:$O$449,6,FALSE)</f>
        <v>2026-03-31</v>
      </c>
      <c r="I148" s="38" t="s">
        <v>469</v>
      </c>
      <c r="J148" s="16">
        <f>VLOOKUP($A148,[1]Sheet2!$I$2:$O$449,4,FALSE)</f>
        <v>1103</v>
      </c>
      <c r="K148" s="17">
        <f t="shared" si="7"/>
        <v>0</v>
      </c>
      <c r="L148" s="18">
        <f t="shared" si="8"/>
        <v>0</v>
      </c>
    </row>
    <row r="149" spans="1:12" x14ac:dyDescent="0.2">
      <c r="A149" s="8" t="s">
        <v>470</v>
      </c>
      <c r="B149" s="38" t="s">
        <v>35</v>
      </c>
      <c r="C149" s="16" t="str">
        <f>VLOOKUP($A149,[1]Sheet2!$I$2:$O$449,3,FALSE)</f>
        <v>KPB3</v>
      </c>
      <c r="D149" s="7" t="s">
        <v>471</v>
      </c>
      <c r="E149" s="24" t="str">
        <f>VLOOKUP($A149,[1]Sheet2!$I$2:$O$449,5,FALSE)</f>
        <v>2025-07-22</v>
      </c>
      <c r="F149" s="19">
        <f t="shared" si="6"/>
        <v>0</v>
      </c>
      <c r="G149" s="38" t="s">
        <v>110</v>
      </c>
      <c r="H149" s="16" t="str">
        <f>VLOOKUP($A149,[1]Sheet2!$I$2:$O$449,6,FALSE)</f>
        <v>2026-03-11</v>
      </c>
      <c r="I149" s="38" t="s">
        <v>472</v>
      </c>
      <c r="J149" s="16">
        <f>VLOOKUP($A149,[1]Sheet2!$I$2:$O$449,4,FALSE)</f>
        <v>6458</v>
      </c>
      <c r="K149" s="17">
        <f t="shared" si="7"/>
        <v>0</v>
      </c>
      <c r="L149" s="18">
        <f t="shared" si="8"/>
        <v>0</v>
      </c>
    </row>
    <row r="150" spans="1:12" x14ac:dyDescent="0.2">
      <c r="A150" s="8" t="s">
        <v>473</v>
      </c>
      <c r="B150" s="38" t="s">
        <v>35</v>
      </c>
      <c r="C150" s="16" t="str">
        <f>VLOOKUP($A150,[1]Sheet2!$I$2:$O$449,3,FALSE)</f>
        <v>KPB3</v>
      </c>
      <c r="D150" s="7" t="s">
        <v>474</v>
      </c>
      <c r="E150" s="24" t="str">
        <f>VLOOKUP($A150,[1]Sheet2!$I$2:$O$449,5,FALSE)</f>
        <v>2025-12-29</v>
      </c>
      <c r="F150" s="19">
        <f t="shared" si="6"/>
        <v>0</v>
      </c>
      <c r="G150" s="38" t="s">
        <v>151</v>
      </c>
      <c r="H150" s="16" t="str">
        <f>VLOOKUP($A150,[1]Sheet2!$I$2:$O$449,6,FALSE)</f>
        <v>2026-03-13</v>
      </c>
      <c r="I150" s="38" t="s">
        <v>475</v>
      </c>
      <c r="J150" s="16">
        <f>VLOOKUP($A150,[1]Sheet2!$I$2:$O$449,4,FALSE)</f>
        <v>8009</v>
      </c>
      <c r="K150" s="17">
        <f t="shared" si="7"/>
        <v>0</v>
      </c>
      <c r="L150" s="18">
        <f t="shared" si="8"/>
        <v>0</v>
      </c>
    </row>
    <row r="151" spans="1:12" x14ac:dyDescent="0.2">
      <c r="A151" s="8" t="s">
        <v>476</v>
      </c>
      <c r="B151" s="38" t="s">
        <v>35</v>
      </c>
      <c r="C151" s="16" t="str">
        <f>VLOOKUP($A151,[1]Sheet2!$I$2:$O$449,3,FALSE)</f>
        <v>KPB3</v>
      </c>
      <c r="D151" s="7" t="s">
        <v>477</v>
      </c>
      <c r="E151" s="24" t="str">
        <f>VLOOKUP($A151,[1]Sheet2!$I$2:$O$449,5,FALSE)</f>
        <v>2025-10-24</v>
      </c>
      <c r="F151" s="19">
        <f t="shared" si="6"/>
        <v>0</v>
      </c>
      <c r="G151" s="38" t="s">
        <v>162</v>
      </c>
      <c r="H151" s="16" t="str">
        <f>VLOOKUP($A151,[1]Sheet2!$I$2:$O$449,6,FALSE)</f>
        <v>2026-03-16</v>
      </c>
      <c r="I151" s="38" t="s">
        <v>478</v>
      </c>
      <c r="J151" s="16">
        <f>VLOOKUP($A151,[1]Sheet2!$I$2:$O$449,4,FALSE)</f>
        <v>3922</v>
      </c>
      <c r="K151" s="17">
        <f t="shared" si="7"/>
        <v>0</v>
      </c>
      <c r="L151" s="18">
        <f t="shared" si="8"/>
        <v>0</v>
      </c>
    </row>
    <row r="152" spans="1:12" x14ac:dyDescent="0.2">
      <c r="A152" s="8" t="s">
        <v>479</v>
      </c>
      <c r="B152" s="38" t="s">
        <v>35</v>
      </c>
      <c r="C152" s="16" t="str">
        <f>VLOOKUP($A152,[1]Sheet2!$I$2:$O$449,3,FALSE)</f>
        <v>KPB3</v>
      </c>
      <c r="D152" s="7" t="s">
        <v>480</v>
      </c>
      <c r="E152" s="24" t="str">
        <f>VLOOKUP($A152,[1]Sheet2!$I$2:$O$449,5,FALSE)</f>
        <v>2025-11-08</v>
      </c>
      <c r="F152" s="19">
        <f t="shared" si="6"/>
        <v>0</v>
      </c>
      <c r="G152" s="38" t="s">
        <v>219</v>
      </c>
      <c r="H152" s="16" t="str">
        <f>VLOOKUP($A152,[1]Sheet2!$I$2:$O$449,6,FALSE)</f>
        <v>2026-03-28</v>
      </c>
      <c r="I152" s="38" t="s">
        <v>481</v>
      </c>
      <c r="J152" s="16">
        <f>VLOOKUP($A152,[1]Sheet2!$I$2:$O$449,4,FALSE)</f>
        <v>2626</v>
      </c>
      <c r="K152" s="17">
        <f t="shared" si="7"/>
        <v>0</v>
      </c>
      <c r="L152" s="18">
        <f t="shared" si="8"/>
        <v>0</v>
      </c>
    </row>
    <row r="153" spans="1:12" x14ac:dyDescent="0.2">
      <c r="A153" s="8" t="s">
        <v>482</v>
      </c>
      <c r="B153" s="38" t="s">
        <v>30</v>
      </c>
      <c r="C153" s="16" t="str">
        <f>VLOOKUP($A153,[1]Sheet2!$I$2:$O$449,3,FALSE)</f>
        <v>KPB4</v>
      </c>
      <c r="D153" s="7" t="s">
        <v>483</v>
      </c>
      <c r="E153" s="24" t="str">
        <f>VLOOKUP($A153,[1]Sheet2!$I$2:$O$449,5,FALSE)</f>
        <v>2025-04-15</v>
      </c>
      <c r="F153" s="19">
        <f t="shared" si="6"/>
        <v>0</v>
      </c>
      <c r="G153" s="38" t="s">
        <v>106</v>
      </c>
      <c r="H153" s="16" t="str">
        <f>VLOOKUP($A153,[1]Sheet2!$I$2:$O$449,6,FALSE)</f>
        <v>2026-03-06</v>
      </c>
      <c r="I153" s="38" t="s">
        <v>484</v>
      </c>
      <c r="J153" s="16">
        <f>VLOOKUP($A153,[1]Sheet2!$I$2:$O$449,4,FALSE)</f>
        <v>5373</v>
      </c>
      <c r="K153" s="17">
        <f t="shared" si="7"/>
        <v>0</v>
      </c>
      <c r="L153" s="18">
        <f t="shared" si="8"/>
        <v>0</v>
      </c>
    </row>
    <row r="154" spans="1:12" x14ac:dyDescent="0.2">
      <c r="A154" s="8" t="s">
        <v>485</v>
      </c>
      <c r="B154" s="38" t="s">
        <v>30</v>
      </c>
      <c r="C154" s="16" t="str">
        <f>VLOOKUP($A154,[1]Sheet2!$I$2:$O$449,3,FALSE)</f>
        <v>KPB4</v>
      </c>
      <c r="D154" s="7" t="s">
        <v>486</v>
      </c>
      <c r="E154" s="24" t="str">
        <f>VLOOKUP($A154,[1]Sheet2!$I$2:$O$449,5,FALSE)</f>
        <v>2025-03-13</v>
      </c>
      <c r="F154" s="19">
        <f t="shared" si="6"/>
        <v>2</v>
      </c>
      <c r="G154" s="38" t="s">
        <v>110</v>
      </c>
      <c r="H154" s="16" t="str">
        <f>VLOOKUP($A154,[1]Sheet2!$I$2:$O$449,6,FALSE)</f>
        <v>2026-03-11</v>
      </c>
      <c r="I154" s="38" t="s">
        <v>487</v>
      </c>
      <c r="J154" s="16">
        <f>VLOOKUP($A154,[1]Sheet2!$I$2:$O$449,4,FALSE)</f>
        <v>8330</v>
      </c>
      <c r="K154" s="17">
        <f t="shared" si="7"/>
        <v>0</v>
      </c>
      <c r="L154" s="18">
        <f t="shared" si="8"/>
        <v>0</v>
      </c>
    </row>
    <row r="155" spans="1:12" x14ac:dyDescent="0.2">
      <c r="A155" s="8" t="s">
        <v>488</v>
      </c>
      <c r="B155" s="38" t="s">
        <v>30</v>
      </c>
      <c r="C155" s="16" t="str">
        <f>VLOOKUP($A155,[1]Sheet2!$I$2:$O$449,3,FALSE)</f>
        <v>KPB4</v>
      </c>
      <c r="D155" s="7" t="s">
        <v>489</v>
      </c>
      <c r="E155" s="24" t="str">
        <f>VLOOKUP($A155,[1]Sheet2!$I$2:$O$449,5,FALSE)</f>
        <v>2025-03-29</v>
      </c>
      <c r="F155" s="19">
        <f t="shared" si="6"/>
        <v>1</v>
      </c>
      <c r="G155" s="38" t="s">
        <v>158</v>
      </c>
      <c r="H155" s="16" t="str">
        <f>VLOOKUP($A155,[1]Sheet2!$I$2:$O$449,6,FALSE)</f>
        <v>2026-03-15</v>
      </c>
      <c r="I155" s="38" t="s">
        <v>490</v>
      </c>
      <c r="J155" s="16">
        <f>VLOOKUP($A155,[1]Sheet2!$I$2:$O$449,4,FALSE)</f>
        <v>11938</v>
      </c>
      <c r="K155" s="17">
        <f t="shared" si="7"/>
        <v>0</v>
      </c>
      <c r="L155" s="18">
        <f t="shared" si="8"/>
        <v>0</v>
      </c>
    </row>
    <row r="156" spans="1:12" x14ac:dyDescent="0.2">
      <c r="A156" s="8" t="s">
        <v>491</v>
      </c>
      <c r="B156" s="38" t="s">
        <v>30</v>
      </c>
      <c r="C156" s="16" t="str">
        <f>VLOOKUP($A156,[1]Sheet2!$I$2:$O$449,3,FALSE)</f>
        <v>KPB4</v>
      </c>
      <c r="D156" s="7" t="s">
        <v>492</v>
      </c>
      <c r="E156" s="24" t="str">
        <f>VLOOKUP($A156,[1]Sheet2!$I$2:$O$449,5,FALSE)</f>
        <v>2025-08-22</v>
      </c>
      <c r="F156" s="19">
        <f t="shared" si="6"/>
        <v>-2</v>
      </c>
      <c r="G156" s="38" t="s">
        <v>180</v>
      </c>
      <c r="H156" s="16" t="str">
        <f>VLOOKUP($A156,[1]Sheet2!$I$2:$O$449,6,FALSE)</f>
        <v>2026-03-26</v>
      </c>
      <c r="I156" s="38" t="s">
        <v>493</v>
      </c>
      <c r="J156" s="16">
        <f>VLOOKUP($A156,[1]Sheet2!$I$2:$O$449,4,FALSE)</f>
        <v>11523</v>
      </c>
      <c r="K156" s="17">
        <f t="shared" si="7"/>
        <v>0</v>
      </c>
      <c r="L156" s="18">
        <f t="shared" si="8"/>
        <v>0</v>
      </c>
    </row>
    <row r="157" spans="1:12" x14ac:dyDescent="0.2">
      <c r="A157" s="8" t="s">
        <v>494</v>
      </c>
      <c r="B157" s="38" t="s">
        <v>15</v>
      </c>
      <c r="C157" s="16" t="str">
        <f>VLOOKUP($A157,[1]Sheet2!$I$2:$O$449,3,FALSE)</f>
        <v>KPB1</v>
      </c>
      <c r="D157" s="7" t="s">
        <v>190</v>
      </c>
      <c r="E157" s="24" t="str">
        <f>VLOOKUP($A157,[1]Sheet2!$I$2:$O$449,5,FALSE)</f>
        <v>2026-01-31</v>
      </c>
      <c r="F157" s="19">
        <f t="shared" si="6"/>
        <v>0</v>
      </c>
      <c r="G157" s="38" t="s">
        <v>232</v>
      </c>
      <c r="H157" s="16" t="str">
        <f>VLOOKUP($A157,[1]Sheet2!$I$2:$O$449,6,FALSE)</f>
        <v>2026-03-07</v>
      </c>
      <c r="I157" s="38" t="s">
        <v>495</v>
      </c>
      <c r="J157" s="16">
        <f>VLOOKUP($A157,[1]Sheet2!$I$2:$O$449,4,FALSE)</f>
        <v>590</v>
      </c>
      <c r="K157" s="17">
        <f t="shared" si="7"/>
        <v>0</v>
      </c>
      <c r="L157" s="18">
        <f t="shared" si="8"/>
        <v>0</v>
      </c>
    </row>
    <row r="158" spans="1:12" x14ac:dyDescent="0.2">
      <c r="A158" s="8" t="s">
        <v>496</v>
      </c>
      <c r="B158" s="38" t="s">
        <v>15</v>
      </c>
      <c r="C158" s="16" t="str">
        <f>VLOOKUP($A158,[1]Sheet2!$I$2:$O$449,3,FALSE)</f>
        <v>KPB1</v>
      </c>
      <c r="D158" s="7" t="s">
        <v>497</v>
      </c>
      <c r="E158" s="24" t="str">
        <f>VLOOKUP($A158,[1]Sheet2!$I$2:$O$449,5,FALSE)</f>
        <v>2026-02-07</v>
      </c>
      <c r="F158" s="19">
        <f t="shared" si="6"/>
        <v>2</v>
      </c>
      <c r="G158" s="38" t="s">
        <v>138</v>
      </c>
      <c r="H158" s="16" t="str">
        <f>VLOOKUP($A158,[1]Sheet2!$I$2:$O$449,6,FALSE)</f>
        <v>2026-03-09</v>
      </c>
      <c r="I158" s="38" t="s">
        <v>498</v>
      </c>
      <c r="J158" s="16">
        <f>VLOOKUP($A158,[1]Sheet2!$I$2:$O$449,4,FALSE)</f>
        <v>444</v>
      </c>
      <c r="K158" s="17">
        <f t="shared" si="7"/>
        <v>0</v>
      </c>
      <c r="L158" s="18">
        <f t="shared" si="8"/>
        <v>0</v>
      </c>
    </row>
    <row r="159" spans="1:12" x14ac:dyDescent="0.2">
      <c r="A159" s="8" t="s">
        <v>499</v>
      </c>
      <c r="B159" s="38" t="s">
        <v>15</v>
      </c>
      <c r="C159" s="16" t="str">
        <f>VLOOKUP($A159,[1]Sheet2!$I$2:$O$449,3,FALSE)</f>
        <v>KPB1</v>
      </c>
      <c r="D159" s="7" t="s">
        <v>256</v>
      </c>
      <c r="E159" s="24" t="str">
        <f>VLOOKUP($A159,[1]Sheet2!$I$2:$O$449,5,FALSE)</f>
        <v>2026-01-19</v>
      </c>
      <c r="F159" s="19">
        <f t="shared" si="6"/>
        <v>2</v>
      </c>
      <c r="G159" s="38" t="s">
        <v>148</v>
      </c>
      <c r="H159" s="16" t="str">
        <f>VLOOKUP($A159,[1]Sheet2!$I$2:$O$449,6,FALSE)</f>
        <v>2026-03-12</v>
      </c>
      <c r="I159" s="38" t="s">
        <v>500</v>
      </c>
      <c r="J159" s="16">
        <f>VLOOKUP($A159,[1]Sheet2!$I$2:$O$449,4,FALSE)</f>
        <v>1242</v>
      </c>
      <c r="K159" s="17">
        <f t="shared" si="7"/>
        <v>0</v>
      </c>
      <c r="L159" s="18">
        <f t="shared" si="8"/>
        <v>0</v>
      </c>
    </row>
    <row r="160" spans="1:12" x14ac:dyDescent="0.2">
      <c r="A160" s="8" t="s">
        <v>501</v>
      </c>
      <c r="B160" s="38" t="s">
        <v>15</v>
      </c>
      <c r="C160" s="16" t="str">
        <f>VLOOKUP($A160,[1]Sheet2!$I$2:$O$449,3,FALSE)</f>
        <v>KPB1</v>
      </c>
      <c r="D160" s="7" t="s">
        <v>259</v>
      </c>
      <c r="E160" s="24" t="str">
        <f>VLOOKUP($A160,[1]Sheet2!$I$2:$O$449,5,FALSE)</f>
        <v>2026-02-11</v>
      </c>
      <c r="F160" s="19">
        <f t="shared" si="6"/>
        <v>2</v>
      </c>
      <c r="G160" s="38" t="s">
        <v>148</v>
      </c>
      <c r="H160" s="16" t="str">
        <f>VLOOKUP($A160,[1]Sheet2!$I$2:$O$449,6,FALSE)</f>
        <v>2026-03-12</v>
      </c>
      <c r="I160" s="38" t="s">
        <v>502</v>
      </c>
      <c r="J160" s="16">
        <f>VLOOKUP($A160,[1]Sheet2!$I$2:$O$449,4,FALSE)</f>
        <v>180</v>
      </c>
      <c r="K160" s="17">
        <f t="shared" si="7"/>
        <v>0</v>
      </c>
      <c r="L160" s="18">
        <f t="shared" si="8"/>
        <v>0</v>
      </c>
    </row>
    <row r="161" spans="1:12" x14ac:dyDescent="0.2">
      <c r="A161" s="8" t="s">
        <v>503</v>
      </c>
      <c r="B161" s="38" t="s">
        <v>15</v>
      </c>
      <c r="C161" s="16" t="str">
        <f>VLOOKUP($A161,[1]Sheet2!$I$2:$O$449,3,FALSE)</f>
        <v>KPB1</v>
      </c>
      <c r="D161" s="7" t="s">
        <v>259</v>
      </c>
      <c r="E161" s="24" t="str">
        <f>VLOOKUP($A161,[1]Sheet2!$I$2:$O$449,5,FALSE)</f>
        <v>2026-02-11</v>
      </c>
      <c r="F161" s="19">
        <f t="shared" si="6"/>
        <v>2</v>
      </c>
      <c r="G161" s="38" t="s">
        <v>148</v>
      </c>
      <c r="H161" s="16" t="str">
        <f>VLOOKUP($A161,[1]Sheet2!$I$2:$O$449,6,FALSE)</f>
        <v>2026-03-12</v>
      </c>
      <c r="I161" s="38" t="s">
        <v>504</v>
      </c>
      <c r="J161" s="16">
        <f>VLOOKUP($A161,[1]Sheet2!$I$2:$O$449,4,FALSE)</f>
        <v>946</v>
      </c>
      <c r="K161" s="17">
        <f t="shared" si="7"/>
        <v>0</v>
      </c>
      <c r="L161" s="18">
        <f t="shared" si="8"/>
        <v>0</v>
      </c>
    </row>
    <row r="162" spans="1:12" x14ac:dyDescent="0.2">
      <c r="A162" s="8" t="s">
        <v>505</v>
      </c>
      <c r="B162" s="38" t="s">
        <v>15</v>
      </c>
      <c r="C162" s="16" t="str">
        <f>VLOOKUP($A162,[1]Sheet2!$I$2:$O$449,3,FALSE)</f>
        <v>KPB1</v>
      </c>
      <c r="D162" s="7" t="s">
        <v>109</v>
      </c>
      <c r="E162" s="24" t="str">
        <f>VLOOKUP($A162,[1]Sheet2!$I$2:$O$449,5,FALSE)</f>
        <v>2026-02-09</v>
      </c>
      <c r="F162" s="19">
        <f t="shared" si="6"/>
        <v>-2</v>
      </c>
      <c r="G162" s="38" t="s">
        <v>151</v>
      </c>
      <c r="H162" s="16" t="str">
        <f>VLOOKUP($A162,[1]Sheet2!$I$2:$O$449,6,FALSE)</f>
        <v>2026-03-13</v>
      </c>
      <c r="I162" s="38" t="s">
        <v>506</v>
      </c>
      <c r="J162" s="16">
        <f>VLOOKUP($A162,[1]Sheet2!$I$2:$O$449,4,FALSE)</f>
        <v>479</v>
      </c>
      <c r="K162" s="17">
        <f t="shared" si="7"/>
        <v>0</v>
      </c>
      <c r="L162" s="18">
        <f t="shared" si="8"/>
        <v>0</v>
      </c>
    </row>
    <row r="163" spans="1:12" x14ac:dyDescent="0.2">
      <c r="A163" s="47" t="s">
        <v>507</v>
      </c>
      <c r="B163" s="38" t="s">
        <v>15</v>
      </c>
      <c r="C163" s="16" t="str">
        <f>VLOOKUP($A163,[1]Sheet2!$I$2:$O$449,3,FALSE)</f>
        <v>KPB1</v>
      </c>
      <c r="D163" s="7" t="s">
        <v>508</v>
      </c>
      <c r="E163" s="24" t="str">
        <f>VLOOKUP($A163,[1]Sheet2!$I$2:$O$449,5,FALSE)</f>
        <v>2026-02-14</v>
      </c>
      <c r="F163" s="19">
        <f t="shared" si="6"/>
        <v>5</v>
      </c>
      <c r="G163" s="38" t="s">
        <v>162</v>
      </c>
      <c r="H163" s="16" t="str">
        <f>VLOOKUP($A163,[1]Sheet2!$I$2:$O$449,6,FALSE)</f>
        <v>2026-03-16</v>
      </c>
      <c r="I163" s="38" t="s">
        <v>509</v>
      </c>
      <c r="J163" s="16">
        <f>VLOOKUP($A163,[1]Sheet2!$I$2:$O$449,4,FALSE)</f>
        <v>401</v>
      </c>
      <c r="K163" s="17">
        <f t="shared" si="7"/>
        <v>0</v>
      </c>
      <c r="L163" s="18">
        <f t="shared" si="8"/>
        <v>0</v>
      </c>
    </row>
    <row r="164" spans="1:12" x14ac:dyDescent="0.2">
      <c r="A164" s="8" t="s">
        <v>510</v>
      </c>
      <c r="B164" s="38" t="s">
        <v>15</v>
      </c>
      <c r="C164" s="16" t="str">
        <f>VLOOKUP($A164,[1]Sheet2!$I$2:$O$449,3,FALSE)</f>
        <v>KPB1</v>
      </c>
      <c r="D164" s="7" t="s">
        <v>105</v>
      </c>
      <c r="E164" s="24" t="str">
        <f>VLOOKUP($A164,[1]Sheet2!$I$2:$O$449,5,FALSE)</f>
        <v>2026-02-23</v>
      </c>
      <c r="F164" s="19">
        <f t="shared" si="6"/>
        <v>0</v>
      </c>
      <c r="G164" s="38" t="s">
        <v>173</v>
      </c>
      <c r="H164" s="16" t="str">
        <f>VLOOKUP($A164,[1]Sheet2!$I$2:$O$449,6,FALSE)</f>
        <v>2026-03-19</v>
      </c>
      <c r="I164" s="38" t="s">
        <v>511</v>
      </c>
      <c r="J164" s="16">
        <f>VLOOKUP($A164,[1]Sheet2!$I$2:$O$449,4,FALSE)</f>
        <v>1246</v>
      </c>
      <c r="K164" s="17">
        <f t="shared" si="7"/>
        <v>0</v>
      </c>
      <c r="L164" s="18">
        <f t="shared" si="8"/>
        <v>0</v>
      </c>
    </row>
    <row r="165" spans="1:12" x14ac:dyDescent="0.2">
      <c r="A165" s="8" t="s">
        <v>512</v>
      </c>
      <c r="B165" s="38" t="s">
        <v>15</v>
      </c>
      <c r="C165" s="16" t="str">
        <f>VLOOKUP($A165,[1]Sheet2!$I$2:$O$449,3,FALSE)</f>
        <v>KPB1</v>
      </c>
      <c r="D165" s="7" t="s">
        <v>113</v>
      </c>
      <c r="E165" s="24" t="str">
        <f>VLOOKUP($A165,[1]Sheet2!$I$2:$O$449,5,FALSE)</f>
        <v>2026-03-04</v>
      </c>
      <c r="F165" s="19">
        <f t="shared" si="6"/>
        <v>0</v>
      </c>
      <c r="G165" s="38" t="s">
        <v>513</v>
      </c>
      <c r="H165" s="16" t="str">
        <f>VLOOKUP($A165,[1]Sheet2!$I$2:$O$449,6,FALSE)</f>
        <v>2026-03-23</v>
      </c>
      <c r="I165" s="38" t="s">
        <v>514</v>
      </c>
      <c r="J165" s="16">
        <f>VLOOKUP($A165,[1]Sheet2!$I$2:$O$449,4,FALSE)</f>
        <v>537</v>
      </c>
      <c r="K165" s="17">
        <f t="shared" si="7"/>
        <v>0</v>
      </c>
      <c r="L165" s="18">
        <f t="shared" si="8"/>
        <v>0</v>
      </c>
    </row>
    <row r="166" spans="1:12" x14ac:dyDescent="0.2">
      <c r="A166" s="8" t="s">
        <v>515</v>
      </c>
      <c r="B166" s="38" t="s">
        <v>15</v>
      </c>
      <c r="C166" s="16" t="str">
        <f>VLOOKUP($A166,[1]Sheet2!$I$2:$O$449,3,FALSE)</f>
        <v>KPB1</v>
      </c>
      <c r="D166" s="7" t="s">
        <v>172</v>
      </c>
      <c r="E166" s="24" t="str">
        <f>VLOOKUP($A166,[1]Sheet2!$I$2:$O$449,5,FALSE)</f>
        <v>2026-02-28</v>
      </c>
      <c r="F166" s="19">
        <f t="shared" si="6"/>
        <v>0</v>
      </c>
      <c r="G166" s="38" t="s">
        <v>187</v>
      </c>
      <c r="H166" s="16" t="str">
        <f>VLOOKUP($A166,[1]Sheet2!$I$2:$O$449,6,FALSE)</f>
        <v>2026-03-31</v>
      </c>
      <c r="I166" s="38" t="s">
        <v>516</v>
      </c>
      <c r="J166" s="16">
        <f>VLOOKUP($A166,[1]Sheet2!$I$2:$O$449,4,FALSE)</f>
        <v>959</v>
      </c>
      <c r="K166" s="17">
        <f t="shared" si="7"/>
        <v>0</v>
      </c>
      <c r="L166" s="18">
        <f t="shared" si="8"/>
        <v>0</v>
      </c>
    </row>
    <row r="167" spans="1:12" x14ac:dyDescent="0.2">
      <c r="A167" s="8" t="s">
        <v>517</v>
      </c>
      <c r="B167" s="38" t="s">
        <v>25</v>
      </c>
      <c r="C167" s="16" t="str">
        <f>VLOOKUP($A167,[1]Sheet2!$I$2:$O$449,3,FALSE)</f>
        <v>KPB2</v>
      </c>
      <c r="D167" s="7" t="s">
        <v>518</v>
      </c>
      <c r="E167" s="24" t="str">
        <f>VLOOKUP($A167,[1]Sheet2!$I$2:$O$449,5,FALSE)</f>
        <v>2025-09-13</v>
      </c>
      <c r="F167" s="19">
        <f t="shared" si="6"/>
        <v>3</v>
      </c>
      <c r="G167" s="38" t="s">
        <v>113</v>
      </c>
      <c r="H167" s="16" t="str">
        <f>VLOOKUP($A167,[1]Sheet2!$I$2:$O$449,6,FALSE)</f>
        <v>2026-03-04</v>
      </c>
      <c r="I167" s="38" t="s">
        <v>519</v>
      </c>
      <c r="J167" s="16">
        <f>VLOOKUP($A167,[1]Sheet2!$I$2:$O$449,4,FALSE)</f>
        <v>2695</v>
      </c>
      <c r="K167" s="17">
        <f t="shared" si="7"/>
        <v>0</v>
      </c>
      <c r="L167" s="18">
        <f t="shared" si="8"/>
        <v>0</v>
      </c>
    </row>
    <row r="168" spans="1:12" x14ac:dyDescent="0.2">
      <c r="A168" s="8" t="s">
        <v>520</v>
      </c>
      <c r="B168" s="38" t="s">
        <v>25</v>
      </c>
      <c r="C168" s="16" t="str">
        <f>VLOOKUP($A168,[1]Sheet2!$I$2:$O$449,3,FALSE)</f>
        <v>KPB2</v>
      </c>
      <c r="D168" s="7" t="s">
        <v>207</v>
      </c>
      <c r="E168" s="24" t="str">
        <f>VLOOKUP($A168,[1]Sheet2!$I$2:$O$449,5,FALSE)</f>
        <v>2025-11-27</v>
      </c>
      <c r="F168" s="19">
        <f t="shared" si="6"/>
        <v>0</v>
      </c>
      <c r="G168" s="38" t="s">
        <v>106</v>
      </c>
      <c r="H168" s="16" t="str">
        <f>VLOOKUP($A168,[1]Sheet2!$I$2:$O$449,6,FALSE)</f>
        <v>2026-03-06</v>
      </c>
      <c r="I168" s="38" t="s">
        <v>521</v>
      </c>
      <c r="J168" s="16">
        <f>VLOOKUP($A168,[1]Sheet2!$I$2:$O$449,4,FALSE)</f>
        <v>5118</v>
      </c>
      <c r="K168" s="17">
        <f t="shared" si="7"/>
        <v>0</v>
      </c>
      <c r="L168" s="18">
        <f t="shared" si="8"/>
        <v>0</v>
      </c>
    </row>
    <row r="169" spans="1:12" x14ac:dyDescent="0.2">
      <c r="A169" s="8" t="s">
        <v>522</v>
      </c>
      <c r="B169" s="38" t="s">
        <v>25</v>
      </c>
      <c r="C169" s="16" t="str">
        <f>VLOOKUP($A169,[1]Sheet2!$I$2:$O$449,3,FALSE)</f>
        <v>KPB2</v>
      </c>
      <c r="D169" s="7" t="s">
        <v>442</v>
      </c>
      <c r="E169" s="24" t="str">
        <f>VLOOKUP($A169,[1]Sheet2!$I$2:$O$449,5,FALSE)</f>
        <v>2025-12-01</v>
      </c>
      <c r="F169" s="19">
        <f t="shared" si="6"/>
        <v>0</v>
      </c>
      <c r="G169" s="38" t="s">
        <v>106</v>
      </c>
      <c r="H169" s="16" t="str">
        <f>VLOOKUP($A169,[1]Sheet2!$I$2:$O$449,6,FALSE)</f>
        <v>2026-03-06</v>
      </c>
      <c r="I169" s="38" t="s">
        <v>523</v>
      </c>
      <c r="J169" s="16">
        <f>VLOOKUP($A169,[1]Sheet2!$I$2:$O$449,4,FALSE)</f>
        <v>3095</v>
      </c>
      <c r="K169" s="17">
        <f t="shared" si="7"/>
        <v>0</v>
      </c>
      <c r="L169" s="18">
        <f t="shared" si="8"/>
        <v>0</v>
      </c>
    </row>
    <row r="170" spans="1:12" x14ac:dyDescent="0.2">
      <c r="A170" s="47" t="s">
        <v>524</v>
      </c>
      <c r="B170" s="38" t="s">
        <v>25</v>
      </c>
      <c r="C170" s="16" t="str">
        <f>VLOOKUP($A170,[1]Sheet2!$I$2:$O$449,3,FALSE)</f>
        <v>KPB2</v>
      </c>
      <c r="D170" s="7" t="s">
        <v>525</v>
      </c>
      <c r="E170" s="24" t="str">
        <f>VLOOKUP($A170,[1]Sheet2!$I$2:$O$449,5,FALSE)</f>
        <v>2025-12-02</v>
      </c>
      <c r="F170" s="19">
        <f t="shared" si="6"/>
        <v>5</v>
      </c>
      <c r="G170" s="38" t="s">
        <v>148</v>
      </c>
      <c r="H170" s="16" t="str">
        <f>VLOOKUP($A170,[1]Sheet2!$I$2:$O$449,6,FALSE)</f>
        <v>2026-03-12</v>
      </c>
      <c r="I170" s="38" t="s">
        <v>526</v>
      </c>
      <c r="J170" s="16">
        <f>VLOOKUP($A170,[1]Sheet2!$I$2:$O$449,4,FALSE)</f>
        <v>3474</v>
      </c>
      <c r="K170" s="17">
        <f t="shared" si="7"/>
        <v>0</v>
      </c>
      <c r="L170" s="18">
        <f t="shared" si="8"/>
        <v>0</v>
      </c>
    </row>
    <row r="171" spans="1:12" x14ac:dyDescent="0.2">
      <c r="A171" s="8" t="s">
        <v>527</v>
      </c>
      <c r="B171" s="38" t="s">
        <v>25</v>
      </c>
      <c r="C171" s="16" t="str">
        <f>VLOOKUP($A171,[1]Sheet2!$I$2:$O$449,3,FALSE)</f>
        <v>KPB2</v>
      </c>
      <c r="D171" s="7" t="s">
        <v>528</v>
      </c>
      <c r="E171" s="24" t="str">
        <f>VLOOKUP($A171,[1]Sheet2!$I$2:$O$449,5,FALSE)</f>
        <v>2025-11-01</v>
      </c>
      <c r="F171" s="19">
        <f t="shared" si="6"/>
        <v>0</v>
      </c>
      <c r="G171" s="38" t="s">
        <v>208</v>
      </c>
      <c r="H171" s="16" t="str">
        <f>VLOOKUP($A171,[1]Sheet2!$I$2:$O$449,6,FALSE)</f>
        <v>2026-03-18</v>
      </c>
      <c r="I171" s="38" t="s">
        <v>529</v>
      </c>
      <c r="J171" s="16">
        <f>VLOOKUP($A171,[1]Sheet2!$I$2:$O$449,4,FALSE)</f>
        <v>4496</v>
      </c>
      <c r="K171" s="17">
        <f t="shared" si="7"/>
        <v>0</v>
      </c>
      <c r="L171" s="18">
        <f t="shared" si="8"/>
        <v>0</v>
      </c>
    </row>
    <row r="172" spans="1:12" x14ac:dyDescent="0.2">
      <c r="A172" s="8" t="s">
        <v>530</v>
      </c>
      <c r="B172" s="38" t="s">
        <v>35</v>
      </c>
      <c r="C172" s="16" t="str">
        <f>VLOOKUP($A172,[1]Sheet2!$I$2:$O$449,3,FALSE)</f>
        <v>KPB3</v>
      </c>
      <c r="D172" s="7" t="s">
        <v>531</v>
      </c>
      <c r="E172" s="24" t="str">
        <f>VLOOKUP($A172,[1]Sheet2!$I$2:$O$449,5,FALSE)</f>
        <v>2025-03-25</v>
      </c>
      <c r="F172" s="19">
        <f t="shared" si="6"/>
        <v>1</v>
      </c>
      <c r="G172" s="38" t="s">
        <v>208</v>
      </c>
      <c r="H172" s="16" t="str">
        <f>VLOOKUP($A172,[1]Sheet2!$I$2:$O$449,6,FALSE)</f>
        <v>2026-03-18</v>
      </c>
      <c r="I172" s="38" t="s">
        <v>532</v>
      </c>
      <c r="J172" s="16">
        <f>VLOOKUP($A172,[1]Sheet2!$I$2:$O$449,4,FALSE)</f>
        <v>2819</v>
      </c>
      <c r="K172" s="17">
        <f t="shared" si="7"/>
        <v>0</v>
      </c>
      <c r="L172" s="18">
        <f t="shared" si="8"/>
        <v>0</v>
      </c>
    </row>
    <row r="173" spans="1:12" x14ac:dyDescent="0.2">
      <c r="A173" s="8" t="s">
        <v>533</v>
      </c>
      <c r="B173" s="38" t="s">
        <v>15</v>
      </c>
      <c r="C173" s="16" t="str">
        <f>VLOOKUP($A173,[1]Sheet2!$I$2:$O$449,3,FALSE)</f>
        <v>KPB1</v>
      </c>
      <c r="D173" s="7" t="s">
        <v>534</v>
      </c>
      <c r="E173" s="24" t="str">
        <f>VLOOKUP($A173,[1]Sheet2!$I$2:$O$449,5,FALSE)</f>
        <v>2026-02-10</v>
      </c>
      <c r="F173" s="19">
        <f t="shared" si="6"/>
        <v>1</v>
      </c>
      <c r="G173" s="38" t="s">
        <v>433</v>
      </c>
      <c r="H173" s="16" t="str">
        <f>VLOOKUP($A173,[1]Sheet2!$I$2:$O$449,6,FALSE)</f>
        <v>2026-03-08</v>
      </c>
      <c r="I173" s="38" t="s">
        <v>535</v>
      </c>
      <c r="J173" s="16">
        <f>VLOOKUP($A173,[1]Sheet2!$I$2:$O$449,4,FALSE)</f>
        <v>354</v>
      </c>
      <c r="K173" s="17">
        <f t="shared" si="7"/>
        <v>0</v>
      </c>
      <c r="L173" s="18">
        <f t="shared" si="8"/>
        <v>0</v>
      </c>
    </row>
    <row r="174" spans="1:12" x14ac:dyDescent="0.2">
      <c r="A174" s="8" t="s">
        <v>536</v>
      </c>
      <c r="B174" s="38" t="s">
        <v>15</v>
      </c>
      <c r="C174" s="16" t="str">
        <f>VLOOKUP($A174,[1]Sheet2!$I$2:$O$449,3,FALSE)</f>
        <v>KPB1</v>
      </c>
      <c r="D174" s="7" t="s">
        <v>165</v>
      </c>
      <c r="E174" s="24" t="str">
        <f>VLOOKUP($A174,[1]Sheet2!$I$2:$O$449,5,FALSE)</f>
        <v>2026-02-23</v>
      </c>
      <c r="F174" s="19">
        <f t="shared" si="6"/>
        <v>2</v>
      </c>
      <c r="G174" s="38" t="s">
        <v>138</v>
      </c>
      <c r="H174" s="16" t="str">
        <f>VLOOKUP($A174,[1]Sheet2!$I$2:$O$449,6,FALSE)</f>
        <v>2026-03-09</v>
      </c>
      <c r="I174" s="38" t="s">
        <v>464</v>
      </c>
      <c r="J174" s="16">
        <f>VLOOKUP($A174,[1]Sheet2!$I$2:$O$449,4,FALSE)</f>
        <v>146</v>
      </c>
      <c r="K174" s="17">
        <f t="shared" si="7"/>
        <v>0</v>
      </c>
      <c r="L174" s="18">
        <f t="shared" si="8"/>
        <v>0</v>
      </c>
    </row>
    <row r="175" spans="1:12" x14ac:dyDescent="0.2">
      <c r="A175" s="8" t="s">
        <v>537</v>
      </c>
      <c r="B175" s="38" t="s">
        <v>15</v>
      </c>
      <c r="C175" s="16" t="str">
        <f>VLOOKUP($A175,[1]Sheet2!$I$2:$O$449,3,FALSE)</f>
        <v>KPB1</v>
      </c>
      <c r="D175" s="7" t="s">
        <v>168</v>
      </c>
      <c r="E175" s="24" t="str">
        <f>VLOOKUP($A175,[1]Sheet2!$I$2:$O$449,5,FALSE)</f>
        <v>2026-02-16</v>
      </c>
      <c r="F175" s="19">
        <f t="shared" si="6"/>
        <v>0</v>
      </c>
      <c r="G175" s="38" t="s">
        <v>110</v>
      </c>
      <c r="H175" s="16" t="str">
        <f>VLOOKUP($A175,[1]Sheet2!$I$2:$O$449,6,FALSE)</f>
        <v>2026-03-11</v>
      </c>
      <c r="I175" s="38" t="s">
        <v>538</v>
      </c>
      <c r="J175" s="16">
        <f>VLOOKUP($A175,[1]Sheet2!$I$2:$O$449,4,FALSE)</f>
        <v>926</v>
      </c>
      <c r="K175" s="17">
        <f t="shared" si="7"/>
        <v>0</v>
      </c>
      <c r="L175" s="18">
        <f t="shared" si="8"/>
        <v>0</v>
      </c>
    </row>
    <row r="176" spans="1:12" x14ac:dyDescent="0.2">
      <c r="A176" s="8" t="s">
        <v>539</v>
      </c>
      <c r="B176" s="38" t="s">
        <v>15</v>
      </c>
      <c r="C176" s="16" t="str">
        <f>VLOOKUP($A176,[1]Sheet2!$I$2:$O$449,3,FALSE)</f>
        <v>KPB1</v>
      </c>
      <c r="D176" s="7" t="s">
        <v>266</v>
      </c>
      <c r="E176" s="24" t="str">
        <f>VLOOKUP($A176,[1]Sheet2!$I$2:$O$449,5,FALSE)</f>
        <v>2026-02-03</v>
      </c>
      <c r="F176" s="19">
        <f t="shared" si="6"/>
        <v>0</v>
      </c>
      <c r="G176" s="38" t="s">
        <v>154</v>
      </c>
      <c r="H176" s="16" t="str">
        <f>VLOOKUP($A176,[1]Sheet2!$I$2:$O$449,6,FALSE)</f>
        <v>2026-03-14</v>
      </c>
      <c r="I176" s="38" t="s">
        <v>540</v>
      </c>
      <c r="J176" s="16">
        <f>VLOOKUP($A176,[1]Sheet2!$I$2:$O$449,4,FALSE)</f>
        <v>265</v>
      </c>
      <c r="K176" s="17">
        <f t="shared" si="7"/>
        <v>0</v>
      </c>
      <c r="L176" s="18">
        <f t="shared" si="8"/>
        <v>0</v>
      </c>
    </row>
    <row r="177" spans="1:12" x14ac:dyDescent="0.2">
      <c r="A177" s="8" t="s">
        <v>541</v>
      </c>
      <c r="B177" s="38" t="s">
        <v>15</v>
      </c>
      <c r="C177" s="16" t="str">
        <f>VLOOKUP($A177,[1]Sheet2!$I$2:$O$449,3,FALSE)</f>
        <v>KPB1</v>
      </c>
      <c r="D177" s="7" t="s">
        <v>137</v>
      </c>
      <c r="E177" s="24" t="str">
        <f>VLOOKUP($A177,[1]Sheet2!$I$2:$O$449,5,FALSE)</f>
        <v>2026-02-24</v>
      </c>
      <c r="F177" s="19">
        <f t="shared" si="6"/>
        <v>0</v>
      </c>
      <c r="G177" s="38" t="s">
        <v>114</v>
      </c>
      <c r="H177" s="16" t="str">
        <f>VLOOKUP($A177,[1]Sheet2!$I$2:$O$449,6,FALSE)</f>
        <v>2026-03-27</v>
      </c>
      <c r="I177" s="38" t="s">
        <v>542</v>
      </c>
      <c r="J177" s="16">
        <f>VLOOKUP($A177,[1]Sheet2!$I$2:$O$449,4,FALSE)</f>
        <v>388</v>
      </c>
      <c r="K177" s="17">
        <f t="shared" si="7"/>
        <v>0</v>
      </c>
      <c r="L177" s="18">
        <f t="shared" si="8"/>
        <v>0</v>
      </c>
    </row>
    <row r="178" spans="1:12" x14ac:dyDescent="0.2">
      <c r="A178" s="8" t="s">
        <v>543</v>
      </c>
      <c r="B178" s="38" t="s">
        <v>15</v>
      </c>
      <c r="C178" s="16" t="str">
        <f>VLOOKUP($A178,[1]Sheet2!$I$2:$O$449,3,FALSE)</f>
        <v>KPB1</v>
      </c>
      <c r="D178" s="7" t="s">
        <v>259</v>
      </c>
      <c r="E178" s="24" t="str">
        <f>VLOOKUP($A178,[1]Sheet2!$I$2:$O$449,5,FALSE)</f>
        <v>2026-02-13</v>
      </c>
      <c r="F178" s="19">
        <f t="shared" si="6"/>
        <v>0</v>
      </c>
      <c r="G178" s="38" t="s">
        <v>300</v>
      </c>
      <c r="H178" s="16" t="str">
        <f>VLOOKUP($A178,[1]Sheet2!$I$2:$O$449,6,FALSE)</f>
        <v>2026-03-29</v>
      </c>
      <c r="I178" s="38" t="s">
        <v>544</v>
      </c>
      <c r="J178" s="16">
        <f>VLOOKUP($A178,[1]Sheet2!$I$2:$O$449,4,FALSE)</f>
        <v>421</v>
      </c>
      <c r="K178" s="17">
        <f t="shared" si="7"/>
        <v>0</v>
      </c>
      <c r="L178" s="18">
        <f t="shared" si="8"/>
        <v>0</v>
      </c>
    </row>
    <row r="179" spans="1:12" x14ac:dyDescent="0.2">
      <c r="A179" s="8" t="s">
        <v>545</v>
      </c>
      <c r="B179" s="38" t="s">
        <v>15</v>
      </c>
      <c r="C179" s="16" t="str">
        <f>VLOOKUP($A179,[1]Sheet2!$I$2:$O$449,3,FALSE)</f>
        <v>KPB1</v>
      </c>
      <c r="D179" s="7" t="s">
        <v>105</v>
      </c>
      <c r="E179" s="24" t="str">
        <f>VLOOKUP($A179,[1]Sheet2!$I$2:$O$449,5,FALSE)</f>
        <v>2026-02-23</v>
      </c>
      <c r="F179" s="19">
        <f t="shared" si="6"/>
        <v>0</v>
      </c>
      <c r="G179" s="38" t="s">
        <v>118</v>
      </c>
      <c r="H179" s="16" t="str">
        <f>VLOOKUP($A179,[1]Sheet2!$I$2:$O$449,6,FALSE)</f>
        <v>2026-03-30</v>
      </c>
      <c r="I179" s="38" t="s">
        <v>546</v>
      </c>
      <c r="J179" s="16">
        <f>VLOOKUP($A179,[1]Sheet2!$I$2:$O$449,4,FALSE)</f>
        <v>1016</v>
      </c>
      <c r="K179" s="17">
        <f t="shared" si="7"/>
        <v>0</v>
      </c>
      <c r="L179" s="18">
        <f t="shared" si="8"/>
        <v>0</v>
      </c>
    </row>
    <row r="180" spans="1:12" x14ac:dyDescent="0.2">
      <c r="A180" s="47" t="s">
        <v>547</v>
      </c>
      <c r="B180" s="38" t="s">
        <v>15</v>
      </c>
      <c r="C180" s="16" t="str">
        <f>VLOOKUP($A180,[1]Sheet2!$I$2:$O$449,3,FALSE)</f>
        <v>KPB1</v>
      </c>
      <c r="D180" s="7" t="s">
        <v>162</v>
      </c>
      <c r="E180" s="24" t="str">
        <f>VLOOKUP($A180,[1]Sheet2!$I$2:$O$449,5,FALSE)</f>
        <v>2026-03-12</v>
      </c>
      <c r="F180" s="19">
        <f t="shared" si="6"/>
        <v>4</v>
      </c>
      <c r="G180" s="38" t="s">
        <v>187</v>
      </c>
      <c r="H180" s="16" t="str">
        <f>VLOOKUP($A180,[1]Sheet2!$I$2:$O$449,6,FALSE)</f>
        <v>2026-03-31</v>
      </c>
      <c r="I180" s="38" t="s">
        <v>163</v>
      </c>
      <c r="J180" s="16">
        <f>VLOOKUP($A180,[1]Sheet2!$I$2:$O$449,4,FALSE)</f>
        <v>630</v>
      </c>
      <c r="K180" s="17">
        <f t="shared" si="7"/>
        <v>0</v>
      </c>
      <c r="L180" s="18">
        <f t="shared" si="8"/>
        <v>0</v>
      </c>
    </row>
    <row r="181" spans="1:12" x14ac:dyDescent="0.2">
      <c r="A181" s="8" t="s">
        <v>548</v>
      </c>
      <c r="B181" s="38" t="s">
        <v>25</v>
      </c>
      <c r="C181" s="16" t="str">
        <f>VLOOKUP($A181,[1]Sheet2!$I$2:$O$449,3,FALSE)</f>
        <v>KPB2</v>
      </c>
      <c r="D181" s="7" t="s">
        <v>549</v>
      </c>
      <c r="E181" s="24" t="str">
        <f>VLOOKUP($A181,[1]Sheet2!$I$2:$O$449,5,FALSE)</f>
        <v>2025-11-29</v>
      </c>
      <c r="F181" s="19">
        <f t="shared" si="6"/>
        <v>-1</v>
      </c>
      <c r="G181" s="38" t="s">
        <v>232</v>
      </c>
      <c r="H181" s="16" t="str">
        <f>VLOOKUP($A181,[1]Sheet2!$I$2:$O$449,6,FALSE)</f>
        <v>2026-03-07</v>
      </c>
      <c r="I181" s="38" t="s">
        <v>550</v>
      </c>
      <c r="J181" s="16">
        <f>VLOOKUP($A181,[1]Sheet2!$I$2:$O$449,4,FALSE)</f>
        <v>3259</v>
      </c>
      <c r="K181" s="17">
        <f t="shared" si="7"/>
        <v>0</v>
      </c>
      <c r="L181" s="18">
        <f t="shared" si="8"/>
        <v>0</v>
      </c>
    </row>
    <row r="182" spans="1:12" x14ac:dyDescent="0.2">
      <c r="A182" s="8" t="s">
        <v>551</v>
      </c>
      <c r="B182" s="38" t="s">
        <v>30</v>
      </c>
      <c r="C182" s="16" t="str">
        <f>VLOOKUP($A182,[1]Sheet2!$I$2:$O$449,3,FALSE)</f>
        <v>KPB4</v>
      </c>
      <c r="D182" s="7" t="s">
        <v>552</v>
      </c>
      <c r="E182" s="24" t="str">
        <f>VLOOKUP($A182,[1]Sheet2!$I$2:$O$449,5,FALSE)</f>
        <v>2025-11-13</v>
      </c>
      <c r="F182" s="19">
        <f t="shared" si="6"/>
        <v>1</v>
      </c>
      <c r="G182" s="38" t="s">
        <v>110</v>
      </c>
      <c r="H182" s="16" t="str">
        <f>VLOOKUP($A182,[1]Sheet2!$I$2:$O$449,6,FALSE)</f>
        <v>2026-03-11</v>
      </c>
      <c r="I182" s="38" t="s">
        <v>553</v>
      </c>
      <c r="J182" s="16">
        <f>VLOOKUP($A182,[1]Sheet2!$I$2:$O$449,4,FALSE)</f>
        <v>3035</v>
      </c>
      <c r="K182" s="17">
        <f t="shared" si="7"/>
        <v>0</v>
      </c>
      <c r="L182" s="18">
        <f t="shared" si="8"/>
        <v>0</v>
      </c>
    </row>
    <row r="183" spans="1:12" x14ac:dyDescent="0.2">
      <c r="A183" s="8" t="s">
        <v>554</v>
      </c>
      <c r="B183" s="38" t="s">
        <v>15</v>
      </c>
      <c r="C183" s="16" t="str">
        <f>VLOOKUP($A183,[1]Sheet2!$I$2:$O$449,3,FALSE)</f>
        <v>KPB1</v>
      </c>
      <c r="D183" s="7" t="s">
        <v>259</v>
      </c>
      <c r="E183" s="24" t="str">
        <f>VLOOKUP($A183,[1]Sheet2!$I$2:$O$449,5,FALSE)</f>
        <v>2026-02-13</v>
      </c>
      <c r="F183" s="19">
        <f t="shared" si="6"/>
        <v>0</v>
      </c>
      <c r="G183" s="38" t="s">
        <v>98</v>
      </c>
      <c r="H183" s="16" t="str">
        <f>VLOOKUP($A183,[1]Sheet2!$I$2:$O$449,6,FALSE)</f>
        <v>2026-03-02</v>
      </c>
      <c r="I183" s="38" t="s">
        <v>555</v>
      </c>
      <c r="J183" s="16">
        <f>VLOOKUP($A183,[1]Sheet2!$I$2:$O$449,4,FALSE)</f>
        <v>521</v>
      </c>
      <c r="K183" s="17">
        <f t="shared" si="7"/>
        <v>0</v>
      </c>
      <c r="L183" s="18">
        <f t="shared" si="8"/>
        <v>0</v>
      </c>
    </row>
    <row r="184" spans="1:12" x14ac:dyDescent="0.2">
      <c r="A184" s="8" t="s">
        <v>556</v>
      </c>
      <c r="B184" s="38" t="s">
        <v>15</v>
      </c>
      <c r="C184" s="16" t="str">
        <f>VLOOKUP($A184,[1]Sheet2!$I$2:$O$449,3,FALSE)</f>
        <v>KPB1</v>
      </c>
      <c r="D184" s="7" t="s">
        <v>419</v>
      </c>
      <c r="E184" s="24" t="str">
        <f>VLOOKUP($A184,[1]Sheet2!$I$2:$O$449,5,FALSE)</f>
        <v>2026-02-05</v>
      </c>
      <c r="F184" s="19">
        <f t="shared" si="6"/>
        <v>0</v>
      </c>
      <c r="G184" s="38" t="s">
        <v>143</v>
      </c>
      <c r="H184" s="16" t="str">
        <f>VLOOKUP($A184,[1]Sheet2!$I$2:$O$449,6,FALSE)</f>
        <v>2026-03-03</v>
      </c>
      <c r="I184" s="38" t="s">
        <v>557</v>
      </c>
      <c r="J184" s="16">
        <f>VLOOKUP($A184,[1]Sheet2!$I$2:$O$449,4,FALSE)</f>
        <v>496</v>
      </c>
      <c r="K184" s="17">
        <f t="shared" si="7"/>
        <v>0</v>
      </c>
      <c r="L184" s="18">
        <f t="shared" si="8"/>
        <v>0</v>
      </c>
    </row>
    <row r="185" spans="1:12" x14ac:dyDescent="0.2">
      <c r="A185" s="8" t="s">
        <v>558</v>
      </c>
      <c r="B185" s="38" t="s">
        <v>15</v>
      </c>
      <c r="C185" s="16" t="str">
        <f>VLOOKUP($A185,[1]Sheet2!$I$2:$O$449,3,FALSE)</f>
        <v>KPB1</v>
      </c>
      <c r="D185" s="7" t="s">
        <v>97</v>
      </c>
      <c r="E185" s="24" t="str">
        <f>VLOOKUP($A185,[1]Sheet2!$I$2:$O$449,5,FALSE)</f>
        <v>2026-02-11</v>
      </c>
      <c r="F185" s="19">
        <f t="shared" si="6"/>
        <v>3</v>
      </c>
      <c r="G185" s="38" t="s">
        <v>102</v>
      </c>
      <c r="H185" s="16" t="str">
        <f>VLOOKUP($A185,[1]Sheet2!$I$2:$O$449,6,FALSE)</f>
        <v>2026-03-05</v>
      </c>
      <c r="I185" s="38" t="s">
        <v>385</v>
      </c>
      <c r="J185" s="16">
        <f>VLOOKUP($A185,[1]Sheet2!$I$2:$O$449,4,FALSE)</f>
        <v>111</v>
      </c>
      <c r="K185" s="17">
        <f t="shared" si="7"/>
        <v>0</v>
      </c>
      <c r="L185" s="18">
        <f t="shared" si="8"/>
        <v>0</v>
      </c>
    </row>
    <row r="186" spans="1:12" x14ac:dyDescent="0.2">
      <c r="A186" s="8" t="s">
        <v>559</v>
      </c>
      <c r="B186" s="38" t="s">
        <v>15</v>
      </c>
      <c r="C186" s="16" t="str">
        <f>VLOOKUP($A186,[1]Sheet2!$I$2:$O$449,3,FALSE)</f>
        <v>KPB1</v>
      </c>
      <c r="D186" s="7" t="s">
        <v>147</v>
      </c>
      <c r="E186" s="24" t="str">
        <f>VLOOKUP($A186,[1]Sheet2!$I$2:$O$449,5,FALSE)</f>
        <v>2026-02-12</v>
      </c>
      <c r="F186" s="19">
        <f t="shared" si="6"/>
        <v>0</v>
      </c>
      <c r="G186" s="38" t="s">
        <v>102</v>
      </c>
      <c r="H186" s="16" t="str">
        <f>VLOOKUP($A186,[1]Sheet2!$I$2:$O$449,6,FALSE)</f>
        <v>2026-03-05</v>
      </c>
      <c r="I186" s="38" t="s">
        <v>560</v>
      </c>
      <c r="J186" s="16">
        <f>VLOOKUP($A186,[1]Sheet2!$I$2:$O$449,4,FALSE)</f>
        <v>232</v>
      </c>
      <c r="K186" s="17">
        <f t="shared" si="7"/>
        <v>0</v>
      </c>
      <c r="L186" s="18">
        <f t="shared" si="8"/>
        <v>0</v>
      </c>
    </row>
    <row r="187" spans="1:12" x14ac:dyDescent="0.2">
      <c r="A187" s="8" t="s">
        <v>561</v>
      </c>
      <c r="B187" s="38" t="s">
        <v>15</v>
      </c>
      <c r="C187" s="16" t="str">
        <f>VLOOKUP($A187,[1]Sheet2!$I$2:$O$449,3,FALSE)</f>
        <v>KPB1</v>
      </c>
      <c r="D187" s="7" t="s">
        <v>161</v>
      </c>
      <c r="E187" s="24" t="str">
        <f>VLOOKUP($A187,[1]Sheet2!$I$2:$O$449,5,FALSE)</f>
        <v>2026-02-05</v>
      </c>
      <c r="F187" s="19">
        <f t="shared" si="6"/>
        <v>1</v>
      </c>
      <c r="G187" s="38" t="s">
        <v>106</v>
      </c>
      <c r="H187" s="16" t="str">
        <f>VLOOKUP($A187,[1]Sheet2!$I$2:$O$449,6,FALSE)</f>
        <v>2026-03-06</v>
      </c>
      <c r="I187" s="38" t="s">
        <v>562</v>
      </c>
      <c r="J187" s="16">
        <f>VLOOKUP($A187,[1]Sheet2!$I$2:$O$449,4,FALSE)</f>
        <v>411</v>
      </c>
      <c r="K187" s="17">
        <f t="shared" si="7"/>
        <v>0</v>
      </c>
      <c r="L187" s="18">
        <f t="shared" si="8"/>
        <v>0</v>
      </c>
    </row>
    <row r="188" spans="1:12" x14ac:dyDescent="0.2">
      <c r="A188" s="8" t="s">
        <v>563</v>
      </c>
      <c r="B188" s="38" t="s">
        <v>15</v>
      </c>
      <c r="C188" s="16" t="str">
        <f>VLOOKUP($A188,[1]Sheet2!$I$2:$O$449,3,FALSE)</f>
        <v>KPB1</v>
      </c>
      <c r="D188" s="7" t="s">
        <v>334</v>
      </c>
      <c r="E188" s="24" t="str">
        <f>VLOOKUP($A188,[1]Sheet2!$I$2:$O$449,5,FALSE)</f>
        <v>2026-02-19</v>
      </c>
      <c r="F188" s="19">
        <f t="shared" si="6"/>
        <v>1</v>
      </c>
      <c r="G188" s="38" t="s">
        <v>110</v>
      </c>
      <c r="H188" s="16" t="str">
        <f>VLOOKUP($A188,[1]Sheet2!$I$2:$O$449,6,FALSE)</f>
        <v>2026-03-11</v>
      </c>
      <c r="I188" s="38" t="s">
        <v>564</v>
      </c>
      <c r="J188" s="16">
        <f>VLOOKUP($A188,[1]Sheet2!$I$2:$O$449,4,FALSE)</f>
        <v>772</v>
      </c>
      <c r="K188" s="17">
        <f t="shared" si="7"/>
        <v>0</v>
      </c>
      <c r="L188" s="18">
        <f t="shared" si="8"/>
        <v>0</v>
      </c>
    </row>
    <row r="189" spans="1:12" x14ac:dyDescent="0.2">
      <c r="A189" s="8" t="s">
        <v>565</v>
      </c>
      <c r="B189" s="38" t="s">
        <v>15</v>
      </c>
      <c r="C189" s="16" t="str">
        <f>VLOOKUP($A189,[1]Sheet2!$I$2:$O$449,3,FALSE)</f>
        <v>KPB1</v>
      </c>
      <c r="D189" s="7" t="s">
        <v>534</v>
      </c>
      <c r="E189" s="24" t="str">
        <f>VLOOKUP($A189,[1]Sheet2!$I$2:$O$449,5,FALSE)</f>
        <v>2026-02-14</v>
      </c>
      <c r="F189" s="19">
        <f t="shared" si="6"/>
        <v>-3</v>
      </c>
      <c r="G189" s="38" t="s">
        <v>148</v>
      </c>
      <c r="H189" s="16" t="str">
        <f>VLOOKUP($A189,[1]Sheet2!$I$2:$O$449,6,FALSE)</f>
        <v>2026-03-12</v>
      </c>
      <c r="I189" s="38" t="s">
        <v>566</v>
      </c>
      <c r="J189" s="16">
        <f>VLOOKUP($A189,[1]Sheet2!$I$2:$O$449,4,FALSE)</f>
        <v>315</v>
      </c>
      <c r="K189" s="17">
        <f t="shared" si="7"/>
        <v>0</v>
      </c>
      <c r="L189" s="18">
        <f t="shared" si="8"/>
        <v>0</v>
      </c>
    </row>
    <row r="190" spans="1:12" x14ac:dyDescent="0.2">
      <c r="A190" s="8" t="s">
        <v>567</v>
      </c>
      <c r="B190" s="38" t="s">
        <v>15</v>
      </c>
      <c r="C190" s="16" t="str">
        <f>VLOOKUP($A190,[1]Sheet2!$I$2:$O$449,3,FALSE)</f>
        <v>KPB1</v>
      </c>
      <c r="D190" s="7" t="s">
        <v>137</v>
      </c>
      <c r="E190" s="24" t="str">
        <f>VLOOKUP($A190,[1]Sheet2!$I$2:$O$449,5,FALSE)</f>
        <v>2026-02-24</v>
      </c>
      <c r="F190" s="19">
        <f t="shared" si="6"/>
        <v>0</v>
      </c>
      <c r="G190" s="38" t="s">
        <v>148</v>
      </c>
      <c r="H190" s="16" t="str">
        <f>VLOOKUP($A190,[1]Sheet2!$I$2:$O$449,6,FALSE)</f>
        <v>2026-03-12</v>
      </c>
      <c r="I190" s="38" t="s">
        <v>568</v>
      </c>
      <c r="J190" s="16">
        <f>VLOOKUP($A190,[1]Sheet2!$I$2:$O$449,4,FALSE)</f>
        <v>1172</v>
      </c>
      <c r="K190" s="17">
        <f t="shared" si="7"/>
        <v>0</v>
      </c>
      <c r="L190" s="18">
        <f t="shared" si="8"/>
        <v>0</v>
      </c>
    </row>
    <row r="191" spans="1:12" x14ac:dyDescent="0.2">
      <c r="A191" s="8" t="s">
        <v>569</v>
      </c>
      <c r="B191" s="38" t="s">
        <v>15</v>
      </c>
      <c r="C191" s="16" t="str">
        <f>VLOOKUP($A191,[1]Sheet2!$I$2:$O$449,3,FALSE)</f>
        <v>KPB1</v>
      </c>
      <c r="D191" s="7" t="s">
        <v>259</v>
      </c>
      <c r="E191" s="24" t="str">
        <f>VLOOKUP($A191,[1]Sheet2!$I$2:$O$449,5,FALSE)</f>
        <v>2026-02-10</v>
      </c>
      <c r="F191" s="19">
        <f t="shared" si="6"/>
        <v>3</v>
      </c>
      <c r="G191" s="38" t="s">
        <v>148</v>
      </c>
      <c r="H191" s="16" t="str">
        <f>VLOOKUP($A191,[1]Sheet2!$I$2:$O$449,6,FALSE)</f>
        <v>2026-03-12</v>
      </c>
      <c r="I191" s="38" t="s">
        <v>570</v>
      </c>
      <c r="J191" s="16">
        <f>VLOOKUP($A191,[1]Sheet2!$I$2:$O$449,4,FALSE)</f>
        <v>679</v>
      </c>
      <c r="K191" s="17">
        <f t="shared" si="7"/>
        <v>0</v>
      </c>
      <c r="L191" s="18">
        <f t="shared" si="8"/>
        <v>0</v>
      </c>
    </row>
    <row r="192" spans="1:12" x14ac:dyDescent="0.2">
      <c r="A192" s="8" t="s">
        <v>571</v>
      </c>
      <c r="B192" s="38" t="s">
        <v>15</v>
      </c>
      <c r="C192" s="16" t="str">
        <f>VLOOKUP($A192,[1]Sheet2!$I$2:$O$449,3,FALSE)</f>
        <v>KPB1</v>
      </c>
      <c r="D192" s="7" t="s">
        <v>275</v>
      </c>
      <c r="E192" s="24" t="str">
        <f>VLOOKUP($A192,[1]Sheet2!$I$2:$O$449,5,FALSE)</f>
        <v>2026-02-18</v>
      </c>
      <c r="F192" s="19">
        <f t="shared" si="6"/>
        <v>0</v>
      </c>
      <c r="G192" s="38" t="s">
        <v>148</v>
      </c>
      <c r="H192" s="16" t="str">
        <f>VLOOKUP($A192,[1]Sheet2!$I$2:$O$449,6,FALSE)</f>
        <v>2026-03-12</v>
      </c>
      <c r="I192" s="38" t="s">
        <v>572</v>
      </c>
      <c r="J192" s="16">
        <f>VLOOKUP($A192,[1]Sheet2!$I$2:$O$449,4,FALSE)</f>
        <v>293</v>
      </c>
      <c r="K192" s="17">
        <f t="shared" si="7"/>
        <v>0</v>
      </c>
      <c r="L192" s="18">
        <f t="shared" si="8"/>
        <v>0</v>
      </c>
    </row>
    <row r="193" spans="1:12" x14ac:dyDescent="0.2">
      <c r="A193" s="8" t="s">
        <v>573</v>
      </c>
      <c r="B193" s="38" t="s">
        <v>15</v>
      </c>
      <c r="C193" s="16" t="str">
        <f>VLOOKUP($A193,[1]Sheet2!$I$2:$O$449,3,FALSE)</f>
        <v>KPB1</v>
      </c>
      <c r="D193" s="7" t="s">
        <v>334</v>
      </c>
      <c r="E193" s="24" t="str">
        <f>VLOOKUP($A193,[1]Sheet2!$I$2:$O$449,5,FALSE)</f>
        <v>2026-02-20</v>
      </c>
      <c r="F193" s="19">
        <f t="shared" si="6"/>
        <v>0</v>
      </c>
      <c r="G193" s="38" t="s">
        <v>151</v>
      </c>
      <c r="H193" s="16" t="str">
        <f>VLOOKUP($A193,[1]Sheet2!$I$2:$O$449,6,FALSE)</f>
        <v>2026-03-13</v>
      </c>
      <c r="I193" s="38" t="s">
        <v>574</v>
      </c>
      <c r="J193" s="16">
        <f>VLOOKUP($A193,[1]Sheet2!$I$2:$O$449,4,FALSE)</f>
        <v>481</v>
      </c>
      <c r="K193" s="17">
        <f t="shared" si="7"/>
        <v>0</v>
      </c>
      <c r="L193" s="18">
        <f t="shared" si="8"/>
        <v>0</v>
      </c>
    </row>
    <row r="194" spans="1:12" x14ac:dyDescent="0.2">
      <c r="A194" s="8" t="s">
        <v>575</v>
      </c>
      <c r="B194" s="38" t="s">
        <v>15</v>
      </c>
      <c r="C194" s="16" t="str">
        <f>VLOOKUP($A194,[1]Sheet2!$I$2:$O$449,3,FALSE)</f>
        <v>KPB1</v>
      </c>
      <c r="D194" s="7" t="s">
        <v>176</v>
      </c>
      <c r="E194" s="24" t="str">
        <f>VLOOKUP($A194,[1]Sheet2!$I$2:$O$449,5,FALSE)</f>
        <v>2026-02-21</v>
      </c>
      <c r="F194" s="19">
        <f t="shared" si="6"/>
        <v>0</v>
      </c>
      <c r="G194" s="38" t="s">
        <v>151</v>
      </c>
      <c r="H194" s="16" t="str">
        <f>VLOOKUP($A194,[1]Sheet2!$I$2:$O$449,6,FALSE)</f>
        <v>2026-03-13</v>
      </c>
      <c r="I194" s="38" t="s">
        <v>576</v>
      </c>
      <c r="J194" s="16">
        <f>VLOOKUP($A194,[1]Sheet2!$I$2:$O$449,4,FALSE)</f>
        <v>534</v>
      </c>
      <c r="K194" s="17">
        <f t="shared" si="7"/>
        <v>0</v>
      </c>
      <c r="L194" s="18">
        <f t="shared" si="8"/>
        <v>0</v>
      </c>
    </row>
    <row r="195" spans="1:12" x14ac:dyDescent="0.2">
      <c r="A195" s="8" t="s">
        <v>577</v>
      </c>
      <c r="B195" s="38" t="s">
        <v>15</v>
      </c>
      <c r="C195" s="16" t="str">
        <f>VLOOKUP($A195,[1]Sheet2!$I$2:$O$449,3,FALSE)</f>
        <v>KPB1</v>
      </c>
      <c r="D195" s="7" t="s">
        <v>176</v>
      </c>
      <c r="E195" s="24" t="str">
        <f>VLOOKUP($A195,[1]Sheet2!$I$2:$O$449,5,FALSE)</f>
        <v>2026-02-20</v>
      </c>
      <c r="F195" s="19">
        <f t="shared" ref="F195:F258" si="9">D195-E195</f>
        <v>1</v>
      </c>
      <c r="G195" s="38" t="s">
        <v>154</v>
      </c>
      <c r="H195" s="16" t="str">
        <f>VLOOKUP($A195,[1]Sheet2!$I$2:$O$449,6,FALSE)</f>
        <v>2026-03-14</v>
      </c>
      <c r="I195" s="38" t="s">
        <v>578</v>
      </c>
      <c r="J195" s="16">
        <f>VLOOKUP($A195,[1]Sheet2!$I$2:$O$449,4,FALSE)</f>
        <v>848</v>
      </c>
      <c r="K195" s="17">
        <f t="shared" ref="K195:K258" si="10">G195-H195</f>
        <v>0</v>
      </c>
      <c r="L195" s="18">
        <f t="shared" ref="L195:L258" si="11">I195-J195</f>
        <v>0</v>
      </c>
    </row>
    <row r="196" spans="1:12" x14ac:dyDescent="0.2">
      <c r="A196" s="8" t="s">
        <v>579</v>
      </c>
      <c r="B196" s="38" t="s">
        <v>15</v>
      </c>
      <c r="C196" s="16" t="str">
        <f>VLOOKUP($A196,[1]Sheet2!$I$2:$O$449,3,FALSE)</f>
        <v>KPB1</v>
      </c>
      <c r="D196" s="7" t="s">
        <v>275</v>
      </c>
      <c r="E196" s="24" t="str">
        <f>VLOOKUP($A196,[1]Sheet2!$I$2:$O$449,5,FALSE)</f>
        <v>2026-02-18</v>
      </c>
      <c r="F196" s="19">
        <f t="shared" si="9"/>
        <v>0</v>
      </c>
      <c r="G196" s="38" t="s">
        <v>154</v>
      </c>
      <c r="H196" s="16" t="str">
        <f>VLOOKUP($A196,[1]Sheet2!$I$2:$O$449,6,FALSE)</f>
        <v>2026-03-14</v>
      </c>
      <c r="I196" s="38" t="s">
        <v>580</v>
      </c>
      <c r="J196" s="16">
        <f>VLOOKUP($A196,[1]Sheet2!$I$2:$O$449,4,FALSE)</f>
        <v>199</v>
      </c>
      <c r="K196" s="17">
        <f t="shared" si="10"/>
        <v>0</v>
      </c>
      <c r="L196" s="18">
        <f t="shared" si="11"/>
        <v>0</v>
      </c>
    </row>
    <row r="197" spans="1:12" x14ac:dyDescent="0.2">
      <c r="A197" s="8" t="s">
        <v>581</v>
      </c>
      <c r="B197" s="38" t="s">
        <v>15</v>
      </c>
      <c r="C197" s="16" t="str">
        <f>VLOOKUP($A197,[1]Sheet2!$I$2:$O$449,3,FALSE)</f>
        <v>KPB1</v>
      </c>
      <c r="D197" s="7" t="s">
        <v>508</v>
      </c>
      <c r="E197" s="24" t="str">
        <f>VLOOKUP($A197,[1]Sheet2!$I$2:$O$449,5,FALSE)</f>
        <v>2026-02-19</v>
      </c>
      <c r="F197" s="19">
        <f t="shared" si="9"/>
        <v>0</v>
      </c>
      <c r="G197" s="38" t="s">
        <v>158</v>
      </c>
      <c r="H197" s="16" t="str">
        <f>VLOOKUP($A197,[1]Sheet2!$I$2:$O$449,6,FALSE)</f>
        <v>2026-03-15</v>
      </c>
      <c r="I197" s="38" t="s">
        <v>582</v>
      </c>
      <c r="J197" s="16">
        <f>VLOOKUP($A197,[1]Sheet2!$I$2:$O$449,4,FALSE)</f>
        <v>885</v>
      </c>
      <c r="K197" s="17">
        <f t="shared" si="10"/>
        <v>0</v>
      </c>
      <c r="L197" s="18">
        <f t="shared" si="11"/>
        <v>0</v>
      </c>
    </row>
    <row r="198" spans="1:12" x14ac:dyDescent="0.2">
      <c r="A198" s="8" t="s">
        <v>583</v>
      </c>
      <c r="B198" s="38" t="s">
        <v>15</v>
      </c>
      <c r="C198" s="16" t="str">
        <f>VLOOKUP($A198,[1]Sheet2!$I$2:$O$449,3,FALSE)</f>
        <v>KPB1</v>
      </c>
      <c r="D198" s="7" t="s">
        <v>275</v>
      </c>
      <c r="E198" s="24" t="str">
        <f>VLOOKUP($A198,[1]Sheet2!$I$2:$O$449,5,FALSE)</f>
        <v>2026-02-20</v>
      </c>
      <c r="F198" s="19">
        <f t="shared" si="9"/>
        <v>-2</v>
      </c>
      <c r="G198" s="38" t="s">
        <v>169</v>
      </c>
      <c r="H198" s="16" t="str">
        <f>VLOOKUP($A198,[1]Sheet2!$I$2:$O$449,6,FALSE)</f>
        <v>2026-03-17</v>
      </c>
      <c r="I198" s="38" t="s">
        <v>451</v>
      </c>
      <c r="J198" s="16">
        <f>VLOOKUP($A198,[1]Sheet2!$I$2:$O$449,4,FALSE)</f>
        <v>141</v>
      </c>
      <c r="K198" s="17">
        <f t="shared" si="10"/>
        <v>0</v>
      </c>
      <c r="L198" s="18">
        <f t="shared" si="11"/>
        <v>0</v>
      </c>
    </row>
    <row r="199" spans="1:12" x14ac:dyDescent="0.2">
      <c r="A199" s="47" t="s">
        <v>584</v>
      </c>
      <c r="B199" s="38" t="s">
        <v>15</v>
      </c>
      <c r="C199" s="16" t="str">
        <f>VLOOKUP($A199,[1]Sheet2!$I$2:$O$449,3,FALSE)</f>
        <v>KPB1</v>
      </c>
      <c r="D199" s="7" t="s">
        <v>172</v>
      </c>
      <c r="E199" s="24" t="str">
        <f>VLOOKUP($A199,[1]Sheet2!$I$2:$O$449,5,FALSE)</f>
        <v>2026-03-06</v>
      </c>
      <c r="F199" s="19">
        <f t="shared" si="9"/>
        <v>-6</v>
      </c>
      <c r="G199" s="38" t="s">
        <v>169</v>
      </c>
      <c r="H199" s="16" t="str">
        <f>VLOOKUP($A199,[1]Sheet2!$I$2:$O$449,6,FALSE)</f>
        <v>2026-03-17</v>
      </c>
      <c r="I199" s="38" t="s">
        <v>585</v>
      </c>
      <c r="J199" s="16">
        <f>VLOOKUP($A199,[1]Sheet2!$I$2:$O$449,4,FALSE)</f>
        <v>653</v>
      </c>
      <c r="K199" s="17">
        <f t="shared" si="10"/>
        <v>0</v>
      </c>
      <c r="L199" s="18">
        <f t="shared" si="11"/>
        <v>0</v>
      </c>
    </row>
    <row r="200" spans="1:12" x14ac:dyDescent="0.2">
      <c r="A200" s="8" t="s">
        <v>586</v>
      </c>
      <c r="B200" s="38" t="s">
        <v>15</v>
      </c>
      <c r="C200" s="16" t="str">
        <f>VLOOKUP($A200,[1]Sheet2!$I$2:$O$449,3,FALSE)</f>
        <v>KPB1</v>
      </c>
      <c r="D200" s="7" t="s">
        <v>137</v>
      </c>
      <c r="E200" s="24" t="str">
        <f>VLOOKUP($A200,[1]Sheet2!$I$2:$O$449,5,FALSE)</f>
        <v>2026-02-24</v>
      </c>
      <c r="F200" s="19">
        <f t="shared" si="9"/>
        <v>0</v>
      </c>
      <c r="G200" s="38" t="s">
        <v>208</v>
      </c>
      <c r="H200" s="16" t="str">
        <f>VLOOKUP($A200,[1]Sheet2!$I$2:$O$449,6,FALSE)</f>
        <v>2026-03-18</v>
      </c>
      <c r="I200" s="38" t="s">
        <v>587</v>
      </c>
      <c r="J200" s="16">
        <f>VLOOKUP($A200,[1]Sheet2!$I$2:$O$449,4,FALSE)</f>
        <v>1134</v>
      </c>
      <c r="K200" s="17">
        <f t="shared" si="10"/>
        <v>0</v>
      </c>
      <c r="L200" s="18">
        <f t="shared" si="11"/>
        <v>0</v>
      </c>
    </row>
    <row r="201" spans="1:12" x14ac:dyDescent="0.2">
      <c r="A201" s="8" t="s">
        <v>588</v>
      </c>
      <c r="B201" s="38" t="s">
        <v>15</v>
      </c>
      <c r="C201" s="16" t="str">
        <f>VLOOKUP($A201,[1]Sheet2!$I$2:$O$449,3,FALSE)</f>
        <v>KPB1</v>
      </c>
      <c r="D201" s="7" t="s">
        <v>168</v>
      </c>
      <c r="E201" s="24" t="str">
        <f>VLOOKUP($A201,[1]Sheet2!$I$2:$O$449,5,FALSE)</f>
        <v>2026-02-14</v>
      </c>
      <c r="F201" s="19">
        <f t="shared" si="9"/>
        <v>2</v>
      </c>
      <c r="G201" s="38" t="s">
        <v>208</v>
      </c>
      <c r="H201" s="16" t="str">
        <f>VLOOKUP($A201,[1]Sheet2!$I$2:$O$449,6,FALSE)</f>
        <v>2026-03-18</v>
      </c>
      <c r="I201" s="38" t="s">
        <v>589</v>
      </c>
      <c r="J201" s="16">
        <f>VLOOKUP($A201,[1]Sheet2!$I$2:$O$449,4,FALSE)</f>
        <v>890</v>
      </c>
      <c r="K201" s="17">
        <f t="shared" si="10"/>
        <v>0</v>
      </c>
      <c r="L201" s="18">
        <f t="shared" si="11"/>
        <v>0</v>
      </c>
    </row>
    <row r="202" spans="1:12" x14ac:dyDescent="0.2">
      <c r="A202" s="8" t="s">
        <v>591</v>
      </c>
      <c r="B202" s="38" t="s">
        <v>15</v>
      </c>
      <c r="C202" s="16" t="str">
        <f>VLOOKUP($A202,[1]Sheet2!$I$2:$O$449,3,FALSE)</f>
        <v>KPB1</v>
      </c>
      <c r="D202" s="7" t="s">
        <v>199</v>
      </c>
      <c r="E202" s="24" t="str">
        <f>VLOOKUP($A202,[1]Sheet2!$I$2:$O$449,5,FALSE)</f>
        <v>2026-01-24</v>
      </c>
      <c r="F202" s="19">
        <f t="shared" si="9"/>
        <v>2</v>
      </c>
      <c r="G202" s="38" t="s">
        <v>173</v>
      </c>
      <c r="H202" s="16" t="str">
        <f>VLOOKUP($A202,[1]Sheet2!$I$2:$O$449,6,FALSE)</f>
        <v>2026-03-19</v>
      </c>
      <c r="I202" s="38" t="s">
        <v>592</v>
      </c>
      <c r="J202" s="16">
        <f>VLOOKUP($A202,[1]Sheet2!$I$2:$O$449,4,FALSE)</f>
        <v>220</v>
      </c>
      <c r="K202" s="17">
        <f t="shared" si="10"/>
        <v>0</v>
      </c>
      <c r="L202" s="18">
        <f t="shared" si="11"/>
        <v>0</v>
      </c>
    </row>
    <row r="203" spans="1:12" x14ac:dyDescent="0.2">
      <c r="A203" s="8" t="s">
        <v>593</v>
      </c>
      <c r="B203" s="38" t="s">
        <v>15</v>
      </c>
      <c r="C203" s="16" t="str">
        <f>VLOOKUP($A203,[1]Sheet2!$I$2:$O$449,3,FALSE)</f>
        <v>KPB1</v>
      </c>
      <c r="D203" s="7" t="s">
        <v>172</v>
      </c>
      <c r="E203" s="24" t="str">
        <f>VLOOKUP($A203,[1]Sheet2!$I$2:$O$449,5,FALSE)</f>
        <v>2026-02-28</v>
      </c>
      <c r="F203" s="19">
        <f t="shared" si="9"/>
        <v>0</v>
      </c>
      <c r="G203" s="38" t="s">
        <v>173</v>
      </c>
      <c r="H203" s="16" t="str">
        <f>VLOOKUP($A203,[1]Sheet2!$I$2:$O$449,6,FALSE)</f>
        <v>2026-03-19</v>
      </c>
      <c r="I203" s="38" t="s">
        <v>594</v>
      </c>
      <c r="J203" s="16">
        <f>VLOOKUP($A203,[1]Sheet2!$I$2:$O$449,4,FALSE)</f>
        <v>271</v>
      </c>
      <c r="K203" s="17">
        <f t="shared" si="10"/>
        <v>0</v>
      </c>
      <c r="L203" s="18">
        <f t="shared" si="11"/>
        <v>0</v>
      </c>
    </row>
    <row r="204" spans="1:12" x14ac:dyDescent="0.2">
      <c r="A204" s="8" t="s">
        <v>595</v>
      </c>
      <c r="B204" s="38" t="s">
        <v>15</v>
      </c>
      <c r="C204" s="16" t="str">
        <f>VLOOKUP($A204,[1]Sheet2!$I$2:$O$449,3,FALSE)</f>
        <v>KPB1</v>
      </c>
      <c r="D204" s="7" t="s">
        <v>168</v>
      </c>
      <c r="E204" s="24" t="str">
        <f>VLOOKUP($A204,[1]Sheet2!$I$2:$O$449,5,FALSE)</f>
        <v>2026-02-16</v>
      </c>
      <c r="F204" s="19">
        <f t="shared" si="9"/>
        <v>0</v>
      </c>
      <c r="G204" s="38" t="s">
        <v>217</v>
      </c>
      <c r="H204" s="16" t="str">
        <f>VLOOKUP($A204,[1]Sheet2!$I$2:$O$449,6,FALSE)</f>
        <v>2026-03-20</v>
      </c>
      <c r="I204" s="38" t="s">
        <v>596</v>
      </c>
      <c r="J204" s="16">
        <f>VLOOKUP($A204,[1]Sheet2!$I$2:$O$449,4,FALSE)</f>
        <v>740</v>
      </c>
      <c r="K204" s="17">
        <f t="shared" si="10"/>
        <v>0</v>
      </c>
      <c r="L204" s="18">
        <f t="shared" si="11"/>
        <v>0</v>
      </c>
    </row>
    <row r="205" spans="1:12" x14ac:dyDescent="0.2">
      <c r="A205" s="8" t="s">
        <v>597</v>
      </c>
      <c r="B205" s="38" t="s">
        <v>15</v>
      </c>
      <c r="C205" s="16" t="str">
        <f>VLOOKUP($A205,[1]Sheet2!$I$2:$O$449,3,FALSE)</f>
        <v>KPB1</v>
      </c>
      <c r="D205" s="7" t="s">
        <v>105</v>
      </c>
      <c r="E205" s="24" t="str">
        <f>VLOOKUP($A205,[1]Sheet2!$I$2:$O$449,5,FALSE)</f>
        <v>2026-02-23</v>
      </c>
      <c r="F205" s="19">
        <f t="shared" si="9"/>
        <v>0</v>
      </c>
      <c r="G205" s="38" t="s">
        <v>598</v>
      </c>
      <c r="H205" s="16" t="str">
        <f>VLOOKUP($A205,[1]Sheet2!$I$2:$O$449,6,FALSE)</f>
        <v>2026-03-24</v>
      </c>
      <c r="I205" s="38" t="s">
        <v>599</v>
      </c>
      <c r="J205" s="16">
        <f>VLOOKUP($A205,[1]Sheet2!$I$2:$O$449,4,FALSE)</f>
        <v>673</v>
      </c>
      <c r="K205" s="17">
        <f t="shared" si="10"/>
        <v>0</v>
      </c>
      <c r="L205" s="18">
        <f t="shared" si="11"/>
        <v>0</v>
      </c>
    </row>
    <row r="206" spans="1:12" x14ac:dyDescent="0.2">
      <c r="A206" s="8" t="s">
        <v>600</v>
      </c>
      <c r="B206" s="38" t="s">
        <v>15</v>
      </c>
      <c r="C206" s="16" t="str">
        <f>VLOOKUP($A206,[1]Sheet2!$I$2:$O$449,3,FALSE)</f>
        <v>KPB1</v>
      </c>
      <c r="D206" s="7" t="s">
        <v>250</v>
      </c>
      <c r="E206" s="24" t="str">
        <f>VLOOKUP($A206,[1]Sheet2!$I$2:$O$449,5,FALSE)</f>
        <v>2026-02-16</v>
      </c>
      <c r="F206" s="19">
        <f t="shared" si="9"/>
        <v>-1</v>
      </c>
      <c r="G206" s="38" t="s">
        <v>598</v>
      </c>
      <c r="H206" s="16" t="str">
        <f>VLOOKUP($A206,[1]Sheet2!$I$2:$O$449,6,FALSE)</f>
        <v>2026-03-24</v>
      </c>
      <c r="I206" s="38" t="s">
        <v>601</v>
      </c>
      <c r="J206" s="16">
        <f>VLOOKUP($A206,[1]Sheet2!$I$2:$O$449,4,FALSE)</f>
        <v>933</v>
      </c>
      <c r="K206" s="17">
        <f t="shared" si="10"/>
        <v>0</v>
      </c>
      <c r="L206" s="18">
        <f t="shared" si="11"/>
        <v>0</v>
      </c>
    </row>
    <row r="207" spans="1:12" x14ac:dyDescent="0.2">
      <c r="A207" s="8" t="s">
        <v>602</v>
      </c>
      <c r="B207" s="38" t="s">
        <v>15</v>
      </c>
      <c r="C207" s="16" t="str">
        <f>VLOOKUP($A207,[1]Sheet2!$I$2:$O$449,3,FALSE)</f>
        <v>KPB1</v>
      </c>
      <c r="D207" s="7" t="s">
        <v>497</v>
      </c>
      <c r="E207" s="24" t="str">
        <f>VLOOKUP($A207,[1]Sheet2!$I$2:$O$449,5,FALSE)</f>
        <v>2026-02-09</v>
      </c>
      <c r="F207" s="19">
        <f t="shared" si="9"/>
        <v>0</v>
      </c>
      <c r="G207" s="38" t="s">
        <v>177</v>
      </c>
      <c r="H207" s="16" t="str">
        <f>VLOOKUP($A207,[1]Sheet2!$I$2:$O$449,6,FALSE)</f>
        <v>2026-03-25</v>
      </c>
      <c r="I207" s="38" t="s">
        <v>603</v>
      </c>
      <c r="J207" s="16">
        <f>VLOOKUP($A207,[1]Sheet2!$I$2:$O$449,4,FALSE)</f>
        <v>635</v>
      </c>
      <c r="K207" s="17">
        <f t="shared" si="10"/>
        <v>0</v>
      </c>
      <c r="L207" s="18">
        <f t="shared" si="11"/>
        <v>0</v>
      </c>
    </row>
    <row r="208" spans="1:12" x14ac:dyDescent="0.2">
      <c r="A208" s="8" t="s">
        <v>604</v>
      </c>
      <c r="B208" s="38" t="s">
        <v>15</v>
      </c>
      <c r="C208" s="16" t="str">
        <f>VLOOKUP($A208,[1]Sheet2!$I$2:$O$449,3,FALSE)</f>
        <v>KPB1</v>
      </c>
      <c r="D208" s="7" t="s">
        <v>419</v>
      </c>
      <c r="E208" s="24" t="str">
        <f>VLOOKUP($A208,[1]Sheet2!$I$2:$O$449,5,FALSE)</f>
        <v>2026-02-05</v>
      </c>
      <c r="F208" s="19">
        <f t="shared" si="9"/>
        <v>0</v>
      </c>
      <c r="G208" s="38" t="s">
        <v>180</v>
      </c>
      <c r="H208" s="16" t="str">
        <f>VLOOKUP($A208,[1]Sheet2!$I$2:$O$449,6,FALSE)</f>
        <v>2026-03-26</v>
      </c>
      <c r="I208" s="38" t="s">
        <v>605</v>
      </c>
      <c r="J208" s="16">
        <f>VLOOKUP($A208,[1]Sheet2!$I$2:$O$449,4,FALSE)</f>
        <v>1199</v>
      </c>
      <c r="K208" s="17">
        <f t="shared" si="10"/>
        <v>0</v>
      </c>
      <c r="L208" s="18">
        <f t="shared" si="11"/>
        <v>0</v>
      </c>
    </row>
    <row r="209" spans="1:12" x14ac:dyDescent="0.2">
      <c r="A209" s="8" t="s">
        <v>606</v>
      </c>
      <c r="B209" s="38" t="s">
        <v>15</v>
      </c>
      <c r="C209" s="16" t="str">
        <f>VLOOKUP($A209,[1]Sheet2!$I$2:$O$449,3,FALSE)</f>
        <v>KPB1</v>
      </c>
      <c r="D209" s="7" t="s">
        <v>165</v>
      </c>
      <c r="E209" s="24" t="str">
        <f>VLOOKUP($A209,[1]Sheet2!$I$2:$O$449,5,FALSE)</f>
        <v>2026-02-25</v>
      </c>
      <c r="F209" s="19">
        <f t="shared" si="9"/>
        <v>0</v>
      </c>
      <c r="G209" s="38" t="s">
        <v>180</v>
      </c>
      <c r="H209" s="16" t="str">
        <f>VLOOKUP($A209,[1]Sheet2!$I$2:$O$449,6,FALSE)</f>
        <v>2026-03-26</v>
      </c>
      <c r="I209" s="38" t="s">
        <v>607</v>
      </c>
      <c r="J209" s="16">
        <f>VLOOKUP($A209,[1]Sheet2!$I$2:$O$449,4,FALSE)</f>
        <v>762</v>
      </c>
      <c r="K209" s="17">
        <f t="shared" si="10"/>
        <v>0</v>
      </c>
      <c r="L209" s="18">
        <f t="shared" si="11"/>
        <v>0</v>
      </c>
    </row>
    <row r="210" spans="1:12" x14ac:dyDescent="0.2">
      <c r="A210" s="8" t="s">
        <v>608</v>
      </c>
      <c r="B210" s="38" t="s">
        <v>15</v>
      </c>
      <c r="C210" s="16" t="str">
        <f>VLOOKUP($A210,[1]Sheet2!$I$2:$O$449,3,FALSE)</f>
        <v>KPB1</v>
      </c>
      <c r="D210" s="7" t="s">
        <v>137</v>
      </c>
      <c r="E210" s="24" t="str">
        <f>VLOOKUP($A210,[1]Sheet2!$I$2:$O$449,5,FALSE)</f>
        <v>2026-02-23</v>
      </c>
      <c r="F210" s="19">
        <f t="shared" si="9"/>
        <v>1</v>
      </c>
      <c r="G210" s="38" t="s">
        <v>180</v>
      </c>
      <c r="H210" s="16" t="str">
        <f>VLOOKUP($A210,[1]Sheet2!$I$2:$O$449,6,FALSE)</f>
        <v>2026-03-26</v>
      </c>
      <c r="I210" s="38" t="s">
        <v>609</v>
      </c>
      <c r="J210" s="16">
        <f>VLOOKUP($A210,[1]Sheet2!$I$2:$O$449,4,FALSE)</f>
        <v>1177</v>
      </c>
      <c r="K210" s="17">
        <f t="shared" si="10"/>
        <v>0</v>
      </c>
      <c r="L210" s="18">
        <f t="shared" si="11"/>
        <v>0</v>
      </c>
    </row>
    <row r="211" spans="1:12" x14ac:dyDescent="0.2">
      <c r="A211" s="8" t="s">
        <v>610</v>
      </c>
      <c r="B211" s="38" t="s">
        <v>15</v>
      </c>
      <c r="C211" s="16" t="str">
        <f>VLOOKUP($A211,[1]Sheet2!$I$2:$O$449,3,FALSE)</f>
        <v>KPB1</v>
      </c>
      <c r="D211" s="7" t="s">
        <v>110</v>
      </c>
      <c r="E211" s="24" t="str">
        <f>VLOOKUP($A211,[1]Sheet2!$I$2:$O$449,5,FALSE)</f>
        <v>2026-03-12</v>
      </c>
      <c r="F211" s="19">
        <f t="shared" si="9"/>
        <v>-1</v>
      </c>
      <c r="G211" s="38" t="s">
        <v>180</v>
      </c>
      <c r="H211" s="16" t="str">
        <f>VLOOKUP($A211,[1]Sheet2!$I$2:$O$449,6,FALSE)</f>
        <v>2026-03-26</v>
      </c>
      <c r="I211" s="38" t="s">
        <v>611</v>
      </c>
      <c r="J211" s="16">
        <f>VLOOKUP($A211,[1]Sheet2!$I$2:$O$449,4,FALSE)</f>
        <v>1062</v>
      </c>
      <c r="K211" s="17">
        <f t="shared" si="10"/>
        <v>0</v>
      </c>
      <c r="L211" s="18">
        <f t="shared" si="11"/>
        <v>0</v>
      </c>
    </row>
    <row r="212" spans="1:12" x14ac:dyDescent="0.2">
      <c r="A212" s="8" t="s">
        <v>612</v>
      </c>
      <c r="B212" s="38" t="s">
        <v>15</v>
      </c>
      <c r="C212" s="16" t="str">
        <f>VLOOKUP($A212,[1]Sheet2!$I$2:$O$449,3,FALSE)</f>
        <v>KPB1</v>
      </c>
      <c r="D212" s="7" t="s">
        <v>137</v>
      </c>
      <c r="E212" s="24" t="str">
        <f>VLOOKUP($A212,[1]Sheet2!$I$2:$O$449,5,FALSE)</f>
        <v>2026-02-23</v>
      </c>
      <c r="F212" s="19">
        <f t="shared" si="9"/>
        <v>1</v>
      </c>
      <c r="G212" s="38" t="s">
        <v>114</v>
      </c>
      <c r="H212" s="16" t="str">
        <f>VLOOKUP($A212,[1]Sheet2!$I$2:$O$449,6,FALSE)</f>
        <v>2026-03-27</v>
      </c>
      <c r="I212" s="38" t="s">
        <v>613</v>
      </c>
      <c r="J212" s="16">
        <f>VLOOKUP($A212,[1]Sheet2!$I$2:$O$449,4,FALSE)</f>
        <v>1068</v>
      </c>
      <c r="K212" s="17">
        <f t="shared" si="10"/>
        <v>0</v>
      </c>
      <c r="L212" s="18">
        <f t="shared" si="11"/>
        <v>0</v>
      </c>
    </row>
    <row r="213" spans="1:12" x14ac:dyDescent="0.2">
      <c r="A213" s="8" t="s">
        <v>614</v>
      </c>
      <c r="B213" s="38" t="s">
        <v>15</v>
      </c>
      <c r="C213" s="16" t="str">
        <f>VLOOKUP($A213,[1]Sheet2!$I$2:$O$449,3,FALSE)</f>
        <v>KPB1</v>
      </c>
      <c r="D213" s="7" t="s">
        <v>154</v>
      </c>
      <c r="E213" s="24" t="str">
        <f>VLOOKUP($A213,[1]Sheet2!$I$2:$O$449,5,FALSE)</f>
        <v>2026-03-14</v>
      </c>
      <c r="F213" s="19">
        <f t="shared" si="9"/>
        <v>0</v>
      </c>
      <c r="G213" s="38" t="s">
        <v>114</v>
      </c>
      <c r="H213" s="16" t="str">
        <f>VLOOKUP($A213,[1]Sheet2!$I$2:$O$449,6,FALSE)</f>
        <v>2026-03-27</v>
      </c>
      <c r="I213" s="38" t="s">
        <v>615</v>
      </c>
      <c r="J213" s="16">
        <f>VLOOKUP($A213,[1]Sheet2!$I$2:$O$449,4,FALSE)</f>
        <v>513</v>
      </c>
      <c r="K213" s="17">
        <f t="shared" si="10"/>
        <v>0</v>
      </c>
      <c r="L213" s="18">
        <f t="shared" si="11"/>
        <v>0</v>
      </c>
    </row>
    <row r="214" spans="1:12" x14ac:dyDescent="0.2">
      <c r="A214" s="8" t="s">
        <v>616</v>
      </c>
      <c r="B214" s="38" t="s">
        <v>15</v>
      </c>
      <c r="C214" s="16" t="str">
        <f>VLOOKUP($A214,[1]Sheet2!$I$2:$O$449,3,FALSE)</f>
        <v>KPB1</v>
      </c>
      <c r="D214" s="7" t="s">
        <v>113</v>
      </c>
      <c r="E214" s="24" t="str">
        <f>VLOOKUP($A214,[1]Sheet2!$I$2:$O$449,5,FALSE)</f>
        <v>2026-03-02</v>
      </c>
      <c r="F214" s="19">
        <f t="shared" si="9"/>
        <v>2</v>
      </c>
      <c r="G214" s="38" t="s">
        <v>219</v>
      </c>
      <c r="H214" s="16" t="str">
        <f>VLOOKUP($A214,[1]Sheet2!$I$2:$O$449,6,FALSE)</f>
        <v>2026-03-28</v>
      </c>
      <c r="I214" s="38" t="s">
        <v>617</v>
      </c>
      <c r="J214" s="16">
        <f>VLOOKUP($A214,[1]Sheet2!$I$2:$O$449,4,FALSE)</f>
        <v>1135</v>
      </c>
      <c r="K214" s="17">
        <f t="shared" si="10"/>
        <v>0</v>
      </c>
      <c r="L214" s="18">
        <f t="shared" si="11"/>
        <v>0</v>
      </c>
    </row>
    <row r="215" spans="1:12" x14ac:dyDescent="0.2">
      <c r="A215" s="8" t="s">
        <v>618</v>
      </c>
      <c r="B215" s="38" t="s">
        <v>15</v>
      </c>
      <c r="C215" s="16" t="str">
        <f>VLOOKUP($A215,[1]Sheet2!$I$2:$O$449,3,FALSE)</f>
        <v>KPB1</v>
      </c>
      <c r="D215" s="7" t="s">
        <v>106</v>
      </c>
      <c r="E215" s="24" t="str">
        <f>VLOOKUP($A215,[1]Sheet2!$I$2:$O$449,5,FALSE)</f>
        <v>2026-03-05</v>
      </c>
      <c r="F215" s="19">
        <f t="shared" si="9"/>
        <v>1</v>
      </c>
      <c r="G215" s="38" t="s">
        <v>219</v>
      </c>
      <c r="H215" s="16" t="str">
        <f>VLOOKUP($A215,[1]Sheet2!$I$2:$O$449,6,FALSE)</f>
        <v>2026-03-28</v>
      </c>
      <c r="I215" s="38" t="s">
        <v>619</v>
      </c>
      <c r="J215" s="16">
        <f>VLOOKUP($A215,[1]Sheet2!$I$2:$O$449,4,FALSE)</f>
        <v>408</v>
      </c>
      <c r="K215" s="17">
        <f t="shared" si="10"/>
        <v>0</v>
      </c>
      <c r="L215" s="18">
        <f t="shared" si="11"/>
        <v>0</v>
      </c>
    </row>
    <row r="216" spans="1:12" x14ac:dyDescent="0.2">
      <c r="A216" s="8" t="s">
        <v>620</v>
      </c>
      <c r="B216" s="38" t="s">
        <v>15</v>
      </c>
      <c r="C216" s="16" t="str">
        <f>VLOOKUP($A216,[1]Sheet2!$I$2:$O$449,3,FALSE)</f>
        <v>KPB1</v>
      </c>
      <c r="D216" s="7" t="s">
        <v>169</v>
      </c>
      <c r="E216" s="24" t="str">
        <f>VLOOKUP($A216,[1]Sheet2!$I$2:$O$449,5,FALSE)</f>
        <v>2026-03-14</v>
      </c>
      <c r="F216" s="19">
        <f t="shared" si="9"/>
        <v>3</v>
      </c>
      <c r="G216" s="38" t="s">
        <v>300</v>
      </c>
      <c r="H216" s="16" t="str">
        <f>VLOOKUP($A216,[1]Sheet2!$I$2:$O$449,6,FALSE)</f>
        <v>2026-03-29</v>
      </c>
      <c r="I216" s="38" t="s">
        <v>621</v>
      </c>
      <c r="J216" s="16">
        <f>VLOOKUP($A216,[1]Sheet2!$I$2:$O$449,4,FALSE)</f>
        <v>649</v>
      </c>
      <c r="K216" s="17">
        <f t="shared" si="10"/>
        <v>0</v>
      </c>
      <c r="L216" s="18">
        <f t="shared" si="11"/>
        <v>0</v>
      </c>
    </row>
    <row r="217" spans="1:12" x14ac:dyDescent="0.2">
      <c r="A217" s="8" t="s">
        <v>622</v>
      </c>
      <c r="B217" s="38" t="s">
        <v>15</v>
      </c>
      <c r="C217" s="16" t="str">
        <f>VLOOKUP($A217,[1]Sheet2!$I$2:$O$449,3,FALSE)</f>
        <v>KPB1</v>
      </c>
      <c r="D217" s="7" t="s">
        <v>106</v>
      </c>
      <c r="E217" s="24" t="str">
        <f>VLOOKUP($A217,[1]Sheet2!$I$2:$O$449,5,FALSE)</f>
        <v>2026-03-04</v>
      </c>
      <c r="F217" s="19">
        <f t="shared" si="9"/>
        <v>2</v>
      </c>
      <c r="G217" s="38" t="s">
        <v>118</v>
      </c>
      <c r="H217" s="16" t="str">
        <f>VLOOKUP($A217,[1]Sheet2!$I$2:$O$449,6,FALSE)</f>
        <v>2026-03-30</v>
      </c>
      <c r="I217" s="38" t="s">
        <v>596</v>
      </c>
      <c r="J217" s="16">
        <f>VLOOKUP($A217,[1]Sheet2!$I$2:$O$449,4,FALSE)</f>
        <v>740</v>
      </c>
      <c r="K217" s="17">
        <f t="shared" si="10"/>
        <v>0</v>
      </c>
      <c r="L217" s="18">
        <f t="shared" si="11"/>
        <v>0</v>
      </c>
    </row>
    <row r="218" spans="1:12" x14ac:dyDescent="0.2">
      <c r="A218" s="8" t="s">
        <v>623</v>
      </c>
      <c r="B218" s="38" t="s">
        <v>15</v>
      </c>
      <c r="C218" s="16" t="str">
        <f>VLOOKUP($A218,[1]Sheet2!$I$2:$O$449,3,FALSE)</f>
        <v>KPB1</v>
      </c>
      <c r="D218" s="7" t="s">
        <v>259</v>
      </c>
      <c r="E218" s="24" t="str">
        <f>VLOOKUP($A218,[1]Sheet2!$I$2:$O$449,5,FALSE)</f>
        <v>2026-02-12</v>
      </c>
      <c r="F218" s="19">
        <f t="shared" si="9"/>
        <v>1</v>
      </c>
      <c r="G218" s="38" t="s">
        <v>118</v>
      </c>
      <c r="H218" s="16" t="str">
        <f>VLOOKUP($A218,[1]Sheet2!$I$2:$O$449,6,FALSE)</f>
        <v>2026-03-30</v>
      </c>
      <c r="I218" s="38" t="s">
        <v>624</v>
      </c>
      <c r="J218" s="16">
        <f>VLOOKUP($A218,[1]Sheet2!$I$2:$O$449,4,FALSE)</f>
        <v>375</v>
      </c>
      <c r="K218" s="17">
        <f t="shared" si="10"/>
        <v>0</v>
      </c>
      <c r="L218" s="18">
        <f t="shared" si="11"/>
        <v>0</v>
      </c>
    </row>
    <row r="219" spans="1:12" hidden="1" x14ac:dyDescent="0.2">
      <c r="A219" s="48" t="s">
        <v>625</v>
      </c>
      <c r="B219" s="38" t="s">
        <v>15</v>
      </c>
      <c r="C219" s="16" t="str">
        <f>VLOOKUP($A219,[1]Sheet2!$I$2:$O$449,3,FALSE)</f>
        <v>KPB1</v>
      </c>
      <c r="D219" s="7" t="s">
        <v>165</v>
      </c>
      <c r="E219" s="24" t="str">
        <f>VLOOKUP($A219,[1]Sheet2!$I$2:$O$449,5,FALSE)</f>
        <v>2026-02-18</v>
      </c>
      <c r="F219" s="19">
        <f t="shared" si="9"/>
        <v>7</v>
      </c>
      <c r="G219" s="38" t="s">
        <v>118</v>
      </c>
      <c r="H219" s="16" t="str">
        <f>VLOOKUP($A219,[1]Sheet2!$I$2:$O$449,6,FALSE)</f>
        <v>2026-03-30</v>
      </c>
      <c r="I219" s="38" t="s">
        <v>605</v>
      </c>
      <c r="J219" s="16">
        <f>VLOOKUP($A219,[1]Sheet2!$I$2:$O$449,4,FALSE)</f>
        <v>1199</v>
      </c>
      <c r="K219" s="17">
        <f t="shared" si="10"/>
        <v>0</v>
      </c>
      <c r="L219" s="18">
        <f t="shared" si="11"/>
        <v>0</v>
      </c>
    </row>
    <row r="220" spans="1:12" hidden="1" x14ac:dyDescent="0.2">
      <c r="A220" s="48" t="s">
        <v>626</v>
      </c>
      <c r="B220" s="38" t="s">
        <v>15</v>
      </c>
      <c r="C220" s="16" t="str">
        <f>VLOOKUP($A220,[1]Sheet2!$I$2:$O$449,3,FALSE)</f>
        <v>KPB1</v>
      </c>
      <c r="D220" s="7" t="s">
        <v>217</v>
      </c>
      <c r="E220" s="24" t="str">
        <f>VLOOKUP($A220,[1]Sheet2!$I$2:$O$449,5,FALSE)</f>
        <v>2026-02-12</v>
      </c>
      <c r="F220" s="19">
        <f t="shared" si="9"/>
        <v>36</v>
      </c>
      <c r="G220" s="38" t="s">
        <v>118</v>
      </c>
      <c r="H220" s="16" t="str">
        <f>VLOOKUP($A220,[1]Sheet2!$I$2:$O$449,6,FALSE)</f>
        <v>2026-03-30</v>
      </c>
      <c r="I220" s="38" t="s">
        <v>607</v>
      </c>
      <c r="J220" s="16">
        <f>VLOOKUP($A220,[1]Sheet2!$I$2:$O$449,4,FALSE)</f>
        <v>762</v>
      </c>
      <c r="K220" s="17">
        <f t="shared" si="10"/>
        <v>0</v>
      </c>
      <c r="L220" s="18">
        <f t="shared" si="11"/>
        <v>0</v>
      </c>
    </row>
    <row r="221" spans="1:12" x14ac:dyDescent="0.2">
      <c r="A221" s="8" t="s">
        <v>627</v>
      </c>
      <c r="B221" s="38" t="s">
        <v>15</v>
      </c>
      <c r="C221" s="16" t="str">
        <f>VLOOKUP($A221,[1]Sheet2!$I$2:$O$449,3,FALSE)</f>
        <v>KPB1</v>
      </c>
      <c r="D221" s="7" t="s">
        <v>154</v>
      </c>
      <c r="E221" s="24" t="str">
        <f>VLOOKUP($A221,[1]Sheet2!$I$2:$O$449,5,FALSE)</f>
        <v>2026-03-13</v>
      </c>
      <c r="F221" s="19">
        <f t="shared" si="9"/>
        <v>1</v>
      </c>
      <c r="G221" s="38" t="s">
        <v>187</v>
      </c>
      <c r="H221" s="16" t="str">
        <f>VLOOKUP($A221,[1]Sheet2!$I$2:$O$449,6,FALSE)</f>
        <v>2026-03-31</v>
      </c>
      <c r="I221" s="38" t="s">
        <v>628</v>
      </c>
      <c r="J221" s="16">
        <f>VLOOKUP($A221,[1]Sheet2!$I$2:$O$449,4,FALSE)</f>
        <v>1001</v>
      </c>
      <c r="K221" s="17">
        <f t="shared" si="10"/>
        <v>0</v>
      </c>
      <c r="L221" s="18">
        <f t="shared" si="11"/>
        <v>0</v>
      </c>
    </row>
    <row r="222" spans="1:12" x14ac:dyDescent="0.2">
      <c r="A222" s="8" t="s">
        <v>629</v>
      </c>
      <c r="B222" s="38" t="s">
        <v>25</v>
      </c>
      <c r="C222" s="16" t="str">
        <f>VLOOKUP($A222,[1]Sheet2!$I$2:$O$449,3,FALSE)</f>
        <v>KPB2</v>
      </c>
      <c r="D222" s="7" t="s">
        <v>425</v>
      </c>
      <c r="E222" s="24" t="str">
        <f>VLOOKUP($A222,[1]Sheet2!$I$2:$O$449,5,FALSE)</f>
        <v>2025-11-17</v>
      </c>
      <c r="F222" s="19">
        <f t="shared" si="9"/>
        <v>0</v>
      </c>
      <c r="G222" s="38" t="s">
        <v>143</v>
      </c>
      <c r="H222" s="16" t="str">
        <f>VLOOKUP($A222,[1]Sheet2!$I$2:$O$449,6,FALSE)</f>
        <v>2026-03-03</v>
      </c>
      <c r="I222" s="38" t="s">
        <v>630</v>
      </c>
      <c r="J222" s="16">
        <f>VLOOKUP($A222,[1]Sheet2!$I$2:$O$449,4,FALSE)</f>
        <v>2565</v>
      </c>
      <c r="K222" s="17">
        <f t="shared" si="10"/>
        <v>0</v>
      </c>
      <c r="L222" s="18">
        <f t="shared" si="11"/>
        <v>0</v>
      </c>
    </row>
    <row r="223" spans="1:12" x14ac:dyDescent="0.2">
      <c r="A223" s="8" t="s">
        <v>631</v>
      </c>
      <c r="B223" s="38" t="s">
        <v>25</v>
      </c>
      <c r="C223" s="16" t="str">
        <f>VLOOKUP($A223,[1]Sheet2!$I$2:$O$449,3,FALSE)</f>
        <v>KPB2</v>
      </c>
      <c r="D223" s="7" t="s">
        <v>419</v>
      </c>
      <c r="E223" s="24" t="str">
        <f>VLOOKUP($A223,[1]Sheet2!$I$2:$O$449,5,FALSE)</f>
        <v>2026-02-05</v>
      </c>
      <c r="F223" s="19">
        <f t="shared" si="9"/>
        <v>0</v>
      </c>
      <c r="G223" s="38" t="s">
        <v>232</v>
      </c>
      <c r="H223" s="16" t="str">
        <f>VLOOKUP($A223,[1]Sheet2!$I$2:$O$449,6,FALSE)</f>
        <v>2026-03-07</v>
      </c>
      <c r="I223" s="38" t="s">
        <v>632</v>
      </c>
      <c r="J223" s="16">
        <f>VLOOKUP($A223,[1]Sheet2!$I$2:$O$449,4,FALSE)</f>
        <v>1844</v>
      </c>
      <c r="K223" s="17">
        <f t="shared" si="10"/>
        <v>0</v>
      </c>
      <c r="L223" s="18">
        <f t="shared" si="11"/>
        <v>0</v>
      </c>
    </row>
    <row r="224" spans="1:12" x14ac:dyDescent="0.2">
      <c r="A224" s="8" t="s">
        <v>633</v>
      </c>
      <c r="B224" s="38" t="s">
        <v>25</v>
      </c>
      <c r="C224" s="16" t="str">
        <f>VLOOKUP($A224,[1]Sheet2!$I$2:$O$449,3,FALSE)</f>
        <v>KPB2</v>
      </c>
      <c r="D224" s="7" t="s">
        <v>634</v>
      </c>
      <c r="E224" s="24" t="str">
        <f>VLOOKUP($A224,[1]Sheet2!$I$2:$O$449,5,FALSE)</f>
        <v>2025-11-15</v>
      </c>
      <c r="F224" s="19">
        <f t="shared" si="9"/>
        <v>1</v>
      </c>
      <c r="G224" s="38" t="s">
        <v>148</v>
      </c>
      <c r="H224" s="16" t="str">
        <f>VLOOKUP($A224,[1]Sheet2!$I$2:$O$449,6,FALSE)</f>
        <v>2026-03-12</v>
      </c>
      <c r="I224" s="38" t="s">
        <v>635</v>
      </c>
      <c r="J224" s="16">
        <f>VLOOKUP($A224,[1]Sheet2!$I$2:$O$449,4,FALSE)</f>
        <v>549</v>
      </c>
      <c r="K224" s="17">
        <f t="shared" si="10"/>
        <v>0</v>
      </c>
      <c r="L224" s="18">
        <f t="shared" si="11"/>
        <v>0</v>
      </c>
    </row>
    <row r="225" spans="1:12" x14ac:dyDescent="0.2">
      <c r="A225" s="8" t="s">
        <v>636</v>
      </c>
      <c r="B225" s="38" t="s">
        <v>25</v>
      </c>
      <c r="C225" s="16" t="str">
        <f>VLOOKUP($A225,[1]Sheet2!$I$2:$O$449,3,FALSE)</f>
        <v>KPB2</v>
      </c>
      <c r="D225" s="7" t="s">
        <v>637</v>
      </c>
      <c r="E225" s="24" t="str">
        <f>VLOOKUP($A225,[1]Sheet2!$I$2:$O$449,5,FALSE)</f>
        <v>2026-01-09</v>
      </c>
      <c r="F225" s="19">
        <f t="shared" si="9"/>
        <v>0</v>
      </c>
      <c r="G225" s="38" t="s">
        <v>148</v>
      </c>
      <c r="H225" s="16" t="str">
        <f>VLOOKUP($A225,[1]Sheet2!$I$2:$O$449,6,FALSE)</f>
        <v>2026-03-12</v>
      </c>
      <c r="I225" s="38" t="s">
        <v>638</v>
      </c>
      <c r="J225" s="16">
        <f>VLOOKUP($A225,[1]Sheet2!$I$2:$O$449,4,FALSE)</f>
        <v>1684</v>
      </c>
      <c r="K225" s="17">
        <f t="shared" si="10"/>
        <v>0</v>
      </c>
      <c r="L225" s="18">
        <f t="shared" si="11"/>
        <v>0</v>
      </c>
    </row>
    <row r="226" spans="1:12" x14ac:dyDescent="0.2">
      <c r="A226" s="8" t="s">
        <v>640</v>
      </c>
      <c r="B226" s="38" t="s">
        <v>25</v>
      </c>
      <c r="C226" s="16" t="str">
        <f>VLOOKUP($A226,[1]Sheet2!$I$2:$O$449,3,FALSE)</f>
        <v>KPB2</v>
      </c>
      <c r="D226" s="7" t="s">
        <v>641</v>
      </c>
      <c r="E226" s="24" t="str">
        <f>VLOOKUP($A226,[1]Sheet2!$I$2:$O$449,5,FALSE)</f>
        <v>2025-12-11</v>
      </c>
      <c r="F226" s="19">
        <f t="shared" si="9"/>
        <v>0</v>
      </c>
      <c r="G226" s="38" t="s">
        <v>162</v>
      </c>
      <c r="H226" s="16" t="str">
        <f>VLOOKUP($A226,[1]Sheet2!$I$2:$O$449,6,FALSE)</f>
        <v>2026-03-16</v>
      </c>
      <c r="I226" s="38" t="s">
        <v>642</v>
      </c>
      <c r="J226" s="16">
        <f>VLOOKUP($A226,[1]Sheet2!$I$2:$O$449,4,FALSE)</f>
        <v>3414</v>
      </c>
      <c r="K226" s="17">
        <f t="shared" si="10"/>
        <v>0</v>
      </c>
      <c r="L226" s="18">
        <f t="shared" si="11"/>
        <v>0</v>
      </c>
    </row>
    <row r="227" spans="1:12" x14ac:dyDescent="0.2">
      <c r="A227" s="8" t="s">
        <v>643</v>
      </c>
      <c r="B227" s="38" t="s">
        <v>25</v>
      </c>
      <c r="C227" s="16" t="str">
        <f>VLOOKUP($A227,[1]Sheet2!$I$2:$O$449,3,FALSE)</f>
        <v>KPB2</v>
      </c>
      <c r="D227" s="7" t="s">
        <v>316</v>
      </c>
      <c r="E227" s="24" t="str">
        <f>VLOOKUP($A227,[1]Sheet2!$I$2:$O$449,5,FALSE)</f>
        <v>2025-12-08</v>
      </c>
      <c r="F227" s="19">
        <f t="shared" si="9"/>
        <v>0</v>
      </c>
      <c r="G227" s="38" t="s">
        <v>162</v>
      </c>
      <c r="H227" s="16" t="str">
        <f>VLOOKUP($A227,[1]Sheet2!$I$2:$O$449,6,FALSE)</f>
        <v>2026-03-16</v>
      </c>
      <c r="I227" s="38" t="s">
        <v>644</v>
      </c>
      <c r="J227" s="16">
        <f>VLOOKUP($A227,[1]Sheet2!$I$2:$O$449,4,FALSE)</f>
        <v>940</v>
      </c>
      <c r="K227" s="17">
        <f t="shared" si="10"/>
        <v>0</v>
      </c>
      <c r="L227" s="18">
        <f t="shared" si="11"/>
        <v>0</v>
      </c>
    </row>
    <row r="228" spans="1:12" x14ac:dyDescent="0.2">
      <c r="A228" s="8" t="s">
        <v>645</v>
      </c>
      <c r="B228" s="38" t="s">
        <v>25</v>
      </c>
      <c r="C228" s="16" t="str">
        <f>VLOOKUP($A228,[1]Sheet2!$I$2:$O$449,3,FALSE)</f>
        <v>KPB2</v>
      </c>
      <c r="D228" s="7" t="s">
        <v>316</v>
      </c>
      <c r="E228" s="24" t="str">
        <f>VLOOKUP($A228,[1]Sheet2!$I$2:$O$449,5,FALSE)</f>
        <v>2025-12-06</v>
      </c>
      <c r="F228" s="19">
        <f t="shared" si="9"/>
        <v>2</v>
      </c>
      <c r="G228" s="38" t="s">
        <v>162</v>
      </c>
      <c r="H228" s="16" t="str">
        <f>VLOOKUP($A228,[1]Sheet2!$I$2:$O$449,6,FALSE)</f>
        <v>2026-03-16</v>
      </c>
      <c r="I228" s="38" t="s">
        <v>646</v>
      </c>
      <c r="J228" s="16">
        <f>VLOOKUP($A228,[1]Sheet2!$I$2:$O$449,4,FALSE)</f>
        <v>3766</v>
      </c>
      <c r="K228" s="17">
        <f t="shared" si="10"/>
        <v>0</v>
      </c>
      <c r="L228" s="18">
        <f t="shared" si="11"/>
        <v>0</v>
      </c>
    </row>
    <row r="229" spans="1:12" x14ac:dyDescent="0.2">
      <c r="A229" s="8" t="s">
        <v>647</v>
      </c>
      <c r="B229" s="38" t="s">
        <v>25</v>
      </c>
      <c r="C229" s="16" t="str">
        <f>VLOOKUP($A229,[1]Sheet2!$I$2:$O$449,3,FALSE)</f>
        <v>KPB2</v>
      </c>
      <c r="D229" s="7" t="s">
        <v>637</v>
      </c>
      <c r="E229" s="24" t="str">
        <f>VLOOKUP($A229,[1]Sheet2!$I$2:$O$449,5,FALSE)</f>
        <v>2026-01-09</v>
      </c>
      <c r="F229" s="19">
        <f t="shared" si="9"/>
        <v>0</v>
      </c>
      <c r="G229" s="38" t="s">
        <v>169</v>
      </c>
      <c r="H229" s="16" t="str">
        <f>VLOOKUP($A229,[1]Sheet2!$I$2:$O$449,6,FALSE)</f>
        <v>2026-03-17</v>
      </c>
      <c r="I229" s="38" t="s">
        <v>648</v>
      </c>
      <c r="J229" s="16">
        <f>VLOOKUP($A229,[1]Sheet2!$I$2:$O$449,4,FALSE)</f>
        <v>2288</v>
      </c>
      <c r="K229" s="17">
        <f t="shared" si="10"/>
        <v>0</v>
      </c>
      <c r="L229" s="18">
        <f t="shared" si="11"/>
        <v>0</v>
      </c>
    </row>
    <row r="230" spans="1:12" x14ac:dyDescent="0.2">
      <c r="A230" s="47" t="s">
        <v>649</v>
      </c>
      <c r="B230" s="38" t="s">
        <v>25</v>
      </c>
      <c r="C230" s="16" t="str">
        <f>VLOOKUP($A230,[1]Sheet2!$I$2:$O$449,3,FALSE)</f>
        <v>KPB2</v>
      </c>
      <c r="D230" s="7" t="s">
        <v>168</v>
      </c>
      <c r="E230" s="24" t="str">
        <f>VLOOKUP($A230,[1]Sheet2!$I$2:$O$449,5,FALSE)</f>
        <v>2026-02-20</v>
      </c>
      <c r="F230" s="19">
        <f t="shared" si="9"/>
        <v>-4</v>
      </c>
      <c r="G230" s="38" t="s">
        <v>173</v>
      </c>
      <c r="H230" s="16" t="str">
        <f>VLOOKUP($A230,[1]Sheet2!$I$2:$O$449,6,FALSE)</f>
        <v>2026-03-19</v>
      </c>
      <c r="I230" s="38" t="s">
        <v>650</v>
      </c>
      <c r="J230" s="16">
        <f>VLOOKUP($A230,[1]Sheet2!$I$2:$O$449,4,FALSE)</f>
        <v>399</v>
      </c>
      <c r="K230" s="17">
        <f t="shared" si="10"/>
        <v>0</v>
      </c>
      <c r="L230" s="18">
        <f t="shared" si="11"/>
        <v>0</v>
      </c>
    </row>
    <row r="231" spans="1:12" x14ac:dyDescent="0.2">
      <c r="A231" s="8" t="s">
        <v>651</v>
      </c>
      <c r="B231" s="38" t="s">
        <v>25</v>
      </c>
      <c r="C231" s="16" t="str">
        <f>VLOOKUP($A231,[1]Sheet2!$I$2:$O$449,3,FALSE)</f>
        <v>KPB2</v>
      </c>
      <c r="D231" s="7" t="s">
        <v>256</v>
      </c>
      <c r="E231" s="24" t="str">
        <f>VLOOKUP($A231,[1]Sheet2!$I$2:$O$449,5,FALSE)</f>
        <v>2026-01-21</v>
      </c>
      <c r="F231" s="19">
        <f t="shared" si="9"/>
        <v>0</v>
      </c>
      <c r="G231" s="38" t="s">
        <v>598</v>
      </c>
      <c r="H231" s="16" t="str">
        <f>VLOOKUP($A231,[1]Sheet2!$I$2:$O$449,6,FALSE)</f>
        <v>2026-03-24</v>
      </c>
      <c r="I231" s="38" t="s">
        <v>652</v>
      </c>
      <c r="J231" s="16">
        <f>VLOOKUP($A231,[1]Sheet2!$I$2:$O$449,4,FALSE)</f>
        <v>2426</v>
      </c>
      <c r="K231" s="17">
        <f t="shared" si="10"/>
        <v>0</v>
      </c>
      <c r="L231" s="18">
        <f t="shared" si="11"/>
        <v>0</v>
      </c>
    </row>
    <row r="232" spans="1:12" x14ac:dyDescent="0.2">
      <c r="A232" s="8" t="s">
        <v>653</v>
      </c>
      <c r="B232" s="38" t="s">
        <v>35</v>
      </c>
      <c r="C232" s="16" t="str">
        <f>VLOOKUP($A232,[1]Sheet2!$I$2:$O$449,3,FALSE)</f>
        <v>KPB3</v>
      </c>
      <c r="D232" s="7" t="s">
        <v>654</v>
      </c>
      <c r="E232" s="24" t="str">
        <f>VLOOKUP($A232,[1]Sheet2!$I$2:$O$449,5,FALSE)</f>
        <v>2025-07-11</v>
      </c>
      <c r="F232" s="19">
        <f t="shared" si="9"/>
        <v>1</v>
      </c>
      <c r="G232" s="38" t="s">
        <v>102</v>
      </c>
      <c r="H232" s="16" t="str">
        <f>VLOOKUP($A232,[1]Sheet2!$I$2:$O$449,6,FALSE)</f>
        <v>2026-03-05</v>
      </c>
      <c r="I232" s="38" t="s">
        <v>655</v>
      </c>
      <c r="J232" s="16">
        <f>VLOOKUP($A232,[1]Sheet2!$I$2:$O$449,4,FALSE)</f>
        <v>1462</v>
      </c>
      <c r="K232" s="17">
        <f t="shared" si="10"/>
        <v>0</v>
      </c>
      <c r="L232" s="18">
        <f t="shared" si="11"/>
        <v>0</v>
      </c>
    </row>
    <row r="233" spans="1:12" x14ac:dyDescent="0.2">
      <c r="A233" s="8" t="s">
        <v>656</v>
      </c>
      <c r="B233" s="38" t="s">
        <v>35</v>
      </c>
      <c r="C233" s="16" t="str">
        <f>VLOOKUP($A233,[1]Sheet2!$I$2:$O$449,3,FALSE)</f>
        <v>KPB3</v>
      </c>
      <c r="D233" s="7" t="s">
        <v>657</v>
      </c>
      <c r="E233" s="24" t="str">
        <f>VLOOKUP($A233,[1]Sheet2!$I$2:$O$449,5,FALSE)</f>
        <v>2025-10-27</v>
      </c>
      <c r="F233" s="19">
        <f t="shared" si="9"/>
        <v>1</v>
      </c>
      <c r="G233" s="38" t="s">
        <v>102</v>
      </c>
      <c r="H233" s="16" t="str">
        <f>VLOOKUP($A233,[1]Sheet2!$I$2:$O$449,6,FALSE)</f>
        <v>2026-03-05</v>
      </c>
      <c r="I233" s="38" t="s">
        <v>658</v>
      </c>
      <c r="J233" s="16">
        <f>VLOOKUP($A233,[1]Sheet2!$I$2:$O$449,4,FALSE)</f>
        <v>4773</v>
      </c>
      <c r="K233" s="17">
        <f t="shared" si="10"/>
        <v>0</v>
      </c>
      <c r="L233" s="18">
        <f t="shared" si="11"/>
        <v>0</v>
      </c>
    </row>
    <row r="234" spans="1:12" x14ac:dyDescent="0.2">
      <c r="A234" s="8" t="s">
        <v>659</v>
      </c>
      <c r="B234" s="38" t="s">
        <v>35</v>
      </c>
      <c r="C234" s="16" t="str">
        <f>VLOOKUP($A234,[1]Sheet2!$I$2:$O$449,3,FALSE)</f>
        <v>KPB3</v>
      </c>
      <c r="D234" s="7" t="s">
        <v>660</v>
      </c>
      <c r="E234" s="24" t="str">
        <f>VLOOKUP($A234,[1]Sheet2!$I$2:$O$449,5,FALSE)</f>
        <v>2025-09-10</v>
      </c>
      <c r="F234" s="19">
        <f t="shared" si="9"/>
        <v>1</v>
      </c>
      <c r="G234" s="38" t="s">
        <v>102</v>
      </c>
      <c r="H234" s="16" t="str">
        <f>VLOOKUP($A234,[1]Sheet2!$I$2:$O$449,6,FALSE)</f>
        <v>2026-03-05</v>
      </c>
      <c r="I234" s="38" t="s">
        <v>661</v>
      </c>
      <c r="J234" s="16">
        <f>VLOOKUP($A234,[1]Sheet2!$I$2:$O$449,4,FALSE)</f>
        <v>2435</v>
      </c>
      <c r="K234" s="17">
        <f t="shared" si="10"/>
        <v>0</v>
      </c>
      <c r="L234" s="18">
        <f t="shared" si="11"/>
        <v>0</v>
      </c>
    </row>
    <row r="235" spans="1:12" x14ac:dyDescent="0.2">
      <c r="A235" s="8" t="s">
        <v>662</v>
      </c>
      <c r="B235" s="38" t="s">
        <v>35</v>
      </c>
      <c r="C235" s="16" t="str">
        <f>VLOOKUP($A235,[1]Sheet2!$I$2:$O$449,3,FALSE)</f>
        <v>KPB3</v>
      </c>
      <c r="D235" s="7" t="s">
        <v>663</v>
      </c>
      <c r="E235" s="24" t="str">
        <f>VLOOKUP($A235,[1]Sheet2!$I$2:$O$449,5,FALSE)</f>
        <v>2025-10-18</v>
      </c>
      <c r="F235" s="19">
        <f t="shared" si="9"/>
        <v>2</v>
      </c>
      <c r="G235" s="38" t="s">
        <v>138</v>
      </c>
      <c r="H235" s="16" t="str">
        <f>VLOOKUP($A235,[1]Sheet2!$I$2:$O$449,6,FALSE)</f>
        <v>2026-03-09</v>
      </c>
      <c r="I235" s="38" t="s">
        <v>664</v>
      </c>
      <c r="J235" s="16">
        <f>VLOOKUP($A235,[1]Sheet2!$I$2:$O$449,4,FALSE)</f>
        <v>1404</v>
      </c>
      <c r="K235" s="17">
        <f t="shared" si="10"/>
        <v>0</v>
      </c>
      <c r="L235" s="18">
        <f t="shared" si="11"/>
        <v>0</v>
      </c>
    </row>
    <row r="236" spans="1:12" x14ac:dyDescent="0.2">
      <c r="A236" s="8" t="s">
        <v>665</v>
      </c>
      <c r="B236" s="38" t="s">
        <v>35</v>
      </c>
      <c r="C236" s="16" t="str">
        <f>VLOOKUP($A236,[1]Sheet2!$I$2:$O$449,3,FALSE)</f>
        <v>KPB3</v>
      </c>
      <c r="D236" s="7" t="s">
        <v>666</v>
      </c>
      <c r="E236" s="24" t="str">
        <f>VLOOKUP($A236,[1]Sheet2!$I$2:$O$449,5,FALSE)</f>
        <v>2025-10-10</v>
      </c>
      <c r="F236" s="19">
        <f t="shared" si="9"/>
        <v>0</v>
      </c>
      <c r="G236" s="38" t="s">
        <v>138</v>
      </c>
      <c r="H236" s="16" t="str">
        <f>VLOOKUP($A236,[1]Sheet2!$I$2:$O$449,6,FALSE)</f>
        <v>2026-03-09</v>
      </c>
      <c r="I236" s="38" t="s">
        <v>667</v>
      </c>
      <c r="J236" s="16">
        <f>VLOOKUP($A236,[1]Sheet2!$I$2:$O$449,4,FALSE)</f>
        <v>1860</v>
      </c>
      <c r="K236" s="17">
        <f t="shared" si="10"/>
        <v>0</v>
      </c>
      <c r="L236" s="18">
        <f t="shared" si="11"/>
        <v>0</v>
      </c>
    </row>
    <row r="237" spans="1:12" x14ac:dyDescent="0.2">
      <c r="A237" s="8" t="s">
        <v>668</v>
      </c>
      <c r="B237" s="38" t="s">
        <v>35</v>
      </c>
      <c r="C237" s="16" t="str">
        <f>VLOOKUP($A237,[1]Sheet2!$I$2:$O$449,3,FALSE)</f>
        <v>KPB3</v>
      </c>
      <c r="D237" s="7" t="s">
        <v>669</v>
      </c>
      <c r="E237" s="24" t="str">
        <f>VLOOKUP($A237,[1]Sheet2!$I$2:$O$449,5,FALSE)</f>
        <v>2025-10-06</v>
      </c>
      <c r="F237" s="19">
        <f t="shared" si="9"/>
        <v>-2</v>
      </c>
      <c r="G237" s="38" t="s">
        <v>169</v>
      </c>
      <c r="H237" s="16" t="str">
        <f>VLOOKUP($A237,[1]Sheet2!$I$2:$O$449,6,FALSE)</f>
        <v>2026-03-17</v>
      </c>
      <c r="I237" s="38" t="s">
        <v>670</v>
      </c>
      <c r="J237" s="16">
        <f>VLOOKUP($A237,[1]Sheet2!$I$2:$O$449,4,FALSE)</f>
        <v>1309</v>
      </c>
      <c r="K237" s="17">
        <f t="shared" si="10"/>
        <v>0</v>
      </c>
      <c r="L237" s="18">
        <f t="shared" si="11"/>
        <v>0</v>
      </c>
    </row>
    <row r="238" spans="1:12" x14ac:dyDescent="0.2">
      <c r="A238" s="8" t="s">
        <v>671</v>
      </c>
      <c r="B238" s="38" t="s">
        <v>35</v>
      </c>
      <c r="C238" s="16" t="str">
        <f>VLOOKUP($A238,[1]Sheet2!$I$2:$O$449,3,FALSE)</f>
        <v>KPB3</v>
      </c>
      <c r="D238" s="7" t="s">
        <v>672</v>
      </c>
      <c r="E238" s="24" t="str">
        <f>VLOOKUP($A238,[1]Sheet2!$I$2:$O$449,5,FALSE)</f>
        <v>2025-09-08</v>
      </c>
      <c r="F238" s="19">
        <f t="shared" si="9"/>
        <v>1</v>
      </c>
      <c r="G238" s="38" t="s">
        <v>173</v>
      </c>
      <c r="H238" s="16" t="str">
        <f>VLOOKUP($A238,[1]Sheet2!$I$2:$O$449,6,FALSE)</f>
        <v>2026-03-19</v>
      </c>
      <c r="I238" s="38" t="s">
        <v>673</v>
      </c>
      <c r="J238" s="16">
        <f>VLOOKUP($A238,[1]Sheet2!$I$2:$O$449,4,FALSE)</f>
        <v>2440</v>
      </c>
      <c r="K238" s="17">
        <f t="shared" si="10"/>
        <v>0</v>
      </c>
      <c r="L238" s="18">
        <f t="shared" si="11"/>
        <v>0</v>
      </c>
    </row>
    <row r="239" spans="1:12" x14ac:dyDescent="0.2">
      <c r="A239" s="8" t="s">
        <v>674</v>
      </c>
      <c r="B239" s="38" t="s">
        <v>35</v>
      </c>
      <c r="C239" s="16" t="str">
        <f>VLOOKUP($A239,[1]Sheet2!$I$2:$O$449,3,FALSE)</f>
        <v>KPB3</v>
      </c>
      <c r="D239" s="7" t="s">
        <v>675</v>
      </c>
      <c r="E239" s="24" t="str">
        <f>VLOOKUP($A239,[1]Sheet2!$I$2:$O$449,5,FALSE)</f>
        <v>2025-08-15</v>
      </c>
      <c r="F239" s="19">
        <f t="shared" si="9"/>
        <v>3</v>
      </c>
      <c r="G239" s="38" t="s">
        <v>513</v>
      </c>
      <c r="H239" s="16" t="str">
        <f>VLOOKUP($A239,[1]Sheet2!$I$2:$O$449,6,FALSE)</f>
        <v>2026-03-23</v>
      </c>
      <c r="I239" s="38" t="s">
        <v>676</v>
      </c>
      <c r="J239" s="16">
        <f>VLOOKUP($A239,[1]Sheet2!$I$2:$O$449,4,FALSE)</f>
        <v>3477</v>
      </c>
      <c r="K239" s="17">
        <f t="shared" si="10"/>
        <v>0</v>
      </c>
      <c r="L239" s="18">
        <f t="shared" si="11"/>
        <v>0</v>
      </c>
    </row>
    <row r="240" spans="1:12" x14ac:dyDescent="0.2">
      <c r="A240" s="8" t="s">
        <v>677</v>
      </c>
      <c r="B240" s="38" t="s">
        <v>35</v>
      </c>
      <c r="C240" s="16" t="str">
        <f>VLOOKUP($A240,[1]Sheet2!$I$2:$O$449,3,FALSE)</f>
        <v>KPB3</v>
      </c>
      <c r="D240" s="7" t="s">
        <v>678</v>
      </c>
      <c r="E240" s="24" t="str">
        <f>VLOOKUP($A240,[1]Sheet2!$I$2:$O$449,5,FALSE)</f>
        <v>2025-11-06</v>
      </c>
      <c r="F240" s="19">
        <f t="shared" si="9"/>
        <v>0</v>
      </c>
      <c r="G240" s="38" t="s">
        <v>180</v>
      </c>
      <c r="H240" s="16" t="str">
        <f>VLOOKUP($A240,[1]Sheet2!$I$2:$O$449,6,FALSE)</f>
        <v>2026-03-26</v>
      </c>
      <c r="I240" s="38" t="s">
        <v>679</v>
      </c>
      <c r="J240" s="16">
        <f>VLOOKUP($A240,[1]Sheet2!$I$2:$O$449,4,FALSE)</f>
        <v>3696</v>
      </c>
      <c r="K240" s="17">
        <f t="shared" si="10"/>
        <v>0</v>
      </c>
      <c r="L240" s="18">
        <f t="shared" si="11"/>
        <v>0</v>
      </c>
    </row>
    <row r="241" spans="1:12" x14ac:dyDescent="0.2">
      <c r="A241" s="8" t="s">
        <v>680</v>
      </c>
      <c r="B241" s="38" t="s">
        <v>35</v>
      </c>
      <c r="C241" s="16" t="str">
        <f>VLOOKUP($A241,[1]Sheet2!$I$2:$O$449,3,FALSE)</f>
        <v>KPB3</v>
      </c>
      <c r="D241" s="7" t="s">
        <v>492</v>
      </c>
      <c r="E241" s="24" t="str">
        <f>VLOOKUP($A241,[1]Sheet2!$I$2:$O$449,5,FALSE)</f>
        <v>2025-08-20</v>
      </c>
      <c r="F241" s="19">
        <f t="shared" si="9"/>
        <v>0</v>
      </c>
      <c r="G241" s="38" t="s">
        <v>219</v>
      </c>
      <c r="H241" s="16" t="str">
        <f>VLOOKUP($A241,[1]Sheet2!$I$2:$O$449,6,FALSE)</f>
        <v>2026-03-28</v>
      </c>
      <c r="I241" s="38" t="s">
        <v>681</v>
      </c>
      <c r="J241" s="16">
        <f>VLOOKUP($A241,[1]Sheet2!$I$2:$O$449,4,FALSE)</f>
        <v>4948</v>
      </c>
      <c r="K241" s="17">
        <f t="shared" si="10"/>
        <v>0</v>
      </c>
      <c r="L241" s="18">
        <f t="shared" si="11"/>
        <v>0</v>
      </c>
    </row>
    <row r="242" spans="1:12" x14ac:dyDescent="0.2">
      <c r="A242" s="8" t="s">
        <v>682</v>
      </c>
      <c r="B242" s="38" t="s">
        <v>35</v>
      </c>
      <c r="C242" s="16" t="str">
        <f>VLOOKUP($A242,[1]Sheet2!$I$2:$O$449,3,FALSE)</f>
        <v>KPB3</v>
      </c>
      <c r="D242" s="7" t="s">
        <v>683</v>
      </c>
      <c r="E242" s="24" t="str">
        <f>VLOOKUP($A242,[1]Sheet2!$I$2:$O$449,5,FALSE)</f>
        <v>2025-09-19</v>
      </c>
      <c r="F242" s="19">
        <f t="shared" si="9"/>
        <v>0</v>
      </c>
      <c r="G242" s="38" t="s">
        <v>300</v>
      </c>
      <c r="H242" s="16" t="str">
        <f>VLOOKUP($A242,[1]Sheet2!$I$2:$O$449,6,FALSE)</f>
        <v>2026-03-29</v>
      </c>
      <c r="I242" s="38" t="s">
        <v>684</v>
      </c>
      <c r="J242" s="16">
        <f>VLOOKUP($A242,[1]Sheet2!$I$2:$O$449,4,FALSE)</f>
        <v>4458</v>
      </c>
      <c r="K242" s="17">
        <f t="shared" si="10"/>
        <v>0</v>
      </c>
      <c r="L242" s="18">
        <f t="shared" si="11"/>
        <v>0</v>
      </c>
    </row>
    <row r="243" spans="1:12" x14ac:dyDescent="0.2">
      <c r="A243" s="8" t="s">
        <v>685</v>
      </c>
      <c r="B243" s="38" t="s">
        <v>35</v>
      </c>
      <c r="C243" s="16" t="str">
        <f>VLOOKUP($A243,[1]Sheet2!$I$2:$O$449,3,FALSE)</f>
        <v>KPB3</v>
      </c>
      <c r="D243" s="7" t="s">
        <v>686</v>
      </c>
      <c r="E243" s="24" t="str">
        <f>VLOOKUP($A243,[1]Sheet2!$I$2:$O$449,5,FALSE)</f>
        <v>2025-11-07</v>
      </c>
      <c r="F243" s="19">
        <f t="shared" si="9"/>
        <v>0</v>
      </c>
      <c r="G243" s="38" t="s">
        <v>300</v>
      </c>
      <c r="H243" s="16" t="str">
        <f>VLOOKUP($A243,[1]Sheet2!$I$2:$O$449,6,FALSE)</f>
        <v>2026-03-29</v>
      </c>
      <c r="I243" s="38" t="s">
        <v>687</v>
      </c>
      <c r="J243" s="16">
        <f>VLOOKUP($A243,[1]Sheet2!$I$2:$O$449,4,FALSE)</f>
        <v>7994</v>
      </c>
      <c r="K243" s="17">
        <f t="shared" si="10"/>
        <v>0</v>
      </c>
      <c r="L243" s="18">
        <f t="shared" si="11"/>
        <v>0</v>
      </c>
    </row>
    <row r="244" spans="1:12" x14ac:dyDescent="0.2">
      <c r="A244" s="8" t="s">
        <v>688</v>
      </c>
      <c r="B244" s="38" t="s">
        <v>30</v>
      </c>
      <c r="C244" s="16" t="str">
        <f>VLOOKUP($A244,[1]Sheet2!$I$2:$O$449,3,FALSE)</f>
        <v>KPB4</v>
      </c>
      <c r="D244" s="7" t="s">
        <v>486</v>
      </c>
      <c r="E244" s="24" t="str">
        <f>VLOOKUP($A244,[1]Sheet2!$I$2:$O$449,5,FALSE)</f>
        <v>2025-03-15</v>
      </c>
      <c r="F244" s="19">
        <f t="shared" si="9"/>
        <v>0</v>
      </c>
      <c r="G244" s="38" t="s">
        <v>98</v>
      </c>
      <c r="H244" s="16" t="str">
        <f>VLOOKUP($A244,[1]Sheet2!$I$2:$O$449,6,FALSE)</f>
        <v>2026-03-02</v>
      </c>
      <c r="I244" s="38" t="s">
        <v>689</v>
      </c>
      <c r="J244" s="16">
        <f>VLOOKUP($A244,[1]Sheet2!$I$2:$O$449,4,FALSE)</f>
        <v>7082</v>
      </c>
      <c r="K244" s="17">
        <f t="shared" si="10"/>
        <v>0</v>
      </c>
      <c r="L244" s="18">
        <f t="shared" si="11"/>
        <v>0</v>
      </c>
    </row>
    <row r="245" spans="1:12" x14ac:dyDescent="0.2">
      <c r="A245" s="8" t="s">
        <v>690</v>
      </c>
      <c r="B245" s="38" t="s">
        <v>30</v>
      </c>
      <c r="C245" s="16" t="str">
        <f>VLOOKUP($A245,[1]Sheet2!$I$2:$O$449,3,FALSE)</f>
        <v>KPB4</v>
      </c>
      <c r="D245" s="7" t="s">
        <v>691</v>
      </c>
      <c r="E245" s="24" t="str">
        <f>VLOOKUP($A245,[1]Sheet2!$I$2:$O$449,5,FALSE)</f>
        <v>2025-06-09</v>
      </c>
      <c r="F245" s="19">
        <f t="shared" si="9"/>
        <v>-1</v>
      </c>
      <c r="G245" s="38" t="s">
        <v>232</v>
      </c>
      <c r="H245" s="16" t="str">
        <f>VLOOKUP($A245,[1]Sheet2!$I$2:$O$449,6,FALSE)</f>
        <v>2026-03-07</v>
      </c>
      <c r="I245" s="38" t="s">
        <v>692</v>
      </c>
      <c r="J245" s="16">
        <f>VLOOKUP($A245,[1]Sheet2!$I$2:$O$449,4,FALSE)</f>
        <v>8083</v>
      </c>
      <c r="K245" s="17">
        <f t="shared" si="10"/>
        <v>0</v>
      </c>
      <c r="L245" s="18">
        <f t="shared" si="11"/>
        <v>0</v>
      </c>
    </row>
    <row r="246" spans="1:12" x14ac:dyDescent="0.2">
      <c r="A246" s="8" t="s">
        <v>693</v>
      </c>
      <c r="B246" s="38" t="s">
        <v>30</v>
      </c>
      <c r="C246" s="16" t="str">
        <f>VLOOKUP($A246,[1]Sheet2!$I$2:$O$449,3,FALSE)</f>
        <v>KPB4</v>
      </c>
      <c r="D246" s="7" t="s">
        <v>694</v>
      </c>
      <c r="E246" s="24" t="str">
        <f>VLOOKUP($A246,[1]Sheet2!$I$2:$O$449,5,FALSE)</f>
        <v>2025-05-18</v>
      </c>
      <c r="F246" s="19">
        <f t="shared" si="9"/>
        <v>-1</v>
      </c>
      <c r="G246" s="38" t="s">
        <v>144</v>
      </c>
      <c r="H246" s="16" t="str">
        <f>VLOOKUP($A246,[1]Sheet2!$I$2:$O$449,6,FALSE)</f>
        <v>2026-03-10</v>
      </c>
      <c r="I246" s="38" t="s">
        <v>695</v>
      </c>
      <c r="J246" s="16">
        <f>VLOOKUP($A246,[1]Sheet2!$I$2:$O$449,4,FALSE)</f>
        <v>5346</v>
      </c>
      <c r="K246" s="17">
        <f t="shared" si="10"/>
        <v>0</v>
      </c>
      <c r="L246" s="18">
        <f t="shared" si="11"/>
        <v>0</v>
      </c>
    </row>
    <row r="247" spans="1:12" x14ac:dyDescent="0.2">
      <c r="A247" s="47" t="s">
        <v>696</v>
      </c>
      <c r="B247" s="38" t="s">
        <v>30</v>
      </c>
      <c r="C247" s="16" t="str">
        <f>VLOOKUP($A247,[1]Sheet2!$I$2:$O$449,3,FALSE)</f>
        <v>KPB4</v>
      </c>
      <c r="D247" s="7" t="s">
        <v>697</v>
      </c>
      <c r="E247" s="24" t="str">
        <f>VLOOKUP($A247,[1]Sheet2!$I$2:$O$449,5,FALSE)</f>
        <v>2025-10-29</v>
      </c>
      <c r="F247" s="19">
        <f t="shared" si="9"/>
        <v>-6</v>
      </c>
      <c r="G247" s="38" t="s">
        <v>151</v>
      </c>
      <c r="H247" s="16" t="str">
        <f>VLOOKUP($A247,[1]Sheet2!$I$2:$O$449,6,FALSE)</f>
        <v>2026-03-13</v>
      </c>
      <c r="I247" s="38" t="s">
        <v>698</v>
      </c>
      <c r="J247" s="16">
        <f>VLOOKUP($A247,[1]Sheet2!$I$2:$O$449,4,FALSE)</f>
        <v>6588</v>
      </c>
      <c r="K247" s="17">
        <f t="shared" si="10"/>
        <v>0</v>
      </c>
      <c r="L247" s="18">
        <f t="shared" si="11"/>
        <v>0</v>
      </c>
    </row>
    <row r="248" spans="1:12" x14ac:dyDescent="0.2">
      <c r="A248" s="8" t="s">
        <v>699</v>
      </c>
      <c r="B248" s="38" t="s">
        <v>30</v>
      </c>
      <c r="C248" s="16" t="str">
        <f>VLOOKUP($A248,[1]Sheet2!$I$2:$O$449,3,FALSE)</f>
        <v>KPB4</v>
      </c>
      <c r="D248" s="7" t="s">
        <v>700</v>
      </c>
      <c r="E248" s="24" t="str">
        <f>VLOOKUP($A248,[1]Sheet2!$I$2:$O$449,5,FALSE)</f>
        <v>2025-03-13</v>
      </c>
      <c r="F248" s="19">
        <f t="shared" si="9"/>
        <v>-1</v>
      </c>
      <c r="G248" s="38" t="s">
        <v>173</v>
      </c>
      <c r="H248" s="16" t="str">
        <f>VLOOKUP($A248,[1]Sheet2!$I$2:$O$449,6,FALSE)</f>
        <v>2026-03-19</v>
      </c>
      <c r="I248" s="38" t="s">
        <v>701</v>
      </c>
      <c r="J248" s="16">
        <f>VLOOKUP($A248,[1]Sheet2!$I$2:$O$449,4,FALSE)</f>
        <v>4347</v>
      </c>
      <c r="K248" s="17">
        <f t="shared" si="10"/>
        <v>0</v>
      </c>
      <c r="L248" s="18">
        <f t="shared" si="11"/>
        <v>0</v>
      </c>
    </row>
    <row r="249" spans="1:12" x14ac:dyDescent="0.2">
      <c r="A249" s="8" t="s">
        <v>702</v>
      </c>
      <c r="B249" s="38" t="s">
        <v>30</v>
      </c>
      <c r="C249" s="16" t="str">
        <f>VLOOKUP($A249,[1]Sheet2!$I$2:$O$449,3,FALSE)</f>
        <v>KPB4</v>
      </c>
      <c r="D249" s="7" t="s">
        <v>703</v>
      </c>
      <c r="E249" s="24" t="str">
        <f>VLOOKUP($A249,[1]Sheet2!$I$2:$O$449,5,FALSE)</f>
        <v>2025-03-27</v>
      </c>
      <c r="F249" s="19">
        <f t="shared" si="9"/>
        <v>0</v>
      </c>
      <c r="G249" s="38" t="s">
        <v>180</v>
      </c>
      <c r="H249" s="16" t="str">
        <f>VLOOKUP($A249,[1]Sheet2!$I$2:$O$449,6,FALSE)</f>
        <v>2026-03-26</v>
      </c>
      <c r="I249" s="38" t="s">
        <v>704</v>
      </c>
      <c r="J249" s="16">
        <f>VLOOKUP($A249,[1]Sheet2!$I$2:$O$449,4,FALSE)</f>
        <v>8042</v>
      </c>
      <c r="K249" s="17">
        <f t="shared" si="10"/>
        <v>0</v>
      </c>
      <c r="L249" s="18">
        <f t="shared" si="11"/>
        <v>0</v>
      </c>
    </row>
    <row r="250" spans="1:12" x14ac:dyDescent="0.2">
      <c r="A250" s="8" t="s">
        <v>705</v>
      </c>
      <c r="B250" s="38" t="s">
        <v>30</v>
      </c>
      <c r="C250" s="16" t="str">
        <f>VLOOKUP($A250,[1]Sheet2!$I$2:$O$449,3,FALSE)</f>
        <v>KPB4</v>
      </c>
      <c r="D250" s="7" t="s">
        <v>706</v>
      </c>
      <c r="E250" s="24" t="str">
        <f>VLOOKUP($A250,[1]Sheet2!$I$2:$O$449,5,FALSE)</f>
        <v>2025-05-23</v>
      </c>
      <c r="F250" s="19">
        <f t="shared" si="9"/>
        <v>-1</v>
      </c>
      <c r="G250" s="38" t="s">
        <v>180</v>
      </c>
      <c r="H250" s="16" t="str">
        <f>VLOOKUP($A250,[1]Sheet2!$I$2:$O$449,6,FALSE)</f>
        <v>2026-03-26</v>
      </c>
      <c r="I250" s="38" t="s">
        <v>707</v>
      </c>
      <c r="J250" s="16">
        <f>VLOOKUP($A250,[1]Sheet2!$I$2:$O$449,4,FALSE)</f>
        <v>11538</v>
      </c>
      <c r="K250" s="17">
        <f t="shared" si="10"/>
        <v>0</v>
      </c>
      <c r="L250" s="18">
        <f t="shared" si="11"/>
        <v>0</v>
      </c>
    </row>
    <row r="251" spans="1:12" x14ac:dyDescent="0.2">
      <c r="A251" s="8" t="s">
        <v>708</v>
      </c>
      <c r="B251" s="38" t="s">
        <v>15</v>
      </c>
      <c r="C251" s="16" t="str">
        <f>VLOOKUP($A251,[1]Sheet2!$I$2:$O$449,3,FALSE)</f>
        <v>KPB1</v>
      </c>
      <c r="D251" s="7" t="s">
        <v>168</v>
      </c>
      <c r="E251" s="24" t="str">
        <f>VLOOKUP($A251,[1]Sheet2!$I$2:$O$449,5,FALSE)</f>
        <v>2026-02-16</v>
      </c>
      <c r="F251" s="19">
        <f t="shared" si="9"/>
        <v>0</v>
      </c>
      <c r="G251" s="38" t="s">
        <v>102</v>
      </c>
      <c r="H251" s="16" t="str">
        <f>VLOOKUP($A251,[1]Sheet2!$I$2:$O$449,6,FALSE)</f>
        <v>2026-03-05</v>
      </c>
      <c r="I251" s="38" t="s">
        <v>709</v>
      </c>
      <c r="J251" s="16">
        <f>VLOOKUP($A251,[1]Sheet2!$I$2:$O$449,4,FALSE)</f>
        <v>504</v>
      </c>
      <c r="K251" s="17">
        <f t="shared" si="10"/>
        <v>0</v>
      </c>
      <c r="L251" s="18">
        <f t="shared" si="11"/>
        <v>0</v>
      </c>
    </row>
    <row r="252" spans="1:12" x14ac:dyDescent="0.2">
      <c r="A252" s="8" t="s">
        <v>710</v>
      </c>
      <c r="B252" s="38" t="s">
        <v>15</v>
      </c>
      <c r="C252" s="16" t="str">
        <f>VLOOKUP($A252,[1]Sheet2!$I$2:$O$449,3,FALSE)</f>
        <v>KPB1</v>
      </c>
      <c r="D252" s="7" t="s">
        <v>147</v>
      </c>
      <c r="E252" s="24" t="str">
        <f>VLOOKUP($A252,[1]Sheet2!$I$2:$O$449,5,FALSE)</f>
        <v>2026-02-13</v>
      </c>
      <c r="F252" s="19">
        <f t="shared" si="9"/>
        <v>-1</v>
      </c>
      <c r="G252" s="38" t="s">
        <v>110</v>
      </c>
      <c r="H252" s="16" t="str">
        <f>VLOOKUP($A252,[1]Sheet2!$I$2:$O$449,6,FALSE)</f>
        <v>2026-03-11</v>
      </c>
      <c r="I252" s="38" t="s">
        <v>711</v>
      </c>
      <c r="J252" s="16">
        <f>VLOOKUP($A252,[1]Sheet2!$I$2:$O$449,4,FALSE)</f>
        <v>286</v>
      </c>
      <c r="K252" s="17">
        <f t="shared" si="10"/>
        <v>0</v>
      </c>
      <c r="L252" s="18">
        <f t="shared" si="11"/>
        <v>0</v>
      </c>
    </row>
    <row r="253" spans="1:12" x14ac:dyDescent="0.2">
      <c r="A253" s="8" t="s">
        <v>712</v>
      </c>
      <c r="B253" s="38" t="s">
        <v>15</v>
      </c>
      <c r="C253" s="16" t="str">
        <f>VLOOKUP($A253,[1]Sheet2!$I$2:$O$449,3,FALSE)</f>
        <v>KPB1</v>
      </c>
      <c r="D253" s="7" t="s">
        <v>713</v>
      </c>
      <c r="E253" s="24" t="str">
        <f>VLOOKUP($A253,[1]Sheet2!$I$2:$O$449,5,FALSE)</f>
        <v>2026-02-02</v>
      </c>
      <c r="F253" s="19">
        <f t="shared" si="9"/>
        <v>2</v>
      </c>
      <c r="G253" s="38" t="s">
        <v>148</v>
      </c>
      <c r="H253" s="16" t="str">
        <f>VLOOKUP($A253,[1]Sheet2!$I$2:$O$449,6,FALSE)</f>
        <v>2026-03-12</v>
      </c>
      <c r="I253" s="38" t="s">
        <v>714</v>
      </c>
      <c r="J253" s="16">
        <f>VLOOKUP($A253,[1]Sheet2!$I$2:$O$449,4,FALSE)</f>
        <v>584</v>
      </c>
      <c r="K253" s="17">
        <f t="shared" si="10"/>
        <v>0</v>
      </c>
      <c r="L253" s="18">
        <f t="shared" si="11"/>
        <v>0</v>
      </c>
    </row>
    <row r="254" spans="1:12" x14ac:dyDescent="0.2">
      <c r="A254" s="8" t="s">
        <v>715</v>
      </c>
      <c r="B254" s="38" t="s">
        <v>15</v>
      </c>
      <c r="C254" s="16" t="str">
        <f>VLOOKUP($A254,[1]Sheet2!$I$2:$O$449,3,FALSE)</f>
        <v>KPB1</v>
      </c>
      <c r="D254" s="7" t="s">
        <v>147</v>
      </c>
      <c r="E254" s="24" t="str">
        <f>VLOOKUP($A254,[1]Sheet2!$I$2:$O$449,5,FALSE)</f>
        <v>2026-02-12</v>
      </c>
      <c r="F254" s="19">
        <f t="shared" si="9"/>
        <v>0</v>
      </c>
      <c r="G254" s="38" t="s">
        <v>148</v>
      </c>
      <c r="H254" s="16" t="str">
        <f>VLOOKUP($A254,[1]Sheet2!$I$2:$O$449,6,FALSE)</f>
        <v>2026-03-12</v>
      </c>
      <c r="I254" s="38" t="s">
        <v>716</v>
      </c>
      <c r="J254" s="16">
        <f>VLOOKUP($A254,[1]Sheet2!$I$2:$O$449,4,FALSE)</f>
        <v>520</v>
      </c>
      <c r="K254" s="17">
        <f t="shared" si="10"/>
        <v>0</v>
      </c>
      <c r="L254" s="18">
        <f t="shared" si="11"/>
        <v>0</v>
      </c>
    </row>
    <row r="255" spans="1:12" x14ac:dyDescent="0.2">
      <c r="A255" s="8" t="s">
        <v>717</v>
      </c>
      <c r="B255" s="38" t="s">
        <v>15</v>
      </c>
      <c r="C255" s="16" t="str">
        <f>VLOOKUP($A255,[1]Sheet2!$I$2:$O$449,3,FALSE)</f>
        <v>KPB1</v>
      </c>
      <c r="D255" s="7" t="s">
        <v>275</v>
      </c>
      <c r="E255" s="24" t="str">
        <f>VLOOKUP($A255,[1]Sheet2!$I$2:$O$449,5,FALSE)</f>
        <v>2026-02-18</v>
      </c>
      <c r="F255" s="19">
        <f t="shared" si="9"/>
        <v>0</v>
      </c>
      <c r="G255" s="38" t="s">
        <v>148</v>
      </c>
      <c r="H255" s="16" t="str">
        <f>VLOOKUP($A255,[1]Sheet2!$I$2:$O$449,6,FALSE)</f>
        <v>2026-03-12</v>
      </c>
      <c r="I255" s="38" t="s">
        <v>718</v>
      </c>
      <c r="J255" s="16">
        <f>VLOOKUP($A255,[1]Sheet2!$I$2:$O$449,4,FALSE)</f>
        <v>468</v>
      </c>
      <c r="K255" s="17">
        <f t="shared" si="10"/>
        <v>0</v>
      </c>
      <c r="L255" s="18">
        <f t="shared" si="11"/>
        <v>0</v>
      </c>
    </row>
    <row r="256" spans="1:12" x14ac:dyDescent="0.2">
      <c r="A256" s="8" t="s">
        <v>719</v>
      </c>
      <c r="B256" s="38" t="s">
        <v>15</v>
      </c>
      <c r="C256" s="16" t="str">
        <f>VLOOKUP($A256,[1]Sheet2!$I$2:$O$449,3,FALSE)</f>
        <v>KPB1</v>
      </c>
      <c r="D256" s="7" t="s">
        <v>105</v>
      </c>
      <c r="E256" s="24" t="str">
        <f>VLOOKUP($A256,[1]Sheet2!$I$2:$O$449,5,FALSE)</f>
        <v>2026-02-21</v>
      </c>
      <c r="F256" s="19">
        <f t="shared" si="9"/>
        <v>2</v>
      </c>
      <c r="G256" s="38" t="s">
        <v>151</v>
      </c>
      <c r="H256" s="16" t="str">
        <f>VLOOKUP($A256,[1]Sheet2!$I$2:$O$449,6,FALSE)</f>
        <v>2026-03-13</v>
      </c>
      <c r="I256" s="38" t="s">
        <v>720</v>
      </c>
      <c r="J256" s="16">
        <f>VLOOKUP($A256,[1]Sheet2!$I$2:$O$449,4,FALSE)</f>
        <v>471</v>
      </c>
      <c r="K256" s="17">
        <f t="shared" si="10"/>
        <v>0</v>
      </c>
      <c r="L256" s="18">
        <f t="shared" si="11"/>
        <v>0</v>
      </c>
    </row>
    <row r="257" spans="1:12" x14ac:dyDescent="0.2">
      <c r="A257" s="8" t="s">
        <v>721</v>
      </c>
      <c r="B257" s="38" t="s">
        <v>15</v>
      </c>
      <c r="C257" s="16" t="str">
        <f>VLOOKUP($A257,[1]Sheet2!$I$2:$O$449,3,FALSE)</f>
        <v>KPB1</v>
      </c>
      <c r="D257" s="7" t="s">
        <v>105</v>
      </c>
      <c r="E257" s="24" t="str">
        <f>VLOOKUP($A257,[1]Sheet2!$I$2:$O$449,5,FALSE)</f>
        <v>2026-02-23</v>
      </c>
      <c r="F257" s="19">
        <f t="shared" si="9"/>
        <v>0</v>
      </c>
      <c r="G257" s="38" t="s">
        <v>169</v>
      </c>
      <c r="H257" s="16" t="str">
        <f>VLOOKUP($A257,[1]Sheet2!$I$2:$O$449,6,FALSE)</f>
        <v>2026-03-17</v>
      </c>
      <c r="I257" s="38" t="s">
        <v>327</v>
      </c>
      <c r="J257" s="16">
        <f>VLOOKUP($A257,[1]Sheet2!$I$2:$O$449,4,FALSE)</f>
        <v>446</v>
      </c>
      <c r="K257" s="17">
        <f t="shared" si="10"/>
        <v>0</v>
      </c>
      <c r="L257" s="18">
        <f t="shared" si="11"/>
        <v>0</v>
      </c>
    </row>
    <row r="258" spans="1:12" x14ac:dyDescent="0.2">
      <c r="A258" s="8" t="s">
        <v>722</v>
      </c>
      <c r="B258" s="38" t="s">
        <v>15</v>
      </c>
      <c r="C258" s="16" t="str">
        <f>VLOOKUP($A258,[1]Sheet2!$I$2:$O$449,3,FALSE)</f>
        <v>KPB1</v>
      </c>
      <c r="D258" s="7" t="s">
        <v>151</v>
      </c>
      <c r="E258" s="24" t="str">
        <f>VLOOKUP($A258,[1]Sheet2!$I$2:$O$449,5,FALSE)</f>
        <v>2026-03-13</v>
      </c>
      <c r="F258" s="19">
        <f t="shared" si="9"/>
        <v>0</v>
      </c>
      <c r="G258" s="38" t="s">
        <v>180</v>
      </c>
      <c r="H258" s="16" t="str">
        <f>VLOOKUP($A258,[1]Sheet2!$I$2:$O$449,6,FALSE)</f>
        <v>2026-03-26</v>
      </c>
      <c r="I258" s="38" t="s">
        <v>723</v>
      </c>
      <c r="J258" s="16">
        <f>VLOOKUP($A258,[1]Sheet2!$I$2:$O$449,4,FALSE)</f>
        <v>799</v>
      </c>
      <c r="K258" s="17">
        <f t="shared" si="10"/>
        <v>0</v>
      </c>
      <c r="L258" s="18">
        <f t="shared" si="11"/>
        <v>0</v>
      </c>
    </row>
    <row r="259" spans="1:12" x14ac:dyDescent="0.2">
      <c r="A259" s="8" t="s">
        <v>724</v>
      </c>
      <c r="B259" s="38" t="s">
        <v>15</v>
      </c>
      <c r="C259" s="16" t="str">
        <f>VLOOKUP($A259,[1]Sheet2!$I$2:$O$449,3,FALSE)</f>
        <v>KPB1</v>
      </c>
      <c r="D259" s="7" t="s">
        <v>98</v>
      </c>
      <c r="E259" s="24" t="str">
        <f>VLOOKUP($A259,[1]Sheet2!$I$2:$O$449,5,FALSE)</f>
        <v>2026-03-04</v>
      </c>
      <c r="F259" s="19">
        <f t="shared" ref="F259:F288" si="12">D259-E259</f>
        <v>-2</v>
      </c>
      <c r="G259" s="38" t="s">
        <v>114</v>
      </c>
      <c r="H259" s="16" t="str">
        <f>VLOOKUP($A259,[1]Sheet2!$I$2:$O$449,6,FALSE)</f>
        <v>2026-03-27</v>
      </c>
      <c r="I259" s="38" t="s">
        <v>725</v>
      </c>
      <c r="J259" s="16">
        <f>VLOOKUP($A259,[1]Sheet2!$I$2:$O$449,4,FALSE)</f>
        <v>780</v>
      </c>
      <c r="K259" s="17">
        <f t="shared" ref="K259:K288" si="13">G259-H259</f>
        <v>0</v>
      </c>
      <c r="L259" s="18">
        <f t="shared" ref="L259:L288" si="14">I259-J259</f>
        <v>0</v>
      </c>
    </row>
    <row r="260" spans="1:12" x14ac:dyDescent="0.2">
      <c r="A260" s="8" t="s">
        <v>726</v>
      </c>
      <c r="B260" s="38" t="s">
        <v>15</v>
      </c>
      <c r="C260" s="16" t="str">
        <f>VLOOKUP($A260,[1]Sheet2!$I$2:$O$449,3,FALSE)</f>
        <v>KPB1</v>
      </c>
      <c r="D260" s="7" t="s">
        <v>137</v>
      </c>
      <c r="E260" s="24" t="str">
        <f>VLOOKUP($A260,[1]Sheet2!$I$2:$O$449,5,FALSE)</f>
        <v>2026-02-24</v>
      </c>
      <c r="F260" s="19">
        <f t="shared" si="12"/>
        <v>0</v>
      </c>
      <c r="G260" s="38" t="s">
        <v>219</v>
      </c>
      <c r="H260" s="16" t="str">
        <f>VLOOKUP($A260,[1]Sheet2!$I$2:$O$449,6,FALSE)</f>
        <v>2026-03-28</v>
      </c>
      <c r="I260" s="38" t="s">
        <v>590</v>
      </c>
      <c r="J260" s="16">
        <f>VLOOKUP($A260,[1]Sheet2!$I$2:$O$449,4,FALSE)</f>
        <v>201</v>
      </c>
      <c r="K260" s="17">
        <f t="shared" si="13"/>
        <v>0</v>
      </c>
      <c r="L260" s="18">
        <f t="shared" si="14"/>
        <v>0</v>
      </c>
    </row>
    <row r="261" spans="1:12" x14ac:dyDescent="0.2">
      <c r="A261" s="8" t="s">
        <v>727</v>
      </c>
      <c r="B261" s="38" t="s">
        <v>15</v>
      </c>
      <c r="C261" s="16" t="str">
        <f>VLOOKUP($A261,[1]Sheet2!$I$2:$O$449,3,FALSE)</f>
        <v>KPB1</v>
      </c>
      <c r="D261" s="7" t="s">
        <v>151</v>
      </c>
      <c r="E261" s="24" t="str">
        <f>VLOOKUP($A261,[1]Sheet2!$I$2:$O$449,5,FALSE)</f>
        <v>2026-03-13</v>
      </c>
      <c r="F261" s="19">
        <f t="shared" si="12"/>
        <v>0</v>
      </c>
      <c r="G261" s="38" t="s">
        <v>219</v>
      </c>
      <c r="H261" s="16" t="str">
        <f>VLOOKUP($A261,[1]Sheet2!$I$2:$O$449,6,FALSE)</f>
        <v>2026-03-28</v>
      </c>
      <c r="I261" s="38" t="s">
        <v>728</v>
      </c>
      <c r="J261" s="16">
        <f>VLOOKUP($A261,[1]Sheet2!$I$2:$O$449,4,FALSE)</f>
        <v>821</v>
      </c>
      <c r="K261" s="17">
        <f t="shared" si="13"/>
        <v>0</v>
      </c>
      <c r="L261" s="18">
        <f t="shared" si="14"/>
        <v>0</v>
      </c>
    </row>
    <row r="262" spans="1:12" x14ac:dyDescent="0.2">
      <c r="A262" s="8" t="s">
        <v>729</v>
      </c>
      <c r="B262" s="38" t="s">
        <v>15</v>
      </c>
      <c r="C262" s="16" t="str">
        <f>VLOOKUP($A262,[1]Sheet2!$I$2:$O$449,3,FALSE)</f>
        <v>KPB1</v>
      </c>
      <c r="D262" s="7" t="s">
        <v>217</v>
      </c>
      <c r="E262" s="24" t="str">
        <f>VLOOKUP($A262,[1]Sheet2!$I$2:$O$449,5,FALSE)</f>
        <v>2026-03-20</v>
      </c>
      <c r="F262" s="19">
        <f t="shared" si="12"/>
        <v>0</v>
      </c>
      <c r="G262" s="38" t="s">
        <v>187</v>
      </c>
      <c r="H262" s="16" t="str">
        <f>VLOOKUP($A262,[1]Sheet2!$I$2:$O$449,6,FALSE)</f>
        <v>2026-03-31</v>
      </c>
      <c r="I262" s="38" t="s">
        <v>730</v>
      </c>
      <c r="J262" s="16">
        <f>VLOOKUP($A262,[1]Sheet2!$I$2:$O$449,4,FALSE)</f>
        <v>977</v>
      </c>
      <c r="K262" s="17">
        <f t="shared" si="13"/>
        <v>0</v>
      </c>
      <c r="L262" s="18">
        <f t="shared" si="14"/>
        <v>0</v>
      </c>
    </row>
    <row r="263" spans="1:12" x14ac:dyDescent="0.2">
      <c r="A263" s="8" t="s">
        <v>731</v>
      </c>
      <c r="B263" s="38" t="s">
        <v>25</v>
      </c>
      <c r="C263" s="16" t="str">
        <f>VLOOKUP($A263,[1]Sheet2!$I$2:$O$449,3,FALSE)</f>
        <v>KPB2</v>
      </c>
      <c r="D263" s="7" t="s">
        <v>732</v>
      </c>
      <c r="E263" s="24" t="str">
        <f>VLOOKUP($A263,[1]Sheet2!$I$2:$O$449,5,FALSE)</f>
        <v>2025-09-13</v>
      </c>
      <c r="F263" s="19">
        <f t="shared" si="12"/>
        <v>-1</v>
      </c>
      <c r="G263" s="38" t="s">
        <v>102</v>
      </c>
      <c r="H263" s="16" t="str">
        <f>VLOOKUP($A263,[1]Sheet2!$I$2:$O$449,6,FALSE)</f>
        <v>2026-03-05</v>
      </c>
      <c r="I263" s="38" t="s">
        <v>733</v>
      </c>
      <c r="J263" s="16">
        <f>VLOOKUP($A263,[1]Sheet2!$I$2:$O$449,4,FALSE)</f>
        <v>2742</v>
      </c>
      <c r="K263" s="17">
        <f t="shared" si="13"/>
        <v>0</v>
      </c>
      <c r="L263" s="18">
        <f t="shared" si="14"/>
        <v>0</v>
      </c>
    </row>
    <row r="264" spans="1:12" x14ac:dyDescent="0.2">
      <c r="A264" s="8" t="s">
        <v>734</v>
      </c>
      <c r="B264" s="38" t="s">
        <v>25</v>
      </c>
      <c r="C264" s="16" t="str">
        <f>VLOOKUP($A264,[1]Sheet2!$I$2:$O$449,3,FALSE)</f>
        <v>KPB2</v>
      </c>
      <c r="D264" s="7" t="s">
        <v>199</v>
      </c>
      <c r="E264" s="24" t="str">
        <f>VLOOKUP($A264,[1]Sheet2!$I$2:$O$449,5,FALSE)</f>
        <v>2026-01-26</v>
      </c>
      <c r="F264" s="19">
        <f t="shared" si="12"/>
        <v>0</v>
      </c>
      <c r="G264" s="38" t="s">
        <v>106</v>
      </c>
      <c r="H264" s="16" t="str">
        <f>VLOOKUP($A264,[1]Sheet2!$I$2:$O$449,6,FALSE)</f>
        <v>2026-03-06</v>
      </c>
      <c r="I264" s="38" t="s">
        <v>735</v>
      </c>
      <c r="J264" s="16">
        <f>VLOOKUP($A264,[1]Sheet2!$I$2:$O$449,4,FALSE)</f>
        <v>1564</v>
      </c>
      <c r="K264" s="17">
        <f t="shared" si="13"/>
        <v>0</v>
      </c>
      <c r="L264" s="18">
        <f t="shared" si="14"/>
        <v>0</v>
      </c>
    </row>
    <row r="265" spans="1:12" x14ac:dyDescent="0.2">
      <c r="A265" s="8" t="s">
        <v>736</v>
      </c>
      <c r="B265" s="38" t="s">
        <v>25</v>
      </c>
      <c r="C265" s="16" t="str">
        <f>VLOOKUP($A265,[1]Sheet2!$I$2:$O$449,3,FALSE)</f>
        <v>KPB2</v>
      </c>
      <c r="D265" s="7" t="s">
        <v>737</v>
      </c>
      <c r="E265" s="24" t="str">
        <f>VLOOKUP($A265,[1]Sheet2!$I$2:$O$449,5,FALSE)</f>
        <v>2025-09-26</v>
      </c>
      <c r="F265" s="19">
        <f t="shared" si="12"/>
        <v>0</v>
      </c>
      <c r="G265" s="38" t="s">
        <v>433</v>
      </c>
      <c r="H265" s="16" t="str">
        <f>VLOOKUP($A265,[1]Sheet2!$I$2:$O$449,6,FALSE)</f>
        <v>2026-03-08</v>
      </c>
      <c r="I265" s="38" t="s">
        <v>738</v>
      </c>
      <c r="J265" s="16">
        <f>VLOOKUP($A265,[1]Sheet2!$I$2:$O$449,4,FALSE)</f>
        <v>3494</v>
      </c>
      <c r="K265" s="17">
        <f t="shared" si="13"/>
        <v>0</v>
      </c>
      <c r="L265" s="18">
        <f t="shared" si="14"/>
        <v>0</v>
      </c>
    </row>
    <row r="266" spans="1:12" x14ac:dyDescent="0.2">
      <c r="A266" s="8" t="s">
        <v>739</v>
      </c>
      <c r="B266" s="38" t="s">
        <v>25</v>
      </c>
      <c r="C266" s="16" t="str">
        <f>VLOOKUP($A266,[1]Sheet2!$I$2:$O$449,3,FALSE)</f>
        <v>KPB2</v>
      </c>
      <c r="D266" s="7" t="s">
        <v>740</v>
      </c>
      <c r="E266" s="24" t="str">
        <f>VLOOKUP($A266,[1]Sheet2!$I$2:$O$449,5,FALSE)</f>
        <v>2025-12-25</v>
      </c>
      <c r="F266" s="19">
        <f t="shared" si="12"/>
        <v>-1</v>
      </c>
      <c r="G266" s="38" t="s">
        <v>151</v>
      </c>
      <c r="H266" s="16" t="str">
        <f>VLOOKUP($A266,[1]Sheet2!$I$2:$O$449,6,FALSE)</f>
        <v>2026-03-13</v>
      </c>
      <c r="I266" s="38" t="s">
        <v>741</v>
      </c>
      <c r="J266" s="16">
        <f>VLOOKUP($A266,[1]Sheet2!$I$2:$O$449,4,FALSE)</f>
        <v>1333</v>
      </c>
      <c r="K266" s="17">
        <f t="shared" si="13"/>
        <v>0</v>
      </c>
      <c r="L266" s="18">
        <f t="shared" si="14"/>
        <v>0</v>
      </c>
    </row>
    <row r="267" spans="1:12" x14ac:dyDescent="0.2">
      <c r="A267" s="8" t="s">
        <v>742</v>
      </c>
      <c r="B267" s="38" t="s">
        <v>25</v>
      </c>
      <c r="C267" s="16" t="str">
        <f>VLOOKUP($A267,[1]Sheet2!$I$2:$O$449,3,FALSE)</f>
        <v>KPB2</v>
      </c>
      <c r="D267" s="7" t="s">
        <v>743</v>
      </c>
      <c r="E267" s="24" t="str">
        <f>VLOOKUP($A267,[1]Sheet2!$I$2:$O$449,5,FALSE)</f>
        <v>2025-12-03</v>
      </c>
      <c r="F267" s="19">
        <f t="shared" si="12"/>
        <v>1</v>
      </c>
      <c r="G267" s="38" t="s">
        <v>162</v>
      </c>
      <c r="H267" s="16" t="str">
        <f>VLOOKUP($A267,[1]Sheet2!$I$2:$O$449,6,FALSE)</f>
        <v>2026-03-16</v>
      </c>
      <c r="I267" s="38" t="s">
        <v>744</v>
      </c>
      <c r="J267" s="16">
        <f>VLOOKUP($A267,[1]Sheet2!$I$2:$O$449,4,FALSE)</f>
        <v>1473</v>
      </c>
      <c r="K267" s="17">
        <f t="shared" si="13"/>
        <v>0</v>
      </c>
      <c r="L267" s="18">
        <f t="shared" si="14"/>
        <v>0</v>
      </c>
    </row>
    <row r="268" spans="1:12" x14ac:dyDescent="0.2">
      <c r="A268" s="8" t="s">
        <v>745</v>
      </c>
      <c r="B268" s="38" t="s">
        <v>25</v>
      </c>
      <c r="C268" s="16" t="str">
        <f>VLOOKUP($A268,[1]Sheet2!$I$2:$O$449,3,FALSE)</f>
        <v>KPB2</v>
      </c>
      <c r="D268" s="7" t="s">
        <v>193</v>
      </c>
      <c r="E268" s="24" t="str">
        <f>VLOOKUP($A268,[1]Sheet2!$I$2:$O$449,5,FALSE)</f>
        <v>2026-01-02</v>
      </c>
      <c r="F268" s="19">
        <f t="shared" si="12"/>
        <v>3</v>
      </c>
      <c r="G268" s="38" t="s">
        <v>114</v>
      </c>
      <c r="H268" s="16" t="str">
        <f>VLOOKUP($A268,[1]Sheet2!$I$2:$O$449,6,FALSE)</f>
        <v>2026-03-27</v>
      </c>
      <c r="I268" s="38" t="s">
        <v>746</v>
      </c>
      <c r="J268" s="16">
        <f>VLOOKUP($A268,[1]Sheet2!$I$2:$O$449,4,FALSE)</f>
        <v>829</v>
      </c>
      <c r="K268" s="17">
        <f t="shared" si="13"/>
        <v>0</v>
      </c>
      <c r="L268" s="18">
        <f t="shared" si="14"/>
        <v>0</v>
      </c>
    </row>
    <row r="269" spans="1:12" x14ac:dyDescent="0.2">
      <c r="A269" s="8" t="s">
        <v>747</v>
      </c>
      <c r="B269" s="38" t="s">
        <v>25</v>
      </c>
      <c r="C269" s="16" t="str">
        <f>VLOOKUP($A269,[1]Sheet2!$I$2:$O$449,3,FALSE)</f>
        <v>KPB2</v>
      </c>
      <c r="D269" s="7" t="s">
        <v>748</v>
      </c>
      <c r="E269" s="24" t="str">
        <f>VLOOKUP($A269,[1]Sheet2!$I$2:$O$449,5,FALSE)</f>
        <v>2025-11-21</v>
      </c>
      <c r="F269" s="19">
        <f t="shared" si="12"/>
        <v>1</v>
      </c>
      <c r="G269" s="38" t="s">
        <v>114</v>
      </c>
      <c r="H269" s="16" t="str">
        <f>VLOOKUP($A269,[1]Sheet2!$I$2:$O$449,6,FALSE)</f>
        <v>2026-03-27</v>
      </c>
      <c r="I269" s="38" t="s">
        <v>749</v>
      </c>
      <c r="J269" s="16">
        <f>VLOOKUP($A269,[1]Sheet2!$I$2:$O$449,4,FALSE)</f>
        <v>4973</v>
      </c>
      <c r="K269" s="17">
        <f t="shared" si="13"/>
        <v>0</v>
      </c>
      <c r="L269" s="18">
        <f t="shared" si="14"/>
        <v>0</v>
      </c>
    </row>
    <row r="270" spans="1:12" x14ac:dyDescent="0.2">
      <c r="A270" s="8" t="s">
        <v>750</v>
      </c>
      <c r="B270" s="38" t="s">
        <v>35</v>
      </c>
      <c r="C270" s="16" t="str">
        <f>VLOOKUP($A270,[1]Sheet2!$I$2:$O$449,3,FALSE)</f>
        <v>KPB3</v>
      </c>
      <c r="D270" s="7" t="s">
        <v>751</v>
      </c>
      <c r="E270" s="24" t="str">
        <f>VLOOKUP($A270,[1]Sheet2!$I$2:$O$449,5,FALSE)</f>
        <v>2025-03-18</v>
      </c>
      <c r="F270" s="19">
        <f t="shared" si="12"/>
        <v>1</v>
      </c>
      <c r="G270" s="38" t="s">
        <v>143</v>
      </c>
      <c r="H270" s="16" t="str">
        <f>VLOOKUP($A270,[1]Sheet2!$I$2:$O$449,6,FALSE)</f>
        <v>2026-03-03</v>
      </c>
      <c r="I270" s="38" t="s">
        <v>752</v>
      </c>
      <c r="J270" s="16">
        <f>VLOOKUP($A270,[1]Sheet2!$I$2:$O$449,4,FALSE)</f>
        <v>2298</v>
      </c>
      <c r="K270" s="17">
        <f t="shared" si="13"/>
        <v>0</v>
      </c>
      <c r="L270" s="18">
        <f t="shared" si="14"/>
        <v>0</v>
      </c>
    </row>
    <row r="271" spans="1:12" x14ac:dyDescent="0.2">
      <c r="A271" s="8" t="s">
        <v>753</v>
      </c>
      <c r="B271" s="38" t="s">
        <v>35</v>
      </c>
      <c r="C271" s="16" t="str">
        <f>VLOOKUP($A271,[1]Sheet2!$I$2:$O$449,3,FALSE)</f>
        <v>KPB3</v>
      </c>
      <c r="D271" s="7" t="s">
        <v>754</v>
      </c>
      <c r="E271" s="24" t="str">
        <f>VLOOKUP($A271,[1]Sheet2!$I$2:$O$449,5,FALSE)</f>
        <v>2025-08-08</v>
      </c>
      <c r="F271" s="19">
        <f t="shared" si="12"/>
        <v>0</v>
      </c>
      <c r="G271" s="38" t="s">
        <v>180</v>
      </c>
      <c r="H271" s="16" t="str">
        <f>VLOOKUP($A271,[1]Sheet2!$I$2:$O$449,6,FALSE)</f>
        <v>2026-03-26</v>
      </c>
      <c r="I271" s="38" t="s">
        <v>755</v>
      </c>
      <c r="J271" s="16">
        <f>VLOOKUP($A271,[1]Sheet2!$I$2:$O$449,4,FALSE)</f>
        <v>8133</v>
      </c>
      <c r="K271" s="17">
        <f t="shared" si="13"/>
        <v>0</v>
      </c>
      <c r="L271" s="18">
        <f t="shared" si="14"/>
        <v>0</v>
      </c>
    </row>
    <row r="272" spans="1:12" x14ac:dyDescent="0.2">
      <c r="A272" s="8" t="s">
        <v>756</v>
      </c>
      <c r="B272" s="38" t="s">
        <v>15</v>
      </c>
      <c r="C272" s="16" t="str">
        <f>VLOOKUP($A272,[1]Sheet2!$I$2:$O$449,3,FALSE)</f>
        <v>KPB1</v>
      </c>
      <c r="D272" s="7" t="s">
        <v>127</v>
      </c>
      <c r="E272" s="24" t="str">
        <f>VLOOKUP($A272,[1]Sheet2!$I$2:$O$449,5,FALSE)</f>
        <v>2026-02-09</v>
      </c>
      <c r="F272" s="19">
        <f t="shared" si="12"/>
        <v>-1</v>
      </c>
      <c r="G272" s="38" t="s">
        <v>138</v>
      </c>
      <c r="H272" s="16" t="str">
        <f>VLOOKUP($A272,[1]Sheet2!$I$2:$O$449,6,FALSE)</f>
        <v>2026-03-09</v>
      </c>
      <c r="I272" s="38" t="s">
        <v>590</v>
      </c>
      <c r="J272" s="16">
        <f>VLOOKUP($A272,[1]Sheet2!$I$2:$O$449,4,FALSE)</f>
        <v>201</v>
      </c>
      <c r="K272" s="17">
        <f t="shared" si="13"/>
        <v>0</v>
      </c>
      <c r="L272" s="18">
        <f t="shared" si="14"/>
        <v>0</v>
      </c>
    </row>
    <row r="273" spans="1:12" x14ac:dyDescent="0.2">
      <c r="A273" s="8" t="s">
        <v>757</v>
      </c>
      <c r="B273" s="38" t="s">
        <v>15</v>
      </c>
      <c r="C273" s="16" t="str">
        <f>VLOOKUP($A273,[1]Sheet2!$I$2:$O$449,3,FALSE)</f>
        <v>KPB1</v>
      </c>
      <c r="D273" s="7" t="s">
        <v>275</v>
      </c>
      <c r="E273" s="24" t="str">
        <f>VLOOKUP($A273,[1]Sheet2!$I$2:$O$449,5,FALSE)</f>
        <v>2026-02-16</v>
      </c>
      <c r="F273" s="19">
        <f t="shared" si="12"/>
        <v>2</v>
      </c>
      <c r="G273" s="38" t="s">
        <v>110</v>
      </c>
      <c r="H273" s="16" t="str">
        <f>VLOOKUP($A273,[1]Sheet2!$I$2:$O$449,6,FALSE)</f>
        <v>2026-03-11</v>
      </c>
      <c r="I273" s="38" t="s">
        <v>758</v>
      </c>
      <c r="J273" s="16">
        <f>VLOOKUP($A273,[1]Sheet2!$I$2:$O$449,4,FALSE)</f>
        <v>1091</v>
      </c>
      <c r="K273" s="17">
        <f t="shared" si="13"/>
        <v>0</v>
      </c>
      <c r="L273" s="18">
        <f t="shared" si="14"/>
        <v>0</v>
      </c>
    </row>
    <row r="274" spans="1:12" x14ac:dyDescent="0.2">
      <c r="A274" s="8" t="s">
        <v>759</v>
      </c>
      <c r="B274" s="38" t="s">
        <v>15</v>
      </c>
      <c r="C274" s="16" t="str">
        <f>VLOOKUP($A274,[1]Sheet2!$I$2:$O$449,3,FALSE)</f>
        <v>KPB1</v>
      </c>
      <c r="D274" s="7" t="s">
        <v>113</v>
      </c>
      <c r="E274" s="24" t="str">
        <f>VLOOKUP($A274,[1]Sheet2!$I$2:$O$449,5,FALSE)</f>
        <v>2026-03-03</v>
      </c>
      <c r="F274" s="19">
        <f t="shared" si="12"/>
        <v>1</v>
      </c>
      <c r="G274" s="38" t="s">
        <v>110</v>
      </c>
      <c r="H274" s="16" t="str">
        <f>VLOOKUP($A274,[1]Sheet2!$I$2:$O$449,6,FALSE)</f>
        <v>2026-03-11</v>
      </c>
      <c r="I274" s="38" t="s">
        <v>454</v>
      </c>
      <c r="J274" s="16">
        <f>VLOOKUP($A274,[1]Sheet2!$I$2:$O$449,4,FALSE)</f>
        <v>142</v>
      </c>
      <c r="K274" s="17">
        <f t="shared" si="13"/>
        <v>0</v>
      </c>
      <c r="L274" s="18">
        <f t="shared" si="14"/>
        <v>0</v>
      </c>
    </row>
    <row r="275" spans="1:12" x14ac:dyDescent="0.2">
      <c r="A275" s="8" t="s">
        <v>760</v>
      </c>
      <c r="B275" s="38" t="s">
        <v>15</v>
      </c>
      <c r="C275" s="16" t="str">
        <f>VLOOKUP($A275,[1]Sheet2!$I$2:$O$449,3,FALSE)</f>
        <v>KPB1</v>
      </c>
      <c r="D275" s="7" t="s">
        <v>275</v>
      </c>
      <c r="E275" s="24" t="str">
        <f>VLOOKUP($A275,[1]Sheet2!$I$2:$O$449,5,FALSE)</f>
        <v>2026-02-18</v>
      </c>
      <c r="F275" s="19">
        <f t="shared" si="12"/>
        <v>0</v>
      </c>
      <c r="G275" s="38" t="s">
        <v>151</v>
      </c>
      <c r="H275" s="16" t="str">
        <f>VLOOKUP($A275,[1]Sheet2!$I$2:$O$449,6,FALSE)</f>
        <v>2026-03-13</v>
      </c>
      <c r="I275" s="38" t="s">
        <v>159</v>
      </c>
      <c r="J275" s="16">
        <f>VLOOKUP($A275,[1]Sheet2!$I$2:$O$449,4,FALSE)</f>
        <v>1097</v>
      </c>
      <c r="K275" s="17">
        <f t="shared" si="13"/>
        <v>0</v>
      </c>
      <c r="L275" s="18">
        <f t="shared" si="14"/>
        <v>0</v>
      </c>
    </row>
    <row r="276" spans="1:12" x14ac:dyDescent="0.2">
      <c r="A276" s="8" t="s">
        <v>761</v>
      </c>
      <c r="B276" s="38" t="s">
        <v>15</v>
      </c>
      <c r="C276" s="16" t="str">
        <f>VLOOKUP($A276,[1]Sheet2!$I$2:$O$449,3,FALSE)</f>
        <v>KPB1</v>
      </c>
      <c r="D276" s="7" t="s">
        <v>151</v>
      </c>
      <c r="E276" s="24" t="str">
        <f>VLOOKUP($A276,[1]Sheet2!$I$2:$O$449,5,FALSE)</f>
        <v>2026-03-13</v>
      </c>
      <c r="F276" s="19">
        <f t="shared" si="12"/>
        <v>0</v>
      </c>
      <c r="G276" s="38" t="s">
        <v>169</v>
      </c>
      <c r="H276" s="16" t="str">
        <f>VLOOKUP($A276,[1]Sheet2!$I$2:$O$449,6,FALSE)</f>
        <v>2026-03-17</v>
      </c>
      <c r="I276" s="38" t="s">
        <v>762</v>
      </c>
      <c r="J276" s="16">
        <f>VLOOKUP($A276,[1]Sheet2!$I$2:$O$449,4,FALSE)</f>
        <v>784</v>
      </c>
      <c r="K276" s="17">
        <f t="shared" si="13"/>
        <v>0</v>
      </c>
      <c r="L276" s="18">
        <f t="shared" si="14"/>
        <v>0</v>
      </c>
    </row>
    <row r="277" spans="1:12" x14ac:dyDescent="0.2">
      <c r="A277" s="8" t="s">
        <v>763</v>
      </c>
      <c r="B277" s="38" t="s">
        <v>15</v>
      </c>
      <c r="C277" s="16" t="str">
        <f>VLOOKUP($A277,[1]Sheet2!$I$2:$O$449,3,FALSE)</f>
        <v>KPB1</v>
      </c>
      <c r="D277" s="7" t="s">
        <v>169</v>
      </c>
      <c r="E277" s="24" t="str">
        <f>VLOOKUP($A277,[1]Sheet2!$I$2:$O$449,5,FALSE)</f>
        <v>2026-03-17</v>
      </c>
      <c r="F277" s="19">
        <f t="shared" si="12"/>
        <v>0</v>
      </c>
      <c r="G277" s="38" t="s">
        <v>598</v>
      </c>
      <c r="H277" s="16" t="str">
        <f>VLOOKUP($A277,[1]Sheet2!$I$2:$O$449,6,FALSE)</f>
        <v>2026-03-24</v>
      </c>
      <c r="I277" s="38" t="s">
        <v>764</v>
      </c>
      <c r="J277" s="16">
        <f>VLOOKUP($A277,[1]Sheet2!$I$2:$O$449,4,FALSE)</f>
        <v>1039</v>
      </c>
      <c r="K277" s="17">
        <f t="shared" si="13"/>
        <v>0</v>
      </c>
      <c r="L277" s="18">
        <f t="shared" si="14"/>
        <v>0</v>
      </c>
    </row>
    <row r="278" spans="1:12" x14ac:dyDescent="0.2">
      <c r="A278" s="8" t="s">
        <v>765</v>
      </c>
      <c r="B278" s="38" t="s">
        <v>15</v>
      </c>
      <c r="C278" s="16" t="str">
        <f>VLOOKUP($A278,[1]Sheet2!$I$2:$O$449,3,FALSE)</f>
        <v>KPB1</v>
      </c>
      <c r="D278" s="7" t="s">
        <v>105</v>
      </c>
      <c r="E278" s="24" t="str">
        <f>VLOOKUP($A278,[1]Sheet2!$I$2:$O$449,5,FALSE)</f>
        <v>2026-02-23</v>
      </c>
      <c r="F278" s="19">
        <f t="shared" si="12"/>
        <v>0</v>
      </c>
      <c r="G278" s="38" t="s">
        <v>114</v>
      </c>
      <c r="H278" s="16" t="str">
        <f>VLOOKUP($A278,[1]Sheet2!$I$2:$O$449,6,FALSE)</f>
        <v>2026-03-27</v>
      </c>
      <c r="I278" s="38" t="s">
        <v>141</v>
      </c>
      <c r="J278" s="16">
        <f>VLOOKUP($A278,[1]Sheet2!$I$2:$O$449,4,FALSE)</f>
        <v>530</v>
      </c>
      <c r="K278" s="17">
        <f t="shared" si="13"/>
        <v>0</v>
      </c>
      <c r="L278" s="18">
        <f t="shared" si="14"/>
        <v>0</v>
      </c>
    </row>
    <row r="279" spans="1:12" x14ac:dyDescent="0.2">
      <c r="A279" s="8" t="s">
        <v>766</v>
      </c>
      <c r="B279" s="38" t="s">
        <v>15</v>
      </c>
      <c r="C279" s="16" t="str">
        <f>VLOOKUP($A279,[1]Sheet2!$I$2:$O$449,3,FALSE)</f>
        <v>KPB1</v>
      </c>
      <c r="D279" s="7" t="s">
        <v>154</v>
      </c>
      <c r="E279" s="24" t="str">
        <f>VLOOKUP($A279,[1]Sheet2!$I$2:$O$449,5,FALSE)</f>
        <v>2026-03-14</v>
      </c>
      <c r="F279" s="19">
        <f t="shared" si="12"/>
        <v>0</v>
      </c>
      <c r="G279" s="38" t="s">
        <v>114</v>
      </c>
      <c r="H279" s="16" t="str">
        <f>VLOOKUP($A279,[1]Sheet2!$I$2:$O$449,6,FALSE)</f>
        <v>2026-03-27</v>
      </c>
      <c r="I279" s="38" t="s">
        <v>767</v>
      </c>
      <c r="J279" s="16">
        <f>VLOOKUP($A279,[1]Sheet2!$I$2:$O$449,4,FALSE)</f>
        <v>531</v>
      </c>
      <c r="K279" s="17">
        <f t="shared" si="13"/>
        <v>0</v>
      </c>
      <c r="L279" s="18">
        <f t="shared" si="14"/>
        <v>0</v>
      </c>
    </row>
    <row r="280" spans="1:12" x14ac:dyDescent="0.2">
      <c r="A280" s="8" t="s">
        <v>768</v>
      </c>
      <c r="B280" s="38" t="s">
        <v>15</v>
      </c>
      <c r="C280" s="16" t="str">
        <f>VLOOKUP($A280,[1]Sheet2!$I$2:$O$449,3,FALSE)</f>
        <v>KPB1</v>
      </c>
      <c r="D280" s="7" t="s">
        <v>114</v>
      </c>
      <c r="E280" s="24" t="str">
        <f>VLOOKUP($A280,[1]Sheet2!$I$2:$O$449,5,FALSE)</f>
        <v>2026-03-25</v>
      </c>
      <c r="F280" s="19">
        <f t="shared" si="12"/>
        <v>2</v>
      </c>
      <c r="G280" s="38" t="s">
        <v>219</v>
      </c>
      <c r="H280" s="16" t="str">
        <f>VLOOKUP($A280,[1]Sheet2!$I$2:$O$449,6,FALSE)</f>
        <v>2026-03-28</v>
      </c>
      <c r="I280" s="38" t="s">
        <v>330</v>
      </c>
      <c r="J280" s="16">
        <f>VLOOKUP($A280,[1]Sheet2!$I$2:$O$449,4,FALSE)</f>
        <v>84</v>
      </c>
      <c r="K280" s="17">
        <f t="shared" si="13"/>
        <v>0</v>
      </c>
      <c r="L280" s="18">
        <f t="shared" si="14"/>
        <v>0</v>
      </c>
    </row>
    <row r="281" spans="1:12" x14ac:dyDescent="0.2">
      <c r="A281" s="8" t="s">
        <v>769</v>
      </c>
      <c r="B281" s="38" t="s">
        <v>15</v>
      </c>
      <c r="C281" s="16" t="str">
        <f>VLOOKUP($A281,[1]Sheet2!$I$2:$O$449,3,FALSE)</f>
        <v>KPB1</v>
      </c>
      <c r="D281" s="7" t="s">
        <v>157</v>
      </c>
      <c r="E281" s="24" t="str">
        <f>VLOOKUP($A281,[1]Sheet2!$I$2:$O$449,5,FALSE)</f>
        <v>2026-02-27</v>
      </c>
      <c r="F281" s="19">
        <f t="shared" si="12"/>
        <v>-1</v>
      </c>
      <c r="G281" s="38" t="s">
        <v>219</v>
      </c>
      <c r="H281" s="16" t="str">
        <f>VLOOKUP($A281,[1]Sheet2!$I$2:$O$449,6,FALSE)</f>
        <v>2026-03-28</v>
      </c>
      <c r="I281" s="38" t="s">
        <v>770</v>
      </c>
      <c r="J281" s="16">
        <f>VLOOKUP($A281,[1]Sheet2!$I$2:$O$449,4,FALSE)</f>
        <v>846</v>
      </c>
      <c r="K281" s="17">
        <f t="shared" si="13"/>
        <v>0</v>
      </c>
      <c r="L281" s="18">
        <f t="shared" si="14"/>
        <v>0</v>
      </c>
    </row>
    <row r="282" spans="1:12" x14ac:dyDescent="0.2">
      <c r="A282" s="8" t="s">
        <v>771</v>
      </c>
      <c r="B282" s="38" t="s">
        <v>15</v>
      </c>
      <c r="C282" s="16" t="str">
        <f>VLOOKUP($A282,[1]Sheet2!$I$2:$O$449,3,FALSE)</f>
        <v>KPB1</v>
      </c>
      <c r="D282" s="7" t="s">
        <v>148</v>
      </c>
      <c r="E282" s="24" t="str">
        <f>VLOOKUP($A282,[1]Sheet2!$I$2:$O$449,5,FALSE)</f>
        <v>2026-03-11</v>
      </c>
      <c r="F282" s="19">
        <f t="shared" si="12"/>
        <v>1</v>
      </c>
      <c r="G282" s="38" t="s">
        <v>118</v>
      </c>
      <c r="H282" s="16" t="str">
        <f>VLOOKUP($A282,[1]Sheet2!$I$2:$O$449,6,FALSE)</f>
        <v>2026-03-30</v>
      </c>
      <c r="I282" s="38" t="s">
        <v>772</v>
      </c>
      <c r="J282" s="16">
        <f>VLOOKUP($A282,[1]Sheet2!$I$2:$O$449,4,FALSE)</f>
        <v>748</v>
      </c>
      <c r="K282" s="17">
        <f t="shared" si="13"/>
        <v>0</v>
      </c>
      <c r="L282" s="18">
        <f t="shared" si="14"/>
        <v>0</v>
      </c>
    </row>
    <row r="283" spans="1:12" x14ac:dyDescent="0.2">
      <c r="A283" s="8" t="s">
        <v>773</v>
      </c>
      <c r="B283" s="38" t="s">
        <v>15</v>
      </c>
      <c r="C283" s="16" t="str">
        <f>VLOOKUP($A283,[1]Sheet2!$I$2:$O$449,3,FALSE)</f>
        <v>KPB1</v>
      </c>
      <c r="D283" s="7" t="s">
        <v>106</v>
      </c>
      <c r="E283" s="24" t="str">
        <f>VLOOKUP($A283,[1]Sheet2!$I$2:$O$449,5,FALSE)</f>
        <v>2026-03-05</v>
      </c>
      <c r="F283" s="19">
        <f t="shared" si="12"/>
        <v>1</v>
      </c>
      <c r="G283" s="38" t="s">
        <v>118</v>
      </c>
      <c r="H283" s="16" t="str">
        <f>VLOOKUP($A283,[1]Sheet2!$I$2:$O$449,6,FALSE)</f>
        <v>2026-03-30</v>
      </c>
      <c r="I283" s="38" t="s">
        <v>639</v>
      </c>
      <c r="J283" s="16">
        <f>VLOOKUP($A283,[1]Sheet2!$I$2:$O$449,4,FALSE)</f>
        <v>225</v>
      </c>
      <c r="K283" s="17">
        <f t="shared" si="13"/>
        <v>0</v>
      </c>
      <c r="L283" s="18">
        <f t="shared" si="14"/>
        <v>0</v>
      </c>
    </row>
    <row r="284" spans="1:12" x14ac:dyDescent="0.2">
      <c r="A284" s="47" t="s">
        <v>774</v>
      </c>
      <c r="B284" s="38" t="s">
        <v>15</v>
      </c>
      <c r="C284" s="16" t="str">
        <f>VLOOKUP($A284,[1]Sheet2!$I$2:$O$449,3,FALSE)</f>
        <v>KPB1</v>
      </c>
      <c r="D284" s="7" t="s">
        <v>180</v>
      </c>
      <c r="E284" s="24" t="str">
        <f>VLOOKUP($A284,[1]Sheet2!$I$2:$O$449,5,FALSE)</f>
        <v>2026-03-17</v>
      </c>
      <c r="F284" s="19">
        <f t="shared" si="12"/>
        <v>9</v>
      </c>
      <c r="G284" s="38" t="s">
        <v>187</v>
      </c>
      <c r="H284" s="16" t="str">
        <f>VLOOKUP($A284,[1]Sheet2!$I$2:$O$449,6,FALSE)</f>
        <v>2026-03-31</v>
      </c>
      <c r="I284" s="38" t="s">
        <v>775</v>
      </c>
      <c r="J284" s="16">
        <f>VLOOKUP($A284,[1]Sheet2!$I$2:$O$449,4,FALSE)</f>
        <v>803</v>
      </c>
      <c r="K284" s="17">
        <f t="shared" si="13"/>
        <v>0</v>
      </c>
      <c r="L284" s="18">
        <f t="shared" si="14"/>
        <v>0</v>
      </c>
    </row>
    <row r="285" spans="1:12" x14ac:dyDescent="0.2">
      <c r="A285" s="8" t="s">
        <v>776</v>
      </c>
      <c r="B285" s="38" t="s">
        <v>25</v>
      </c>
      <c r="C285" s="16" t="str">
        <f>VLOOKUP($A285,[1]Sheet2!$I$2:$O$449,3,FALSE)</f>
        <v>KPB2</v>
      </c>
      <c r="D285" s="7" t="s">
        <v>777</v>
      </c>
      <c r="E285" s="24" t="str">
        <f>VLOOKUP($A285,[1]Sheet2!$I$2:$O$449,5,FALSE)</f>
        <v>2025-12-16</v>
      </c>
      <c r="F285" s="19">
        <f t="shared" si="12"/>
        <v>0</v>
      </c>
      <c r="G285" s="38" t="s">
        <v>106</v>
      </c>
      <c r="H285" s="16" t="str">
        <f>VLOOKUP($A285,[1]Sheet2!$I$2:$O$449,6,FALSE)</f>
        <v>2026-03-06</v>
      </c>
      <c r="I285" s="38" t="s">
        <v>778</v>
      </c>
      <c r="J285" s="16">
        <f>VLOOKUP($A285,[1]Sheet2!$I$2:$O$449,4,FALSE)</f>
        <v>1790</v>
      </c>
      <c r="K285" s="17">
        <f t="shared" si="13"/>
        <v>0</v>
      </c>
      <c r="L285" s="18">
        <f t="shared" si="14"/>
        <v>0</v>
      </c>
    </row>
    <row r="286" spans="1:12" x14ac:dyDescent="0.2">
      <c r="A286" s="8" t="s">
        <v>779</v>
      </c>
      <c r="B286" s="38" t="s">
        <v>25</v>
      </c>
      <c r="C286" s="16" t="str">
        <f>VLOOKUP($A286,[1]Sheet2!$I$2:$O$449,3,FALSE)</f>
        <v>KPB2</v>
      </c>
      <c r="D286" s="7" t="s">
        <v>637</v>
      </c>
      <c r="E286" s="24" t="str">
        <f>VLOOKUP($A286,[1]Sheet2!$I$2:$O$449,5,FALSE)</f>
        <v>2026-01-08</v>
      </c>
      <c r="F286" s="19">
        <f t="shared" si="12"/>
        <v>1</v>
      </c>
      <c r="G286" s="38" t="s">
        <v>433</v>
      </c>
      <c r="H286" s="16" t="str">
        <f>VLOOKUP($A286,[1]Sheet2!$I$2:$O$449,6,FALSE)</f>
        <v>2026-03-08</v>
      </c>
      <c r="I286" s="38" t="s">
        <v>780</v>
      </c>
      <c r="J286" s="16">
        <f>VLOOKUP($A286,[1]Sheet2!$I$2:$O$449,4,FALSE)</f>
        <v>1035</v>
      </c>
      <c r="K286" s="17">
        <f t="shared" si="13"/>
        <v>0</v>
      </c>
      <c r="L286" s="18">
        <f t="shared" si="14"/>
        <v>0</v>
      </c>
    </row>
    <row r="287" spans="1:12" x14ac:dyDescent="0.2">
      <c r="A287" s="47" t="s">
        <v>781</v>
      </c>
      <c r="B287" s="38" t="s">
        <v>25</v>
      </c>
      <c r="C287" s="16" t="str">
        <f>VLOOKUP($A287,[1]Sheet2!$I$2:$O$449,3,FALSE)</f>
        <v>KPB2</v>
      </c>
      <c r="D287" s="7" t="s">
        <v>497</v>
      </c>
      <c r="E287" s="24" t="str">
        <f>VLOOKUP($A287,[1]Sheet2!$I$2:$O$449,5,FALSE)</f>
        <v>2026-02-20</v>
      </c>
      <c r="F287" s="19">
        <f t="shared" si="12"/>
        <v>-11</v>
      </c>
      <c r="G287" s="38" t="s">
        <v>110</v>
      </c>
      <c r="H287" s="16" t="str">
        <f>VLOOKUP($A287,[1]Sheet2!$I$2:$O$449,6,FALSE)</f>
        <v>2026-03-11</v>
      </c>
      <c r="I287" s="38" t="s">
        <v>782</v>
      </c>
      <c r="J287" s="16">
        <f>VLOOKUP($A287,[1]Sheet2!$I$2:$O$449,4,FALSE)</f>
        <v>839</v>
      </c>
      <c r="K287" s="17">
        <f t="shared" si="13"/>
        <v>0</v>
      </c>
      <c r="L287" s="18">
        <f t="shared" si="14"/>
        <v>0</v>
      </c>
    </row>
    <row r="288" spans="1:12" x14ac:dyDescent="0.2">
      <c r="A288" s="8" t="s">
        <v>783</v>
      </c>
      <c r="B288" s="38" t="s">
        <v>25</v>
      </c>
      <c r="C288" s="16" t="str">
        <f>VLOOKUP($A288,[1]Sheet2!$I$2:$O$449,3,FALSE)</f>
        <v>KPB2</v>
      </c>
      <c r="D288" s="7" t="s">
        <v>370</v>
      </c>
      <c r="E288" s="24" t="str">
        <f>VLOOKUP($A288,[1]Sheet2!$I$2:$O$449,5,FALSE)</f>
        <v>2026-01-17</v>
      </c>
      <c r="F288" s="19">
        <f t="shared" si="12"/>
        <v>2</v>
      </c>
      <c r="G288" s="38" t="s">
        <v>219</v>
      </c>
      <c r="H288" s="16" t="str">
        <f>VLOOKUP($A288,[1]Sheet2!$I$2:$O$449,6,FALSE)</f>
        <v>2026-03-28</v>
      </c>
      <c r="I288" s="38" t="s">
        <v>784</v>
      </c>
      <c r="J288" s="16">
        <f>VLOOKUP($A288,[1]Sheet2!$I$2:$O$449,4,FALSE)</f>
        <v>3404</v>
      </c>
      <c r="K288" s="17">
        <f t="shared" si="13"/>
        <v>0</v>
      </c>
      <c r="L288" s="18">
        <f t="shared" si="14"/>
        <v>0</v>
      </c>
    </row>
  </sheetData>
  <autoFilter ref="A1:L288" xr:uid="{6367CDCA-FEAB-4397-BAA2-41915C5B5AA3}">
    <filterColumn colId="0">
      <colorFilter dxfId="0" cellColor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Report Rekap KPB</vt:lpstr>
      <vt:lpstr>Report Detail KPB</vt:lpstr>
      <vt:lpstr>Sheet1</vt:lpstr>
      <vt:lpstr>'Report Detail KPB'!Print_Area</vt:lpstr>
      <vt:lpstr>'Report Rekap KPB'!Print_Area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Cindy Aprilia</dc:creator>
  <dc:description/>
  <cp:lastModifiedBy>Kevin William</cp:lastModifiedBy>
  <dcterms:created xsi:type="dcterms:W3CDTF">2026-04-18T02:17:46Z</dcterms:created>
  <dcterms:modified xsi:type="dcterms:W3CDTF">2026-04-22T12:01:31Z</dcterms:modified>
</cp:coreProperties>
</file>