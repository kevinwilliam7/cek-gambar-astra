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Des 2025\"/>
    </mc:Choice>
  </mc:AlternateContent>
  <xr:revisionPtr revIDLastSave="0" documentId="13_ncr:1_{8C51D518-EB2F-4C8A-8CCC-0ABEB1A238B1}" xr6:coauthVersionLast="47" xr6:coauthVersionMax="47" xr10:uidLastSave="{00000000-0000-0000-0000-000000000000}"/>
  <bookViews>
    <workbookView xWindow="-120" yWindow="-120" windowWidth="20730" windowHeight="11040" xr2:uid="{02CA658F-72EC-4C8D-A7EB-F95CE8C53461}"/>
  </bookViews>
  <sheets>
    <sheet name="Sheet1" sheetId="1" r:id="rId1"/>
  </sheets>
  <definedNames>
    <definedName name="_xlnm._FilterDatabase" localSheetId="0" hidden="1">Sheet1!$A$1:$O$22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8" i="1"/>
  <c r="I9" i="1"/>
  <c r="I10" i="1"/>
  <c r="I11" i="1"/>
  <c r="I12" i="1"/>
  <c r="I13" i="1"/>
  <c r="I14" i="1"/>
  <c r="I15" i="1"/>
  <c r="I7" i="1"/>
  <c r="I16" i="1"/>
  <c r="I6" i="1"/>
  <c r="I17" i="1"/>
  <c r="I18" i="1"/>
  <c r="I19" i="1"/>
  <c r="I20" i="1"/>
  <c r="I21" i="1"/>
  <c r="I22" i="1"/>
  <c r="I2" i="1"/>
  <c r="J3" i="1"/>
  <c r="M22" i="1"/>
  <c r="M21" i="1"/>
  <c r="M20" i="1"/>
  <c r="M19" i="1"/>
  <c r="M18" i="1"/>
  <c r="M17" i="1"/>
  <c r="M6" i="1"/>
  <c r="M16" i="1"/>
  <c r="M7" i="1"/>
  <c r="M15" i="1"/>
  <c r="M14" i="1"/>
  <c r="M13" i="1"/>
  <c r="M12" i="1"/>
  <c r="M11" i="1"/>
  <c r="M10" i="1"/>
  <c r="M9" i="1"/>
  <c r="M8" i="1"/>
  <c r="M5" i="1"/>
  <c r="M4" i="1"/>
  <c r="M3" i="1"/>
  <c r="M2" i="1"/>
  <c r="J22" i="1"/>
  <c r="J21" i="1"/>
  <c r="J20" i="1"/>
  <c r="J19" i="1"/>
  <c r="J18" i="1"/>
  <c r="J17" i="1"/>
  <c r="J6" i="1"/>
  <c r="J16" i="1"/>
  <c r="J7" i="1"/>
  <c r="J15" i="1"/>
  <c r="J14" i="1"/>
  <c r="J13" i="1"/>
  <c r="J12" i="1"/>
  <c r="J11" i="1"/>
  <c r="J10" i="1"/>
  <c r="J9" i="1"/>
  <c r="J8" i="1"/>
  <c r="J5" i="1"/>
  <c r="J4" i="1"/>
  <c r="J2" i="1"/>
  <c r="F3" i="1"/>
  <c r="F4" i="1"/>
  <c r="F5" i="1"/>
  <c r="F8" i="1"/>
  <c r="F9" i="1"/>
  <c r="F10" i="1"/>
  <c r="F11" i="1"/>
  <c r="F12" i="1"/>
  <c r="F13" i="1"/>
  <c r="F14" i="1"/>
  <c r="F15" i="1"/>
  <c r="F7" i="1"/>
  <c r="F16" i="1"/>
  <c r="F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<sst xmlns="http://schemas.openxmlformats.org/spreadsheetml/2006/main" count="120" uniqueCount="65">
  <si>
    <t>no_mesin</t>
  </si>
  <si>
    <t>kpb_type</t>
  </si>
  <si>
    <t>km</t>
  </si>
  <si>
    <t>tanggal_beli</t>
  </si>
  <si>
    <t>tanggal_claim</t>
  </si>
  <si>
    <t>photo_url</t>
  </si>
  <si>
    <t>noted</t>
  </si>
  <si>
    <t>KPB3</t>
  </si>
  <si>
    <t>EF31E1003713</t>
  </si>
  <si>
    <t>KPB2</t>
  </si>
  <si>
    <t>https://hana.modakita.com/azd942/avatar/21457987620251205141153DYFQKX.jpg</t>
  </si>
  <si>
    <t>KPB4</t>
  </si>
  <si>
    <t>KPB1</t>
  </si>
  <si>
    <t>JBK1E2124874</t>
  </si>
  <si>
    <t>https://hana.modakita.com/azd942/avatar/21305051120251210120653TVBI4W.jpg</t>
  </si>
  <si>
    <t>JMC1E1669203</t>
  </si>
  <si>
    <t>https://hana.modakita.com/azd942/avatar/21305051120251206100355OWFZZK.jpg</t>
  </si>
  <si>
    <t>JMD1E1919552</t>
  </si>
  <si>
    <t>https://squarix.modakita.com//m2tf6l//avatar/2651957120251224102935QVY2FD.jpg</t>
  </si>
  <si>
    <t>JMD1E2096359</t>
  </si>
  <si>
    <t>https://squarix.modakita.com//m2tf6l//avatar/21462873620251215085618AHNVMT.jpg</t>
  </si>
  <si>
    <t>JME1E1864518</t>
  </si>
  <si>
    <t>https://hana.modakita.com/azd942/avatar/21094086920251209090547KH9BZK.jpg</t>
  </si>
  <si>
    <t>JMH1E1219800</t>
  </si>
  <si>
    <t>https://squarix.modakita.com//m2tf6l//avatar/21469779420251226111126SDCJAF.jpg</t>
  </si>
  <si>
    <t>JMH1E1273692</t>
  </si>
  <si>
    <t>https://hana.modakita.com/azd942/avatar/21448776620251201100140SJP9UB.jpg</t>
  </si>
  <si>
    <t>https://squarix.modakita.com//m2tf6l//avatar/21448776620251226141429EGQ6SV.jpg</t>
  </si>
  <si>
    <t>JMH1E1276181</t>
  </si>
  <si>
    <t>https://squarix.modakita.com//m2tf6l//avatar/21208748220251223101521MGJNZI.jpg</t>
  </si>
  <si>
    <t>JMH2E1347937</t>
  </si>
  <si>
    <t>https://hana.modakita.com/azd942/avatar/21305051120251207090716UT700I.jpg</t>
  </si>
  <si>
    <t>JMH2E1408023</t>
  </si>
  <si>
    <t>https://hana.modakita.com/azd942/avatar/21449429220251204094535YNG2IL.jpg</t>
  </si>
  <si>
    <t>JMH2E1502057</t>
  </si>
  <si>
    <t>https://hana.modakita.com/azd942/avatar/21462247420251213112900K9CPFQ.jpg</t>
  </si>
  <si>
    <t>JMH2E1528648</t>
  </si>
  <si>
    <t>https://squarix.modakita.com//m2tf6l//avatar/242659892025123014022327M517.jpg</t>
  </si>
  <si>
    <t>JMH2E1605130</t>
  </si>
  <si>
    <t>https://hana.modakita.com/azd942/avatar/21435855420251206100946YDQXVI.jpg</t>
  </si>
  <si>
    <t>KC04E1020767</t>
  </si>
  <si>
    <t>https://hana.modakita.com/azd942/avatar/21305051120251208154735HTKODR.jpg</t>
  </si>
  <si>
    <t>KF01E1927098</t>
  </si>
  <si>
    <t>https://hana.modakita.com/azd942/avatar/21094086920251209104654U0TMXB.jpg</t>
  </si>
  <si>
    <t>KFC1E1228159</t>
  </si>
  <si>
    <t>https://squarix.modakita.com//m2tf6l//avatar/2767219120251227092823CQHPGD.jpg</t>
  </si>
  <si>
    <t>KFD1E1169343</t>
  </si>
  <si>
    <t>https://squarix.modakita.com//m2tf6l//avatar/2663710320251224144636W0DRRD.jpg</t>
  </si>
  <si>
    <t>KFE2E1069403</t>
  </si>
  <si>
    <t>https://hana.modakita.com/azd942/avatar/21407590220251210101915XHPWQ5.jpg</t>
  </si>
  <si>
    <t>KFE3E1040774</t>
  </si>
  <si>
    <t>https://hana.modakita.com/azd942/avatar/21305051120251208155336YFNKDM.jpg</t>
  </si>
  <si>
    <t>No. Surat Klaim</t>
  </si>
  <si>
    <t>00010-251212_1621</t>
  </si>
  <si>
    <t>00010-260102_1459</t>
  </si>
  <si>
    <t>00010-251223_1422</t>
  </si>
  <si>
    <t>KM STAR</t>
  </si>
  <si>
    <t>Cek KM</t>
  </si>
  <si>
    <t>Tglb STAR</t>
  </si>
  <si>
    <t>Cek Tglb</t>
  </si>
  <si>
    <t>Tgls STAR</t>
  </si>
  <si>
    <t>Cek Tgls</t>
  </si>
  <si>
    <t>Selisih</t>
  </si>
  <si>
    <t>Tgl servis sama dgn servis ID 1 (tidak bisa klaim)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</si>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</sst>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3F93-5272-4ECA-A133-FC2BA7A64CD9}">
  <sheetPr filterMode="1"/>
  <dimension ref="A1:O22"/>
  <sheetViews>
    <sheetView tabSelected="1" workbookViewId="0">
      <pane ySplit="1" topLeftCell="A7" activePane="bottomLeft" state="frozen"/>
      <selection pane="bottomLeft" activeCell="O7" sqref="O7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8.7109375" bestFit="1" customWidth="1"/>
    <col min="4" max="4" width="6" bestFit="1" customWidth="1"/>
    <col min="5" max="6" width="6" customWidth="1"/>
    <col min="7" max="10" width="11.7109375" customWidth="1"/>
    <col min="11" max="13" width="13.5703125" customWidth="1"/>
    <col min="14" max="14" width="79.140625" hidden="1" customWidth="1"/>
    <col min="15" max="15" width="6.28515625" bestFit="1" customWidth="1"/>
  </cols>
  <sheetData>
    <row r="1" spans="1:15" x14ac:dyDescent="0.25">
      <c r="A1" s="2" t="s">
        <v>52</v>
      </c>
      <c r="B1" s="2" t="s">
        <v>0</v>
      </c>
      <c r="C1" s="2" t="s">
        <v>1</v>
      </c>
      <c r="D1" s="2" t="s">
        <v>2</v>
      </c>
      <c r="E1" s="2" t="s">
        <v>56</v>
      </c>
      <c r="F1" s="2" t="s">
        <v>57</v>
      </c>
      <c r="G1" s="2" t="s">
        <v>3</v>
      </c>
      <c r="H1" s="2" t="s">
        <v>58</v>
      </c>
      <c r="I1" s="4" t="s">
        <v>62</v>
      </c>
      <c r="J1" s="2" t="s">
        <v>59</v>
      </c>
      <c r="K1" s="2" t="s">
        <v>4</v>
      </c>
      <c r="L1" s="2" t="s">
        <v>60</v>
      </c>
      <c r="M1" s="2" t="s">
        <v>61</v>
      </c>
      <c r="N1" s="2" t="s">
        <v>5</v>
      </c>
      <c r="O1" s="3" t="s">
        <v>6</v>
      </c>
    </row>
    <row r="2" spans="1:15" hidden="1" x14ac:dyDescent="0.25">
      <c r="A2" t="s">
        <v>53</v>
      </c>
      <c r="B2" t="s">
        <v>8</v>
      </c>
      <c r="C2" t="s">
        <v>9</v>
      </c>
      <c r="D2">
        <v>6204</v>
      </c>
      <c r="E2">
        <v>6204</v>
      </c>
      <c r="F2" t="str">
        <f t="shared" ref="F2:F22" si="0">IF(D2=E2,"OK","Not")</f>
        <v>OK</v>
      </c>
      <c r="G2" s="1">
        <v>45853</v>
      </c>
      <c r="H2" s="1">
        <v>45852</v>
      </c>
      <c r="I2">
        <f t="shared" ref="I2:I22" si="1">H2-G2</f>
        <v>-1</v>
      </c>
      <c r="J2" t="str">
        <f t="shared" ref="J2:J22" si="2">IF(G2=H2,"OK","Not")</f>
        <v>Not</v>
      </c>
      <c r="K2" s="1">
        <v>45996</v>
      </c>
      <c r="L2" s="1">
        <v>45996</v>
      </c>
      <c r="M2" t="str">
        <f t="shared" ref="M2:M22" si="3">IF(K2=L2,"OK","Not")</f>
        <v>OK</v>
      </c>
      <c r="N2" t="s">
        <v>10</v>
      </c>
      <c r="O2" t="s">
        <v>64</v>
      </c>
    </row>
    <row r="3" spans="1:15" hidden="1" x14ac:dyDescent="0.25">
      <c r="A3" t="s">
        <v>53</v>
      </c>
      <c r="B3" t="s">
        <v>13</v>
      </c>
      <c r="C3" t="s">
        <v>7</v>
      </c>
      <c r="D3">
        <v>4499</v>
      </c>
      <c r="E3">
        <v>4499</v>
      </c>
      <c r="F3" t="str">
        <f t="shared" si="0"/>
        <v>OK</v>
      </c>
      <c r="G3" s="1">
        <v>45947</v>
      </c>
      <c r="H3" s="1">
        <v>45947</v>
      </c>
      <c r="I3">
        <f t="shared" si="1"/>
        <v>0</v>
      </c>
      <c r="J3" t="str">
        <f t="shared" si="2"/>
        <v>OK</v>
      </c>
      <c r="K3" s="1">
        <v>46001</v>
      </c>
      <c r="L3" s="1">
        <v>46001</v>
      </c>
      <c r="M3" t="str">
        <f t="shared" si="3"/>
        <v>OK</v>
      </c>
      <c r="N3" t="s">
        <v>14</v>
      </c>
      <c r="O3" t="s">
        <v>64</v>
      </c>
    </row>
    <row r="4" spans="1:15" hidden="1" x14ac:dyDescent="0.25">
      <c r="A4" t="s">
        <v>53</v>
      </c>
      <c r="B4" t="s">
        <v>15</v>
      </c>
      <c r="C4" t="s">
        <v>11</v>
      </c>
      <c r="D4">
        <v>1894</v>
      </c>
      <c r="E4">
        <v>1894</v>
      </c>
      <c r="F4" t="str">
        <f t="shared" si="0"/>
        <v>OK</v>
      </c>
      <c r="G4" s="1">
        <v>45857</v>
      </c>
      <c r="H4" s="1">
        <v>45857</v>
      </c>
      <c r="I4">
        <f t="shared" si="1"/>
        <v>0</v>
      </c>
      <c r="J4" t="str">
        <f t="shared" si="2"/>
        <v>OK</v>
      </c>
      <c r="K4" s="1">
        <v>45997</v>
      </c>
      <c r="L4" s="1">
        <v>45997</v>
      </c>
      <c r="M4" t="str">
        <f t="shared" si="3"/>
        <v>OK</v>
      </c>
      <c r="N4" t="s">
        <v>16</v>
      </c>
      <c r="O4" t="s">
        <v>64</v>
      </c>
    </row>
    <row r="5" spans="1:15" hidden="1" x14ac:dyDescent="0.25">
      <c r="A5" t="s">
        <v>54</v>
      </c>
      <c r="B5" t="s">
        <v>17</v>
      </c>
      <c r="C5" t="s">
        <v>11</v>
      </c>
      <c r="D5">
        <v>10239</v>
      </c>
      <c r="E5">
        <v>10239</v>
      </c>
      <c r="F5" t="str">
        <f t="shared" si="0"/>
        <v>OK</v>
      </c>
      <c r="G5" s="1">
        <v>45790</v>
      </c>
      <c r="H5" s="1">
        <v>45790</v>
      </c>
      <c r="I5">
        <f t="shared" si="1"/>
        <v>0</v>
      </c>
      <c r="J5" t="str">
        <f t="shared" si="2"/>
        <v>OK</v>
      </c>
      <c r="K5" s="1">
        <v>46015</v>
      </c>
      <c r="L5" s="1">
        <v>46015</v>
      </c>
      <c r="M5" t="str">
        <f t="shared" si="3"/>
        <v>OK</v>
      </c>
      <c r="N5" t="s">
        <v>18</v>
      </c>
      <c r="O5" t="s">
        <v>64</v>
      </c>
    </row>
    <row r="6" spans="1:15" hidden="1" x14ac:dyDescent="0.25">
      <c r="A6" t="s">
        <v>53</v>
      </c>
      <c r="B6" t="s">
        <v>38</v>
      </c>
      <c r="C6" t="s">
        <v>12</v>
      </c>
      <c r="D6">
        <v>1167</v>
      </c>
      <c r="E6">
        <v>1167</v>
      </c>
      <c r="F6" t="str">
        <f t="shared" si="0"/>
        <v>OK</v>
      </c>
      <c r="G6" s="1">
        <v>45966</v>
      </c>
      <c r="H6" s="1">
        <v>45966</v>
      </c>
      <c r="I6">
        <f t="shared" si="1"/>
        <v>0</v>
      </c>
      <c r="J6" t="str">
        <f t="shared" si="2"/>
        <v>OK</v>
      </c>
      <c r="K6" s="1">
        <v>45997</v>
      </c>
      <c r="L6" s="1">
        <v>45997</v>
      </c>
      <c r="M6" t="str">
        <f t="shared" si="3"/>
        <v>OK</v>
      </c>
      <c r="N6" t="s">
        <v>39</v>
      </c>
      <c r="O6" t="s">
        <v>64</v>
      </c>
    </row>
    <row r="7" spans="1:15" x14ac:dyDescent="0.25">
      <c r="A7" t="s">
        <v>55</v>
      </c>
      <c r="B7" t="s">
        <v>34</v>
      </c>
      <c r="C7" t="s">
        <v>9</v>
      </c>
      <c r="D7">
        <v>1293</v>
      </c>
      <c r="E7">
        <v>1293</v>
      </c>
      <c r="F7" t="str">
        <f t="shared" si="0"/>
        <v>OK</v>
      </c>
      <c r="G7" s="1">
        <v>45969</v>
      </c>
      <c r="H7" s="1">
        <v>45969</v>
      </c>
      <c r="I7">
        <f t="shared" si="1"/>
        <v>0</v>
      </c>
      <c r="J7" t="str">
        <f t="shared" si="2"/>
        <v>OK</v>
      </c>
      <c r="K7" s="1">
        <v>46004</v>
      </c>
      <c r="L7" s="1">
        <v>46004</v>
      </c>
      <c r="M7" t="str">
        <f t="shared" si="3"/>
        <v>OK</v>
      </c>
      <c r="N7" t="s">
        <v>35</v>
      </c>
      <c r="O7" t="s">
        <v>63</v>
      </c>
    </row>
    <row r="8" spans="1:15" hidden="1" x14ac:dyDescent="0.25">
      <c r="A8" t="s">
        <v>55</v>
      </c>
      <c r="B8" t="s">
        <v>19</v>
      </c>
      <c r="C8" t="s">
        <v>7</v>
      </c>
      <c r="D8">
        <v>3266</v>
      </c>
      <c r="E8">
        <v>3266</v>
      </c>
      <c r="F8" t="str">
        <f t="shared" si="0"/>
        <v>OK</v>
      </c>
      <c r="G8" s="1">
        <v>45951</v>
      </c>
      <c r="H8" s="1">
        <v>45951</v>
      </c>
      <c r="I8">
        <f t="shared" si="1"/>
        <v>0</v>
      </c>
      <c r="J8" t="str">
        <f t="shared" si="2"/>
        <v>OK</v>
      </c>
      <c r="K8" s="1">
        <v>46006</v>
      </c>
      <c r="L8" s="1">
        <v>46006</v>
      </c>
      <c r="M8" t="str">
        <f t="shared" si="3"/>
        <v>OK</v>
      </c>
      <c r="N8" t="s">
        <v>20</v>
      </c>
      <c r="O8" t="s">
        <v>64</v>
      </c>
    </row>
    <row r="9" spans="1:15" hidden="1" x14ac:dyDescent="0.25">
      <c r="A9" t="s">
        <v>53</v>
      </c>
      <c r="B9" t="s">
        <v>21</v>
      </c>
      <c r="C9" t="s">
        <v>12</v>
      </c>
      <c r="D9">
        <v>284</v>
      </c>
      <c r="E9">
        <v>284</v>
      </c>
      <c r="F9" t="str">
        <f t="shared" si="0"/>
        <v>OK</v>
      </c>
      <c r="G9" s="1">
        <v>45990</v>
      </c>
      <c r="H9" s="1">
        <v>45990</v>
      </c>
      <c r="I9">
        <f t="shared" si="1"/>
        <v>0</v>
      </c>
      <c r="J9" t="str">
        <f t="shared" si="2"/>
        <v>OK</v>
      </c>
      <c r="K9" s="1">
        <v>46000</v>
      </c>
      <c r="L9" s="1">
        <v>46000</v>
      </c>
      <c r="M9" t="str">
        <f t="shared" si="3"/>
        <v>OK</v>
      </c>
      <c r="N9" t="s">
        <v>22</v>
      </c>
      <c r="O9" t="s">
        <v>64</v>
      </c>
    </row>
    <row r="10" spans="1:15" hidden="1" x14ac:dyDescent="0.25">
      <c r="A10" t="s">
        <v>54</v>
      </c>
      <c r="B10" t="s">
        <v>23</v>
      </c>
      <c r="C10" t="s">
        <v>11</v>
      </c>
      <c r="D10">
        <v>5401</v>
      </c>
      <c r="E10">
        <v>5401</v>
      </c>
      <c r="F10" t="str">
        <f t="shared" si="0"/>
        <v>OK</v>
      </c>
      <c r="G10" s="1">
        <v>45860</v>
      </c>
      <c r="H10" s="1">
        <v>45860</v>
      </c>
      <c r="I10">
        <f t="shared" si="1"/>
        <v>0</v>
      </c>
      <c r="J10" t="str">
        <f t="shared" si="2"/>
        <v>OK</v>
      </c>
      <c r="K10" s="1">
        <v>46017</v>
      </c>
      <c r="L10" s="1">
        <v>46017</v>
      </c>
      <c r="M10" t="str">
        <f t="shared" si="3"/>
        <v>OK</v>
      </c>
      <c r="N10" t="s">
        <v>24</v>
      </c>
      <c r="O10" t="s">
        <v>64</v>
      </c>
    </row>
    <row r="11" spans="1:15" hidden="1" x14ac:dyDescent="0.25">
      <c r="A11" t="s">
        <v>53</v>
      </c>
      <c r="B11" t="s">
        <v>25</v>
      </c>
      <c r="C11" t="s">
        <v>9</v>
      </c>
      <c r="D11">
        <v>1668</v>
      </c>
      <c r="E11">
        <v>1668</v>
      </c>
      <c r="F11" t="str">
        <f t="shared" si="0"/>
        <v>OK</v>
      </c>
      <c r="G11" s="1">
        <v>45954</v>
      </c>
      <c r="H11" s="1">
        <v>45954</v>
      </c>
      <c r="I11">
        <f t="shared" si="1"/>
        <v>0</v>
      </c>
      <c r="J11" t="str">
        <f t="shared" si="2"/>
        <v>OK</v>
      </c>
      <c r="K11" s="1">
        <v>45992</v>
      </c>
      <c r="L11" s="1">
        <v>45992</v>
      </c>
      <c r="M11" t="str">
        <f t="shared" si="3"/>
        <v>OK</v>
      </c>
      <c r="N11" t="s">
        <v>26</v>
      </c>
      <c r="O11" t="s">
        <v>64</v>
      </c>
    </row>
    <row r="12" spans="1:15" hidden="1" x14ac:dyDescent="0.25">
      <c r="A12" t="s">
        <v>54</v>
      </c>
      <c r="B12" t="s">
        <v>25</v>
      </c>
      <c r="C12" t="s">
        <v>7</v>
      </c>
      <c r="D12">
        <v>2817</v>
      </c>
      <c r="E12">
        <v>2817</v>
      </c>
      <c r="F12" t="str">
        <f t="shared" si="0"/>
        <v>OK</v>
      </c>
      <c r="G12" s="1">
        <v>45954</v>
      </c>
      <c r="H12" s="1">
        <v>45954</v>
      </c>
      <c r="I12">
        <f t="shared" si="1"/>
        <v>0</v>
      </c>
      <c r="J12" t="str">
        <f t="shared" si="2"/>
        <v>OK</v>
      </c>
      <c r="K12" s="1">
        <v>46017</v>
      </c>
      <c r="L12" s="1">
        <v>46017</v>
      </c>
      <c r="M12" t="str">
        <f t="shared" si="3"/>
        <v>OK</v>
      </c>
      <c r="N12" t="s">
        <v>27</v>
      </c>
      <c r="O12" t="s">
        <v>64</v>
      </c>
    </row>
    <row r="13" spans="1:15" hidden="1" x14ac:dyDescent="0.25">
      <c r="A13" t="s">
        <v>54</v>
      </c>
      <c r="B13" t="s">
        <v>28</v>
      </c>
      <c r="C13" t="s">
        <v>9</v>
      </c>
      <c r="D13">
        <v>782</v>
      </c>
      <c r="E13">
        <v>782</v>
      </c>
      <c r="F13" t="str">
        <f t="shared" si="0"/>
        <v>OK</v>
      </c>
      <c r="G13" s="1">
        <v>45959</v>
      </c>
      <c r="H13" s="1">
        <v>45959</v>
      </c>
      <c r="I13">
        <f t="shared" si="1"/>
        <v>0</v>
      </c>
      <c r="J13" t="str">
        <f t="shared" si="2"/>
        <v>OK</v>
      </c>
      <c r="K13" s="1">
        <v>46014</v>
      </c>
      <c r="L13" s="1">
        <v>46014</v>
      </c>
      <c r="M13" t="str">
        <f t="shared" si="3"/>
        <v>OK</v>
      </c>
      <c r="N13" t="s">
        <v>29</v>
      </c>
      <c r="O13" t="s">
        <v>64</v>
      </c>
    </row>
    <row r="14" spans="1:15" hidden="1" x14ac:dyDescent="0.25">
      <c r="A14" t="s">
        <v>53</v>
      </c>
      <c r="B14" t="s">
        <v>30</v>
      </c>
      <c r="C14" t="s">
        <v>11</v>
      </c>
      <c r="D14">
        <v>4741</v>
      </c>
      <c r="E14">
        <v>4741</v>
      </c>
      <c r="F14" t="str">
        <f t="shared" si="0"/>
        <v>OK</v>
      </c>
      <c r="G14" s="1">
        <v>45807</v>
      </c>
      <c r="H14" s="1">
        <v>45807</v>
      </c>
      <c r="I14">
        <f t="shared" si="1"/>
        <v>0</v>
      </c>
      <c r="J14" t="str">
        <f t="shared" si="2"/>
        <v>OK</v>
      </c>
      <c r="K14" s="1">
        <v>45998</v>
      </c>
      <c r="L14" s="1">
        <v>45998</v>
      </c>
      <c r="M14" t="str">
        <f t="shared" si="3"/>
        <v>OK</v>
      </c>
      <c r="N14" t="s">
        <v>31</v>
      </c>
      <c r="O14" t="s">
        <v>64</v>
      </c>
    </row>
    <row r="15" spans="1:15" hidden="1" x14ac:dyDescent="0.25">
      <c r="A15" t="s">
        <v>53</v>
      </c>
      <c r="B15" t="s">
        <v>32</v>
      </c>
      <c r="C15" t="s">
        <v>12</v>
      </c>
      <c r="D15">
        <v>267</v>
      </c>
      <c r="E15">
        <v>267</v>
      </c>
      <c r="F15" t="str">
        <f t="shared" si="0"/>
        <v>OK</v>
      </c>
      <c r="G15" s="1">
        <v>45985</v>
      </c>
      <c r="H15" s="1">
        <v>45985</v>
      </c>
      <c r="I15">
        <f t="shared" si="1"/>
        <v>0</v>
      </c>
      <c r="J15" t="str">
        <f t="shared" si="2"/>
        <v>OK</v>
      </c>
      <c r="K15" s="1">
        <v>45995</v>
      </c>
      <c r="L15" s="1">
        <v>45995</v>
      </c>
      <c r="M15" t="str">
        <f t="shared" si="3"/>
        <v>OK</v>
      </c>
      <c r="N15" t="s">
        <v>33</v>
      </c>
      <c r="O15" t="s">
        <v>64</v>
      </c>
    </row>
    <row r="16" spans="1:15" hidden="1" x14ac:dyDescent="0.25">
      <c r="A16" t="s">
        <v>54</v>
      </c>
      <c r="B16" t="s">
        <v>36</v>
      </c>
      <c r="C16" t="s">
        <v>9</v>
      </c>
      <c r="D16">
        <v>3348</v>
      </c>
      <c r="E16">
        <v>3348</v>
      </c>
      <c r="F16" t="str">
        <f t="shared" si="0"/>
        <v>OK</v>
      </c>
      <c r="G16" s="1">
        <v>45933</v>
      </c>
      <c r="H16" s="1">
        <v>45933</v>
      </c>
      <c r="I16">
        <f t="shared" si="1"/>
        <v>0</v>
      </c>
      <c r="J16" t="str">
        <f t="shared" si="2"/>
        <v>OK</v>
      </c>
      <c r="K16" s="1">
        <v>46021</v>
      </c>
      <c r="L16" s="1">
        <v>46021</v>
      </c>
      <c r="M16" t="str">
        <f t="shared" si="3"/>
        <v>OK</v>
      </c>
      <c r="N16" t="s">
        <v>37</v>
      </c>
      <c r="O16" t="s">
        <v>64</v>
      </c>
    </row>
    <row r="17" spans="1:15" hidden="1" x14ac:dyDescent="0.25">
      <c r="A17" t="s">
        <v>53</v>
      </c>
      <c r="B17" t="s">
        <v>40</v>
      </c>
      <c r="C17" t="s">
        <v>9</v>
      </c>
      <c r="D17">
        <v>2912</v>
      </c>
      <c r="E17">
        <v>2912</v>
      </c>
      <c r="F17" t="str">
        <f t="shared" si="0"/>
        <v>OK</v>
      </c>
      <c r="G17" s="1">
        <v>45933</v>
      </c>
      <c r="H17" s="1">
        <v>45933</v>
      </c>
      <c r="I17">
        <f t="shared" si="1"/>
        <v>0</v>
      </c>
      <c r="J17" t="str">
        <f t="shared" si="2"/>
        <v>OK</v>
      </c>
      <c r="K17" s="1">
        <v>45999</v>
      </c>
      <c r="L17" s="1">
        <v>45999</v>
      </c>
      <c r="M17" t="str">
        <f t="shared" si="3"/>
        <v>OK</v>
      </c>
      <c r="N17" t="s">
        <v>41</v>
      </c>
      <c r="O17" t="s">
        <v>64</v>
      </c>
    </row>
    <row r="18" spans="1:15" hidden="1" x14ac:dyDescent="0.25">
      <c r="A18" t="s">
        <v>53</v>
      </c>
      <c r="B18" t="s">
        <v>42</v>
      </c>
      <c r="C18" t="s">
        <v>7</v>
      </c>
      <c r="D18">
        <v>1641</v>
      </c>
      <c r="E18">
        <v>1641</v>
      </c>
      <c r="F18" t="str">
        <f t="shared" si="0"/>
        <v>OK</v>
      </c>
      <c r="G18" s="1">
        <v>45909</v>
      </c>
      <c r="H18" s="1">
        <v>45909</v>
      </c>
      <c r="I18">
        <f t="shared" si="1"/>
        <v>0</v>
      </c>
      <c r="J18" t="str">
        <f t="shared" si="2"/>
        <v>OK</v>
      </c>
      <c r="K18" s="1">
        <v>46000</v>
      </c>
      <c r="L18" s="1">
        <v>46000</v>
      </c>
      <c r="M18" t="str">
        <f t="shared" si="3"/>
        <v>OK</v>
      </c>
      <c r="N18" t="s">
        <v>43</v>
      </c>
      <c r="O18" t="s">
        <v>64</v>
      </c>
    </row>
    <row r="19" spans="1:15" hidden="1" x14ac:dyDescent="0.25">
      <c r="A19" t="s">
        <v>54</v>
      </c>
      <c r="B19" t="s">
        <v>44</v>
      </c>
      <c r="C19" t="s">
        <v>12</v>
      </c>
      <c r="D19">
        <v>646</v>
      </c>
      <c r="E19">
        <v>646</v>
      </c>
      <c r="F19" t="str">
        <f t="shared" si="0"/>
        <v>OK</v>
      </c>
      <c r="G19" s="1">
        <v>45990</v>
      </c>
      <c r="H19" s="1">
        <v>45990</v>
      </c>
      <c r="I19">
        <f t="shared" si="1"/>
        <v>0</v>
      </c>
      <c r="J19" t="str">
        <f t="shared" si="2"/>
        <v>OK</v>
      </c>
      <c r="K19" s="1">
        <v>46018</v>
      </c>
      <c r="L19" s="1">
        <v>46018</v>
      </c>
      <c r="M19" t="str">
        <f t="shared" si="3"/>
        <v>OK</v>
      </c>
      <c r="N19" t="s">
        <v>45</v>
      </c>
      <c r="O19" t="s">
        <v>64</v>
      </c>
    </row>
    <row r="20" spans="1:15" hidden="1" x14ac:dyDescent="0.25">
      <c r="A20" t="s">
        <v>54</v>
      </c>
      <c r="B20" t="s">
        <v>46</v>
      </c>
      <c r="C20" t="s">
        <v>9</v>
      </c>
      <c r="D20">
        <v>3477</v>
      </c>
      <c r="E20">
        <v>3477</v>
      </c>
      <c r="F20" t="str">
        <f t="shared" si="0"/>
        <v>OK</v>
      </c>
      <c r="G20" s="1">
        <v>45920</v>
      </c>
      <c r="H20" s="1">
        <v>45920</v>
      </c>
      <c r="I20">
        <f t="shared" si="1"/>
        <v>0</v>
      </c>
      <c r="J20" t="str">
        <f t="shared" si="2"/>
        <v>OK</v>
      </c>
      <c r="K20" s="1">
        <v>46015</v>
      </c>
      <c r="L20" s="1">
        <v>46015</v>
      </c>
      <c r="M20" t="str">
        <f t="shared" si="3"/>
        <v>OK</v>
      </c>
      <c r="N20" t="s">
        <v>47</v>
      </c>
      <c r="O20" t="s">
        <v>64</v>
      </c>
    </row>
    <row r="21" spans="1:15" hidden="1" x14ac:dyDescent="0.25">
      <c r="A21" t="s">
        <v>53</v>
      </c>
      <c r="B21" t="s">
        <v>48</v>
      </c>
      <c r="C21" t="s">
        <v>9</v>
      </c>
      <c r="D21">
        <v>2249</v>
      </c>
      <c r="E21">
        <v>2249</v>
      </c>
      <c r="F21" t="str">
        <f t="shared" si="0"/>
        <v>OK</v>
      </c>
      <c r="G21" s="1">
        <v>45926</v>
      </c>
      <c r="H21" s="1">
        <v>45926</v>
      </c>
      <c r="I21">
        <f t="shared" si="1"/>
        <v>0</v>
      </c>
      <c r="J21" t="str">
        <f t="shared" si="2"/>
        <v>OK</v>
      </c>
      <c r="K21" s="1">
        <v>46001</v>
      </c>
      <c r="L21" s="1">
        <v>46001</v>
      </c>
      <c r="M21" t="str">
        <f t="shared" si="3"/>
        <v>OK</v>
      </c>
      <c r="N21" t="s">
        <v>49</v>
      </c>
      <c r="O21" t="s">
        <v>64</v>
      </c>
    </row>
    <row r="22" spans="1:15" hidden="1" x14ac:dyDescent="0.25">
      <c r="A22" t="s">
        <v>53</v>
      </c>
      <c r="B22" t="s">
        <v>50</v>
      </c>
      <c r="C22" t="s">
        <v>7</v>
      </c>
      <c r="D22">
        <v>3356</v>
      </c>
      <c r="E22">
        <v>3356</v>
      </c>
      <c r="F22" t="str">
        <f t="shared" si="0"/>
        <v>OK</v>
      </c>
      <c r="G22" s="1">
        <v>45848</v>
      </c>
      <c r="H22" s="1">
        <v>45848</v>
      </c>
      <c r="I22">
        <f t="shared" si="1"/>
        <v>0</v>
      </c>
      <c r="J22" t="str">
        <f t="shared" si="2"/>
        <v>OK</v>
      </c>
      <c r="K22" s="1">
        <v>45999</v>
      </c>
      <c r="L22" s="1">
        <v>45999</v>
      </c>
      <c r="M22" t="str">
        <f t="shared" si="3"/>
        <v>OK</v>
      </c>
      <c r="N22" t="s">
        <v>51</v>
      </c>
      <c r="O22" t="s">
        <v>64</v>
      </c>
    </row>
  </sheetData>
  <autoFilter ref="A1:O22" xr:uid="{84543F93-5272-4ECA-A133-FC2BA7A64CD9}">
    <filterColumn colId="14">
      <filters>
        <filter val="Tgl servis sama dgn servis ID 1 (tidak bisa klaim)"/>
      </filters>
    </filterColumn>
    <sortState xmlns:xlrd2="http://schemas.microsoft.com/office/spreadsheetml/2017/richdata2" ref="A2:O22">
      <sortCondition ref="B1:B22"/>
    </sortState>
  </autoFilter>
  <conditionalFormatting sqref="D1:D1048576">
    <cfRule type="duplicateValues" dxfId="2" priority="1"/>
  </conditionalFormatting>
  <conditionalFormatting sqref="F1:F1048576 J2:J22 M2:M22">
    <cfRule type="containsText" dxfId="1" priority="7" operator="containsText" text="Not">
      <formula>NOT(ISERROR(SEARCH("Not",F1)))</formula>
    </cfRule>
    <cfRule type="containsText" dxfId="0" priority="8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2026-01-06T06:45:14Z</dcterms:created>
  <dcterms:modified xsi:type="dcterms:W3CDTF">2026-01-08T10:25:24Z</dcterms:modified>
</cp:coreProperties>
</file>