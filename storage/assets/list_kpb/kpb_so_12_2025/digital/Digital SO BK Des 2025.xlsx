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2_2025\digital\"/>
    </mc:Choice>
  </mc:AlternateContent>
  <xr:revisionPtr revIDLastSave="0" documentId="13_ncr:1_{7403CBD7-6DE1-4C22-B7A2-61A629789670}" xr6:coauthVersionLast="47" xr6:coauthVersionMax="47" xr10:uidLastSave="{00000000-0000-0000-0000-000000000000}"/>
  <bookViews>
    <workbookView xWindow="-108" yWindow="-108" windowWidth="23256" windowHeight="12456" activeTab="1" xr2:uid="{CA670522-A99E-455F-B0C9-3CCDEE800054}"/>
  </bookViews>
  <sheets>
    <sheet name="Sheet1" sheetId="1" r:id="rId1"/>
    <sheet name="Tidak ada di WEBC" sheetId="2" r:id="rId2"/>
  </sheets>
  <definedNames>
    <definedName name="_xlnm._FilterDatabase" localSheetId="0" hidden="1">Sheet1!$A$1:$O$43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2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</calcChain>
</file>

<file path=xl/sharedStrings.xml><?xml version="1.0" encoding="utf-8"?>
<sst xmlns="http://schemas.openxmlformats.org/spreadsheetml/2006/main" count="238" uniqueCount="113">
  <si>
    <t>no_mesin</t>
  </si>
  <si>
    <t>kpb_type</t>
  </si>
  <si>
    <t>km</t>
  </si>
  <si>
    <t>tanggal_beli</t>
  </si>
  <si>
    <t>tanggal_claim</t>
  </si>
  <si>
    <t>photo_url</t>
  </si>
  <si>
    <t>noted</t>
  </si>
  <si>
    <t>KPB4</t>
  </si>
  <si>
    <t>KPB3</t>
  </si>
  <si>
    <t>KPB1</t>
  </si>
  <si>
    <t>KPB2</t>
  </si>
  <si>
    <t>JBK3E1598489</t>
  </si>
  <si>
    <t>https://squarix.modakita.com//m2tf6l//avatar/21470449320251227112736GCU9B4.jpg</t>
  </si>
  <si>
    <t>JBK3E1606408</t>
  </si>
  <si>
    <t>https://hana.modakita.com/azd942/avatar/21046114520251210103625VDWRYH.jpg</t>
  </si>
  <si>
    <t>JBP1E2115933</t>
  </si>
  <si>
    <t>https://hana.modakita.com/azd942/avatar/21073372420251203093812FJV1XE.jpg</t>
  </si>
  <si>
    <t>JBP1E2137551</t>
  </si>
  <si>
    <t>https://squarix.modakita.com//m2tf6l//avatar/21073372420251223123628FEBA7X.jpg</t>
  </si>
  <si>
    <t>JMC1E1732577</t>
  </si>
  <si>
    <t>https://hana.modakita.com/azd942/avatar/21046114520251211141943BAVAME.jpg</t>
  </si>
  <si>
    <t>JMC1E1732630</t>
  </si>
  <si>
    <t>https://squarix.modakita.com//m2tf6l//avatar/21046114520251223124200YHZEYO.jpg</t>
  </si>
  <si>
    <t>JMC1E1770302</t>
  </si>
  <si>
    <t>https://squarix.modakita.com//m2tf6l//avatar/214651897202512181417096XEHSP.jpg</t>
  </si>
  <si>
    <t>JMC1E1787942</t>
  </si>
  <si>
    <t>https://squarix.modakita.com//m2tf6l//avatar/21466425920251220114158L9K1D2.jpg</t>
  </si>
  <si>
    <t>JMC1E1789201</t>
  </si>
  <si>
    <t>https://squarix.modakita.com//m2tf6l//avatar/214672389202512220932562N9E6Y.jpg</t>
  </si>
  <si>
    <t>JMD1E2039371</t>
  </si>
  <si>
    <t>https://hana.modakita.com/azd942/avatar/2914187020251201151146QIKYYI.jpg</t>
  </si>
  <si>
    <t>JMD1E2069959</t>
  </si>
  <si>
    <t>https://squarix.modakita.com//m2tf6l//avatar/214688300202512241204465ONYMC.jpg</t>
  </si>
  <si>
    <t>JMD1E2142688</t>
  </si>
  <si>
    <t>https://squarix.modakita.com//m2tf6l//avatar/21465583020251219101609ICSAKG.jpg</t>
  </si>
  <si>
    <t>JMF1E1207585</t>
  </si>
  <si>
    <t>https://squarix.modakita.com//m2tf6l//avatar/21046114520251224143705X4RYR4.jpg</t>
  </si>
  <si>
    <t>JMH1E1185454</t>
  </si>
  <si>
    <t>https://squarix.modakita.com//m2tf6l//avatar/21073372420251224111944NHD4RA.jpg</t>
  </si>
  <si>
    <t>JMH1E1212298</t>
  </si>
  <si>
    <t>https://hana.modakita.com/azd942/avatar/21073372420251211142732AZSZZQ.jpg</t>
  </si>
  <si>
    <t>JMH1E1259576</t>
  </si>
  <si>
    <t>https://squarix.modakita.com//m2tf6l//avatar/210461145202512221105277G80OR.jpg</t>
  </si>
  <si>
    <t>JMH1E1288479</t>
  </si>
  <si>
    <t>https://hana.modakita.com/azd942/avatar/210461145202512111052095TKTES.jpg</t>
  </si>
  <si>
    <t>JMH1E1294418</t>
  </si>
  <si>
    <t>https://squarix.modakita.com//m2tf6l//avatar/21046114520251216113830I8ZWV0.jpg</t>
  </si>
  <si>
    <t>JMH2E1302747</t>
  </si>
  <si>
    <t>https://hana.modakita.com/azd942/avatar/2667633620251202101734DUIIQL.jpg</t>
  </si>
  <si>
    <t>JMH2E1443523</t>
  </si>
  <si>
    <t>https://hana.modakita.com/azd942/avatar/21073372420251204104836KFJYZU.jpg</t>
  </si>
  <si>
    <t>JMH2E1549336</t>
  </si>
  <si>
    <t>https://squarix.modakita.com//m2tf6l//avatar/21465166420251218135842EXGLCB.jpg</t>
  </si>
  <si>
    <t>JMH2E1570102</t>
  </si>
  <si>
    <t>https://squarix.modakita.com//m2tf6l//avatar/21046114520251224112017MNX0RX.jpg</t>
  </si>
  <si>
    <t>JMH2E1571237</t>
  </si>
  <si>
    <t>https://squarix.modakita.com//m2tf6l//avatar/214650632202512181143325Q283E.jpg</t>
  </si>
  <si>
    <t>JMH2E1571247</t>
  </si>
  <si>
    <t>https://squarix.modakita.com//m2tf6l//avatar/21470337320251227093927CCUWPF.jpg</t>
  </si>
  <si>
    <t>JMH2E1572708</t>
  </si>
  <si>
    <t>https://squarix.modakita.com//m2tf6l//avatar/2806043720251222151157SE6DTD.jpg</t>
  </si>
  <si>
    <t>JMH2E1584535</t>
  </si>
  <si>
    <t>https://squarix.modakita.com//m2tf6l//avatar/21046114520251231133056UHXRHO.jpg</t>
  </si>
  <si>
    <t>JMH2E1621450</t>
  </si>
  <si>
    <t>https://hana.modakita.com/azd942/avatar/21073372420251211142552V2VMAE.jpg</t>
  </si>
  <si>
    <t>KC04E1016964</t>
  </si>
  <si>
    <t>https://hana.modakita.com/azd942/avatar/2104611452025121114222173S8QE.jpg</t>
  </si>
  <si>
    <t>KC04E1023170</t>
  </si>
  <si>
    <t>https://squarix.modakita.com//m2tf6l//avatar/2914187020251215122957UVD04C.jpg</t>
  </si>
  <si>
    <t>KCB1E1060395</t>
  </si>
  <si>
    <t>https://squarix.modakita.com//m2tf6l//avatar/21470350020251227094947GGUPHB.jpg</t>
  </si>
  <si>
    <t>KD11E1612274</t>
  </si>
  <si>
    <t>https://hana.modakita.com/azd942/avatar/21073372920251213114620GYQ7NC.jpg</t>
  </si>
  <si>
    <t>KF01E1933807</t>
  </si>
  <si>
    <t>https://hana.modakita.com/azd942/avatar/210733724202512061100598ERJ1U.jpg</t>
  </si>
  <si>
    <t>KFC1E1206636</t>
  </si>
  <si>
    <t>https://hana.modakita.com/azd942/avatar/21046114520251211105334Y1ZSWM.jpg</t>
  </si>
  <si>
    <t>KFC1E1225116</t>
  </si>
  <si>
    <t>https://squarix.modakita.com//m2tf6l//avatar/21046114520251217134332YQGII7.jpg</t>
  </si>
  <si>
    <t>KFC1E1225734</t>
  </si>
  <si>
    <t>https://squarix.modakita.com//m2tf6l//avatar/21467369120251222111617YE7J2N.heic</t>
  </si>
  <si>
    <t>KFD1E1128920</t>
  </si>
  <si>
    <t>https://hana.modakita.com/azd942/avatar/21073372420251210103314FZNXYR.jpg</t>
  </si>
  <si>
    <t>KFD1E1141625</t>
  </si>
  <si>
    <t>https://squarix.modakita.com//m2tf6l//avatar/21073372420251223131227Q87V1D.jpg</t>
  </si>
  <si>
    <t>KFE1E1218463</t>
  </si>
  <si>
    <t>https://squarix.modakita.com//m2tf6l//avatar/210733729202512161131493IILCG.jpg</t>
  </si>
  <si>
    <t>KFE1E1272482</t>
  </si>
  <si>
    <t>https://hana.modakita.com/azd942/avatar/2667633620251211111209LRDWDL.jpg</t>
  </si>
  <si>
    <t>KFE1E1352694</t>
  </si>
  <si>
    <t>https://hana.modakita.com/azd942/avatar/21046114520251206105427IFWDEY.jpg</t>
  </si>
  <si>
    <t>KFE2E1067403</t>
  </si>
  <si>
    <t>https://hana.modakita.com/azd942/avatar/21046114520251210104148O7ACWW.jpg</t>
  </si>
  <si>
    <t>KFE3E1044495</t>
  </si>
  <si>
    <t>https://hana.modakita.com/azd942/avatar/21046114520251203100848CHTTVH.jpg</t>
  </si>
  <si>
    <t>No. Surat Klaim</t>
  </si>
  <si>
    <t>12804-260102_0942</t>
  </si>
  <si>
    <t>12804-251211_0923</t>
  </si>
  <si>
    <t>12804-251222_0947</t>
  </si>
  <si>
    <t>Tgls STAR</t>
  </si>
  <si>
    <t>Cek Tgls</t>
  </si>
  <si>
    <t>Tglb STAR</t>
  </si>
  <si>
    <t>Cek Tglb</t>
  </si>
  <si>
    <t>KM STAR</t>
  </si>
  <si>
    <t>Cek KM</t>
  </si>
  <si>
    <t>13/12/2025</t>
  </si>
  <si>
    <t>JMC1E1732320</t>
  </si>
  <si>
    <t>13/10/2025</t>
  </si>
  <si>
    <t>Tidak ada di WEBC</t>
  </si>
  <si>
    <t>Speedo tidak sesuai tipe</t>
  </si>
  <si>
    <t>KM tidak jelas</t>
  </si>
  <si>
    <t>Ok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</si>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</sst>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AF05-EB30-4965-83A1-4D326F00C655}">
  <sheetPr filterMode="1"/>
  <dimension ref="A1:O43"/>
  <sheetViews>
    <sheetView workbookViewId="0">
      <pane ySplit="1" topLeftCell="A17" activePane="bottomLeft" state="frozen"/>
      <selection pane="bottomLeft"/>
    </sheetView>
  </sheetViews>
  <sheetFormatPr defaultRowHeight="14.4" x14ac:dyDescent="0.3"/>
  <cols>
    <col min="1" max="1" width="19.44140625" bestFit="1" customWidth="1"/>
    <col min="2" max="2" width="13.6640625" bestFit="1" customWidth="1"/>
    <col min="4" max="4" width="6" bestFit="1" customWidth="1"/>
    <col min="5" max="6" width="6" customWidth="1"/>
    <col min="7" max="10" width="11.6640625" customWidth="1"/>
    <col min="11" max="13" width="13.33203125" customWidth="1"/>
    <col min="14" max="14" width="79.5546875" hidden="1" customWidth="1"/>
    <col min="15" max="15" width="6.33203125" bestFit="1" customWidth="1"/>
  </cols>
  <sheetData>
    <row r="1" spans="1:15" x14ac:dyDescent="0.3">
      <c r="A1" s="2" t="s">
        <v>95</v>
      </c>
      <c r="B1" s="2" t="s">
        <v>0</v>
      </c>
      <c r="C1" s="2" t="s">
        <v>1</v>
      </c>
      <c r="D1" s="2" t="s">
        <v>2</v>
      </c>
      <c r="E1" s="2" t="s">
        <v>103</v>
      </c>
      <c r="F1" s="2" t="s">
        <v>104</v>
      </c>
      <c r="G1" s="2" t="s">
        <v>3</v>
      </c>
      <c r="H1" s="2" t="s">
        <v>101</v>
      </c>
      <c r="I1" s="4" t="s">
        <v>112</v>
      </c>
      <c r="J1" s="2" t="s">
        <v>102</v>
      </c>
      <c r="K1" s="2" t="s">
        <v>4</v>
      </c>
      <c r="L1" s="2" t="s">
        <v>99</v>
      </c>
      <c r="M1" s="2" t="s">
        <v>100</v>
      </c>
      <c r="N1" s="2" t="s">
        <v>5</v>
      </c>
      <c r="O1" s="3" t="s">
        <v>6</v>
      </c>
    </row>
    <row r="2" spans="1:15" hidden="1" x14ac:dyDescent="0.3">
      <c r="A2" t="s">
        <v>96</v>
      </c>
      <c r="B2" t="s">
        <v>11</v>
      </c>
      <c r="C2" t="s">
        <v>10</v>
      </c>
      <c r="D2">
        <v>1673</v>
      </c>
      <c r="E2">
        <v>1673</v>
      </c>
      <c r="F2" t="str">
        <f t="shared" ref="F2:F43" si="0">IF(D2=E2,"OK","Not")</f>
        <v>OK</v>
      </c>
      <c r="G2" s="1">
        <v>45936</v>
      </c>
      <c r="H2" s="1">
        <v>45936</v>
      </c>
      <c r="I2">
        <f>H2-G2</f>
        <v>0</v>
      </c>
      <c r="J2" t="str">
        <f t="shared" ref="J2:J43" si="1">IF(G2=H2,"OK","Not")</f>
        <v>OK</v>
      </c>
      <c r="K2" s="1">
        <v>46018</v>
      </c>
      <c r="L2" s="1">
        <v>46018</v>
      </c>
      <c r="M2" t="str">
        <f t="shared" ref="M2:M43" si="2">IF(K2=L2,"OK","Not")</f>
        <v>OK</v>
      </c>
      <c r="N2" t="s">
        <v>12</v>
      </c>
      <c r="O2" t="s">
        <v>111</v>
      </c>
    </row>
    <row r="3" spans="1:15" hidden="1" x14ac:dyDescent="0.3">
      <c r="A3" t="s">
        <v>97</v>
      </c>
      <c r="B3" t="s">
        <v>13</v>
      </c>
      <c r="C3" t="s">
        <v>9</v>
      </c>
      <c r="D3">
        <v>633</v>
      </c>
      <c r="E3">
        <v>633</v>
      </c>
      <c r="F3" t="str">
        <f t="shared" si="0"/>
        <v>OK</v>
      </c>
      <c r="G3" s="1">
        <v>45980</v>
      </c>
      <c r="H3" s="1">
        <v>45980</v>
      </c>
      <c r="I3">
        <f t="shared" ref="I3:I43" si="3">H3-G3</f>
        <v>0</v>
      </c>
      <c r="J3" t="str">
        <f t="shared" si="1"/>
        <v>OK</v>
      </c>
      <c r="K3" s="1">
        <v>46001</v>
      </c>
      <c r="L3" s="1">
        <v>46001</v>
      </c>
      <c r="M3" t="str">
        <f t="shared" si="2"/>
        <v>OK</v>
      </c>
      <c r="N3" t="s">
        <v>14</v>
      </c>
      <c r="O3" t="s">
        <v>111</v>
      </c>
    </row>
    <row r="4" spans="1:15" hidden="1" x14ac:dyDescent="0.3">
      <c r="A4" t="s">
        <v>97</v>
      </c>
      <c r="B4" t="s">
        <v>15</v>
      </c>
      <c r="C4" t="s">
        <v>10</v>
      </c>
      <c r="D4">
        <v>3841</v>
      </c>
      <c r="E4">
        <v>3841</v>
      </c>
      <c r="F4" t="str">
        <f t="shared" si="0"/>
        <v>OK</v>
      </c>
      <c r="G4" s="1">
        <v>45885</v>
      </c>
      <c r="H4" s="1">
        <v>45885</v>
      </c>
      <c r="I4">
        <f t="shared" si="3"/>
        <v>0</v>
      </c>
      <c r="J4" t="str">
        <f t="shared" si="1"/>
        <v>OK</v>
      </c>
      <c r="K4" s="1">
        <v>45994</v>
      </c>
      <c r="L4" s="1">
        <v>45994</v>
      </c>
      <c r="M4" t="str">
        <f t="shared" si="2"/>
        <v>OK</v>
      </c>
      <c r="N4" t="s">
        <v>16</v>
      </c>
      <c r="O4" t="s">
        <v>111</v>
      </c>
    </row>
    <row r="5" spans="1:15" hidden="1" x14ac:dyDescent="0.3">
      <c r="A5" t="s">
        <v>96</v>
      </c>
      <c r="B5" t="s">
        <v>17</v>
      </c>
      <c r="C5" t="s">
        <v>9</v>
      </c>
      <c r="D5">
        <v>702</v>
      </c>
      <c r="E5">
        <v>702</v>
      </c>
      <c r="F5" t="str">
        <f t="shared" si="0"/>
        <v>OK</v>
      </c>
      <c r="G5" s="1">
        <v>45995</v>
      </c>
      <c r="H5" s="1">
        <v>45995</v>
      </c>
      <c r="I5">
        <f t="shared" si="3"/>
        <v>0</v>
      </c>
      <c r="J5" t="str">
        <f t="shared" si="1"/>
        <v>OK</v>
      </c>
      <c r="K5" s="1">
        <v>46014</v>
      </c>
      <c r="L5" s="1">
        <v>46014</v>
      </c>
      <c r="M5" t="str">
        <f t="shared" si="2"/>
        <v>OK</v>
      </c>
      <c r="N5" t="s">
        <v>18</v>
      </c>
      <c r="O5" t="s">
        <v>111</v>
      </c>
    </row>
    <row r="6" spans="1:15" hidden="1" x14ac:dyDescent="0.3">
      <c r="A6" t="s">
        <v>98</v>
      </c>
      <c r="B6" t="s">
        <v>19</v>
      </c>
      <c r="C6" t="s">
        <v>10</v>
      </c>
      <c r="D6">
        <v>1719</v>
      </c>
      <c r="E6">
        <v>1719</v>
      </c>
      <c r="F6" t="str">
        <f t="shared" si="0"/>
        <v>OK</v>
      </c>
      <c r="G6" s="1">
        <v>45936</v>
      </c>
      <c r="H6" s="1">
        <v>45936</v>
      </c>
      <c r="I6">
        <f t="shared" si="3"/>
        <v>0</v>
      </c>
      <c r="J6" t="str">
        <f t="shared" si="1"/>
        <v>OK</v>
      </c>
      <c r="K6" s="1">
        <v>46002</v>
      </c>
      <c r="L6" s="1">
        <v>46002</v>
      </c>
      <c r="M6" t="str">
        <f t="shared" si="2"/>
        <v>OK</v>
      </c>
      <c r="N6" t="s">
        <v>20</v>
      </c>
      <c r="O6" t="s">
        <v>111</v>
      </c>
    </row>
    <row r="7" spans="1:15" hidden="1" x14ac:dyDescent="0.3">
      <c r="A7" t="s">
        <v>96</v>
      </c>
      <c r="B7" t="s">
        <v>21</v>
      </c>
      <c r="C7" t="s">
        <v>10</v>
      </c>
      <c r="D7">
        <v>3533</v>
      </c>
      <c r="E7">
        <v>3533</v>
      </c>
      <c r="F7" t="str">
        <f t="shared" si="0"/>
        <v>OK</v>
      </c>
      <c r="G7" s="1">
        <v>45956</v>
      </c>
      <c r="H7" s="1">
        <v>45956</v>
      </c>
      <c r="I7">
        <f t="shared" si="3"/>
        <v>0</v>
      </c>
      <c r="J7" t="str">
        <f t="shared" si="1"/>
        <v>OK</v>
      </c>
      <c r="K7" s="1">
        <v>46014</v>
      </c>
      <c r="L7" s="1">
        <v>46014</v>
      </c>
      <c r="M7" t="str">
        <f t="shared" si="2"/>
        <v>OK</v>
      </c>
      <c r="N7" t="s">
        <v>22</v>
      </c>
      <c r="O7" t="s">
        <v>111</v>
      </c>
    </row>
    <row r="8" spans="1:15" hidden="1" x14ac:dyDescent="0.3">
      <c r="A8" t="s">
        <v>98</v>
      </c>
      <c r="B8" t="s">
        <v>23</v>
      </c>
      <c r="C8" t="s">
        <v>9</v>
      </c>
      <c r="D8">
        <v>789</v>
      </c>
      <c r="E8">
        <v>789</v>
      </c>
      <c r="F8" t="str">
        <f t="shared" si="0"/>
        <v>OK</v>
      </c>
      <c r="G8" s="1">
        <v>45979</v>
      </c>
      <c r="H8" s="1">
        <v>45979</v>
      </c>
      <c r="I8">
        <f t="shared" si="3"/>
        <v>0</v>
      </c>
      <c r="J8" t="str">
        <f t="shared" si="1"/>
        <v>OK</v>
      </c>
      <c r="K8" s="1">
        <v>46009</v>
      </c>
      <c r="L8" s="1">
        <v>46009</v>
      </c>
      <c r="M8" t="str">
        <f t="shared" si="2"/>
        <v>OK</v>
      </c>
      <c r="N8" t="s">
        <v>24</v>
      </c>
      <c r="O8" t="s">
        <v>111</v>
      </c>
    </row>
    <row r="9" spans="1:15" hidden="1" x14ac:dyDescent="0.3">
      <c r="A9" t="s">
        <v>98</v>
      </c>
      <c r="B9" t="s">
        <v>25</v>
      </c>
      <c r="C9" t="s">
        <v>9</v>
      </c>
      <c r="D9">
        <v>898</v>
      </c>
      <c r="E9">
        <v>898</v>
      </c>
      <c r="F9" t="str">
        <f t="shared" si="0"/>
        <v>OK</v>
      </c>
      <c r="G9" s="1">
        <v>45956</v>
      </c>
      <c r="H9" s="1">
        <v>45956</v>
      </c>
      <c r="I9">
        <f t="shared" si="3"/>
        <v>0</v>
      </c>
      <c r="J9" t="str">
        <f t="shared" si="1"/>
        <v>OK</v>
      </c>
      <c r="K9" s="1">
        <v>46011</v>
      </c>
      <c r="L9" s="1">
        <v>46011</v>
      </c>
      <c r="M9" t="str">
        <f t="shared" si="2"/>
        <v>OK</v>
      </c>
      <c r="N9" t="s">
        <v>26</v>
      </c>
      <c r="O9" t="s">
        <v>111</v>
      </c>
    </row>
    <row r="10" spans="1:15" hidden="1" x14ac:dyDescent="0.3">
      <c r="A10" t="s">
        <v>96</v>
      </c>
      <c r="B10" t="s">
        <v>27</v>
      </c>
      <c r="C10" t="s">
        <v>9</v>
      </c>
      <c r="D10">
        <v>193</v>
      </c>
      <c r="E10">
        <v>193</v>
      </c>
      <c r="F10" t="str">
        <f t="shared" si="0"/>
        <v>OK</v>
      </c>
      <c r="G10" s="1">
        <v>46003</v>
      </c>
      <c r="H10" s="1">
        <v>46003</v>
      </c>
      <c r="I10">
        <f t="shared" si="3"/>
        <v>0</v>
      </c>
      <c r="J10" t="str">
        <f t="shared" si="1"/>
        <v>OK</v>
      </c>
      <c r="K10" s="1">
        <v>46013</v>
      </c>
      <c r="L10" s="1">
        <v>46013</v>
      </c>
      <c r="M10" t="str">
        <f t="shared" si="2"/>
        <v>OK</v>
      </c>
      <c r="N10" t="s">
        <v>28</v>
      </c>
      <c r="O10" t="s">
        <v>111</v>
      </c>
    </row>
    <row r="11" spans="1:15" hidden="1" x14ac:dyDescent="0.3">
      <c r="A11" t="s">
        <v>97</v>
      </c>
      <c r="B11" t="s">
        <v>29</v>
      </c>
      <c r="C11" t="s">
        <v>10</v>
      </c>
      <c r="D11">
        <v>1897</v>
      </c>
      <c r="E11">
        <v>1897</v>
      </c>
      <c r="F11" t="str">
        <f t="shared" si="0"/>
        <v>OK</v>
      </c>
      <c r="G11" s="1">
        <v>45901</v>
      </c>
      <c r="H11" s="1">
        <v>45901</v>
      </c>
      <c r="I11">
        <f t="shared" si="3"/>
        <v>0</v>
      </c>
      <c r="J11" t="str">
        <f t="shared" si="1"/>
        <v>OK</v>
      </c>
      <c r="K11" s="1">
        <v>45992</v>
      </c>
      <c r="L11" s="1">
        <v>45992</v>
      </c>
      <c r="M11" t="str">
        <f t="shared" si="2"/>
        <v>OK</v>
      </c>
      <c r="N11" t="s">
        <v>30</v>
      </c>
      <c r="O11" t="s">
        <v>111</v>
      </c>
    </row>
    <row r="12" spans="1:15" hidden="1" x14ac:dyDescent="0.3">
      <c r="A12" t="s">
        <v>96</v>
      </c>
      <c r="B12" t="s">
        <v>31</v>
      </c>
      <c r="C12" t="s">
        <v>9</v>
      </c>
      <c r="D12">
        <v>470</v>
      </c>
      <c r="E12">
        <v>470</v>
      </c>
      <c r="F12" t="str">
        <f t="shared" si="0"/>
        <v>OK</v>
      </c>
      <c r="G12" s="1">
        <v>45978</v>
      </c>
      <c r="H12" s="1">
        <v>45978</v>
      </c>
      <c r="I12">
        <f t="shared" si="3"/>
        <v>0</v>
      </c>
      <c r="J12" t="str">
        <f t="shared" si="1"/>
        <v>OK</v>
      </c>
      <c r="K12" s="1">
        <v>46015</v>
      </c>
      <c r="L12" s="1">
        <v>46015</v>
      </c>
      <c r="M12" t="str">
        <f t="shared" si="2"/>
        <v>OK</v>
      </c>
      <c r="N12" t="s">
        <v>32</v>
      </c>
      <c r="O12" t="s">
        <v>111</v>
      </c>
    </row>
    <row r="13" spans="1:15" hidden="1" x14ac:dyDescent="0.3">
      <c r="A13" t="s">
        <v>98</v>
      </c>
      <c r="B13" t="s">
        <v>33</v>
      </c>
      <c r="C13" t="s">
        <v>9</v>
      </c>
      <c r="D13">
        <v>530</v>
      </c>
      <c r="E13">
        <v>530</v>
      </c>
      <c r="F13" t="str">
        <f t="shared" si="0"/>
        <v>OK</v>
      </c>
      <c r="G13" s="1">
        <v>45983</v>
      </c>
      <c r="H13" s="1">
        <v>45983</v>
      </c>
      <c r="I13">
        <f t="shared" si="3"/>
        <v>0</v>
      </c>
      <c r="J13" t="str">
        <f t="shared" si="1"/>
        <v>OK</v>
      </c>
      <c r="K13" s="1">
        <v>46010</v>
      </c>
      <c r="L13" s="1">
        <v>46010</v>
      </c>
      <c r="M13" t="str">
        <f t="shared" si="2"/>
        <v>OK</v>
      </c>
      <c r="N13" t="s">
        <v>34</v>
      </c>
      <c r="O13" t="s">
        <v>111</v>
      </c>
    </row>
    <row r="14" spans="1:15" hidden="1" x14ac:dyDescent="0.3">
      <c r="A14" t="s">
        <v>96</v>
      </c>
      <c r="B14" t="s">
        <v>35</v>
      </c>
      <c r="C14" t="s">
        <v>8</v>
      </c>
      <c r="D14">
        <v>4216</v>
      </c>
      <c r="E14">
        <v>4216</v>
      </c>
      <c r="F14" t="str">
        <f t="shared" si="0"/>
        <v>OK</v>
      </c>
      <c r="G14" s="1">
        <v>45925</v>
      </c>
      <c r="H14" s="1">
        <v>45925</v>
      </c>
      <c r="I14">
        <f t="shared" si="3"/>
        <v>0</v>
      </c>
      <c r="J14" t="str">
        <f t="shared" si="1"/>
        <v>OK</v>
      </c>
      <c r="K14" s="1">
        <v>46015</v>
      </c>
      <c r="L14" s="1">
        <v>46015</v>
      </c>
      <c r="M14" t="str">
        <f t="shared" si="2"/>
        <v>OK</v>
      </c>
      <c r="N14" t="s">
        <v>36</v>
      </c>
      <c r="O14" t="s">
        <v>111</v>
      </c>
    </row>
    <row r="15" spans="1:15" hidden="1" x14ac:dyDescent="0.3">
      <c r="A15" t="s">
        <v>96</v>
      </c>
      <c r="B15" t="s">
        <v>37</v>
      </c>
      <c r="C15" t="s">
        <v>10</v>
      </c>
      <c r="D15">
        <v>2099</v>
      </c>
      <c r="E15">
        <v>2099</v>
      </c>
      <c r="F15" t="str">
        <f t="shared" si="0"/>
        <v>OK</v>
      </c>
      <c r="G15" s="1">
        <v>45922</v>
      </c>
      <c r="H15" s="1">
        <v>45922</v>
      </c>
      <c r="I15">
        <f t="shared" si="3"/>
        <v>0</v>
      </c>
      <c r="J15" t="str">
        <f t="shared" si="1"/>
        <v>OK</v>
      </c>
      <c r="K15" s="1">
        <v>46015</v>
      </c>
      <c r="L15" s="1">
        <v>46015</v>
      </c>
      <c r="M15" t="str">
        <f t="shared" si="2"/>
        <v>OK</v>
      </c>
      <c r="N15" t="s">
        <v>38</v>
      </c>
      <c r="O15" t="s">
        <v>111</v>
      </c>
    </row>
    <row r="16" spans="1:15" hidden="1" x14ac:dyDescent="0.3">
      <c r="A16" t="s">
        <v>98</v>
      </c>
      <c r="B16" t="s">
        <v>39</v>
      </c>
      <c r="C16" t="s">
        <v>7</v>
      </c>
      <c r="D16">
        <v>5683</v>
      </c>
      <c r="E16">
        <v>5683</v>
      </c>
      <c r="F16" t="str">
        <f t="shared" si="0"/>
        <v>OK</v>
      </c>
      <c r="G16" s="1">
        <v>45869</v>
      </c>
      <c r="H16" s="1">
        <v>45869</v>
      </c>
      <c r="I16">
        <f t="shared" si="3"/>
        <v>0</v>
      </c>
      <c r="J16" t="str">
        <f t="shared" si="1"/>
        <v>OK</v>
      </c>
      <c r="K16" s="1">
        <v>46002</v>
      </c>
      <c r="L16" s="1">
        <v>46002</v>
      </c>
      <c r="M16" t="str">
        <f t="shared" si="2"/>
        <v>OK</v>
      </c>
      <c r="N16" t="s">
        <v>40</v>
      </c>
      <c r="O16" t="s">
        <v>111</v>
      </c>
    </row>
    <row r="17" spans="1:15" x14ac:dyDescent="0.3">
      <c r="A17" t="s">
        <v>96</v>
      </c>
      <c r="B17" t="s">
        <v>41</v>
      </c>
      <c r="C17" t="s">
        <v>8</v>
      </c>
      <c r="D17">
        <v>3797</v>
      </c>
      <c r="E17">
        <v>3797</v>
      </c>
      <c r="F17" t="str">
        <f t="shared" si="0"/>
        <v>OK</v>
      </c>
      <c r="G17" s="1">
        <v>45929</v>
      </c>
      <c r="H17" s="1">
        <v>45929</v>
      </c>
      <c r="I17">
        <f t="shared" si="3"/>
        <v>0</v>
      </c>
      <c r="J17" t="str">
        <f t="shared" si="1"/>
        <v>OK</v>
      </c>
      <c r="K17" s="1">
        <v>46013</v>
      </c>
      <c r="L17" s="1">
        <v>46013</v>
      </c>
      <c r="M17" t="str">
        <f t="shared" si="2"/>
        <v>OK</v>
      </c>
      <c r="N17" t="s">
        <v>42</v>
      </c>
      <c r="O17" t="s">
        <v>109</v>
      </c>
    </row>
    <row r="18" spans="1:15" hidden="1" x14ac:dyDescent="0.3">
      <c r="A18" t="s">
        <v>98</v>
      </c>
      <c r="B18" t="s">
        <v>43</v>
      </c>
      <c r="C18" t="s">
        <v>9</v>
      </c>
      <c r="D18">
        <v>701</v>
      </c>
      <c r="E18">
        <v>701</v>
      </c>
      <c r="F18" t="str">
        <f t="shared" si="0"/>
        <v>OK</v>
      </c>
      <c r="G18" s="1">
        <v>45972</v>
      </c>
      <c r="H18" s="1">
        <v>45972</v>
      </c>
      <c r="I18">
        <f t="shared" si="3"/>
        <v>0</v>
      </c>
      <c r="J18" t="str">
        <f t="shared" si="1"/>
        <v>OK</v>
      </c>
      <c r="K18" s="1">
        <v>46002</v>
      </c>
      <c r="L18" s="1">
        <v>46002</v>
      </c>
      <c r="M18" t="str">
        <f t="shared" si="2"/>
        <v>OK</v>
      </c>
      <c r="N18" t="s">
        <v>44</v>
      </c>
      <c r="O18" t="s">
        <v>111</v>
      </c>
    </row>
    <row r="19" spans="1:15" hidden="1" x14ac:dyDescent="0.3">
      <c r="A19" t="s">
        <v>98</v>
      </c>
      <c r="B19" t="s">
        <v>45</v>
      </c>
      <c r="C19" t="s">
        <v>9</v>
      </c>
      <c r="D19">
        <v>580</v>
      </c>
      <c r="E19">
        <v>580</v>
      </c>
      <c r="F19" t="str">
        <f t="shared" si="0"/>
        <v>OK</v>
      </c>
      <c r="G19" s="1">
        <v>45986</v>
      </c>
      <c r="H19" s="1">
        <v>45986</v>
      </c>
      <c r="I19">
        <f t="shared" si="3"/>
        <v>0</v>
      </c>
      <c r="J19" t="str">
        <f t="shared" si="1"/>
        <v>OK</v>
      </c>
      <c r="K19" s="1">
        <v>46007</v>
      </c>
      <c r="L19" s="1">
        <v>46007</v>
      </c>
      <c r="M19" t="str">
        <f t="shared" si="2"/>
        <v>OK</v>
      </c>
      <c r="N19" t="s">
        <v>46</v>
      </c>
      <c r="O19" t="s">
        <v>111</v>
      </c>
    </row>
    <row r="20" spans="1:15" hidden="1" x14ac:dyDescent="0.3">
      <c r="A20" t="s">
        <v>97</v>
      </c>
      <c r="B20" t="s">
        <v>47</v>
      </c>
      <c r="C20" t="s">
        <v>8</v>
      </c>
      <c r="D20">
        <v>4491</v>
      </c>
      <c r="E20">
        <v>4491</v>
      </c>
      <c r="F20" t="str">
        <f t="shared" si="0"/>
        <v>OK</v>
      </c>
      <c r="G20" s="1">
        <v>45805</v>
      </c>
      <c r="H20" s="1">
        <v>45804</v>
      </c>
      <c r="I20">
        <f t="shared" si="3"/>
        <v>-1</v>
      </c>
      <c r="J20" t="str">
        <f t="shared" si="1"/>
        <v>Not</v>
      </c>
      <c r="K20" s="1">
        <v>45993</v>
      </c>
      <c r="L20" s="1">
        <v>45993</v>
      </c>
      <c r="M20" t="str">
        <f t="shared" si="2"/>
        <v>OK</v>
      </c>
      <c r="N20" t="s">
        <v>48</v>
      </c>
      <c r="O20" t="s">
        <v>111</v>
      </c>
    </row>
    <row r="21" spans="1:15" hidden="1" x14ac:dyDescent="0.3">
      <c r="A21" t="s">
        <v>97</v>
      </c>
      <c r="B21" t="s">
        <v>49</v>
      </c>
      <c r="C21" t="s">
        <v>8</v>
      </c>
      <c r="D21">
        <v>4272</v>
      </c>
      <c r="E21">
        <v>4272</v>
      </c>
      <c r="F21" t="str">
        <f t="shared" si="0"/>
        <v>OK</v>
      </c>
      <c r="G21" s="1">
        <v>45904</v>
      </c>
      <c r="H21" s="1">
        <v>45904</v>
      </c>
      <c r="I21">
        <f t="shared" si="3"/>
        <v>0</v>
      </c>
      <c r="J21" t="str">
        <f t="shared" si="1"/>
        <v>OK</v>
      </c>
      <c r="K21" s="1">
        <v>45995</v>
      </c>
      <c r="L21" s="1">
        <v>45995</v>
      </c>
      <c r="M21" t="str">
        <f t="shared" si="2"/>
        <v>OK</v>
      </c>
      <c r="N21" t="s">
        <v>50</v>
      </c>
      <c r="O21" t="s">
        <v>111</v>
      </c>
    </row>
    <row r="22" spans="1:15" hidden="1" x14ac:dyDescent="0.3">
      <c r="A22" t="s">
        <v>98</v>
      </c>
      <c r="B22" t="s">
        <v>51</v>
      </c>
      <c r="C22" t="s">
        <v>9</v>
      </c>
      <c r="D22">
        <v>814</v>
      </c>
      <c r="E22">
        <v>814</v>
      </c>
      <c r="F22" t="str">
        <f t="shared" si="0"/>
        <v>OK</v>
      </c>
      <c r="G22" s="1">
        <v>45947</v>
      </c>
      <c r="H22" s="1">
        <v>45947</v>
      </c>
      <c r="I22">
        <f t="shared" si="3"/>
        <v>0</v>
      </c>
      <c r="J22" t="str">
        <f t="shared" si="1"/>
        <v>OK</v>
      </c>
      <c r="K22" s="1">
        <v>46009</v>
      </c>
      <c r="L22" s="1">
        <v>46009</v>
      </c>
      <c r="M22" t="str">
        <f t="shared" si="2"/>
        <v>OK</v>
      </c>
      <c r="N22" t="s">
        <v>52</v>
      </c>
      <c r="O22" t="s">
        <v>111</v>
      </c>
    </row>
    <row r="23" spans="1:15" hidden="1" x14ac:dyDescent="0.3">
      <c r="A23" t="s">
        <v>96</v>
      </c>
      <c r="B23" t="s">
        <v>53</v>
      </c>
      <c r="C23" t="s">
        <v>9</v>
      </c>
      <c r="D23">
        <v>934</v>
      </c>
      <c r="E23">
        <v>934</v>
      </c>
      <c r="F23" t="str">
        <f t="shared" si="0"/>
        <v>OK</v>
      </c>
      <c r="G23" s="1">
        <v>45980</v>
      </c>
      <c r="H23" s="1">
        <v>45980</v>
      </c>
      <c r="I23">
        <f t="shared" si="3"/>
        <v>0</v>
      </c>
      <c r="J23" t="str">
        <f t="shared" si="1"/>
        <v>OK</v>
      </c>
      <c r="K23" s="1">
        <v>46015</v>
      </c>
      <c r="L23" s="1">
        <v>46015</v>
      </c>
      <c r="M23" t="str">
        <f t="shared" si="2"/>
        <v>OK</v>
      </c>
      <c r="N23" t="s">
        <v>54</v>
      </c>
      <c r="O23" t="s">
        <v>111</v>
      </c>
    </row>
    <row r="24" spans="1:15" hidden="1" x14ac:dyDescent="0.3">
      <c r="A24" t="s">
        <v>98</v>
      </c>
      <c r="B24" t="s">
        <v>55</v>
      </c>
      <c r="C24" t="s">
        <v>9</v>
      </c>
      <c r="D24">
        <v>735</v>
      </c>
      <c r="E24">
        <v>735</v>
      </c>
      <c r="F24" t="str">
        <f t="shared" si="0"/>
        <v>OK</v>
      </c>
      <c r="G24" s="1">
        <v>45983</v>
      </c>
      <c r="H24" s="1">
        <v>45980</v>
      </c>
      <c r="I24">
        <f t="shared" si="3"/>
        <v>-3</v>
      </c>
      <c r="J24" t="str">
        <f t="shared" si="1"/>
        <v>Not</v>
      </c>
      <c r="K24" s="1">
        <v>46009</v>
      </c>
      <c r="L24" s="1">
        <v>46009</v>
      </c>
      <c r="M24" t="str">
        <f t="shared" si="2"/>
        <v>OK</v>
      </c>
      <c r="N24" t="s">
        <v>56</v>
      </c>
      <c r="O24" t="s">
        <v>111</v>
      </c>
    </row>
    <row r="25" spans="1:15" hidden="1" x14ac:dyDescent="0.3">
      <c r="A25" t="s">
        <v>96</v>
      </c>
      <c r="B25" t="s">
        <v>57</v>
      </c>
      <c r="C25" t="s">
        <v>9</v>
      </c>
      <c r="D25">
        <v>437</v>
      </c>
      <c r="E25">
        <v>437</v>
      </c>
      <c r="F25" t="str">
        <f t="shared" si="0"/>
        <v>OK</v>
      </c>
      <c r="G25" s="1">
        <v>45982</v>
      </c>
      <c r="H25" s="1">
        <v>45982</v>
      </c>
      <c r="I25">
        <f t="shared" si="3"/>
        <v>0</v>
      </c>
      <c r="J25" t="str">
        <f t="shared" si="1"/>
        <v>OK</v>
      </c>
      <c r="K25" s="1">
        <v>46018</v>
      </c>
      <c r="L25" s="1">
        <v>46018</v>
      </c>
      <c r="M25" t="str">
        <f t="shared" si="2"/>
        <v>OK</v>
      </c>
      <c r="N25" t="s">
        <v>58</v>
      </c>
      <c r="O25" t="s">
        <v>111</v>
      </c>
    </row>
    <row r="26" spans="1:15" hidden="1" x14ac:dyDescent="0.3">
      <c r="A26" t="s">
        <v>96</v>
      </c>
      <c r="B26" t="s">
        <v>59</v>
      </c>
      <c r="C26" t="s">
        <v>9</v>
      </c>
      <c r="D26">
        <v>663</v>
      </c>
      <c r="E26">
        <v>663</v>
      </c>
      <c r="F26" t="str">
        <f t="shared" si="0"/>
        <v>OK</v>
      </c>
      <c r="G26" s="1">
        <v>45988</v>
      </c>
      <c r="H26" s="1">
        <v>45988</v>
      </c>
      <c r="I26">
        <f t="shared" si="3"/>
        <v>0</v>
      </c>
      <c r="J26" t="str">
        <f t="shared" si="1"/>
        <v>OK</v>
      </c>
      <c r="K26" s="1">
        <v>46013</v>
      </c>
      <c r="L26" s="1">
        <v>46013</v>
      </c>
      <c r="M26" t="str">
        <f t="shared" si="2"/>
        <v>OK</v>
      </c>
      <c r="N26" t="s">
        <v>60</v>
      </c>
      <c r="O26" t="s">
        <v>111</v>
      </c>
    </row>
    <row r="27" spans="1:15" hidden="1" x14ac:dyDescent="0.3">
      <c r="A27" t="s">
        <v>96</v>
      </c>
      <c r="B27" t="s">
        <v>61</v>
      </c>
      <c r="C27" t="s">
        <v>10</v>
      </c>
      <c r="D27">
        <v>1745</v>
      </c>
      <c r="E27">
        <v>1745</v>
      </c>
      <c r="F27" t="str">
        <f t="shared" si="0"/>
        <v>OK</v>
      </c>
      <c r="G27" s="1">
        <v>45957</v>
      </c>
      <c r="H27" s="1">
        <v>45957</v>
      </c>
      <c r="I27">
        <f t="shared" si="3"/>
        <v>0</v>
      </c>
      <c r="J27" t="str">
        <f t="shared" si="1"/>
        <v>OK</v>
      </c>
      <c r="K27" s="1">
        <v>46022</v>
      </c>
      <c r="L27" s="1">
        <v>46022</v>
      </c>
      <c r="M27" t="str">
        <f t="shared" si="2"/>
        <v>OK</v>
      </c>
      <c r="N27" t="s">
        <v>62</v>
      </c>
      <c r="O27" t="s">
        <v>111</v>
      </c>
    </row>
    <row r="28" spans="1:15" hidden="1" x14ac:dyDescent="0.3">
      <c r="A28" t="s">
        <v>98</v>
      </c>
      <c r="B28" t="s">
        <v>63</v>
      </c>
      <c r="C28" t="s">
        <v>9</v>
      </c>
      <c r="D28">
        <v>522</v>
      </c>
      <c r="E28">
        <v>522</v>
      </c>
      <c r="F28" t="str">
        <f t="shared" si="0"/>
        <v>OK</v>
      </c>
      <c r="G28" s="1">
        <v>45975</v>
      </c>
      <c r="H28" s="1">
        <v>45975</v>
      </c>
      <c r="I28">
        <f t="shared" si="3"/>
        <v>0</v>
      </c>
      <c r="J28" t="str">
        <f t="shared" si="1"/>
        <v>OK</v>
      </c>
      <c r="K28" s="1">
        <v>46002</v>
      </c>
      <c r="L28" s="1">
        <v>46002</v>
      </c>
      <c r="M28" t="str">
        <f t="shared" si="2"/>
        <v>OK</v>
      </c>
      <c r="N28" t="s">
        <v>64</v>
      </c>
      <c r="O28" t="s">
        <v>111</v>
      </c>
    </row>
    <row r="29" spans="1:15" hidden="1" x14ac:dyDescent="0.3">
      <c r="A29" t="s">
        <v>98</v>
      </c>
      <c r="B29" t="s">
        <v>65</v>
      </c>
      <c r="C29" t="s">
        <v>10</v>
      </c>
      <c r="D29">
        <v>1453</v>
      </c>
      <c r="E29">
        <v>1453</v>
      </c>
      <c r="F29" t="str">
        <f t="shared" si="0"/>
        <v>OK</v>
      </c>
      <c r="G29" s="1">
        <v>45910</v>
      </c>
      <c r="H29" s="1">
        <v>45909</v>
      </c>
      <c r="I29">
        <f t="shared" si="3"/>
        <v>-1</v>
      </c>
      <c r="J29" t="str">
        <f t="shared" si="1"/>
        <v>Not</v>
      </c>
      <c r="K29" s="1">
        <v>46002</v>
      </c>
      <c r="L29" s="1">
        <v>46002</v>
      </c>
      <c r="M29" t="str">
        <f t="shared" si="2"/>
        <v>OK</v>
      </c>
      <c r="N29" t="s">
        <v>66</v>
      </c>
      <c r="O29" t="s">
        <v>111</v>
      </c>
    </row>
    <row r="30" spans="1:15" x14ac:dyDescent="0.3">
      <c r="A30" t="s">
        <v>98</v>
      </c>
      <c r="B30" t="s">
        <v>67</v>
      </c>
      <c r="C30" t="s">
        <v>10</v>
      </c>
      <c r="D30">
        <v>2799</v>
      </c>
      <c r="E30">
        <v>2799</v>
      </c>
      <c r="F30" t="str">
        <f t="shared" si="0"/>
        <v>OK</v>
      </c>
      <c r="G30" s="1">
        <v>45952</v>
      </c>
      <c r="H30" s="1">
        <v>45952</v>
      </c>
      <c r="I30">
        <f t="shared" si="3"/>
        <v>0</v>
      </c>
      <c r="J30" t="str">
        <f t="shared" si="1"/>
        <v>OK</v>
      </c>
      <c r="K30" s="1">
        <v>46006</v>
      </c>
      <c r="L30" s="1">
        <v>46006</v>
      </c>
      <c r="M30" t="str">
        <f t="shared" si="2"/>
        <v>OK</v>
      </c>
      <c r="N30" t="s">
        <v>68</v>
      </c>
      <c r="O30" t="s">
        <v>110</v>
      </c>
    </row>
    <row r="31" spans="1:15" hidden="1" x14ac:dyDescent="0.3">
      <c r="A31" t="s">
        <v>96</v>
      </c>
      <c r="B31" t="s">
        <v>69</v>
      </c>
      <c r="C31" t="s">
        <v>10</v>
      </c>
      <c r="D31">
        <v>2898</v>
      </c>
      <c r="E31">
        <v>2898</v>
      </c>
      <c r="F31" t="str">
        <f t="shared" si="0"/>
        <v>OK</v>
      </c>
      <c r="G31" s="1">
        <v>45927</v>
      </c>
      <c r="H31" s="1">
        <v>45927</v>
      </c>
      <c r="I31">
        <f t="shared" si="3"/>
        <v>0</v>
      </c>
      <c r="J31" t="str">
        <f t="shared" si="1"/>
        <v>OK</v>
      </c>
      <c r="K31" s="1">
        <v>46018</v>
      </c>
      <c r="L31" s="1">
        <v>46018</v>
      </c>
      <c r="M31" t="str">
        <f t="shared" si="2"/>
        <v>OK</v>
      </c>
      <c r="N31" t="s">
        <v>70</v>
      </c>
      <c r="O31" t="s">
        <v>111</v>
      </c>
    </row>
    <row r="32" spans="1:15" x14ac:dyDescent="0.3">
      <c r="A32" t="s">
        <v>98</v>
      </c>
      <c r="B32" t="s">
        <v>71</v>
      </c>
      <c r="C32" t="s">
        <v>7</v>
      </c>
      <c r="D32">
        <v>4584</v>
      </c>
      <c r="E32">
        <v>4584</v>
      </c>
      <c r="F32" t="str">
        <f t="shared" si="0"/>
        <v>OK</v>
      </c>
      <c r="G32" s="1">
        <v>45839</v>
      </c>
      <c r="H32" s="1">
        <v>45839</v>
      </c>
      <c r="I32">
        <f t="shared" si="3"/>
        <v>0</v>
      </c>
      <c r="J32" t="str">
        <f t="shared" si="1"/>
        <v>OK</v>
      </c>
      <c r="K32" s="1">
        <v>46004</v>
      </c>
      <c r="L32" s="1">
        <v>46004</v>
      </c>
      <c r="M32" t="str">
        <f t="shared" si="2"/>
        <v>OK</v>
      </c>
      <c r="N32" t="s">
        <v>72</v>
      </c>
      <c r="O32" t="s">
        <v>109</v>
      </c>
    </row>
    <row r="33" spans="1:15" hidden="1" x14ac:dyDescent="0.3">
      <c r="A33" t="s">
        <v>97</v>
      </c>
      <c r="B33" t="s">
        <v>73</v>
      </c>
      <c r="C33" t="s">
        <v>10</v>
      </c>
      <c r="D33">
        <v>2001</v>
      </c>
      <c r="E33">
        <v>2001</v>
      </c>
      <c r="F33" t="str">
        <f t="shared" si="0"/>
        <v>OK</v>
      </c>
      <c r="G33" s="1">
        <v>45875</v>
      </c>
      <c r="H33" s="1">
        <v>45875</v>
      </c>
      <c r="I33">
        <f t="shared" si="3"/>
        <v>0</v>
      </c>
      <c r="J33" t="str">
        <f t="shared" si="1"/>
        <v>OK</v>
      </c>
      <c r="K33" s="1">
        <v>45997</v>
      </c>
      <c r="L33" s="1">
        <v>45997</v>
      </c>
      <c r="M33" t="str">
        <f t="shared" si="2"/>
        <v>OK</v>
      </c>
      <c r="N33" t="s">
        <v>74</v>
      </c>
      <c r="O33" t="s">
        <v>111</v>
      </c>
    </row>
    <row r="34" spans="1:15" hidden="1" x14ac:dyDescent="0.3">
      <c r="A34" t="s">
        <v>98</v>
      </c>
      <c r="B34" t="s">
        <v>75</v>
      </c>
      <c r="C34" t="s">
        <v>9</v>
      </c>
      <c r="D34">
        <v>961</v>
      </c>
      <c r="E34">
        <v>961</v>
      </c>
      <c r="F34" t="str">
        <f t="shared" si="0"/>
        <v>OK</v>
      </c>
      <c r="G34" s="1">
        <v>45952</v>
      </c>
      <c r="H34" s="1">
        <v>45952</v>
      </c>
      <c r="I34">
        <f t="shared" si="3"/>
        <v>0</v>
      </c>
      <c r="J34" t="str">
        <f t="shared" si="1"/>
        <v>OK</v>
      </c>
      <c r="K34" s="1">
        <v>46002</v>
      </c>
      <c r="L34" s="1">
        <v>46002</v>
      </c>
      <c r="M34" t="str">
        <f t="shared" si="2"/>
        <v>OK</v>
      </c>
      <c r="N34" t="s">
        <v>76</v>
      </c>
      <c r="O34" t="s">
        <v>111</v>
      </c>
    </row>
    <row r="35" spans="1:15" hidden="1" x14ac:dyDescent="0.3">
      <c r="A35" t="s">
        <v>98</v>
      </c>
      <c r="B35" t="s">
        <v>77</v>
      </c>
      <c r="C35" t="s">
        <v>9</v>
      </c>
      <c r="D35">
        <v>865</v>
      </c>
      <c r="E35">
        <v>865</v>
      </c>
      <c r="F35" t="str">
        <f t="shared" si="0"/>
        <v>OK</v>
      </c>
      <c r="G35" s="1">
        <v>45988</v>
      </c>
      <c r="H35" s="1">
        <v>45988</v>
      </c>
      <c r="I35">
        <f t="shared" si="3"/>
        <v>0</v>
      </c>
      <c r="J35" t="str">
        <f t="shared" si="1"/>
        <v>OK</v>
      </c>
      <c r="K35" s="1">
        <v>46008</v>
      </c>
      <c r="L35" s="1">
        <v>46008</v>
      </c>
      <c r="M35" t="str">
        <f t="shared" si="2"/>
        <v>OK</v>
      </c>
      <c r="N35" t="s">
        <v>78</v>
      </c>
      <c r="O35" t="s">
        <v>111</v>
      </c>
    </row>
    <row r="36" spans="1:15" hidden="1" x14ac:dyDescent="0.3">
      <c r="A36" t="s">
        <v>96</v>
      </c>
      <c r="B36" t="s">
        <v>79</v>
      </c>
      <c r="C36" t="s">
        <v>9</v>
      </c>
      <c r="D36">
        <v>702</v>
      </c>
      <c r="E36">
        <v>702</v>
      </c>
      <c r="F36" t="str">
        <f t="shared" si="0"/>
        <v>OK</v>
      </c>
      <c r="G36" s="1">
        <v>45990</v>
      </c>
      <c r="H36" s="1">
        <v>45990</v>
      </c>
      <c r="I36">
        <f t="shared" si="3"/>
        <v>0</v>
      </c>
      <c r="J36" t="str">
        <f t="shared" si="1"/>
        <v>OK</v>
      </c>
      <c r="K36" s="1">
        <v>46013</v>
      </c>
      <c r="L36" s="1">
        <v>46013</v>
      </c>
      <c r="M36" t="str">
        <f t="shared" si="2"/>
        <v>OK</v>
      </c>
      <c r="N36" t="s">
        <v>80</v>
      </c>
      <c r="O36" t="s">
        <v>111</v>
      </c>
    </row>
    <row r="37" spans="1:15" hidden="1" x14ac:dyDescent="0.3">
      <c r="A37" t="s">
        <v>97</v>
      </c>
      <c r="B37" t="s">
        <v>81</v>
      </c>
      <c r="C37" t="s">
        <v>10</v>
      </c>
      <c r="D37">
        <v>1367</v>
      </c>
      <c r="E37">
        <v>1367</v>
      </c>
      <c r="F37" t="str">
        <f t="shared" si="0"/>
        <v>OK</v>
      </c>
      <c r="G37" s="1">
        <v>45829</v>
      </c>
      <c r="H37" s="1">
        <v>45829</v>
      </c>
      <c r="I37">
        <f t="shared" si="3"/>
        <v>0</v>
      </c>
      <c r="J37" t="str">
        <f t="shared" si="1"/>
        <v>OK</v>
      </c>
      <c r="K37" s="1">
        <v>46001</v>
      </c>
      <c r="L37" s="1">
        <v>46001</v>
      </c>
      <c r="M37" t="str">
        <f t="shared" si="2"/>
        <v>OK</v>
      </c>
      <c r="N37" t="s">
        <v>82</v>
      </c>
      <c r="O37" t="s">
        <v>111</v>
      </c>
    </row>
    <row r="38" spans="1:15" hidden="1" x14ac:dyDescent="0.3">
      <c r="A38" t="s">
        <v>96</v>
      </c>
      <c r="B38" t="s">
        <v>83</v>
      </c>
      <c r="C38" t="s">
        <v>10</v>
      </c>
      <c r="D38">
        <v>2584</v>
      </c>
      <c r="E38">
        <v>2584</v>
      </c>
      <c r="F38" t="str">
        <f t="shared" si="0"/>
        <v>OK</v>
      </c>
      <c r="G38" s="1">
        <v>45862</v>
      </c>
      <c r="H38" s="1">
        <v>45862</v>
      </c>
      <c r="I38">
        <f t="shared" si="3"/>
        <v>0</v>
      </c>
      <c r="J38" t="str">
        <f t="shared" si="1"/>
        <v>OK</v>
      </c>
      <c r="K38" s="1">
        <v>46014</v>
      </c>
      <c r="L38" s="1">
        <v>46014</v>
      </c>
      <c r="M38" t="str">
        <f t="shared" si="2"/>
        <v>OK</v>
      </c>
      <c r="N38" t="s">
        <v>84</v>
      </c>
      <c r="O38" t="s">
        <v>111</v>
      </c>
    </row>
    <row r="39" spans="1:15" hidden="1" x14ac:dyDescent="0.3">
      <c r="A39" t="s">
        <v>98</v>
      </c>
      <c r="B39" t="s">
        <v>85</v>
      </c>
      <c r="C39" t="s">
        <v>10</v>
      </c>
      <c r="D39">
        <v>1391</v>
      </c>
      <c r="E39">
        <v>1391</v>
      </c>
      <c r="F39" t="str">
        <f t="shared" si="0"/>
        <v>OK</v>
      </c>
      <c r="G39" s="1">
        <v>45922</v>
      </c>
      <c r="H39" s="1">
        <v>45922</v>
      </c>
      <c r="I39">
        <f t="shared" si="3"/>
        <v>0</v>
      </c>
      <c r="J39" t="str">
        <f t="shared" si="1"/>
        <v>OK</v>
      </c>
      <c r="K39" s="1">
        <v>46007</v>
      </c>
      <c r="L39" s="1">
        <v>46007</v>
      </c>
      <c r="M39" t="str">
        <f t="shared" si="2"/>
        <v>OK</v>
      </c>
      <c r="N39" t="s">
        <v>86</v>
      </c>
      <c r="O39" t="s">
        <v>111</v>
      </c>
    </row>
    <row r="40" spans="1:15" hidden="1" x14ac:dyDescent="0.3">
      <c r="A40" t="s">
        <v>98</v>
      </c>
      <c r="B40" t="s">
        <v>87</v>
      </c>
      <c r="C40" t="s">
        <v>8</v>
      </c>
      <c r="D40">
        <v>4624</v>
      </c>
      <c r="E40">
        <v>4624</v>
      </c>
      <c r="F40" t="str">
        <f t="shared" si="0"/>
        <v>OK</v>
      </c>
      <c r="G40" s="1">
        <v>45924</v>
      </c>
      <c r="H40" s="1">
        <v>45924</v>
      </c>
      <c r="I40">
        <f t="shared" si="3"/>
        <v>0</v>
      </c>
      <c r="J40" t="str">
        <f t="shared" si="1"/>
        <v>OK</v>
      </c>
      <c r="K40" s="1">
        <v>46002</v>
      </c>
      <c r="L40" s="1">
        <v>46002</v>
      </c>
      <c r="M40" t="str">
        <f t="shared" si="2"/>
        <v>OK</v>
      </c>
      <c r="N40" t="s">
        <v>88</v>
      </c>
      <c r="O40" t="s">
        <v>111</v>
      </c>
    </row>
    <row r="41" spans="1:15" hidden="1" x14ac:dyDescent="0.3">
      <c r="A41" t="s">
        <v>97</v>
      </c>
      <c r="B41" t="s">
        <v>89</v>
      </c>
      <c r="C41" t="s">
        <v>9</v>
      </c>
      <c r="D41">
        <v>519</v>
      </c>
      <c r="E41">
        <v>519</v>
      </c>
      <c r="F41" t="str">
        <f t="shared" si="0"/>
        <v>OK</v>
      </c>
      <c r="G41" s="1">
        <v>45967</v>
      </c>
      <c r="H41" s="1">
        <v>45967</v>
      </c>
      <c r="I41">
        <f t="shared" si="3"/>
        <v>0</v>
      </c>
      <c r="J41" t="str">
        <f t="shared" si="1"/>
        <v>OK</v>
      </c>
      <c r="K41" s="1">
        <v>45997</v>
      </c>
      <c r="L41" s="1">
        <v>45997</v>
      </c>
      <c r="M41" t="str">
        <f t="shared" si="2"/>
        <v>OK</v>
      </c>
      <c r="N41" t="s">
        <v>90</v>
      </c>
      <c r="O41" t="s">
        <v>111</v>
      </c>
    </row>
    <row r="42" spans="1:15" hidden="1" x14ac:dyDescent="0.3">
      <c r="A42" t="s">
        <v>97</v>
      </c>
      <c r="B42" t="s">
        <v>91</v>
      </c>
      <c r="C42" t="s">
        <v>9</v>
      </c>
      <c r="D42">
        <v>224</v>
      </c>
      <c r="E42">
        <v>224</v>
      </c>
      <c r="F42" t="str">
        <f t="shared" si="0"/>
        <v>OK</v>
      </c>
      <c r="G42" s="1">
        <v>45989</v>
      </c>
      <c r="H42" s="1">
        <v>45989</v>
      </c>
      <c r="I42">
        <f t="shared" si="3"/>
        <v>0</v>
      </c>
      <c r="J42" t="str">
        <f t="shared" si="1"/>
        <v>OK</v>
      </c>
      <c r="K42" s="1">
        <v>46001</v>
      </c>
      <c r="L42" s="1">
        <v>46001</v>
      </c>
      <c r="M42" t="str">
        <f t="shared" si="2"/>
        <v>OK</v>
      </c>
      <c r="N42" t="s">
        <v>92</v>
      </c>
      <c r="O42" t="s">
        <v>111</v>
      </c>
    </row>
    <row r="43" spans="1:15" hidden="1" x14ac:dyDescent="0.3">
      <c r="A43" t="s">
        <v>97</v>
      </c>
      <c r="B43" t="s">
        <v>93</v>
      </c>
      <c r="C43" t="s">
        <v>9</v>
      </c>
      <c r="D43">
        <v>238</v>
      </c>
      <c r="E43">
        <v>238</v>
      </c>
      <c r="F43" t="str">
        <f t="shared" si="0"/>
        <v>OK</v>
      </c>
      <c r="G43" s="1">
        <v>45952</v>
      </c>
      <c r="H43" s="1">
        <v>45952</v>
      </c>
      <c r="I43">
        <f t="shared" si="3"/>
        <v>0</v>
      </c>
      <c r="J43" t="str">
        <f t="shared" si="1"/>
        <v>OK</v>
      </c>
      <c r="K43" s="1">
        <v>45994</v>
      </c>
      <c r="L43" s="1">
        <v>45994</v>
      </c>
      <c r="M43" t="str">
        <f t="shared" si="2"/>
        <v>OK</v>
      </c>
      <c r="N43" t="s">
        <v>94</v>
      </c>
      <c r="O43" t="s">
        <v>111</v>
      </c>
    </row>
  </sheetData>
  <autoFilter ref="A1:O43" xr:uid="{B938AF05-EB30-4965-83A1-4D326F00C655}">
    <filterColumn colId="14">
      <filters>
        <filter val="KM tidak jelas"/>
        <filter val="Speedo tidak sesuai tipe"/>
      </filters>
    </filterColumn>
    <sortState xmlns:xlrd2="http://schemas.microsoft.com/office/spreadsheetml/2017/richdata2" ref="A2:O43">
      <sortCondition ref="B1:B43"/>
    </sortState>
  </autoFilter>
  <conditionalFormatting sqref="B1:B1048576">
    <cfRule type="duplicateValues" dxfId="4" priority="2"/>
  </conditionalFormatting>
  <conditionalFormatting sqref="F1:F1048576 J2:J43 M2:M43">
    <cfRule type="containsText" dxfId="3" priority="7" operator="containsText" text="Not">
      <formula>NOT(ISERROR(SEARCH("Not",F1)))</formula>
    </cfRule>
    <cfRule type="containsText" dxfId="2" priority="8" operator="containsText" text="OK">
      <formula>NOT(ISERROR(SEARCH("OK",F1)))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5CA6D-E462-402F-AD4B-3B9260FD3F82}">
  <dimension ref="A1:G2"/>
  <sheetViews>
    <sheetView tabSelected="1" workbookViewId="0">
      <selection activeCell="G7" sqref="G7"/>
    </sheetView>
  </sheetViews>
  <sheetFormatPr defaultRowHeight="14.4" x14ac:dyDescent="0.3"/>
  <cols>
    <col min="1" max="1" width="17.5546875" customWidth="1"/>
    <col min="2" max="2" width="8.5546875" bestFit="1" customWidth="1"/>
    <col min="3" max="4" width="10.44140625" customWidth="1"/>
    <col min="5" max="5" width="5" bestFit="1" customWidth="1"/>
    <col min="6" max="6" width="19.5546875" customWidth="1"/>
    <col min="7" max="7" width="18.6640625" customWidth="1"/>
  </cols>
  <sheetData>
    <row r="1" spans="1:7" ht="33.9" customHeight="1" x14ac:dyDescent="0.3">
      <c r="A1" s="7" t="s">
        <v>0</v>
      </c>
      <c r="B1" s="7" t="s">
        <v>1</v>
      </c>
      <c r="C1" s="7" t="s">
        <v>3</v>
      </c>
      <c r="D1" s="7" t="s">
        <v>4</v>
      </c>
      <c r="E1" s="7" t="s">
        <v>2</v>
      </c>
      <c r="F1" s="8" t="s">
        <v>95</v>
      </c>
      <c r="G1" s="11" t="s">
        <v>6</v>
      </c>
    </row>
    <row r="2" spans="1:7" ht="33.9" customHeight="1" x14ac:dyDescent="0.3">
      <c r="A2" s="5" t="s">
        <v>106</v>
      </c>
      <c r="B2" s="6" t="s">
        <v>10</v>
      </c>
      <c r="C2" s="6" t="s">
        <v>107</v>
      </c>
      <c r="D2" s="6" t="s">
        <v>105</v>
      </c>
      <c r="E2" s="6">
        <v>3000</v>
      </c>
      <c r="F2" s="9" t="s">
        <v>98</v>
      </c>
      <c r="G2" s="10" t="s">
        <v>108</v>
      </c>
    </row>
  </sheetData>
  <conditionalFormatting sqref="A1">
    <cfRule type="duplicateValues" dxfId="1" priority="1"/>
  </conditionalFormatting>
  <conditionalFormatting sqref="A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Tidak ada di WEBC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2026-01-07T04:27:30Z</dcterms:created>
  <dcterms:modified xsi:type="dcterms:W3CDTF">2026-01-30T07:11:53Z</dcterms:modified>
</cp:coreProperties>
</file>