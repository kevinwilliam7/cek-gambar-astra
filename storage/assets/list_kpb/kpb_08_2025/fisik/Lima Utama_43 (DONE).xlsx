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kscindy0050\Desktop\KPB Done\"/>
    </mc:Choice>
  </mc:AlternateContent>
  <bookViews>
    <workbookView xWindow="0" yWindow="0" windowWidth="20490" windowHeight="7500" activeTab="1"/>
  </bookViews>
  <sheets>
    <sheet name="Report Rekap KPB" sheetId="1" r:id="rId1"/>
    <sheet name="Report Detail KPB" sheetId="2" r:id="rId2"/>
  </sheets>
  <definedNames>
    <definedName name="_xlnm._FilterDatabase" localSheetId="1" hidden="1">'Report Detail KPB'!$A$1:$O$44</definedName>
    <definedName name="_xlnm.Print_Area" localSheetId="1">'Report Detail KPB'!$A$1:$E$44</definedName>
    <definedName name="_xlnm.Print_Area" localSheetId="0">'Report Rekap KPB'!$A$1:$L$10</definedName>
  </definedNames>
  <calcPr calcId="162913"/>
</workbook>
</file>

<file path=xl/calcChain.xml><?xml version="1.0" encoding="utf-8"?>
<calcChain xmlns="http://schemas.openxmlformats.org/spreadsheetml/2006/main">
  <c r="G3" i="2" l="1"/>
  <c r="H3" i="2"/>
  <c r="M3" i="2" s="1"/>
  <c r="I3" i="2"/>
  <c r="J3" i="2"/>
  <c r="K3" i="2"/>
  <c r="L3" i="2"/>
  <c r="O3" i="2"/>
  <c r="G4" i="2"/>
  <c r="H4" i="2"/>
  <c r="M4" i="2" s="1"/>
  <c r="I4" i="2"/>
  <c r="J4" i="2"/>
  <c r="K4" i="2"/>
  <c r="L4" i="2"/>
  <c r="O4" i="2"/>
  <c r="G5" i="2"/>
  <c r="H5" i="2"/>
  <c r="M5" i="2" s="1"/>
  <c r="I5" i="2"/>
  <c r="J5" i="2"/>
  <c r="K5" i="2"/>
  <c r="L5" i="2"/>
  <c r="O5" i="2"/>
  <c r="G6" i="2"/>
  <c r="H6" i="2"/>
  <c r="M6" i="2" s="1"/>
  <c r="I6" i="2"/>
  <c r="J6" i="2"/>
  <c r="K6" i="2"/>
  <c r="L6" i="2"/>
  <c r="O6" i="2"/>
  <c r="G7" i="2"/>
  <c r="H7" i="2"/>
  <c r="M7" i="2" s="1"/>
  <c r="I7" i="2"/>
  <c r="J7" i="2"/>
  <c r="K7" i="2"/>
  <c r="L7" i="2"/>
  <c r="O7" i="2"/>
  <c r="G8" i="2"/>
  <c r="H8" i="2"/>
  <c r="M8" i="2" s="1"/>
  <c r="I8" i="2"/>
  <c r="J8" i="2"/>
  <c r="K8" i="2"/>
  <c r="L8" i="2"/>
  <c r="O8" i="2"/>
  <c r="G9" i="2"/>
  <c r="H9" i="2"/>
  <c r="M9" i="2" s="1"/>
  <c r="I9" i="2"/>
  <c r="J9" i="2"/>
  <c r="K9" i="2"/>
  <c r="L9" i="2"/>
  <c r="O9" i="2"/>
  <c r="G10" i="2"/>
  <c r="H10" i="2"/>
  <c r="M10" i="2" s="1"/>
  <c r="I10" i="2"/>
  <c r="J10" i="2"/>
  <c r="K10" i="2"/>
  <c r="L10" i="2"/>
  <c r="O10" i="2"/>
  <c r="G11" i="2"/>
  <c r="H11" i="2"/>
  <c r="M11" i="2" s="1"/>
  <c r="I11" i="2"/>
  <c r="J11" i="2"/>
  <c r="K11" i="2"/>
  <c r="L11" i="2"/>
  <c r="O11" i="2"/>
  <c r="G12" i="2"/>
  <c r="H12" i="2"/>
  <c r="M12" i="2" s="1"/>
  <c r="I12" i="2"/>
  <c r="J12" i="2"/>
  <c r="K12" i="2"/>
  <c r="L12" i="2"/>
  <c r="O12" i="2"/>
  <c r="G13" i="2"/>
  <c r="H13" i="2"/>
  <c r="M13" i="2" s="1"/>
  <c r="I13" i="2"/>
  <c r="J13" i="2"/>
  <c r="K13" i="2"/>
  <c r="L13" i="2"/>
  <c r="O13" i="2"/>
  <c r="G14" i="2"/>
  <c r="H14" i="2"/>
  <c r="M14" i="2" s="1"/>
  <c r="I14" i="2"/>
  <c r="J14" i="2"/>
  <c r="K14" i="2"/>
  <c r="L14" i="2"/>
  <c r="O14" i="2"/>
  <c r="G15" i="2"/>
  <c r="H15" i="2"/>
  <c r="M15" i="2" s="1"/>
  <c r="I15" i="2"/>
  <c r="J15" i="2"/>
  <c r="K15" i="2"/>
  <c r="L15" i="2"/>
  <c r="O15" i="2"/>
  <c r="G16" i="2"/>
  <c r="H16" i="2"/>
  <c r="M16" i="2" s="1"/>
  <c r="I16" i="2"/>
  <c r="J16" i="2"/>
  <c r="K16" i="2"/>
  <c r="L16" i="2"/>
  <c r="O16" i="2"/>
  <c r="G17" i="2"/>
  <c r="H17" i="2"/>
  <c r="M17" i="2" s="1"/>
  <c r="I17" i="2"/>
  <c r="J17" i="2"/>
  <c r="K17" i="2"/>
  <c r="L17" i="2"/>
  <c r="O17" i="2"/>
  <c r="G18" i="2"/>
  <c r="H18" i="2"/>
  <c r="M18" i="2" s="1"/>
  <c r="I18" i="2"/>
  <c r="J18" i="2"/>
  <c r="K18" i="2"/>
  <c r="L18" i="2"/>
  <c r="O18" i="2"/>
  <c r="G19" i="2"/>
  <c r="H19" i="2"/>
  <c r="M19" i="2" s="1"/>
  <c r="I19" i="2"/>
  <c r="J19" i="2"/>
  <c r="K19" i="2"/>
  <c r="L19" i="2"/>
  <c r="O19" i="2"/>
  <c r="G20" i="2"/>
  <c r="H20" i="2"/>
  <c r="M20" i="2" s="1"/>
  <c r="I20" i="2"/>
  <c r="J20" i="2"/>
  <c r="K20" i="2"/>
  <c r="L20" i="2"/>
  <c r="O20" i="2"/>
  <c r="G21" i="2"/>
  <c r="H21" i="2"/>
  <c r="M21" i="2" s="1"/>
  <c r="I21" i="2"/>
  <c r="J21" i="2"/>
  <c r="K21" i="2"/>
  <c r="L21" i="2"/>
  <c r="O21" i="2"/>
  <c r="G22" i="2"/>
  <c r="H22" i="2"/>
  <c r="M22" i="2" s="1"/>
  <c r="I22" i="2"/>
  <c r="J22" i="2"/>
  <c r="K22" i="2"/>
  <c r="L22" i="2"/>
  <c r="O22" i="2"/>
  <c r="G23" i="2"/>
  <c r="H23" i="2"/>
  <c r="M23" i="2" s="1"/>
  <c r="I23" i="2"/>
  <c r="J23" i="2"/>
  <c r="K23" i="2"/>
  <c r="L23" i="2"/>
  <c r="O23" i="2"/>
  <c r="G24" i="2"/>
  <c r="H24" i="2"/>
  <c r="M24" i="2" s="1"/>
  <c r="I24" i="2"/>
  <c r="J24" i="2"/>
  <c r="K24" i="2"/>
  <c r="L24" i="2"/>
  <c r="O24" i="2"/>
  <c r="G25" i="2"/>
  <c r="H25" i="2"/>
  <c r="M25" i="2" s="1"/>
  <c r="I25" i="2"/>
  <c r="J25" i="2"/>
  <c r="K25" i="2"/>
  <c r="L25" i="2"/>
  <c r="O25" i="2"/>
  <c r="G26" i="2"/>
  <c r="H26" i="2"/>
  <c r="M26" i="2" s="1"/>
  <c r="I26" i="2"/>
  <c r="J26" i="2"/>
  <c r="K26" i="2"/>
  <c r="L26" i="2"/>
  <c r="O26" i="2"/>
  <c r="G27" i="2"/>
  <c r="H27" i="2"/>
  <c r="M27" i="2" s="1"/>
  <c r="I27" i="2"/>
  <c r="J27" i="2"/>
  <c r="K27" i="2"/>
  <c r="L27" i="2"/>
  <c r="O27" i="2"/>
  <c r="G28" i="2"/>
  <c r="H28" i="2"/>
  <c r="M28" i="2" s="1"/>
  <c r="I28" i="2"/>
  <c r="J28" i="2"/>
  <c r="K28" i="2"/>
  <c r="L28" i="2"/>
  <c r="O28" i="2"/>
  <c r="G29" i="2"/>
  <c r="H29" i="2"/>
  <c r="M29" i="2" s="1"/>
  <c r="I29" i="2"/>
  <c r="J29" i="2"/>
  <c r="K29" i="2"/>
  <c r="L29" i="2"/>
  <c r="O29" i="2"/>
  <c r="G30" i="2"/>
  <c r="H30" i="2"/>
  <c r="M30" i="2" s="1"/>
  <c r="I30" i="2"/>
  <c r="J30" i="2"/>
  <c r="K30" i="2"/>
  <c r="L30" i="2"/>
  <c r="O30" i="2"/>
  <c r="G31" i="2"/>
  <c r="H31" i="2"/>
  <c r="M31" i="2" s="1"/>
  <c r="I31" i="2"/>
  <c r="J31" i="2"/>
  <c r="K31" i="2"/>
  <c r="L31" i="2"/>
  <c r="O31" i="2"/>
  <c r="G32" i="2"/>
  <c r="H32" i="2"/>
  <c r="M32" i="2" s="1"/>
  <c r="I32" i="2"/>
  <c r="J32" i="2"/>
  <c r="K32" i="2"/>
  <c r="L32" i="2"/>
  <c r="O32" i="2"/>
  <c r="G33" i="2"/>
  <c r="H33" i="2"/>
  <c r="M33" i="2" s="1"/>
  <c r="I33" i="2"/>
  <c r="J33" i="2"/>
  <c r="K33" i="2"/>
  <c r="L33" i="2"/>
  <c r="O33" i="2"/>
  <c r="G34" i="2"/>
  <c r="H34" i="2"/>
  <c r="M34" i="2" s="1"/>
  <c r="I34" i="2"/>
  <c r="J34" i="2"/>
  <c r="K34" i="2"/>
  <c r="L34" i="2"/>
  <c r="O34" i="2"/>
  <c r="G35" i="2"/>
  <c r="H35" i="2"/>
  <c r="M35" i="2" s="1"/>
  <c r="I35" i="2"/>
  <c r="J35" i="2"/>
  <c r="K35" i="2"/>
  <c r="L35" i="2"/>
  <c r="O35" i="2"/>
  <c r="G36" i="2"/>
  <c r="H36" i="2"/>
  <c r="M36" i="2" s="1"/>
  <c r="I36" i="2"/>
  <c r="J36" i="2"/>
  <c r="K36" i="2"/>
  <c r="L36" i="2"/>
  <c r="O36" i="2"/>
  <c r="G37" i="2"/>
  <c r="H37" i="2"/>
  <c r="M37" i="2" s="1"/>
  <c r="I37" i="2"/>
  <c r="J37" i="2"/>
  <c r="K37" i="2"/>
  <c r="L37" i="2"/>
  <c r="O37" i="2"/>
  <c r="G38" i="2"/>
  <c r="H38" i="2"/>
  <c r="M38" i="2" s="1"/>
  <c r="I38" i="2"/>
  <c r="J38" i="2"/>
  <c r="K38" i="2"/>
  <c r="L38" i="2"/>
  <c r="O38" i="2"/>
  <c r="G39" i="2"/>
  <c r="H39" i="2"/>
  <c r="M39" i="2" s="1"/>
  <c r="I39" i="2"/>
  <c r="J39" i="2"/>
  <c r="K39" i="2"/>
  <c r="L39" i="2"/>
  <c r="O39" i="2"/>
  <c r="G40" i="2"/>
  <c r="H40" i="2"/>
  <c r="M40" i="2" s="1"/>
  <c r="I40" i="2"/>
  <c r="J40" i="2"/>
  <c r="K40" i="2"/>
  <c r="L40" i="2"/>
  <c r="O40" i="2"/>
  <c r="G41" i="2"/>
  <c r="H41" i="2"/>
  <c r="M41" i="2" s="1"/>
  <c r="I41" i="2"/>
  <c r="J41" i="2"/>
  <c r="K41" i="2"/>
  <c r="L41" i="2"/>
  <c r="O41" i="2"/>
  <c r="G42" i="2"/>
  <c r="H42" i="2"/>
  <c r="M42" i="2" s="1"/>
  <c r="I42" i="2"/>
  <c r="J42" i="2"/>
  <c r="K42" i="2"/>
  <c r="L42" i="2"/>
  <c r="O42" i="2"/>
  <c r="G43" i="2"/>
  <c r="H43" i="2"/>
  <c r="M43" i="2" s="1"/>
  <c r="I43" i="2"/>
  <c r="J43" i="2"/>
  <c r="K43" i="2"/>
  <c r="L43" i="2"/>
  <c r="O43" i="2"/>
  <c r="G44" i="2"/>
  <c r="H44" i="2"/>
  <c r="M44" i="2" s="1"/>
  <c r="I44" i="2"/>
  <c r="J44" i="2"/>
  <c r="K44" i="2"/>
  <c r="L44" i="2"/>
  <c r="O44" i="2"/>
  <c r="O2" i="2"/>
  <c r="L2" i="2"/>
  <c r="K2" i="2"/>
  <c r="J2" i="2"/>
  <c r="I2" i="2"/>
  <c r="H2" i="2"/>
  <c r="M2" i="2" s="1"/>
  <c r="G2" i="2"/>
  <c r="N35" i="2" l="1"/>
  <c r="N3" i="2"/>
  <c r="N44" i="2"/>
  <c r="N39" i="2"/>
  <c r="N27" i="2"/>
  <c r="N19" i="2"/>
  <c r="N11" i="2"/>
  <c r="N12" i="2"/>
  <c r="N4" i="2"/>
  <c r="N43" i="2"/>
  <c r="N37" i="2"/>
  <c r="N29" i="2"/>
  <c r="N21" i="2"/>
  <c r="N13" i="2"/>
  <c r="N5" i="2"/>
  <c r="N36" i="2"/>
  <c r="N28" i="2"/>
  <c r="N20" i="2"/>
  <c r="N31" i="2"/>
  <c r="N23" i="2"/>
  <c r="N15" i="2"/>
  <c r="N7" i="2"/>
  <c r="N2" i="2"/>
  <c r="N41" i="2"/>
  <c r="N40" i="2"/>
  <c r="N33" i="2"/>
  <c r="N32" i="2"/>
  <c r="N25" i="2"/>
  <c r="N24" i="2"/>
  <c r="N17" i="2"/>
  <c r="N16" i="2"/>
  <c r="N9" i="2"/>
  <c r="N8" i="2"/>
  <c r="N42" i="2"/>
  <c r="N38" i="2"/>
  <c r="N34" i="2"/>
  <c r="N30" i="2"/>
  <c r="N26" i="2"/>
  <c r="N22" i="2"/>
  <c r="N18" i="2"/>
  <c r="N14" i="2"/>
  <c r="N10" i="2"/>
  <c r="N6" i="2"/>
</calcChain>
</file>

<file path=xl/sharedStrings.xml><?xml version="1.0" encoding="utf-8"?>
<sst xmlns="http://schemas.openxmlformats.org/spreadsheetml/2006/main" count="314" uniqueCount="195">
  <si>
    <t>06936 - LIMA UTAMA MOTOR</t>
  </si>
  <si>
    <t>REKAP KPB
06936-250830_1616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</si>
  <si>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</si>
  <si>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</si>
  <si>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</si>
  <si>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</si>
  <si>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</si>
  <si>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</si>
  <si>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</si>
  <si>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</si>
  <si>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</si>
  <si>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</si>
  <si>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</si>
  <si>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</si>
  <si>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</si>
  <si>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</si>
  <si>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BEAT SERIES</t>
  </si>
  <si>
    <t>06936-250830_1616</t>
  </si>
  <si>
    <t>6</t>
  </si>
  <si>
    <t>5</t>
  </si>
  <si>
    <t>3</t>
  </si>
  <si>
    <t>15</t>
  </si>
  <si>
    <t>312,960</t>
  </si>
  <si>
    <t>225,515</t>
  </si>
  <si>
    <t>538,475</t>
  </si>
  <si>
    <t>Tidak</t>
  </si>
  <si>
    <t>2</t>
  </si>
  <si>
    <t>GENIO SERIES</t>
  </si>
  <si>
    <t>0</t>
  </si>
  <si>
    <t>26,400</t>
  </si>
  <si>
    <t>111,870</t>
  </si>
  <si>
    <t>138,270</t>
  </si>
  <si>
    <t>SCOOPY SERIES</t>
  </si>
  <si>
    <t>4</t>
  </si>
  <si>
    <t>9</t>
  </si>
  <si>
    <t>192,880</t>
  </si>
  <si>
    <t>112,580</t>
  </si>
  <si>
    <t>305,460</t>
  </si>
  <si>
    <t>SUPRA 125 SERIES</t>
  </si>
  <si>
    <t>18,000</t>
  </si>
  <si>
    <t>VARIO 125 SERIES</t>
  </si>
  <si>
    <t>14</t>
  </si>
  <si>
    <t>383,200</t>
  </si>
  <si>
    <t>32,740</t>
  </si>
  <si>
    <t>415,940</t>
  </si>
  <si>
    <t>VARIO 160 SERIES</t>
  </si>
  <si>
    <t>48,480</t>
  </si>
  <si>
    <t>No Engine</t>
  </si>
  <si>
    <t>Service Ke-</t>
  </si>
  <si>
    <t>Tgl Beli</t>
  </si>
  <si>
    <t>Tgl Service</t>
  </si>
  <si>
    <t>Km</t>
  </si>
  <si>
    <t>Type</t>
  </si>
  <si>
    <t>JMF1E1252513</t>
  </si>
  <si>
    <t>04/06/2025</t>
  </si>
  <si>
    <t>12/08/2025</t>
  </si>
  <si>
    <t>938</t>
  </si>
  <si>
    <t>JMF1E1248739</t>
  </si>
  <si>
    <t>16/07/2025</t>
  </si>
  <si>
    <t>997</t>
  </si>
  <si>
    <t>JME1E1542234</t>
  </si>
  <si>
    <t>14/07/2025</t>
  </si>
  <si>
    <t>1000</t>
  </si>
  <si>
    <t>JME1E1585931</t>
  </si>
  <si>
    <t>28/06/2025</t>
  </si>
  <si>
    <t>21/08/2025</t>
  </si>
  <si>
    <t>800</t>
  </si>
  <si>
    <t>JME1E1537745</t>
  </si>
  <si>
    <t>21/07/2025</t>
  </si>
  <si>
    <t>22/08/2025</t>
  </si>
  <si>
    <t>596</t>
  </si>
  <si>
    <t>JMF2E1458556</t>
  </si>
  <si>
    <t>24/06/2025</t>
  </si>
  <si>
    <t>23/08/2025</t>
  </si>
  <si>
    <t>JME1E1497725</t>
  </si>
  <si>
    <t>14/05/2025</t>
  </si>
  <si>
    <t>01/08/2025</t>
  </si>
  <si>
    <t>4000</t>
  </si>
  <si>
    <t>JME1E1536141</t>
  </si>
  <si>
    <t>12/06/2025</t>
  </si>
  <si>
    <t>04/08/2025</t>
  </si>
  <si>
    <t>JME1E1489281</t>
  </si>
  <si>
    <t>20/05/2025</t>
  </si>
  <si>
    <t>07/08/2025</t>
  </si>
  <si>
    <t>JME1E1476299</t>
  </si>
  <si>
    <t>30/04/2025</t>
  </si>
  <si>
    <t>1600</t>
  </si>
  <si>
    <t>JMF2E1281198</t>
  </si>
  <si>
    <t>17/04/2025</t>
  </si>
  <si>
    <t>15/08/2025</t>
  </si>
  <si>
    <t>115</t>
  </si>
  <si>
    <t>JMF1E1182951</t>
  </si>
  <si>
    <t>04/03/2025</t>
  </si>
  <si>
    <t>13/08/2025</t>
  </si>
  <si>
    <t>7000</t>
  </si>
  <si>
    <t>JME1E1348028</t>
  </si>
  <si>
    <t>15/02/2025</t>
  </si>
  <si>
    <t>8000</t>
  </si>
  <si>
    <t>JMF1E1273292</t>
  </si>
  <si>
    <t>07/07/2025</t>
  </si>
  <si>
    <t>29/08/2025</t>
  </si>
  <si>
    <t>2400</t>
  </si>
  <si>
    <t>JME1E1247248</t>
  </si>
  <si>
    <t>17/12/2024</t>
  </si>
  <si>
    <t>11984</t>
  </si>
  <si>
    <t>JMB1E1207616</t>
  </si>
  <si>
    <t>02/07/2025</t>
  </si>
  <si>
    <t>JMA1E1201278</t>
  </si>
  <si>
    <t>31/07/2025</t>
  </si>
  <si>
    <t>27/08/2025</t>
  </si>
  <si>
    <t>JMA1E1199500</t>
  </si>
  <si>
    <t>17/07/2025</t>
  </si>
  <si>
    <t>JMH1E1127884</t>
  </si>
  <si>
    <t>01/07/2025</t>
  </si>
  <si>
    <t>600</t>
  </si>
  <si>
    <t>JMH1E1171218</t>
  </si>
  <si>
    <t>04/07/2025</t>
  </si>
  <si>
    <t>722</t>
  </si>
  <si>
    <t>JMH2E1370194</t>
  </si>
  <si>
    <t>16/08/2025</t>
  </si>
  <si>
    <t>730</t>
  </si>
  <si>
    <t>JMH1E1138917</t>
  </si>
  <si>
    <t>09/06/2025</t>
  </si>
  <si>
    <t>1327</t>
  </si>
  <si>
    <t>JMH2E1132003</t>
  </si>
  <si>
    <t>3150</t>
  </si>
  <si>
    <t>JMH2E1250152</t>
  </si>
  <si>
    <t>10/06/2025</t>
  </si>
  <si>
    <t>2476</t>
  </si>
  <si>
    <t>JMH1E1209056</t>
  </si>
  <si>
    <t>19/08/2025</t>
  </si>
  <si>
    <t>638</t>
  </si>
  <si>
    <t>JMH2E1028468</t>
  </si>
  <si>
    <t>5803</t>
  </si>
  <si>
    <t>JMH2E1125196</t>
  </si>
  <si>
    <t>24/03/2025</t>
  </si>
  <si>
    <t>05/08/2025</t>
  </si>
  <si>
    <t>6359</t>
  </si>
  <si>
    <t>JBP1E2109670</t>
  </si>
  <si>
    <t>26/06/2025</t>
  </si>
  <si>
    <t>26/08/2025</t>
  </si>
  <si>
    <t>3782</t>
  </si>
  <si>
    <t>JMC1E1678498</t>
  </si>
  <si>
    <t>29/07/2025</t>
  </si>
  <si>
    <t>JMD1E1887319</t>
  </si>
  <si>
    <t>12/04/2025</t>
  </si>
  <si>
    <t>2722</t>
  </si>
  <si>
    <t>JMC1E1599940</t>
  </si>
  <si>
    <t>09/04/2025</t>
  </si>
  <si>
    <t>900</t>
  </si>
  <si>
    <t>JMD1E1894026</t>
  </si>
  <si>
    <t>29/04/2025</t>
  </si>
  <si>
    <t>2100</t>
  </si>
  <si>
    <t>JMD1E1920930</t>
  </si>
  <si>
    <t>21/05/2025</t>
  </si>
  <si>
    <t>2500</t>
  </si>
  <si>
    <t>JMD1E1942742</t>
  </si>
  <si>
    <t>14/06/2025</t>
  </si>
  <si>
    <t>28/08/2025</t>
  </si>
  <si>
    <t>1900</t>
  </si>
  <si>
    <t>JMD1E1908695</t>
  </si>
  <si>
    <t>07/05/2025</t>
  </si>
  <si>
    <t>30/08/2025</t>
  </si>
  <si>
    <t>3042</t>
  </si>
  <si>
    <t>JMD1E1767382</t>
  </si>
  <si>
    <t>19/12/2024</t>
  </si>
  <si>
    <t>02/08/2025</t>
  </si>
  <si>
    <t>7500</t>
  </si>
  <si>
    <t>JMD1E1882837</t>
  </si>
  <si>
    <t>11/04/2025</t>
  </si>
  <si>
    <t>4001</t>
  </si>
  <si>
    <t>JMC1E1659691</t>
  </si>
  <si>
    <t>10/07/2025</t>
  </si>
  <si>
    <t>2000</t>
  </si>
  <si>
    <t>JMC1E1606443</t>
  </si>
  <si>
    <t>22/04/2025</t>
  </si>
  <si>
    <t>7460</t>
  </si>
  <si>
    <t>JMD1E1778175</t>
  </si>
  <si>
    <t>27/12/2024</t>
  </si>
  <si>
    <t>3300</t>
  </si>
  <si>
    <t>JMD1E1784918</t>
  </si>
  <si>
    <t>06/01/2025</t>
  </si>
  <si>
    <t>2080</t>
  </si>
  <si>
    <t>JMD1E1781061</t>
  </si>
  <si>
    <t>02/01/2025</t>
  </si>
  <si>
    <t>18/08/2025</t>
  </si>
  <si>
    <t>12000</t>
  </si>
  <si>
    <t>KF01E1662983</t>
  </si>
  <si>
    <t>26/08/2024</t>
  </si>
  <si>
    <t>3000</t>
  </si>
  <si>
    <t>Ket</t>
  </si>
  <si>
    <t>Hari</t>
  </si>
  <si>
    <t>Jumlah Hrf</t>
  </si>
  <si>
    <t>Bulan Beli</t>
  </si>
  <si>
    <t>Tahun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</si>
</sst>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charset val="1"/>
    </font>
    <font>
      <sz val="14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sz val="10"/>
      <color rgb="FF000000"/>
      <name val="Calibri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2" borderId="0" xfId="0" applyFill="1" applyBorder="1" applyAlignment="1" applyProtection="1">
      <alignment horizontal="center"/>
    </xf>
    <xf numFmtId="0" fontId="0" fillId="3" borderId="0" xfId="0" applyFill="1" applyBorder="1" applyAlignment="1" applyProtection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>
      <selection sqref="A1:L1"/>
    </sheetView>
  </sheetViews>
  <sheetFormatPr defaultRowHeight="12.75" x14ac:dyDescent="0.2"/>
  <cols>
    <col min="1" max="1" width="6.140625" customWidth="1"/>
    <col min="2" max="3" width="26.5703125" customWidth="1"/>
    <col min="4" max="6" width="6.140625" customWidth="1"/>
    <col min="7" max="7" width="6.28515625" customWidth="1"/>
    <col min="8" max="8" width="11.140625" customWidth="1"/>
    <col min="9" max="9" width="19.42578125" customWidth="1"/>
    <col min="10" max="10" width="19.28515625" customWidth="1"/>
    <col min="11" max="11" width="19.42578125" customWidth="1"/>
    <col min="12" max="12" width="15.28515625" customWidth="1"/>
  </cols>
  <sheetData>
    <row r="1" spans="1:12" ht="22.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2" ht="40.700000000000003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ht="16.7" customHeight="1" x14ac:dyDescent="0.2">
      <c r="A3" s="19" t="s">
        <v>2</v>
      </c>
      <c r="B3" s="19" t="s">
        <v>3</v>
      </c>
      <c r="C3" s="19" t="s">
        <v>4</v>
      </c>
      <c r="D3" s="19" t="s">
        <v>5</v>
      </c>
      <c r="E3" s="21"/>
      <c r="F3" s="21"/>
      <c r="G3" s="22"/>
      <c r="H3" s="19" t="s">
        <v>6</v>
      </c>
      <c r="I3" s="19" t="s">
        <v>7</v>
      </c>
      <c r="J3" s="19" t="s">
        <v>8</v>
      </c>
      <c r="K3" s="19" t="s">
        <v>9</v>
      </c>
      <c r="L3" s="19" t="s">
        <v>10</v>
      </c>
    </row>
    <row r="4" spans="1:12" ht="17.45" customHeight="1" x14ac:dyDescent="0.2">
      <c r="A4" s="20"/>
      <c r="B4" s="20"/>
      <c r="C4" s="20"/>
      <c r="D4" s="1" t="s">
        <v>11</v>
      </c>
      <c r="E4" s="1" t="s">
        <v>12</v>
      </c>
      <c r="F4" s="1" t="s">
        <v>13</v>
      </c>
      <c r="G4" s="1" t="s">
        <v>14</v>
      </c>
      <c r="H4" s="20"/>
      <c r="I4" s="20"/>
      <c r="J4" s="20"/>
      <c r="K4" s="20"/>
      <c r="L4" s="20"/>
    </row>
    <row r="5" spans="1:12" ht="16.7" customHeight="1" x14ac:dyDescent="0.2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15</v>
      </c>
      <c r="H5" s="2" t="s">
        <v>21</v>
      </c>
      <c r="I5" s="4" t="s">
        <v>22</v>
      </c>
      <c r="J5" s="4" t="s">
        <v>23</v>
      </c>
      <c r="K5" s="4" t="s">
        <v>24</v>
      </c>
      <c r="L5" s="4" t="s">
        <v>25</v>
      </c>
    </row>
    <row r="6" spans="1:12" ht="17.45" customHeight="1" x14ac:dyDescent="0.2">
      <c r="A6" s="2" t="s">
        <v>26</v>
      </c>
      <c r="B6" s="3" t="s">
        <v>27</v>
      </c>
      <c r="C6" s="2" t="s">
        <v>17</v>
      </c>
      <c r="D6" s="2" t="s">
        <v>20</v>
      </c>
      <c r="E6" s="2" t="s">
        <v>28</v>
      </c>
      <c r="F6" s="2" t="s">
        <v>28</v>
      </c>
      <c r="G6" s="2" t="s">
        <v>28</v>
      </c>
      <c r="H6" s="2" t="s">
        <v>20</v>
      </c>
      <c r="I6" s="4" t="s">
        <v>29</v>
      </c>
      <c r="J6" s="4" t="s">
        <v>30</v>
      </c>
      <c r="K6" s="4" t="s">
        <v>31</v>
      </c>
      <c r="L6" s="4" t="s">
        <v>25</v>
      </c>
    </row>
    <row r="7" spans="1:12" ht="17.45" customHeight="1" x14ac:dyDescent="0.2">
      <c r="A7" s="2" t="s">
        <v>20</v>
      </c>
      <c r="B7" s="3" t="s">
        <v>32</v>
      </c>
      <c r="C7" s="2" t="s">
        <v>17</v>
      </c>
      <c r="D7" s="2" t="s">
        <v>20</v>
      </c>
      <c r="E7" s="2" t="s">
        <v>33</v>
      </c>
      <c r="F7" s="2" t="s">
        <v>15</v>
      </c>
      <c r="G7" s="2" t="s">
        <v>15</v>
      </c>
      <c r="H7" s="2" t="s">
        <v>34</v>
      </c>
      <c r="I7" s="4" t="s">
        <v>35</v>
      </c>
      <c r="J7" s="4" t="s">
        <v>36</v>
      </c>
      <c r="K7" s="4" t="s">
        <v>37</v>
      </c>
      <c r="L7" s="4" t="s">
        <v>25</v>
      </c>
    </row>
    <row r="8" spans="1:12" ht="16.7" customHeight="1" x14ac:dyDescent="0.2">
      <c r="A8" s="2" t="s">
        <v>33</v>
      </c>
      <c r="B8" s="3" t="s">
        <v>38</v>
      </c>
      <c r="C8" s="2" t="s">
        <v>17</v>
      </c>
      <c r="D8" s="2" t="s">
        <v>28</v>
      </c>
      <c r="E8" s="2" t="s">
        <v>15</v>
      </c>
      <c r="F8" s="2" t="s">
        <v>28</v>
      </c>
      <c r="G8" s="2" t="s">
        <v>28</v>
      </c>
      <c r="H8" s="2" t="s">
        <v>15</v>
      </c>
      <c r="I8" s="4" t="s">
        <v>39</v>
      </c>
      <c r="J8" s="4" t="s">
        <v>28</v>
      </c>
      <c r="K8" s="4" t="s">
        <v>39</v>
      </c>
      <c r="L8" s="4" t="s">
        <v>25</v>
      </c>
    </row>
    <row r="9" spans="1:12" ht="17.45" customHeight="1" x14ac:dyDescent="0.2">
      <c r="A9" s="2" t="s">
        <v>19</v>
      </c>
      <c r="B9" s="3" t="s">
        <v>40</v>
      </c>
      <c r="C9" s="2" t="s">
        <v>17</v>
      </c>
      <c r="D9" s="2" t="s">
        <v>15</v>
      </c>
      <c r="E9" s="2" t="s">
        <v>18</v>
      </c>
      <c r="F9" s="2" t="s">
        <v>33</v>
      </c>
      <c r="G9" s="2" t="s">
        <v>20</v>
      </c>
      <c r="H9" s="2" t="s">
        <v>41</v>
      </c>
      <c r="I9" s="4" t="s">
        <v>42</v>
      </c>
      <c r="J9" s="4" t="s">
        <v>43</v>
      </c>
      <c r="K9" s="4" t="s">
        <v>44</v>
      </c>
      <c r="L9" s="4" t="s">
        <v>25</v>
      </c>
    </row>
    <row r="10" spans="1:12" ht="17.45" customHeight="1" x14ac:dyDescent="0.2">
      <c r="A10" s="2" t="s">
        <v>18</v>
      </c>
      <c r="B10" s="3" t="s">
        <v>45</v>
      </c>
      <c r="C10" s="2" t="s">
        <v>17</v>
      </c>
      <c r="D10" s="2" t="s">
        <v>28</v>
      </c>
      <c r="E10" s="2" t="s">
        <v>28</v>
      </c>
      <c r="F10" s="2" t="s">
        <v>15</v>
      </c>
      <c r="G10" s="2" t="s">
        <v>28</v>
      </c>
      <c r="H10" s="2" t="s">
        <v>15</v>
      </c>
      <c r="I10" s="4" t="s">
        <v>46</v>
      </c>
      <c r="J10" s="4" t="s">
        <v>28</v>
      </c>
      <c r="K10" s="4" t="s">
        <v>46</v>
      </c>
      <c r="L10" s="4" t="s">
        <v>25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4"/>
  <sheetViews>
    <sheetView tabSelected="1" topLeftCell="C1" zoomScale="140" zoomScaleNormal="140" workbookViewId="0">
      <selection activeCell="F1" sqref="F1:O2"/>
    </sheetView>
  </sheetViews>
  <sheetFormatPr defaultRowHeight="12.75" x14ac:dyDescent="0.2"/>
  <cols>
    <col min="1" max="1" width="13.7109375" customWidth="1"/>
    <col min="2" max="2" width="8.140625" customWidth="1"/>
    <col min="3" max="4" width="11.28515625" customWidth="1"/>
    <col min="5" max="5" width="7.140625" customWidth="1"/>
  </cols>
  <sheetData>
    <row r="1" spans="1:15" ht="16.7" customHeight="1" x14ac:dyDescent="0.2">
      <c r="A1" s="1" t="s">
        <v>47</v>
      </c>
      <c r="B1" s="5" t="s">
        <v>48</v>
      </c>
      <c r="C1" s="5" t="s">
        <v>49</v>
      </c>
      <c r="D1" s="5" t="s">
        <v>50</v>
      </c>
      <c r="E1" s="1" t="s">
        <v>51</v>
      </c>
      <c r="F1" s="6" t="s">
        <v>190</v>
      </c>
      <c r="G1" s="7" t="s">
        <v>52</v>
      </c>
      <c r="H1" s="8" t="s">
        <v>191</v>
      </c>
      <c r="I1" s="8" t="s">
        <v>192</v>
      </c>
      <c r="J1" s="8" t="s">
        <v>49</v>
      </c>
      <c r="K1" s="7" t="s">
        <v>193</v>
      </c>
      <c r="L1" s="8" t="s">
        <v>194</v>
      </c>
      <c r="M1" s="9"/>
      <c r="N1" s="9"/>
      <c r="O1" s="9"/>
    </row>
    <row r="2" spans="1:15" x14ac:dyDescent="0.2">
      <c r="A2" s="12" t="s">
        <v>53</v>
      </c>
      <c r="B2" s="2" t="s">
        <v>15</v>
      </c>
      <c r="C2" s="2" t="s">
        <v>54</v>
      </c>
      <c r="D2" s="2" t="s">
        <v>55</v>
      </c>
      <c r="E2" s="2" t="s">
        <v>56</v>
      </c>
      <c r="F2" s="6"/>
      <c r="G2" s="8" t="str">
        <f t="shared" ref="G2" si="0">LEFT(A2, 5)</f>
        <v>JMF1E</v>
      </c>
      <c r="H2" s="8">
        <f t="shared" ref="H2" si="1">D2-C2</f>
        <v>69</v>
      </c>
      <c r="I2" s="8">
        <f t="shared" ref="I2" si="2">LEN(A2)</f>
        <v>12</v>
      </c>
      <c r="J2" s="8" t="str">
        <f t="shared" ref="J2" si="3">LEFT(C2, 2)</f>
        <v>04</v>
      </c>
      <c r="K2" s="8" t="str">
        <f t="shared" ref="K2" si="4">MID(C2, 4, 2)</f>
        <v>06</v>
      </c>
      <c r="L2" s="8" t="str">
        <f t="shared" ref="L2" si="5">RIGHT(C2, 4)</f>
        <v>2025</v>
      </c>
      <c r="M2" s="9" t="str">
        <f t="shared" ref="M2" si="6">IF(AND(B2="1",H2&gt;=75),"tolong cek",  IF(AND(B2="2",H2&gt;=135),"tolong cek",  IF(AND(B2="3",H2&gt;=255),"tolong cek",  IF(AND(B2="4",H2&gt;=375),"tolong cek","-"))))</f>
        <v>-</v>
      </c>
      <c r="N2" s="9" t="str">
        <f t="shared" ref="N2" si="7">IF(AND(B2="1",VALUE(K2)&lt;=2,VALUE(L2)&lt;=2025),"tolong cek kadaluarsa",  IF(AND(B2="2",VALUE(K2)&lt;=12,VALUE(L2)&lt;=2024),"tolong cek kadaluarsa",  IF(AND(B2="3",VALUE(K2)&lt;=8,VALUE(L2)&lt;=2024),"tolong cek kadaluarsa",  IF(AND(B2="4",VALUE(K2)&lt;=4, VALUE(L2)&lt;=2024),"tolong cek kadaluarsa","-"))))</f>
        <v>-</v>
      </c>
      <c r="O2" s="10" t="str">
        <f t="shared" ref="O2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x14ac:dyDescent="0.2">
      <c r="A3" s="12" t="s">
        <v>57</v>
      </c>
      <c r="B3" s="2" t="s">
        <v>15</v>
      </c>
      <c r="C3" s="2" t="s">
        <v>58</v>
      </c>
      <c r="D3" s="2" t="s">
        <v>55</v>
      </c>
      <c r="E3" s="2" t="s">
        <v>59</v>
      </c>
      <c r="G3" s="8" t="str">
        <f t="shared" ref="G3:G44" si="9">LEFT(A3, 5)</f>
        <v>JMF1E</v>
      </c>
      <c r="H3" s="8">
        <f t="shared" ref="H3:H44" si="10">D3-C3</f>
        <v>27</v>
      </c>
      <c r="I3" s="8">
        <f t="shared" ref="I3:I44" si="11">LEN(A3)</f>
        <v>12</v>
      </c>
      <c r="J3" s="8" t="str">
        <f t="shared" ref="J3:J44" si="12">LEFT(C3, 2)</f>
        <v>16</v>
      </c>
      <c r="K3" s="8" t="str">
        <f t="shared" ref="K3:K44" si="13">MID(C3, 4, 2)</f>
        <v>07</v>
      </c>
      <c r="L3" s="8" t="str">
        <f t="shared" ref="L3:L44" si="14">RIGHT(C3, 4)</f>
        <v>2025</v>
      </c>
      <c r="M3" s="9" t="str">
        <f t="shared" ref="M3:M44" si="15">IF(AND(B3="1",H3&gt;=75),"tolong cek",  IF(AND(B3="2",H3&gt;=135),"tolong cek",  IF(AND(B3="3",H3&gt;=255),"tolong cek",  IF(AND(B3="4",H3&gt;=375),"tolong cek","-"))))</f>
        <v>-</v>
      </c>
      <c r="N3" s="9" t="str">
        <f t="shared" ref="N3:N44" si="16">IF(AND(B3="1",VALUE(K3)&lt;=2,VALUE(L3)&lt;=2025),"tolong cek kadaluarsa",  IF(AND(B3="2",VALUE(K3)&lt;=12,VALUE(L3)&lt;=2024),"tolong cek kadaluarsa",  IF(AND(B3="3",VALUE(K3)&lt;=8,VALUE(L3)&lt;=2024),"tolong cek kadaluarsa",  IF(AND(B3="4",VALUE(K3)&lt;=4, VALUE(L3)&lt;=2024),"tolong cek kadaluarsa","-"))))</f>
        <v>-</v>
      </c>
      <c r="O3" s="10" t="str">
        <f t="shared" ref="O3:O44" si="17">IF(AND(B3="1",VALUE(E3)&gt;=1100),"tolong cek KM",  IF(AND(B3="2",VALUE(E3)&gt;=4250),"tolong cek KM",  IF(AND(B3="3",VALUE(E3)&gt;=8250),"tolong cek KM",  IF(AND(B3="4",VALUE(E3)&gt;=12250),"tolong cek KM","-"))))</f>
        <v>-</v>
      </c>
    </row>
    <row r="4" spans="1:15" x14ac:dyDescent="0.2">
      <c r="A4" s="12" t="s">
        <v>60</v>
      </c>
      <c r="B4" s="2" t="s">
        <v>15</v>
      </c>
      <c r="C4" s="2" t="s">
        <v>61</v>
      </c>
      <c r="D4" s="2" t="s">
        <v>55</v>
      </c>
      <c r="E4" s="2" t="s">
        <v>62</v>
      </c>
      <c r="G4" s="8" t="str">
        <f t="shared" si="9"/>
        <v>JME1E</v>
      </c>
      <c r="H4" s="8">
        <f t="shared" si="10"/>
        <v>29</v>
      </c>
      <c r="I4" s="8">
        <f t="shared" si="11"/>
        <v>12</v>
      </c>
      <c r="J4" s="8" t="str">
        <f t="shared" si="12"/>
        <v>14</v>
      </c>
      <c r="K4" s="8" t="str">
        <f t="shared" si="13"/>
        <v>07</v>
      </c>
      <c r="L4" s="8" t="str">
        <f t="shared" si="14"/>
        <v>2025</v>
      </c>
      <c r="M4" s="9" t="str">
        <f t="shared" si="15"/>
        <v>-</v>
      </c>
      <c r="N4" s="9" t="str">
        <f t="shared" si="16"/>
        <v>-</v>
      </c>
      <c r="O4" s="10" t="str">
        <f t="shared" si="17"/>
        <v>-</v>
      </c>
    </row>
    <row r="5" spans="1:15" x14ac:dyDescent="0.2">
      <c r="A5" s="12" t="s">
        <v>63</v>
      </c>
      <c r="B5" s="2" t="s">
        <v>15</v>
      </c>
      <c r="C5" s="2" t="s">
        <v>64</v>
      </c>
      <c r="D5" s="2" t="s">
        <v>65</v>
      </c>
      <c r="E5" s="2" t="s">
        <v>66</v>
      </c>
      <c r="G5" s="8" t="str">
        <f t="shared" si="9"/>
        <v>JME1E</v>
      </c>
      <c r="H5" s="8">
        <f t="shared" si="10"/>
        <v>54</v>
      </c>
      <c r="I5" s="8">
        <f t="shared" si="11"/>
        <v>12</v>
      </c>
      <c r="J5" s="8" t="str">
        <f t="shared" si="12"/>
        <v>28</v>
      </c>
      <c r="K5" s="8" t="str">
        <f t="shared" si="13"/>
        <v>06</v>
      </c>
      <c r="L5" s="8" t="str">
        <f t="shared" si="14"/>
        <v>2025</v>
      </c>
      <c r="M5" s="9" t="str">
        <f t="shared" si="15"/>
        <v>-</v>
      </c>
      <c r="N5" s="9" t="str">
        <f t="shared" si="16"/>
        <v>-</v>
      </c>
      <c r="O5" s="10" t="str">
        <f t="shared" si="17"/>
        <v>-</v>
      </c>
    </row>
    <row r="6" spans="1:15" x14ac:dyDescent="0.2">
      <c r="A6" s="12" t="s">
        <v>67</v>
      </c>
      <c r="B6" s="2" t="s">
        <v>15</v>
      </c>
      <c r="C6" s="2" t="s">
        <v>68</v>
      </c>
      <c r="D6" s="2" t="s">
        <v>69</v>
      </c>
      <c r="E6" s="2" t="s">
        <v>70</v>
      </c>
      <c r="G6" s="8" t="str">
        <f t="shared" si="9"/>
        <v>JME1E</v>
      </c>
      <c r="H6" s="8">
        <f t="shared" si="10"/>
        <v>32</v>
      </c>
      <c r="I6" s="8">
        <f t="shared" si="11"/>
        <v>12</v>
      </c>
      <c r="J6" s="8" t="str">
        <f t="shared" si="12"/>
        <v>21</v>
      </c>
      <c r="K6" s="8" t="str">
        <f t="shared" si="13"/>
        <v>07</v>
      </c>
      <c r="L6" s="8" t="str">
        <f t="shared" si="14"/>
        <v>2025</v>
      </c>
      <c r="M6" s="9" t="str">
        <f t="shared" si="15"/>
        <v>-</v>
      </c>
      <c r="N6" s="9" t="str">
        <f t="shared" si="16"/>
        <v>-</v>
      </c>
      <c r="O6" s="10" t="str">
        <f t="shared" si="17"/>
        <v>-</v>
      </c>
    </row>
    <row r="7" spans="1:15" x14ac:dyDescent="0.2">
      <c r="A7" s="12" t="s">
        <v>71</v>
      </c>
      <c r="B7" s="2" t="s">
        <v>15</v>
      </c>
      <c r="C7" s="2" t="s">
        <v>72</v>
      </c>
      <c r="D7" s="2" t="s">
        <v>73</v>
      </c>
      <c r="E7" s="2" t="s">
        <v>62</v>
      </c>
      <c r="G7" s="8" t="str">
        <f t="shared" si="9"/>
        <v>JMF2E</v>
      </c>
      <c r="H7" s="8">
        <f t="shared" si="10"/>
        <v>60</v>
      </c>
      <c r="I7" s="8">
        <f t="shared" si="11"/>
        <v>12</v>
      </c>
      <c r="J7" s="8" t="str">
        <f t="shared" si="12"/>
        <v>24</v>
      </c>
      <c r="K7" s="8" t="str">
        <f t="shared" si="13"/>
        <v>06</v>
      </c>
      <c r="L7" s="8" t="str">
        <f t="shared" si="14"/>
        <v>2025</v>
      </c>
      <c r="M7" s="9" t="str">
        <f t="shared" si="15"/>
        <v>-</v>
      </c>
      <c r="N7" s="9" t="str">
        <f t="shared" si="16"/>
        <v>-</v>
      </c>
      <c r="O7" s="10" t="str">
        <f t="shared" si="17"/>
        <v>-</v>
      </c>
    </row>
    <row r="8" spans="1:15" x14ac:dyDescent="0.2">
      <c r="A8" s="12" t="s">
        <v>74</v>
      </c>
      <c r="B8" s="2" t="s">
        <v>26</v>
      </c>
      <c r="C8" s="2" t="s">
        <v>75</v>
      </c>
      <c r="D8" s="2" t="s">
        <v>76</v>
      </c>
      <c r="E8" s="2" t="s">
        <v>77</v>
      </c>
      <c r="G8" s="8" t="str">
        <f t="shared" si="9"/>
        <v>JME1E</v>
      </c>
      <c r="H8" s="8">
        <f t="shared" si="10"/>
        <v>79</v>
      </c>
      <c r="I8" s="8">
        <f t="shared" si="11"/>
        <v>12</v>
      </c>
      <c r="J8" s="8" t="str">
        <f t="shared" si="12"/>
        <v>14</v>
      </c>
      <c r="K8" s="8" t="str">
        <f t="shared" si="13"/>
        <v>05</v>
      </c>
      <c r="L8" s="8" t="str">
        <f t="shared" si="14"/>
        <v>2025</v>
      </c>
      <c r="M8" s="9" t="str">
        <f t="shared" si="15"/>
        <v>-</v>
      </c>
      <c r="N8" s="9" t="str">
        <f t="shared" si="16"/>
        <v>-</v>
      </c>
      <c r="O8" s="10" t="str">
        <f t="shared" si="17"/>
        <v>-</v>
      </c>
    </row>
    <row r="9" spans="1:15" x14ac:dyDescent="0.2">
      <c r="A9" s="12" t="s">
        <v>78</v>
      </c>
      <c r="B9" s="2" t="s">
        <v>26</v>
      </c>
      <c r="C9" s="2" t="s">
        <v>79</v>
      </c>
      <c r="D9" s="2" t="s">
        <v>80</v>
      </c>
      <c r="E9" s="2" t="s">
        <v>77</v>
      </c>
      <c r="G9" s="8" t="str">
        <f t="shared" si="9"/>
        <v>JME1E</v>
      </c>
      <c r="H9" s="8">
        <f t="shared" si="10"/>
        <v>53</v>
      </c>
      <c r="I9" s="8">
        <f t="shared" si="11"/>
        <v>12</v>
      </c>
      <c r="J9" s="8" t="str">
        <f t="shared" si="12"/>
        <v>12</v>
      </c>
      <c r="K9" s="8" t="str">
        <f t="shared" si="13"/>
        <v>06</v>
      </c>
      <c r="L9" s="8" t="str">
        <f t="shared" si="14"/>
        <v>2025</v>
      </c>
      <c r="M9" s="9" t="str">
        <f t="shared" si="15"/>
        <v>-</v>
      </c>
      <c r="N9" s="9" t="str">
        <f t="shared" si="16"/>
        <v>-</v>
      </c>
      <c r="O9" s="10" t="str">
        <f t="shared" si="17"/>
        <v>-</v>
      </c>
    </row>
    <row r="10" spans="1:15" x14ac:dyDescent="0.2">
      <c r="A10" s="12" t="s">
        <v>81</v>
      </c>
      <c r="B10" s="2" t="s">
        <v>26</v>
      </c>
      <c r="C10" s="2" t="s">
        <v>82</v>
      </c>
      <c r="D10" s="2" t="s">
        <v>83</v>
      </c>
      <c r="E10" s="2" t="s">
        <v>77</v>
      </c>
      <c r="G10" s="8" t="str">
        <f t="shared" si="9"/>
        <v>JME1E</v>
      </c>
      <c r="H10" s="8">
        <f t="shared" si="10"/>
        <v>79</v>
      </c>
      <c r="I10" s="8">
        <f t="shared" si="11"/>
        <v>12</v>
      </c>
      <c r="J10" s="8" t="str">
        <f t="shared" si="12"/>
        <v>20</v>
      </c>
      <c r="K10" s="8" t="str">
        <f t="shared" si="13"/>
        <v>05</v>
      </c>
      <c r="L10" s="8" t="str">
        <f t="shared" si="14"/>
        <v>2025</v>
      </c>
      <c r="M10" s="9" t="str">
        <f t="shared" si="15"/>
        <v>-</v>
      </c>
      <c r="N10" s="9" t="str">
        <f t="shared" si="16"/>
        <v>-</v>
      </c>
      <c r="O10" s="10" t="str">
        <f t="shared" si="17"/>
        <v>-</v>
      </c>
    </row>
    <row r="11" spans="1:15" x14ac:dyDescent="0.2">
      <c r="A11" s="12" t="s">
        <v>84</v>
      </c>
      <c r="B11" s="2" t="s">
        <v>26</v>
      </c>
      <c r="C11" s="2" t="s">
        <v>85</v>
      </c>
      <c r="D11" s="2" t="s">
        <v>83</v>
      </c>
      <c r="E11" s="2" t="s">
        <v>86</v>
      </c>
      <c r="G11" s="8" t="str">
        <f t="shared" si="9"/>
        <v>JME1E</v>
      </c>
      <c r="H11" s="8">
        <f t="shared" si="10"/>
        <v>99</v>
      </c>
      <c r="I11" s="8">
        <f t="shared" si="11"/>
        <v>12</v>
      </c>
      <c r="J11" s="8" t="str">
        <f t="shared" si="12"/>
        <v>30</v>
      </c>
      <c r="K11" s="8" t="str">
        <f t="shared" si="13"/>
        <v>04</v>
      </c>
      <c r="L11" s="8" t="str">
        <f t="shared" si="14"/>
        <v>2025</v>
      </c>
      <c r="M11" s="9" t="str">
        <f t="shared" si="15"/>
        <v>-</v>
      </c>
      <c r="N11" s="9" t="str">
        <f t="shared" si="16"/>
        <v>-</v>
      </c>
      <c r="O11" s="10" t="str">
        <f t="shared" si="17"/>
        <v>-</v>
      </c>
    </row>
    <row r="12" spans="1:15" x14ac:dyDescent="0.2">
      <c r="A12" s="12" t="s">
        <v>87</v>
      </c>
      <c r="B12" s="2" t="s">
        <v>26</v>
      </c>
      <c r="C12" s="2" t="s">
        <v>88</v>
      </c>
      <c r="D12" s="2" t="s">
        <v>89</v>
      </c>
      <c r="E12" s="2" t="s">
        <v>90</v>
      </c>
      <c r="G12" s="8" t="str">
        <f t="shared" si="9"/>
        <v>JMF2E</v>
      </c>
      <c r="H12" s="8">
        <f t="shared" si="10"/>
        <v>120</v>
      </c>
      <c r="I12" s="8">
        <f t="shared" si="11"/>
        <v>12</v>
      </c>
      <c r="J12" s="8" t="str">
        <f t="shared" si="12"/>
        <v>17</v>
      </c>
      <c r="K12" s="8" t="str">
        <f t="shared" si="13"/>
        <v>04</v>
      </c>
      <c r="L12" s="8" t="str">
        <f t="shared" si="14"/>
        <v>2025</v>
      </c>
      <c r="M12" s="9" t="str">
        <f t="shared" si="15"/>
        <v>-</v>
      </c>
      <c r="N12" s="9" t="str">
        <f t="shared" si="16"/>
        <v>-</v>
      </c>
      <c r="O12" s="10" t="str">
        <f t="shared" si="17"/>
        <v>-</v>
      </c>
    </row>
    <row r="13" spans="1:15" x14ac:dyDescent="0.2">
      <c r="A13" s="12" t="s">
        <v>91</v>
      </c>
      <c r="B13" s="2" t="s">
        <v>20</v>
      </c>
      <c r="C13" s="2" t="s">
        <v>92</v>
      </c>
      <c r="D13" s="2" t="s">
        <v>93</v>
      </c>
      <c r="E13" s="2" t="s">
        <v>94</v>
      </c>
      <c r="G13" s="8" t="str">
        <f t="shared" si="9"/>
        <v>JMF1E</v>
      </c>
      <c r="H13" s="8">
        <f t="shared" si="10"/>
        <v>162</v>
      </c>
      <c r="I13" s="8">
        <f t="shared" si="11"/>
        <v>12</v>
      </c>
      <c r="J13" s="8" t="str">
        <f t="shared" si="12"/>
        <v>04</v>
      </c>
      <c r="K13" s="8" t="str">
        <f t="shared" si="13"/>
        <v>03</v>
      </c>
      <c r="L13" s="8" t="str">
        <f t="shared" si="14"/>
        <v>2025</v>
      </c>
      <c r="M13" s="9" t="str">
        <f t="shared" si="15"/>
        <v>-</v>
      </c>
      <c r="N13" s="9" t="str">
        <f t="shared" si="16"/>
        <v>-</v>
      </c>
      <c r="O13" s="10" t="str">
        <f t="shared" si="17"/>
        <v>-</v>
      </c>
    </row>
    <row r="14" spans="1:15" x14ac:dyDescent="0.2">
      <c r="A14" s="12" t="s">
        <v>95</v>
      </c>
      <c r="B14" s="2" t="s">
        <v>20</v>
      </c>
      <c r="C14" s="2" t="s">
        <v>96</v>
      </c>
      <c r="D14" s="2" t="s">
        <v>65</v>
      </c>
      <c r="E14" s="2" t="s">
        <v>97</v>
      </c>
      <c r="G14" s="8" t="str">
        <f t="shared" si="9"/>
        <v>JME1E</v>
      </c>
      <c r="H14" s="8">
        <f t="shared" si="10"/>
        <v>187</v>
      </c>
      <c r="I14" s="8">
        <f t="shared" si="11"/>
        <v>12</v>
      </c>
      <c r="J14" s="8" t="str">
        <f t="shared" si="12"/>
        <v>15</v>
      </c>
      <c r="K14" s="8" t="str">
        <f t="shared" si="13"/>
        <v>02</v>
      </c>
      <c r="L14" s="8" t="str">
        <f t="shared" si="14"/>
        <v>2025</v>
      </c>
      <c r="M14" s="9" t="str">
        <f t="shared" si="15"/>
        <v>-</v>
      </c>
      <c r="N14" s="9" t="str">
        <f t="shared" si="16"/>
        <v>-</v>
      </c>
      <c r="O14" s="10" t="str">
        <f t="shared" si="17"/>
        <v>-</v>
      </c>
    </row>
    <row r="15" spans="1:15" x14ac:dyDescent="0.2">
      <c r="A15" s="12" t="s">
        <v>98</v>
      </c>
      <c r="B15" s="2" t="s">
        <v>20</v>
      </c>
      <c r="C15" s="2" t="s">
        <v>99</v>
      </c>
      <c r="D15" s="2" t="s">
        <v>100</v>
      </c>
      <c r="E15" s="2" t="s">
        <v>101</v>
      </c>
      <c r="G15" s="8" t="str">
        <f t="shared" si="9"/>
        <v>JMF1E</v>
      </c>
      <c r="H15" s="8">
        <f t="shared" si="10"/>
        <v>53</v>
      </c>
      <c r="I15" s="8">
        <f t="shared" si="11"/>
        <v>12</v>
      </c>
      <c r="J15" s="8" t="str">
        <f t="shared" si="12"/>
        <v>07</v>
      </c>
      <c r="K15" s="8" t="str">
        <f t="shared" si="13"/>
        <v>07</v>
      </c>
      <c r="L15" s="8" t="str">
        <f t="shared" si="14"/>
        <v>2025</v>
      </c>
      <c r="M15" s="9" t="str">
        <f t="shared" si="15"/>
        <v>-</v>
      </c>
      <c r="N15" s="9" t="str">
        <f t="shared" si="16"/>
        <v>-</v>
      </c>
      <c r="O15" s="10" t="str">
        <f t="shared" si="17"/>
        <v>-</v>
      </c>
    </row>
    <row r="16" spans="1:15" x14ac:dyDescent="0.2">
      <c r="A16" s="12" t="s">
        <v>102</v>
      </c>
      <c r="B16" s="2" t="s">
        <v>33</v>
      </c>
      <c r="C16" s="2" t="s">
        <v>103</v>
      </c>
      <c r="D16" s="2" t="s">
        <v>100</v>
      </c>
      <c r="E16" s="2" t="s">
        <v>104</v>
      </c>
      <c r="G16" s="8" t="str">
        <f t="shared" si="9"/>
        <v>JME1E</v>
      </c>
      <c r="H16" s="8">
        <f t="shared" si="10"/>
        <v>255</v>
      </c>
      <c r="I16" s="8">
        <f t="shared" si="11"/>
        <v>12</v>
      </c>
      <c r="J16" s="8" t="str">
        <f t="shared" si="12"/>
        <v>17</v>
      </c>
      <c r="K16" s="8" t="str">
        <f t="shared" si="13"/>
        <v>12</v>
      </c>
      <c r="L16" s="8" t="str">
        <f t="shared" si="14"/>
        <v>2024</v>
      </c>
      <c r="M16" s="9" t="str">
        <f t="shared" si="15"/>
        <v>-</v>
      </c>
      <c r="N16" s="9" t="str">
        <f t="shared" si="16"/>
        <v>-</v>
      </c>
      <c r="O16" s="10" t="str">
        <f t="shared" si="17"/>
        <v>-</v>
      </c>
    </row>
    <row r="17" spans="1:15" x14ac:dyDescent="0.2">
      <c r="A17" s="12" t="s">
        <v>105</v>
      </c>
      <c r="B17" s="2" t="s">
        <v>15</v>
      </c>
      <c r="C17" s="2" t="s">
        <v>106</v>
      </c>
      <c r="D17" s="2" t="s">
        <v>55</v>
      </c>
      <c r="E17" s="2" t="s">
        <v>66</v>
      </c>
      <c r="G17" s="8" t="str">
        <f t="shared" si="9"/>
        <v>JMB1E</v>
      </c>
      <c r="H17" s="8">
        <f t="shared" si="10"/>
        <v>41</v>
      </c>
      <c r="I17" s="8">
        <f t="shared" si="11"/>
        <v>12</v>
      </c>
      <c r="J17" s="8" t="str">
        <f t="shared" si="12"/>
        <v>02</v>
      </c>
      <c r="K17" s="8" t="str">
        <f t="shared" si="13"/>
        <v>07</v>
      </c>
      <c r="L17" s="8" t="str">
        <f t="shared" si="14"/>
        <v>2025</v>
      </c>
      <c r="M17" s="9" t="str">
        <f t="shared" si="15"/>
        <v>-</v>
      </c>
      <c r="N17" s="9" t="str">
        <f t="shared" si="16"/>
        <v>-</v>
      </c>
      <c r="O17" s="10" t="str">
        <f t="shared" si="17"/>
        <v>-</v>
      </c>
    </row>
    <row r="18" spans="1:15" x14ac:dyDescent="0.2">
      <c r="A18" s="12" t="s">
        <v>107</v>
      </c>
      <c r="B18" s="2" t="s">
        <v>15</v>
      </c>
      <c r="C18" s="2" t="s">
        <v>108</v>
      </c>
      <c r="D18" s="2" t="s">
        <v>109</v>
      </c>
      <c r="E18" s="2" t="s">
        <v>62</v>
      </c>
      <c r="G18" s="8" t="str">
        <f t="shared" si="9"/>
        <v>JMA1E</v>
      </c>
      <c r="H18" s="8">
        <f t="shared" si="10"/>
        <v>27</v>
      </c>
      <c r="I18" s="8">
        <f t="shared" si="11"/>
        <v>12</v>
      </c>
      <c r="J18" s="8" t="str">
        <f t="shared" si="12"/>
        <v>31</v>
      </c>
      <c r="K18" s="8" t="str">
        <f t="shared" si="13"/>
        <v>07</v>
      </c>
      <c r="L18" s="8" t="str">
        <f t="shared" si="14"/>
        <v>2025</v>
      </c>
      <c r="M18" s="9" t="str">
        <f t="shared" si="15"/>
        <v>-</v>
      </c>
      <c r="N18" s="9" t="str">
        <f t="shared" si="16"/>
        <v>-</v>
      </c>
      <c r="O18" s="10" t="str">
        <f t="shared" si="17"/>
        <v>-</v>
      </c>
    </row>
    <row r="19" spans="1:15" x14ac:dyDescent="0.2">
      <c r="A19" s="12" t="s">
        <v>110</v>
      </c>
      <c r="B19" s="2" t="s">
        <v>15</v>
      </c>
      <c r="C19" s="2" t="s">
        <v>111</v>
      </c>
      <c r="D19" s="2" t="s">
        <v>100</v>
      </c>
      <c r="E19" s="2" t="s">
        <v>62</v>
      </c>
      <c r="G19" s="8" t="str">
        <f t="shared" si="9"/>
        <v>JMA1E</v>
      </c>
      <c r="H19" s="8">
        <f t="shared" si="10"/>
        <v>43</v>
      </c>
      <c r="I19" s="8">
        <f t="shared" si="11"/>
        <v>12</v>
      </c>
      <c r="J19" s="8" t="str">
        <f t="shared" si="12"/>
        <v>17</v>
      </c>
      <c r="K19" s="8" t="str">
        <f t="shared" si="13"/>
        <v>07</v>
      </c>
      <c r="L19" s="8" t="str">
        <f t="shared" si="14"/>
        <v>2025</v>
      </c>
      <c r="M19" s="9" t="str">
        <f t="shared" si="15"/>
        <v>-</v>
      </c>
      <c r="N19" s="9" t="str">
        <f t="shared" si="16"/>
        <v>-</v>
      </c>
      <c r="O19" s="10" t="str">
        <f t="shared" si="17"/>
        <v>-</v>
      </c>
    </row>
    <row r="20" spans="1:15" x14ac:dyDescent="0.2">
      <c r="A20" s="12" t="s">
        <v>112</v>
      </c>
      <c r="B20" s="2" t="s">
        <v>15</v>
      </c>
      <c r="C20" s="2" t="s">
        <v>113</v>
      </c>
      <c r="D20" s="2" t="s">
        <v>55</v>
      </c>
      <c r="E20" s="2" t="s">
        <v>114</v>
      </c>
      <c r="G20" s="8" t="str">
        <f t="shared" si="9"/>
        <v>JMH1E</v>
      </c>
      <c r="H20" s="8">
        <f t="shared" si="10"/>
        <v>42</v>
      </c>
      <c r="I20" s="8">
        <f t="shared" si="11"/>
        <v>12</v>
      </c>
      <c r="J20" s="8" t="str">
        <f t="shared" si="12"/>
        <v>01</v>
      </c>
      <c r="K20" s="8" t="str">
        <f t="shared" si="13"/>
        <v>07</v>
      </c>
      <c r="L20" s="8" t="str">
        <f t="shared" si="14"/>
        <v>2025</v>
      </c>
      <c r="M20" s="9" t="str">
        <f t="shared" si="15"/>
        <v>-</v>
      </c>
      <c r="N20" s="9" t="str">
        <f t="shared" si="16"/>
        <v>-</v>
      </c>
      <c r="O20" s="10" t="str">
        <f t="shared" si="17"/>
        <v>-</v>
      </c>
    </row>
    <row r="21" spans="1:15" x14ac:dyDescent="0.2">
      <c r="A21" s="12" t="s">
        <v>115</v>
      </c>
      <c r="B21" s="2" t="s">
        <v>15</v>
      </c>
      <c r="C21" s="2" t="s">
        <v>116</v>
      </c>
      <c r="D21" s="2" t="s">
        <v>93</v>
      </c>
      <c r="E21" s="2" t="s">
        <v>117</v>
      </c>
      <c r="G21" s="8" t="str">
        <f t="shared" si="9"/>
        <v>JMH1E</v>
      </c>
      <c r="H21" s="8">
        <f t="shared" si="10"/>
        <v>40</v>
      </c>
      <c r="I21" s="8">
        <f t="shared" si="11"/>
        <v>12</v>
      </c>
      <c r="J21" s="8" t="str">
        <f t="shared" si="12"/>
        <v>04</v>
      </c>
      <c r="K21" s="8" t="str">
        <f t="shared" si="13"/>
        <v>07</v>
      </c>
      <c r="L21" s="8" t="str">
        <f t="shared" si="14"/>
        <v>2025</v>
      </c>
      <c r="M21" s="9" t="str">
        <f t="shared" si="15"/>
        <v>-</v>
      </c>
      <c r="N21" s="9" t="str">
        <f t="shared" si="16"/>
        <v>-</v>
      </c>
      <c r="O21" s="10" t="str">
        <f t="shared" si="17"/>
        <v>-</v>
      </c>
    </row>
    <row r="22" spans="1:15" x14ac:dyDescent="0.2">
      <c r="A22" s="12" t="s">
        <v>118</v>
      </c>
      <c r="B22" s="2" t="s">
        <v>15</v>
      </c>
      <c r="C22" s="2" t="s">
        <v>99</v>
      </c>
      <c r="D22" s="2" t="s">
        <v>119</v>
      </c>
      <c r="E22" s="2" t="s">
        <v>120</v>
      </c>
      <c r="G22" s="8" t="str">
        <f t="shared" si="9"/>
        <v>JMH2E</v>
      </c>
      <c r="H22" s="8">
        <f t="shared" si="10"/>
        <v>40</v>
      </c>
      <c r="I22" s="8">
        <f t="shared" si="11"/>
        <v>12</v>
      </c>
      <c r="J22" s="8" t="str">
        <f t="shared" si="12"/>
        <v>07</v>
      </c>
      <c r="K22" s="8" t="str">
        <f t="shared" si="13"/>
        <v>07</v>
      </c>
      <c r="L22" s="8" t="str">
        <f t="shared" si="14"/>
        <v>2025</v>
      </c>
      <c r="M22" s="9" t="str">
        <f t="shared" si="15"/>
        <v>-</v>
      </c>
      <c r="N22" s="9" t="str">
        <f t="shared" si="16"/>
        <v>-</v>
      </c>
      <c r="O22" s="10" t="str">
        <f t="shared" si="17"/>
        <v>-</v>
      </c>
    </row>
    <row r="23" spans="1:15" x14ac:dyDescent="0.2">
      <c r="A23" s="12" t="s">
        <v>121</v>
      </c>
      <c r="B23" s="2" t="s">
        <v>26</v>
      </c>
      <c r="C23" s="2" t="s">
        <v>122</v>
      </c>
      <c r="D23" s="2" t="s">
        <v>83</v>
      </c>
      <c r="E23" s="2" t="s">
        <v>123</v>
      </c>
      <c r="G23" s="8" t="str">
        <f t="shared" si="9"/>
        <v>JMH1E</v>
      </c>
      <c r="H23" s="8">
        <f t="shared" si="10"/>
        <v>59</v>
      </c>
      <c r="I23" s="8">
        <f t="shared" si="11"/>
        <v>12</v>
      </c>
      <c r="J23" s="8" t="str">
        <f t="shared" si="12"/>
        <v>09</v>
      </c>
      <c r="K23" s="8" t="str">
        <f t="shared" si="13"/>
        <v>06</v>
      </c>
      <c r="L23" s="8" t="str">
        <f t="shared" si="14"/>
        <v>2025</v>
      </c>
      <c r="M23" s="9" t="str">
        <f t="shared" si="15"/>
        <v>-</v>
      </c>
      <c r="N23" s="9" t="str">
        <f t="shared" si="16"/>
        <v>-</v>
      </c>
      <c r="O23" s="10" t="str">
        <f t="shared" si="17"/>
        <v>-</v>
      </c>
    </row>
    <row r="24" spans="1:15" x14ac:dyDescent="0.2">
      <c r="A24" s="12" t="s">
        <v>124</v>
      </c>
      <c r="B24" s="2" t="s">
        <v>26</v>
      </c>
      <c r="C24" s="2" t="s">
        <v>75</v>
      </c>
      <c r="D24" s="2" t="s">
        <v>83</v>
      </c>
      <c r="E24" s="2" t="s">
        <v>125</v>
      </c>
      <c r="G24" s="8" t="str">
        <f t="shared" si="9"/>
        <v>JMH2E</v>
      </c>
      <c r="H24" s="8">
        <f t="shared" si="10"/>
        <v>85</v>
      </c>
      <c r="I24" s="8">
        <f t="shared" si="11"/>
        <v>12</v>
      </c>
      <c r="J24" s="8" t="str">
        <f t="shared" si="12"/>
        <v>14</v>
      </c>
      <c r="K24" s="8" t="str">
        <f t="shared" si="13"/>
        <v>05</v>
      </c>
      <c r="L24" s="8" t="str">
        <f t="shared" si="14"/>
        <v>2025</v>
      </c>
      <c r="M24" s="9" t="str">
        <f t="shared" si="15"/>
        <v>-</v>
      </c>
      <c r="N24" s="9" t="str">
        <f t="shared" si="16"/>
        <v>-</v>
      </c>
      <c r="O24" s="10" t="str">
        <f t="shared" si="17"/>
        <v>-</v>
      </c>
    </row>
    <row r="25" spans="1:15" x14ac:dyDescent="0.2">
      <c r="A25" s="12" t="s">
        <v>126</v>
      </c>
      <c r="B25" s="2" t="s">
        <v>26</v>
      </c>
      <c r="C25" s="2" t="s">
        <v>127</v>
      </c>
      <c r="D25" s="2" t="s">
        <v>93</v>
      </c>
      <c r="E25" s="2" t="s">
        <v>128</v>
      </c>
      <c r="G25" s="8" t="str">
        <f t="shared" si="9"/>
        <v>JMH2E</v>
      </c>
      <c r="H25" s="8">
        <f t="shared" si="10"/>
        <v>64</v>
      </c>
      <c r="I25" s="8">
        <f t="shared" si="11"/>
        <v>12</v>
      </c>
      <c r="J25" s="8" t="str">
        <f t="shared" si="12"/>
        <v>10</v>
      </c>
      <c r="K25" s="8" t="str">
        <f t="shared" si="13"/>
        <v>06</v>
      </c>
      <c r="L25" s="8" t="str">
        <f t="shared" si="14"/>
        <v>2025</v>
      </c>
      <c r="M25" s="9" t="str">
        <f t="shared" si="15"/>
        <v>-</v>
      </c>
      <c r="N25" s="9" t="str">
        <f t="shared" si="16"/>
        <v>-</v>
      </c>
      <c r="O25" s="10" t="str">
        <f t="shared" si="17"/>
        <v>-</v>
      </c>
    </row>
    <row r="26" spans="1:15" x14ac:dyDescent="0.2">
      <c r="A26" s="12" t="s">
        <v>129</v>
      </c>
      <c r="B26" s="2" t="s">
        <v>26</v>
      </c>
      <c r="C26" s="2" t="s">
        <v>58</v>
      </c>
      <c r="D26" s="2" t="s">
        <v>130</v>
      </c>
      <c r="E26" s="2" t="s">
        <v>131</v>
      </c>
      <c r="G26" s="8" t="str">
        <f t="shared" si="9"/>
        <v>JMH1E</v>
      </c>
      <c r="H26" s="8">
        <f t="shared" si="10"/>
        <v>34</v>
      </c>
      <c r="I26" s="8">
        <f t="shared" si="11"/>
        <v>12</v>
      </c>
      <c r="J26" s="8" t="str">
        <f t="shared" si="12"/>
        <v>16</v>
      </c>
      <c r="K26" s="8" t="str">
        <f t="shared" si="13"/>
        <v>07</v>
      </c>
      <c r="L26" s="8" t="str">
        <f t="shared" si="14"/>
        <v>2025</v>
      </c>
      <c r="M26" s="9" t="str">
        <f t="shared" si="15"/>
        <v>-</v>
      </c>
      <c r="N26" s="9" t="str">
        <f t="shared" si="16"/>
        <v>-</v>
      </c>
      <c r="O26" s="10" t="str">
        <f t="shared" si="17"/>
        <v>-</v>
      </c>
    </row>
    <row r="27" spans="1:15" x14ac:dyDescent="0.2">
      <c r="A27" s="12" t="s">
        <v>132</v>
      </c>
      <c r="B27" s="2" t="s">
        <v>20</v>
      </c>
      <c r="C27" s="2" t="s">
        <v>103</v>
      </c>
      <c r="D27" s="2" t="s">
        <v>76</v>
      </c>
      <c r="E27" s="2" t="s">
        <v>133</v>
      </c>
      <c r="G27" s="8" t="str">
        <f t="shared" si="9"/>
        <v>JMH2E</v>
      </c>
      <c r="H27" s="8">
        <f t="shared" si="10"/>
        <v>227</v>
      </c>
      <c r="I27" s="8">
        <f t="shared" si="11"/>
        <v>12</v>
      </c>
      <c r="J27" s="8" t="str">
        <f t="shared" si="12"/>
        <v>17</v>
      </c>
      <c r="K27" s="8" t="str">
        <f t="shared" si="13"/>
        <v>12</v>
      </c>
      <c r="L27" s="8" t="str">
        <f t="shared" si="14"/>
        <v>2024</v>
      </c>
      <c r="M27" s="9" t="str">
        <f t="shared" si="15"/>
        <v>-</v>
      </c>
      <c r="N27" s="9" t="str">
        <f t="shared" si="16"/>
        <v>-</v>
      </c>
      <c r="O27" s="10" t="str">
        <f t="shared" si="17"/>
        <v>-</v>
      </c>
    </row>
    <row r="28" spans="1:15" x14ac:dyDescent="0.2">
      <c r="A28" s="12" t="s">
        <v>134</v>
      </c>
      <c r="B28" s="2" t="s">
        <v>33</v>
      </c>
      <c r="C28" s="2" t="s">
        <v>135</v>
      </c>
      <c r="D28" s="2" t="s">
        <v>136</v>
      </c>
      <c r="E28" s="2" t="s">
        <v>137</v>
      </c>
      <c r="G28" s="8" t="str">
        <f t="shared" si="9"/>
        <v>JMH2E</v>
      </c>
      <c r="H28" s="8">
        <f t="shared" si="10"/>
        <v>134</v>
      </c>
      <c r="I28" s="8">
        <f t="shared" si="11"/>
        <v>12</v>
      </c>
      <c r="J28" s="8" t="str">
        <f t="shared" si="12"/>
        <v>24</v>
      </c>
      <c r="K28" s="8" t="str">
        <f t="shared" si="13"/>
        <v>03</v>
      </c>
      <c r="L28" s="8" t="str">
        <f t="shared" si="14"/>
        <v>2025</v>
      </c>
      <c r="M28" s="9" t="str">
        <f t="shared" si="15"/>
        <v>-</v>
      </c>
      <c r="N28" s="9" t="str">
        <f t="shared" si="16"/>
        <v>-</v>
      </c>
      <c r="O28" s="10" t="str">
        <f t="shared" si="17"/>
        <v>-</v>
      </c>
    </row>
    <row r="29" spans="1:15" x14ac:dyDescent="0.2">
      <c r="A29" s="12" t="s">
        <v>138</v>
      </c>
      <c r="B29" s="2" t="s">
        <v>26</v>
      </c>
      <c r="C29" s="2" t="s">
        <v>139</v>
      </c>
      <c r="D29" s="2" t="s">
        <v>140</v>
      </c>
      <c r="E29" s="2" t="s">
        <v>141</v>
      </c>
      <c r="G29" s="8" t="str">
        <f t="shared" si="9"/>
        <v>JBP1E</v>
      </c>
      <c r="H29" s="8">
        <f t="shared" si="10"/>
        <v>61</v>
      </c>
      <c r="I29" s="8">
        <f t="shared" si="11"/>
        <v>12</v>
      </c>
      <c r="J29" s="8" t="str">
        <f t="shared" si="12"/>
        <v>26</v>
      </c>
      <c r="K29" s="8" t="str">
        <f t="shared" si="13"/>
        <v>06</v>
      </c>
      <c r="L29" s="8" t="str">
        <f t="shared" si="14"/>
        <v>2025</v>
      </c>
      <c r="M29" s="9" t="str">
        <f t="shared" si="15"/>
        <v>-</v>
      </c>
      <c r="N29" s="9" t="str">
        <f t="shared" si="16"/>
        <v>-</v>
      </c>
      <c r="O29" s="10" t="str">
        <f t="shared" si="17"/>
        <v>-</v>
      </c>
    </row>
    <row r="30" spans="1:15" x14ac:dyDescent="0.2">
      <c r="A30" s="12" t="s">
        <v>142</v>
      </c>
      <c r="B30" s="2" t="s">
        <v>15</v>
      </c>
      <c r="C30" s="2" t="s">
        <v>143</v>
      </c>
      <c r="D30" s="2" t="s">
        <v>140</v>
      </c>
      <c r="E30" s="2" t="s">
        <v>62</v>
      </c>
      <c r="G30" s="8" t="str">
        <f t="shared" si="9"/>
        <v>JMC1E</v>
      </c>
      <c r="H30" s="8">
        <f t="shared" si="10"/>
        <v>28</v>
      </c>
      <c r="I30" s="8">
        <f t="shared" si="11"/>
        <v>12</v>
      </c>
      <c r="J30" s="8" t="str">
        <f t="shared" si="12"/>
        <v>29</v>
      </c>
      <c r="K30" s="8" t="str">
        <f t="shared" si="13"/>
        <v>07</v>
      </c>
      <c r="L30" s="8" t="str">
        <f t="shared" si="14"/>
        <v>2025</v>
      </c>
      <c r="M30" s="9" t="str">
        <f t="shared" si="15"/>
        <v>-</v>
      </c>
      <c r="N30" s="9" t="str">
        <f t="shared" si="16"/>
        <v>-</v>
      </c>
      <c r="O30" s="10" t="str">
        <f t="shared" si="17"/>
        <v>-</v>
      </c>
    </row>
    <row r="31" spans="1:15" x14ac:dyDescent="0.2">
      <c r="A31" s="12" t="s">
        <v>144</v>
      </c>
      <c r="B31" s="2" t="s">
        <v>26</v>
      </c>
      <c r="C31" s="2" t="s">
        <v>145</v>
      </c>
      <c r="D31" s="2" t="s">
        <v>93</v>
      </c>
      <c r="E31" s="2" t="s">
        <v>146</v>
      </c>
      <c r="G31" s="8" t="str">
        <f t="shared" si="9"/>
        <v>JMD1E</v>
      </c>
      <c r="H31" s="8">
        <f t="shared" si="10"/>
        <v>123</v>
      </c>
      <c r="I31" s="8">
        <f t="shared" si="11"/>
        <v>12</v>
      </c>
      <c r="J31" s="8" t="str">
        <f t="shared" si="12"/>
        <v>12</v>
      </c>
      <c r="K31" s="8" t="str">
        <f t="shared" si="13"/>
        <v>04</v>
      </c>
      <c r="L31" s="8" t="str">
        <f t="shared" si="14"/>
        <v>2025</v>
      </c>
      <c r="M31" s="9" t="str">
        <f t="shared" si="15"/>
        <v>-</v>
      </c>
      <c r="N31" s="9" t="str">
        <f t="shared" si="16"/>
        <v>-</v>
      </c>
      <c r="O31" s="10" t="str">
        <f t="shared" si="17"/>
        <v>-</v>
      </c>
    </row>
    <row r="32" spans="1:15" x14ac:dyDescent="0.2">
      <c r="A32" s="12" t="s">
        <v>147</v>
      </c>
      <c r="B32" s="2" t="s">
        <v>26</v>
      </c>
      <c r="C32" s="2" t="s">
        <v>148</v>
      </c>
      <c r="D32" s="2" t="s">
        <v>93</v>
      </c>
      <c r="E32" s="2" t="s">
        <v>149</v>
      </c>
      <c r="G32" s="8" t="str">
        <f t="shared" si="9"/>
        <v>JMC1E</v>
      </c>
      <c r="H32" s="8">
        <f t="shared" si="10"/>
        <v>126</v>
      </c>
      <c r="I32" s="8">
        <f t="shared" si="11"/>
        <v>12</v>
      </c>
      <c r="J32" s="8" t="str">
        <f t="shared" si="12"/>
        <v>09</v>
      </c>
      <c r="K32" s="8" t="str">
        <f t="shared" si="13"/>
        <v>04</v>
      </c>
      <c r="L32" s="8" t="str">
        <f t="shared" si="14"/>
        <v>2025</v>
      </c>
      <c r="M32" s="9" t="str">
        <f t="shared" si="15"/>
        <v>-</v>
      </c>
      <c r="N32" s="9" t="str">
        <f t="shared" si="16"/>
        <v>-</v>
      </c>
      <c r="O32" s="10" t="str">
        <f t="shared" si="17"/>
        <v>-</v>
      </c>
    </row>
    <row r="33" spans="1:15" x14ac:dyDescent="0.2">
      <c r="A33" s="12" t="s">
        <v>150</v>
      </c>
      <c r="B33" s="2" t="s">
        <v>26</v>
      </c>
      <c r="C33" s="2" t="s">
        <v>151</v>
      </c>
      <c r="D33" s="2" t="s">
        <v>130</v>
      </c>
      <c r="E33" s="2" t="s">
        <v>152</v>
      </c>
      <c r="G33" s="8" t="str">
        <f t="shared" si="9"/>
        <v>JMD1E</v>
      </c>
      <c r="H33" s="8">
        <f t="shared" si="10"/>
        <v>112</v>
      </c>
      <c r="I33" s="8">
        <f t="shared" si="11"/>
        <v>12</v>
      </c>
      <c r="J33" s="8" t="str">
        <f t="shared" si="12"/>
        <v>29</v>
      </c>
      <c r="K33" s="8" t="str">
        <f t="shared" si="13"/>
        <v>04</v>
      </c>
      <c r="L33" s="8" t="str">
        <f t="shared" si="14"/>
        <v>2025</v>
      </c>
      <c r="M33" s="9" t="str">
        <f t="shared" si="15"/>
        <v>-</v>
      </c>
      <c r="N33" s="9" t="str">
        <f t="shared" si="16"/>
        <v>-</v>
      </c>
      <c r="O33" s="10" t="str">
        <f t="shared" si="17"/>
        <v>-</v>
      </c>
    </row>
    <row r="34" spans="1:15" x14ac:dyDescent="0.2">
      <c r="A34" s="12" t="s">
        <v>153</v>
      </c>
      <c r="B34" s="2" t="s">
        <v>26</v>
      </c>
      <c r="C34" s="2" t="s">
        <v>154</v>
      </c>
      <c r="D34" s="2" t="s">
        <v>65</v>
      </c>
      <c r="E34" s="2" t="s">
        <v>155</v>
      </c>
      <c r="G34" s="8" t="str">
        <f t="shared" si="9"/>
        <v>JMD1E</v>
      </c>
      <c r="H34" s="8">
        <f t="shared" si="10"/>
        <v>92</v>
      </c>
      <c r="I34" s="8">
        <f t="shared" si="11"/>
        <v>12</v>
      </c>
      <c r="J34" s="8" t="str">
        <f t="shared" si="12"/>
        <v>21</v>
      </c>
      <c r="K34" s="8" t="str">
        <f t="shared" si="13"/>
        <v>05</v>
      </c>
      <c r="L34" s="8" t="str">
        <f t="shared" si="14"/>
        <v>2025</v>
      </c>
      <c r="M34" s="9" t="str">
        <f t="shared" si="15"/>
        <v>-</v>
      </c>
      <c r="N34" s="9" t="str">
        <f t="shared" si="16"/>
        <v>-</v>
      </c>
      <c r="O34" s="10" t="str">
        <f t="shared" si="17"/>
        <v>-</v>
      </c>
    </row>
    <row r="35" spans="1:15" x14ac:dyDescent="0.2">
      <c r="A35" s="12" t="s">
        <v>156</v>
      </c>
      <c r="B35" s="2" t="s">
        <v>26</v>
      </c>
      <c r="C35" s="2" t="s">
        <v>157</v>
      </c>
      <c r="D35" s="2" t="s">
        <v>158</v>
      </c>
      <c r="E35" s="2" t="s">
        <v>159</v>
      </c>
      <c r="G35" s="8" t="str">
        <f t="shared" si="9"/>
        <v>JMD1E</v>
      </c>
      <c r="H35" s="8">
        <f t="shared" si="10"/>
        <v>75</v>
      </c>
      <c r="I35" s="8">
        <f t="shared" si="11"/>
        <v>12</v>
      </c>
      <c r="J35" s="8" t="str">
        <f t="shared" si="12"/>
        <v>14</v>
      </c>
      <c r="K35" s="8" t="str">
        <f t="shared" si="13"/>
        <v>06</v>
      </c>
      <c r="L35" s="8" t="str">
        <f t="shared" si="14"/>
        <v>2025</v>
      </c>
      <c r="M35" s="9" t="str">
        <f t="shared" si="15"/>
        <v>-</v>
      </c>
      <c r="N35" s="9" t="str">
        <f t="shared" si="16"/>
        <v>-</v>
      </c>
      <c r="O35" s="10" t="str">
        <f t="shared" si="17"/>
        <v>-</v>
      </c>
    </row>
    <row r="36" spans="1:15" x14ac:dyDescent="0.2">
      <c r="A36" s="12" t="s">
        <v>160</v>
      </c>
      <c r="B36" s="2" t="s">
        <v>26</v>
      </c>
      <c r="C36" s="2" t="s">
        <v>161</v>
      </c>
      <c r="D36" s="2" t="s">
        <v>162</v>
      </c>
      <c r="E36" s="2" t="s">
        <v>163</v>
      </c>
      <c r="G36" s="8" t="str">
        <f t="shared" si="9"/>
        <v>JMD1E</v>
      </c>
      <c r="H36" s="8">
        <f t="shared" si="10"/>
        <v>115</v>
      </c>
      <c r="I36" s="8">
        <f t="shared" si="11"/>
        <v>12</v>
      </c>
      <c r="J36" s="8" t="str">
        <f t="shared" si="12"/>
        <v>07</v>
      </c>
      <c r="K36" s="8" t="str">
        <f t="shared" si="13"/>
        <v>05</v>
      </c>
      <c r="L36" s="8" t="str">
        <f t="shared" si="14"/>
        <v>2025</v>
      </c>
      <c r="M36" s="9" t="str">
        <f t="shared" si="15"/>
        <v>-</v>
      </c>
      <c r="N36" s="9" t="str">
        <f t="shared" si="16"/>
        <v>-</v>
      </c>
      <c r="O36" s="10" t="str">
        <f t="shared" si="17"/>
        <v>-</v>
      </c>
    </row>
    <row r="37" spans="1:15" x14ac:dyDescent="0.2">
      <c r="A37" s="12" t="s">
        <v>164</v>
      </c>
      <c r="B37" s="2" t="s">
        <v>20</v>
      </c>
      <c r="C37" s="2" t="s">
        <v>165</v>
      </c>
      <c r="D37" s="2" t="s">
        <v>166</v>
      </c>
      <c r="E37" s="2" t="s">
        <v>167</v>
      </c>
      <c r="G37" s="8" t="str">
        <f t="shared" si="9"/>
        <v>JMD1E</v>
      </c>
      <c r="H37" s="8">
        <f t="shared" si="10"/>
        <v>226</v>
      </c>
      <c r="I37" s="8">
        <f t="shared" si="11"/>
        <v>12</v>
      </c>
      <c r="J37" s="8" t="str">
        <f t="shared" si="12"/>
        <v>19</v>
      </c>
      <c r="K37" s="8" t="str">
        <f t="shared" si="13"/>
        <v>12</v>
      </c>
      <c r="L37" s="8" t="str">
        <f t="shared" si="14"/>
        <v>2024</v>
      </c>
      <c r="M37" s="9" t="str">
        <f t="shared" si="15"/>
        <v>-</v>
      </c>
      <c r="N37" s="9" t="str">
        <f t="shared" si="16"/>
        <v>-</v>
      </c>
      <c r="O37" s="10" t="str">
        <f t="shared" si="17"/>
        <v>-</v>
      </c>
    </row>
    <row r="38" spans="1:15" x14ac:dyDescent="0.2">
      <c r="A38" s="12" t="s">
        <v>168</v>
      </c>
      <c r="B38" s="2" t="s">
        <v>20</v>
      </c>
      <c r="C38" s="2" t="s">
        <v>169</v>
      </c>
      <c r="D38" s="2" t="s">
        <v>93</v>
      </c>
      <c r="E38" s="2" t="s">
        <v>170</v>
      </c>
      <c r="G38" s="8" t="str">
        <f t="shared" si="9"/>
        <v>JMD1E</v>
      </c>
      <c r="H38" s="8">
        <f t="shared" si="10"/>
        <v>124</v>
      </c>
      <c r="I38" s="8">
        <f t="shared" si="11"/>
        <v>12</v>
      </c>
      <c r="J38" s="8" t="str">
        <f t="shared" si="12"/>
        <v>11</v>
      </c>
      <c r="K38" s="8" t="str">
        <f t="shared" si="13"/>
        <v>04</v>
      </c>
      <c r="L38" s="8" t="str">
        <f t="shared" si="14"/>
        <v>2025</v>
      </c>
      <c r="M38" s="9" t="str">
        <f t="shared" si="15"/>
        <v>-</v>
      </c>
      <c r="N38" s="9" t="str">
        <f t="shared" si="16"/>
        <v>-</v>
      </c>
      <c r="O38" s="10" t="str">
        <f t="shared" si="17"/>
        <v>-</v>
      </c>
    </row>
    <row r="39" spans="1:15" x14ac:dyDescent="0.2">
      <c r="A39" s="12" t="s">
        <v>171</v>
      </c>
      <c r="B39" s="2" t="s">
        <v>20</v>
      </c>
      <c r="C39" s="2" t="s">
        <v>172</v>
      </c>
      <c r="D39" s="2" t="s">
        <v>89</v>
      </c>
      <c r="E39" s="2" t="s">
        <v>173</v>
      </c>
      <c r="G39" s="8" t="str">
        <f t="shared" si="9"/>
        <v>JMC1E</v>
      </c>
      <c r="H39" s="8">
        <f t="shared" si="10"/>
        <v>36</v>
      </c>
      <c r="I39" s="8">
        <f t="shared" si="11"/>
        <v>12</v>
      </c>
      <c r="J39" s="8" t="str">
        <f t="shared" si="12"/>
        <v>10</v>
      </c>
      <c r="K39" s="8" t="str">
        <f t="shared" si="13"/>
        <v>07</v>
      </c>
      <c r="L39" s="8" t="str">
        <f t="shared" si="14"/>
        <v>2025</v>
      </c>
      <c r="M39" s="9" t="str">
        <f t="shared" si="15"/>
        <v>-</v>
      </c>
      <c r="N39" s="9" t="str">
        <f t="shared" si="16"/>
        <v>-</v>
      </c>
      <c r="O39" s="10" t="str">
        <f t="shared" si="17"/>
        <v>-</v>
      </c>
    </row>
    <row r="40" spans="1:15" x14ac:dyDescent="0.2">
      <c r="A40" s="12" t="s">
        <v>174</v>
      </c>
      <c r="B40" s="2" t="s">
        <v>20</v>
      </c>
      <c r="C40" s="2" t="s">
        <v>175</v>
      </c>
      <c r="D40" s="2" t="s">
        <v>119</v>
      </c>
      <c r="E40" s="2" t="s">
        <v>176</v>
      </c>
      <c r="G40" s="8" t="str">
        <f t="shared" si="9"/>
        <v>JMC1E</v>
      </c>
      <c r="H40" s="8">
        <f t="shared" si="10"/>
        <v>116</v>
      </c>
      <c r="I40" s="8">
        <f t="shared" si="11"/>
        <v>12</v>
      </c>
      <c r="J40" s="8" t="str">
        <f t="shared" si="12"/>
        <v>22</v>
      </c>
      <c r="K40" s="8" t="str">
        <f t="shared" si="13"/>
        <v>04</v>
      </c>
      <c r="L40" s="8" t="str">
        <f t="shared" si="14"/>
        <v>2025</v>
      </c>
      <c r="M40" s="9" t="str">
        <f t="shared" si="15"/>
        <v>-</v>
      </c>
      <c r="N40" s="9" t="str">
        <f t="shared" si="16"/>
        <v>-</v>
      </c>
      <c r="O40" s="10" t="str">
        <f t="shared" si="17"/>
        <v>-</v>
      </c>
    </row>
    <row r="41" spans="1:15" x14ac:dyDescent="0.2">
      <c r="A41" s="12" t="s">
        <v>177</v>
      </c>
      <c r="B41" s="2" t="s">
        <v>33</v>
      </c>
      <c r="C41" s="2" t="s">
        <v>178</v>
      </c>
      <c r="D41" s="2" t="s">
        <v>80</v>
      </c>
      <c r="E41" s="2" t="s">
        <v>179</v>
      </c>
      <c r="G41" s="8" t="str">
        <f t="shared" si="9"/>
        <v>JMD1E</v>
      </c>
      <c r="H41" s="8">
        <f t="shared" si="10"/>
        <v>220</v>
      </c>
      <c r="I41" s="8">
        <f t="shared" si="11"/>
        <v>12</v>
      </c>
      <c r="J41" s="8" t="str">
        <f t="shared" si="12"/>
        <v>27</v>
      </c>
      <c r="K41" s="8" t="str">
        <f t="shared" si="13"/>
        <v>12</v>
      </c>
      <c r="L41" s="8" t="str">
        <f t="shared" si="14"/>
        <v>2024</v>
      </c>
      <c r="M41" s="9" t="str">
        <f t="shared" si="15"/>
        <v>-</v>
      </c>
      <c r="N41" s="9" t="str">
        <f t="shared" si="16"/>
        <v>-</v>
      </c>
      <c r="O41" s="10" t="str">
        <f t="shared" si="17"/>
        <v>-</v>
      </c>
    </row>
    <row r="42" spans="1:15" x14ac:dyDescent="0.2">
      <c r="A42" s="12" t="s">
        <v>180</v>
      </c>
      <c r="B42" s="2" t="s">
        <v>33</v>
      </c>
      <c r="C42" s="2" t="s">
        <v>181</v>
      </c>
      <c r="D42" s="2" t="s">
        <v>93</v>
      </c>
      <c r="E42" s="2" t="s">
        <v>182</v>
      </c>
      <c r="G42" s="8" t="str">
        <f t="shared" si="9"/>
        <v>JMD1E</v>
      </c>
      <c r="H42" s="8">
        <f t="shared" si="10"/>
        <v>219</v>
      </c>
      <c r="I42" s="8">
        <f t="shared" si="11"/>
        <v>12</v>
      </c>
      <c r="J42" s="8" t="str">
        <f t="shared" si="12"/>
        <v>06</v>
      </c>
      <c r="K42" s="8" t="str">
        <f t="shared" si="13"/>
        <v>01</v>
      </c>
      <c r="L42" s="8" t="str">
        <f t="shared" si="14"/>
        <v>2025</v>
      </c>
      <c r="M42" s="9" t="str">
        <f t="shared" si="15"/>
        <v>-</v>
      </c>
      <c r="N42" s="9" t="str">
        <f t="shared" si="16"/>
        <v>-</v>
      </c>
      <c r="O42" s="10" t="str">
        <f t="shared" si="17"/>
        <v>-</v>
      </c>
    </row>
    <row r="43" spans="1:15" x14ac:dyDescent="0.2">
      <c r="A43" s="12" t="s">
        <v>183</v>
      </c>
      <c r="B43" s="2" t="s">
        <v>33</v>
      </c>
      <c r="C43" s="2" t="s">
        <v>184</v>
      </c>
      <c r="D43" s="2" t="s">
        <v>185</v>
      </c>
      <c r="E43" s="2" t="s">
        <v>186</v>
      </c>
      <c r="G43" s="8" t="str">
        <f t="shared" si="9"/>
        <v>JMD1E</v>
      </c>
      <c r="H43" s="8">
        <f t="shared" si="10"/>
        <v>228</v>
      </c>
      <c r="I43" s="8">
        <f t="shared" si="11"/>
        <v>12</v>
      </c>
      <c r="J43" s="8" t="str">
        <f t="shared" si="12"/>
        <v>02</v>
      </c>
      <c r="K43" s="8" t="str">
        <f t="shared" si="13"/>
        <v>01</v>
      </c>
      <c r="L43" s="8" t="str">
        <f t="shared" si="14"/>
        <v>2025</v>
      </c>
      <c r="M43" s="9" t="str">
        <f t="shared" si="15"/>
        <v>-</v>
      </c>
      <c r="N43" s="9" t="str">
        <f t="shared" si="16"/>
        <v>-</v>
      </c>
      <c r="O43" s="10" t="str">
        <f t="shared" si="17"/>
        <v>-</v>
      </c>
    </row>
    <row r="44" spans="1:15" x14ac:dyDescent="0.2">
      <c r="A44" s="12" t="s">
        <v>187</v>
      </c>
      <c r="B44" s="2" t="s">
        <v>20</v>
      </c>
      <c r="C44" s="2" t="s">
        <v>188</v>
      </c>
      <c r="D44" s="2" t="s">
        <v>73</v>
      </c>
      <c r="E44" s="2" t="s">
        <v>189</v>
      </c>
      <c r="G44" s="8" t="str">
        <f t="shared" si="9"/>
        <v>KF01E</v>
      </c>
      <c r="H44" s="8">
        <f t="shared" si="10"/>
        <v>362</v>
      </c>
      <c r="I44" s="8">
        <f t="shared" si="11"/>
        <v>12</v>
      </c>
      <c r="J44" s="8" t="str">
        <f t="shared" si="12"/>
        <v>26</v>
      </c>
      <c r="K44" s="8" t="str">
        <f t="shared" si="13"/>
        <v>08</v>
      </c>
      <c r="L44" s="8" t="str">
        <f t="shared" si="14"/>
        <v>2024</v>
      </c>
      <c r="M44" s="11" t="str">
        <f t="shared" si="15"/>
        <v>tolong cek</v>
      </c>
      <c r="N44" s="11" t="str">
        <f t="shared" si="16"/>
        <v>tolong cek kadaluarsa</v>
      </c>
      <c r="O44" s="10" t="str">
        <f t="shared" si="17"/>
        <v>-</v>
      </c>
    </row>
  </sheetData>
  <autoFilter ref="A1:O44"/>
  <pageMargins left="0.39370078740157483" right="0.39370078740157483" top="0.39370078740157483" bottom="0.39370078740157483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 Rekap KPB</vt:lpstr>
      <vt:lpstr>Report Detail KPB</vt:lpstr>
      <vt:lpstr>'Report Detail KPB'!Print_Area</vt:lpstr>
      <vt:lpstr>'Report Rekap KPB'!Print_Area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Cindy Aprilia</dc:creator>
  <dc:description/>
  <cp:lastModifiedBy>Cindy Aprilia</cp:lastModifiedBy>
  <dcterms:created xsi:type="dcterms:W3CDTF">2025-09-01T09:01:58Z</dcterms:created>
  <dcterms:modified xsi:type="dcterms:W3CDTF">2025-09-02T06:27:37Z</dcterms:modified>
</cp:coreProperties>
</file>