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cek_kpb\kpb_08_2025\digital2\"/>
    </mc:Choice>
  </mc:AlternateContent>
  <xr:revisionPtr revIDLastSave="0" documentId="13_ncr:1_{8146CA09-41C3-4700-803C-105E7F8368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Rekap KPB" sheetId="1" r:id="rId1"/>
    <sheet name="Report Detail KPB" sheetId="2" r:id="rId2"/>
    <sheet name="Sheet1" sheetId="3" r:id="rId3"/>
  </sheets>
  <externalReferences>
    <externalReference r:id="rId4"/>
  </externalReferences>
  <definedNames>
    <definedName name="_xlnm._FilterDatabase" localSheetId="1" hidden="1">'Report Detail KPB'!$A$1:$P$280</definedName>
    <definedName name="_xlnm._FilterDatabase" localSheetId="2" hidden="1">Sheet1!$A$1:$I$225</definedName>
    <definedName name="_xlnm.Print_Area" localSheetId="1">'Report Detail KPB'!$A$1:$E$280</definedName>
    <definedName name="_xlnm.Print_Area" localSheetId="0">'Report Rekap KPB'!$A$1:$L$20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9" i="2" l="1"/>
  <c r="Q243" i="2"/>
  <c r="Q49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" i="3"/>
  <c r="G2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" i="2"/>
  <c r="G257" i="2"/>
  <c r="H257" i="2"/>
  <c r="I257" i="2"/>
  <c r="J257" i="2"/>
  <c r="L257" i="2"/>
  <c r="M257" i="2"/>
  <c r="N257" i="2"/>
  <c r="O257" i="2" s="1"/>
  <c r="G98" i="2"/>
  <c r="H98" i="2"/>
  <c r="I98" i="2"/>
  <c r="J98" i="2"/>
  <c r="L98" i="2"/>
  <c r="M98" i="2"/>
  <c r="N98" i="2"/>
  <c r="G156" i="2"/>
  <c r="H156" i="2"/>
  <c r="I156" i="2"/>
  <c r="J156" i="2"/>
  <c r="L156" i="2"/>
  <c r="M156" i="2"/>
  <c r="N156" i="2"/>
  <c r="G225" i="2"/>
  <c r="H225" i="2"/>
  <c r="I225" i="2"/>
  <c r="J225" i="2"/>
  <c r="L225" i="2"/>
  <c r="M225" i="2"/>
  <c r="N225" i="2"/>
  <c r="G147" i="2"/>
  <c r="H147" i="2"/>
  <c r="I147" i="2"/>
  <c r="J147" i="2"/>
  <c r="L147" i="2"/>
  <c r="M147" i="2"/>
  <c r="N147" i="2"/>
  <c r="G93" i="2"/>
  <c r="H93" i="2"/>
  <c r="I93" i="2"/>
  <c r="J93" i="2"/>
  <c r="L93" i="2"/>
  <c r="M93" i="2"/>
  <c r="N93" i="2"/>
  <c r="G47" i="2"/>
  <c r="H47" i="2"/>
  <c r="I47" i="2"/>
  <c r="J47" i="2"/>
  <c r="L47" i="2"/>
  <c r="M47" i="2"/>
  <c r="N47" i="2"/>
  <c r="G117" i="2"/>
  <c r="H117" i="2"/>
  <c r="I117" i="2"/>
  <c r="J117" i="2"/>
  <c r="L117" i="2"/>
  <c r="M117" i="2"/>
  <c r="N117" i="2"/>
  <c r="G8" i="2"/>
  <c r="H8" i="2"/>
  <c r="I8" i="2"/>
  <c r="J8" i="2"/>
  <c r="L8" i="2"/>
  <c r="M8" i="2"/>
  <c r="N8" i="2"/>
  <c r="G118" i="2"/>
  <c r="H118" i="2"/>
  <c r="I118" i="2"/>
  <c r="J118" i="2"/>
  <c r="L118" i="2"/>
  <c r="M118" i="2"/>
  <c r="N118" i="2"/>
  <c r="G15" i="2"/>
  <c r="H15" i="2"/>
  <c r="I15" i="2"/>
  <c r="J15" i="2"/>
  <c r="L15" i="2"/>
  <c r="M15" i="2"/>
  <c r="N15" i="2"/>
  <c r="G196" i="2"/>
  <c r="H196" i="2"/>
  <c r="I196" i="2"/>
  <c r="J196" i="2"/>
  <c r="L196" i="2"/>
  <c r="M196" i="2"/>
  <c r="N196" i="2"/>
  <c r="G17" i="2"/>
  <c r="H17" i="2"/>
  <c r="I17" i="2"/>
  <c r="J17" i="2"/>
  <c r="L17" i="2"/>
  <c r="M17" i="2"/>
  <c r="N17" i="2"/>
  <c r="G136" i="2"/>
  <c r="H136" i="2"/>
  <c r="I136" i="2"/>
  <c r="J136" i="2"/>
  <c r="L136" i="2"/>
  <c r="M136" i="2"/>
  <c r="N136" i="2"/>
  <c r="G9" i="2"/>
  <c r="H9" i="2"/>
  <c r="I9" i="2"/>
  <c r="J9" i="2"/>
  <c r="L9" i="2"/>
  <c r="M9" i="2"/>
  <c r="N9" i="2"/>
  <c r="G234" i="2"/>
  <c r="H234" i="2"/>
  <c r="I234" i="2"/>
  <c r="J234" i="2"/>
  <c r="L234" i="2"/>
  <c r="M234" i="2"/>
  <c r="N234" i="2"/>
  <c r="G20" i="2"/>
  <c r="H20" i="2"/>
  <c r="I20" i="2"/>
  <c r="J20" i="2"/>
  <c r="L20" i="2"/>
  <c r="M20" i="2"/>
  <c r="N20" i="2"/>
  <c r="G32" i="2"/>
  <c r="H32" i="2"/>
  <c r="I32" i="2"/>
  <c r="J32" i="2"/>
  <c r="L32" i="2"/>
  <c r="M32" i="2"/>
  <c r="N32" i="2"/>
  <c r="G5" i="2"/>
  <c r="H5" i="2"/>
  <c r="I5" i="2"/>
  <c r="J5" i="2"/>
  <c r="L5" i="2"/>
  <c r="M5" i="2"/>
  <c r="N5" i="2"/>
  <c r="G52" i="2"/>
  <c r="H52" i="2"/>
  <c r="I52" i="2"/>
  <c r="J52" i="2"/>
  <c r="L52" i="2"/>
  <c r="M52" i="2"/>
  <c r="N52" i="2"/>
  <c r="G78" i="2"/>
  <c r="H78" i="2"/>
  <c r="I78" i="2"/>
  <c r="J78" i="2"/>
  <c r="L78" i="2"/>
  <c r="M78" i="2"/>
  <c r="N78" i="2"/>
  <c r="G142" i="2"/>
  <c r="H142" i="2"/>
  <c r="I142" i="2"/>
  <c r="J142" i="2"/>
  <c r="L142" i="2"/>
  <c r="M142" i="2"/>
  <c r="N142" i="2"/>
  <c r="G134" i="2"/>
  <c r="H134" i="2"/>
  <c r="I134" i="2"/>
  <c r="J134" i="2"/>
  <c r="L134" i="2"/>
  <c r="M134" i="2"/>
  <c r="N134" i="2"/>
  <c r="G185" i="2"/>
  <c r="H185" i="2"/>
  <c r="I185" i="2"/>
  <c r="J185" i="2"/>
  <c r="L185" i="2"/>
  <c r="M185" i="2"/>
  <c r="N185" i="2"/>
  <c r="G206" i="2"/>
  <c r="H206" i="2"/>
  <c r="I206" i="2"/>
  <c r="J206" i="2"/>
  <c r="L206" i="2"/>
  <c r="M206" i="2"/>
  <c r="N206" i="2"/>
  <c r="G70" i="2"/>
  <c r="H70" i="2"/>
  <c r="I70" i="2"/>
  <c r="J70" i="2"/>
  <c r="L70" i="2"/>
  <c r="M70" i="2"/>
  <c r="N70" i="2"/>
  <c r="G67" i="2"/>
  <c r="H67" i="2"/>
  <c r="I67" i="2"/>
  <c r="J67" i="2"/>
  <c r="L67" i="2"/>
  <c r="M67" i="2"/>
  <c r="N67" i="2"/>
  <c r="G6" i="2"/>
  <c r="H6" i="2"/>
  <c r="I6" i="2"/>
  <c r="J6" i="2"/>
  <c r="L6" i="2"/>
  <c r="M6" i="2"/>
  <c r="N6" i="2"/>
  <c r="G167" i="2"/>
  <c r="H167" i="2"/>
  <c r="I167" i="2"/>
  <c r="J167" i="2"/>
  <c r="L167" i="2"/>
  <c r="M167" i="2"/>
  <c r="N167" i="2"/>
  <c r="G123" i="2"/>
  <c r="H123" i="2"/>
  <c r="I123" i="2"/>
  <c r="J123" i="2"/>
  <c r="L123" i="2"/>
  <c r="M123" i="2"/>
  <c r="N123" i="2"/>
  <c r="G235" i="2"/>
  <c r="H235" i="2"/>
  <c r="I235" i="2"/>
  <c r="J235" i="2"/>
  <c r="L235" i="2"/>
  <c r="M235" i="2"/>
  <c r="N235" i="2"/>
  <c r="G90" i="2"/>
  <c r="H90" i="2"/>
  <c r="I90" i="2"/>
  <c r="J90" i="2"/>
  <c r="L90" i="2"/>
  <c r="M90" i="2"/>
  <c r="N90" i="2"/>
  <c r="G231" i="2"/>
  <c r="H231" i="2"/>
  <c r="I231" i="2"/>
  <c r="J231" i="2"/>
  <c r="L231" i="2"/>
  <c r="M231" i="2"/>
  <c r="N231" i="2"/>
  <c r="G87" i="2"/>
  <c r="H87" i="2"/>
  <c r="I87" i="2"/>
  <c r="J87" i="2"/>
  <c r="L87" i="2"/>
  <c r="M87" i="2"/>
  <c r="N87" i="2"/>
  <c r="G208" i="2"/>
  <c r="H208" i="2"/>
  <c r="I208" i="2"/>
  <c r="J208" i="2"/>
  <c r="L208" i="2"/>
  <c r="M208" i="2"/>
  <c r="N208" i="2"/>
  <c r="G12" i="2"/>
  <c r="H12" i="2"/>
  <c r="I12" i="2"/>
  <c r="J12" i="2"/>
  <c r="L12" i="2"/>
  <c r="M12" i="2"/>
  <c r="N12" i="2"/>
  <c r="G10" i="2"/>
  <c r="H10" i="2"/>
  <c r="I10" i="2"/>
  <c r="J10" i="2"/>
  <c r="L10" i="2"/>
  <c r="M10" i="2"/>
  <c r="N10" i="2"/>
  <c r="G211" i="2"/>
  <c r="H211" i="2"/>
  <c r="I211" i="2"/>
  <c r="J211" i="2"/>
  <c r="L211" i="2"/>
  <c r="M211" i="2"/>
  <c r="N211" i="2"/>
  <c r="G162" i="2"/>
  <c r="H162" i="2"/>
  <c r="I162" i="2"/>
  <c r="J162" i="2"/>
  <c r="L162" i="2"/>
  <c r="M162" i="2"/>
  <c r="N162" i="2"/>
  <c r="G64" i="2"/>
  <c r="H64" i="2"/>
  <c r="I64" i="2"/>
  <c r="J64" i="2"/>
  <c r="L64" i="2"/>
  <c r="M64" i="2"/>
  <c r="N64" i="2"/>
  <c r="G224" i="2"/>
  <c r="H224" i="2"/>
  <c r="I224" i="2"/>
  <c r="J224" i="2"/>
  <c r="L224" i="2"/>
  <c r="M224" i="2"/>
  <c r="N224" i="2"/>
  <c r="G27" i="2"/>
  <c r="H27" i="2"/>
  <c r="I27" i="2"/>
  <c r="J27" i="2"/>
  <c r="L27" i="2"/>
  <c r="M27" i="2"/>
  <c r="N27" i="2"/>
  <c r="G83" i="2"/>
  <c r="H83" i="2"/>
  <c r="I83" i="2"/>
  <c r="J83" i="2"/>
  <c r="L83" i="2"/>
  <c r="M83" i="2"/>
  <c r="N83" i="2"/>
  <c r="G82" i="2"/>
  <c r="H82" i="2"/>
  <c r="I82" i="2"/>
  <c r="J82" i="2"/>
  <c r="L82" i="2"/>
  <c r="M82" i="2"/>
  <c r="N82" i="2"/>
  <c r="G175" i="2"/>
  <c r="H175" i="2"/>
  <c r="I175" i="2"/>
  <c r="J175" i="2"/>
  <c r="L175" i="2"/>
  <c r="M175" i="2"/>
  <c r="N175" i="2"/>
  <c r="G139" i="2"/>
  <c r="H139" i="2"/>
  <c r="I139" i="2"/>
  <c r="J139" i="2"/>
  <c r="L139" i="2"/>
  <c r="M139" i="2"/>
  <c r="N139" i="2"/>
  <c r="G57" i="2"/>
  <c r="H57" i="2"/>
  <c r="I57" i="2"/>
  <c r="J57" i="2"/>
  <c r="L57" i="2"/>
  <c r="M57" i="2"/>
  <c r="N57" i="2"/>
  <c r="G131" i="2"/>
  <c r="H131" i="2"/>
  <c r="I131" i="2"/>
  <c r="J131" i="2"/>
  <c r="L131" i="2"/>
  <c r="M131" i="2"/>
  <c r="N131" i="2"/>
  <c r="G274" i="2"/>
  <c r="H274" i="2"/>
  <c r="I274" i="2"/>
  <c r="J274" i="2"/>
  <c r="L274" i="2"/>
  <c r="M274" i="2"/>
  <c r="N274" i="2"/>
  <c r="G259" i="2"/>
  <c r="H259" i="2"/>
  <c r="I259" i="2"/>
  <c r="J259" i="2"/>
  <c r="L259" i="2"/>
  <c r="M259" i="2"/>
  <c r="N259" i="2"/>
  <c r="G105" i="2"/>
  <c r="H105" i="2"/>
  <c r="I105" i="2"/>
  <c r="J105" i="2"/>
  <c r="L105" i="2"/>
  <c r="M105" i="2"/>
  <c r="N105" i="2"/>
  <c r="G153" i="2"/>
  <c r="H153" i="2"/>
  <c r="I153" i="2"/>
  <c r="J153" i="2"/>
  <c r="L153" i="2"/>
  <c r="M153" i="2"/>
  <c r="N153" i="2"/>
  <c r="G53" i="2"/>
  <c r="H53" i="2"/>
  <c r="I53" i="2"/>
  <c r="J53" i="2"/>
  <c r="L53" i="2"/>
  <c r="M53" i="2"/>
  <c r="N53" i="2"/>
  <c r="G4" i="2"/>
  <c r="H4" i="2"/>
  <c r="I4" i="2"/>
  <c r="J4" i="2"/>
  <c r="L4" i="2"/>
  <c r="M4" i="2"/>
  <c r="N4" i="2"/>
  <c r="G212" i="2"/>
  <c r="H212" i="2"/>
  <c r="I212" i="2"/>
  <c r="J212" i="2"/>
  <c r="L212" i="2"/>
  <c r="M212" i="2"/>
  <c r="N212" i="2"/>
  <c r="G66" i="2"/>
  <c r="H66" i="2"/>
  <c r="I66" i="2"/>
  <c r="J66" i="2"/>
  <c r="L66" i="2"/>
  <c r="M66" i="2"/>
  <c r="N66" i="2"/>
  <c r="G121" i="2"/>
  <c r="H121" i="2"/>
  <c r="I121" i="2"/>
  <c r="J121" i="2"/>
  <c r="L121" i="2"/>
  <c r="M121" i="2"/>
  <c r="N121" i="2"/>
  <c r="G262" i="2"/>
  <c r="H262" i="2"/>
  <c r="I262" i="2"/>
  <c r="J262" i="2"/>
  <c r="L262" i="2"/>
  <c r="M262" i="2"/>
  <c r="N262" i="2"/>
  <c r="G268" i="2"/>
  <c r="H268" i="2"/>
  <c r="I268" i="2"/>
  <c r="J268" i="2"/>
  <c r="L268" i="2"/>
  <c r="M268" i="2"/>
  <c r="N268" i="2"/>
  <c r="G2" i="2"/>
  <c r="H2" i="2"/>
  <c r="I2" i="2"/>
  <c r="J2" i="2"/>
  <c r="L2" i="2"/>
  <c r="M2" i="2"/>
  <c r="N2" i="2"/>
  <c r="G265" i="2"/>
  <c r="H265" i="2"/>
  <c r="I265" i="2"/>
  <c r="J265" i="2"/>
  <c r="L265" i="2"/>
  <c r="M265" i="2"/>
  <c r="N265" i="2"/>
  <c r="G155" i="2"/>
  <c r="H155" i="2"/>
  <c r="I155" i="2"/>
  <c r="J155" i="2"/>
  <c r="L155" i="2"/>
  <c r="M155" i="2"/>
  <c r="N155" i="2"/>
  <c r="G110" i="2"/>
  <c r="H110" i="2"/>
  <c r="I110" i="2"/>
  <c r="J110" i="2"/>
  <c r="L110" i="2"/>
  <c r="M110" i="2"/>
  <c r="N110" i="2"/>
  <c r="G59" i="2"/>
  <c r="H59" i="2"/>
  <c r="I59" i="2"/>
  <c r="J59" i="2"/>
  <c r="L59" i="2"/>
  <c r="M59" i="2"/>
  <c r="N59" i="2"/>
  <c r="G138" i="2"/>
  <c r="H138" i="2"/>
  <c r="I138" i="2"/>
  <c r="J138" i="2"/>
  <c r="L138" i="2"/>
  <c r="M138" i="2"/>
  <c r="N138" i="2"/>
  <c r="G188" i="2"/>
  <c r="H188" i="2"/>
  <c r="I188" i="2"/>
  <c r="J188" i="2"/>
  <c r="L188" i="2"/>
  <c r="M188" i="2"/>
  <c r="N188" i="2"/>
  <c r="G215" i="2"/>
  <c r="H215" i="2"/>
  <c r="I215" i="2"/>
  <c r="J215" i="2"/>
  <c r="L215" i="2"/>
  <c r="M215" i="2"/>
  <c r="N215" i="2"/>
  <c r="G160" i="2"/>
  <c r="H160" i="2"/>
  <c r="I160" i="2"/>
  <c r="J160" i="2"/>
  <c r="L160" i="2"/>
  <c r="M160" i="2"/>
  <c r="N160" i="2"/>
  <c r="G129" i="2"/>
  <c r="H129" i="2"/>
  <c r="I129" i="2"/>
  <c r="J129" i="2"/>
  <c r="L129" i="2"/>
  <c r="M129" i="2"/>
  <c r="N129" i="2"/>
  <c r="G226" i="2"/>
  <c r="H226" i="2"/>
  <c r="I226" i="2"/>
  <c r="J226" i="2"/>
  <c r="L226" i="2"/>
  <c r="M226" i="2"/>
  <c r="N226" i="2"/>
  <c r="G200" i="2"/>
  <c r="H200" i="2"/>
  <c r="I200" i="2"/>
  <c r="J200" i="2"/>
  <c r="L200" i="2"/>
  <c r="M200" i="2"/>
  <c r="N200" i="2"/>
  <c r="G218" i="2"/>
  <c r="H218" i="2"/>
  <c r="I218" i="2"/>
  <c r="J218" i="2"/>
  <c r="L218" i="2"/>
  <c r="M218" i="2"/>
  <c r="N218" i="2"/>
  <c r="G272" i="2"/>
  <c r="H272" i="2"/>
  <c r="I272" i="2"/>
  <c r="J272" i="2"/>
  <c r="L272" i="2"/>
  <c r="M272" i="2"/>
  <c r="N272" i="2"/>
  <c r="G63" i="2"/>
  <c r="H63" i="2"/>
  <c r="I63" i="2"/>
  <c r="J63" i="2"/>
  <c r="L63" i="2"/>
  <c r="M63" i="2"/>
  <c r="N63" i="2"/>
  <c r="G148" i="2"/>
  <c r="H148" i="2"/>
  <c r="I148" i="2"/>
  <c r="J148" i="2"/>
  <c r="L148" i="2"/>
  <c r="M148" i="2"/>
  <c r="N148" i="2"/>
  <c r="G205" i="2"/>
  <c r="H205" i="2"/>
  <c r="I205" i="2"/>
  <c r="J205" i="2"/>
  <c r="L205" i="2"/>
  <c r="M205" i="2"/>
  <c r="N205" i="2"/>
  <c r="G135" i="2"/>
  <c r="H135" i="2"/>
  <c r="I135" i="2"/>
  <c r="J135" i="2"/>
  <c r="L135" i="2"/>
  <c r="M135" i="2"/>
  <c r="N135" i="2"/>
  <c r="G144" i="2"/>
  <c r="H144" i="2"/>
  <c r="I144" i="2"/>
  <c r="J144" i="2"/>
  <c r="L144" i="2"/>
  <c r="M144" i="2"/>
  <c r="N144" i="2"/>
  <c r="G42" i="2"/>
  <c r="H42" i="2"/>
  <c r="I42" i="2"/>
  <c r="J42" i="2"/>
  <c r="L42" i="2"/>
  <c r="M42" i="2"/>
  <c r="N42" i="2"/>
  <c r="G92" i="2"/>
  <c r="H92" i="2"/>
  <c r="I92" i="2"/>
  <c r="J92" i="2"/>
  <c r="L92" i="2"/>
  <c r="M92" i="2"/>
  <c r="N92" i="2"/>
  <c r="G237" i="2"/>
  <c r="H237" i="2"/>
  <c r="I237" i="2"/>
  <c r="J237" i="2"/>
  <c r="L237" i="2"/>
  <c r="M237" i="2"/>
  <c r="N237" i="2"/>
  <c r="G181" i="2"/>
  <c r="H181" i="2"/>
  <c r="I181" i="2"/>
  <c r="J181" i="2"/>
  <c r="L181" i="2"/>
  <c r="M181" i="2"/>
  <c r="N181" i="2"/>
  <c r="G143" i="2"/>
  <c r="H143" i="2"/>
  <c r="I143" i="2"/>
  <c r="J143" i="2"/>
  <c r="L143" i="2"/>
  <c r="M143" i="2"/>
  <c r="N143" i="2"/>
  <c r="G107" i="2"/>
  <c r="H107" i="2"/>
  <c r="I107" i="2"/>
  <c r="J107" i="2"/>
  <c r="L107" i="2"/>
  <c r="M107" i="2"/>
  <c r="N107" i="2"/>
  <c r="G254" i="2"/>
  <c r="H254" i="2"/>
  <c r="I254" i="2"/>
  <c r="J254" i="2"/>
  <c r="L254" i="2"/>
  <c r="M254" i="2"/>
  <c r="N254" i="2"/>
  <c r="G31" i="2"/>
  <c r="H31" i="2"/>
  <c r="I31" i="2"/>
  <c r="J31" i="2"/>
  <c r="L31" i="2"/>
  <c r="M31" i="2"/>
  <c r="N31" i="2"/>
  <c r="G182" i="2"/>
  <c r="H182" i="2"/>
  <c r="I182" i="2"/>
  <c r="J182" i="2"/>
  <c r="L182" i="2"/>
  <c r="M182" i="2"/>
  <c r="N182" i="2"/>
  <c r="G197" i="2"/>
  <c r="H197" i="2"/>
  <c r="I197" i="2"/>
  <c r="J197" i="2"/>
  <c r="L197" i="2"/>
  <c r="M197" i="2"/>
  <c r="N197" i="2"/>
  <c r="G14" i="2"/>
  <c r="H14" i="2"/>
  <c r="I14" i="2"/>
  <c r="J14" i="2"/>
  <c r="L14" i="2"/>
  <c r="M14" i="2"/>
  <c r="N14" i="2"/>
  <c r="G34" i="2"/>
  <c r="H34" i="2"/>
  <c r="I34" i="2"/>
  <c r="J34" i="2"/>
  <c r="L34" i="2"/>
  <c r="M34" i="2"/>
  <c r="N34" i="2"/>
  <c r="G184" i="2"/>
  <c r="H184" i="2"/>
  <c r="I184" i="2"/>
  <c r="J184" i="2"/>
  <c r="L184" i="2"/>
  <c r="M184" i="2"/>
  <c r="N184" i="2"/>
  <c r="G154" i="2"/>
  <c r="H154" i="2"/>
  <c r="I154" i="2"/>
  <c r="J154" i="2"/>
  <c r="L154" i="2"/>
  <c r="M154" i="2"/>
  <c r="N154" i="2"/>
  <c r="G43" i="2"/>
  <c r="H43" i="2"/>
  <c r="I43" i="2"/>
  <c r="J43" i="2"/>
  <c r="L43" i="2"/>
  <c r="M43" i="2"/>
  <c r="N43" i="2"/>
  <c r="G61" i="2"/>
  <c r="H61" i="2"/>
  <c r="I61" i="2"/>
  <c r="J61" i="2"/>
  <c r="L61" i="2"/>
  <c r="M61" i="2"/>
  <c r="N61" i="2"/>
  <c r="G201" i="2"/>
  <c r="H201" i="2"/>
  <c r="I201" i="2"/>
  <c r="J201" i="2"/>
  <c r="L201" i="2"/>
  <c r="M201" i="2"/>
  <c r="N201" i="2"/>
  <c r="G85" i="2"/>
  <c r="H85" i="2"/>
  <c r="I85" i="2"/>
  <c r="J85" i="2"/>
  <c r="L85" i="2"/>
  <c r="M85" i="2"/>
  <c r="N85" i="2"/>
  <c r="G146" i="2"/>
  <c r="H146" i="2"/>
  <c r="I146" i="2"/>
  <c r="J146" i="2"/>
  <c r="L146" i="2"/>
  <c r="M146" i="2"/>
  <c r="N146" i="2"/>
  <c r="G189" i="2"/>
  <c r="H189" i="2"/>
  <c r="I189" i="2"/>
  <c r="J189" i="2"/>
  <c r="L189" i="2"/>
  <c r="M189" i="2"/>
  <c r="N189" i="2"/>
  <c r="G176" i="2"/>
  <c r="H176" i="2"/>
  <c r="I176" i="2"/>
  <c r="J176" i="2"/>
  <c r="L176" i="2"/>
  <c r="M176" i="2"/>
  <c r="N176" i="2"/>
  <c r="G108" i="2"/>
  <c r="H108" i="2"/>
  <c r="I108" i="2"/>
  <c r="J108" i="2"/>
  <c r="L108" i="2"/>
  <c r="M108" i="2"/>
  <c r="N108" i="2"/>
  <c r="G195" i="2"/>
  <c r="H195" i="2"/>
  <c r="I195" i="2"/>
  <c r="J195" i="2"/>
  <c r="L195" i="2"/>
  <c r="M195" i="2"/>
  <c r="N195" i="2"/>
  <c r="G172" i="2"/>
  <c r="H172" i="2"/>
  <c r="I172" i="2"/>
  <c r="J172" i="2"/>
  <c r="L172" i="2"/>
  <c r="M172" i="2"/>
  <c r="N172" i="2"/>
  <c r="G275" i="2"/>
  <c r="H275" i="2"/>
  <c r="I275" i="2"/>
  <c r="J275" i="2"/>
  <c r="L275" i="2"/>
  <c r="M275" i="2"/>
  <c r="N275" i="2"/>
  <c r="G228" i="2"/>
  <c r="H228" i="2"/>
  <c r="I228" i="2"/>
  <c r="J228" i="2"/>
  <c r="L228" i="2"/>
  <c r="M228" i="2"/>
  <c r="N228" i="2"/>
  <c r="G271" i="2"/>
  <c r="H271" i="2"/>
  <c r="I271" i="2"/>
  <c r="J271" i="2"/>
  <c r="L271" i="2"/>
  <c r="M271" i="2"/>
  <c r="N271" i="2"/>
  <c r="G179" i="2"/>
  <c r="H179" i="2"/>
  <c r="I179" i="2"/>
  <c r="J179" i="2"/>
  <c r="L179" i="2"/>
  <c r="M179" i="2"/>
  <c r="N179" i="2"/>
  <c r="G194" i="2"/>
  <c r="H194" i="2"/>
  <c r="I194" i="2"/>
  <c r="J194" i="2"/>
  <c r="L194" i="2"/>
  <c r="M194" i="2"/>
  <c r="N194" i="2"/>
  <c r="G81" i="2"/>
  <c r="H81" i="2"/>
  <c r="I81" i="2"/>
  <c r="J81" i="2"/>
  <c r="L81" i="2"/>
  <c r="M81" i="2"/>
  <c r="N81" i="2"/>
  <c r="G280" i="2"/>
  <c r="H280" i="2"/>
  <c r="I280" i="2"/>
  <c r="J280" i="2"/>
  <c r="L280" i="2"/>
  <c r="M280" i="2"/>
  <c r="N280" i="2"/>
  <c r="G261" i="2"/>
  <c r="H261" i="2"/>
  <c r="I261" i="2"/>
  <c r="J261" i="2"/>
  <c r="L261" i="2"/>
  <c r="M261" i="2"/>
  <c r="N261" i="2"/>
  <c r="G233" i="2"/>
  <c r="H233" i="2"/>
  <c r="I233" i="2"/>
  <c r="J233" i="2"/>
  <c r="L233" i="2"/>
  <c r="M233" i="2"/>
  <c r="N233" i="2"/>
  <c r="G116" i="2"/>
  <c r="H116" i="2"/>
  <c r="I116" i="2"/>
  <c r="J116" i="2"/>
  <c r="L116" i="2"/>
  <c r="M116" i="2"/>
  <c r="N116" i="2"/>
  <c r="G241" i="2"/>
  <c r="H241" i="2"/>
  <c r="I241" i="2"/>
  <c r="J241" i="2"/>
  <c r="L241" i="2"/>
  <c r="M241" i="2"/>
  <c r="N241" i="2"/>
  <c r="G89" i="2"/>
  <c r="H89" i="2"/>
  <c r="I89" i="2"/>
  <c r="J89" i="2"/>
  <c r="L89" i="2"/>
  <c r="M89" i="2"/>
  <c r="N89" i="2"/>
  <c r="G202" i="2"/>
  <c r="H202" i="2"/>
  <c r="I202" i="2"/>
  <c r="J202" i="2"/>
  <c r="L202" i="2"/>
  <c r="M202" i="2"/>
  <c r="N202" i="2"/>
  <c r="G113" i="2"/>
  <c r="H113" i="2"/>
  <c r="I113" i="2"/>
  <c r="J113" i="2"/>
  <c r="L113" i="2"/>
  <c r="M113" i="2"/>
  <c r="N113" i="2"/>
  <c r="G26" i="2"/>
  <c r="H26" i="2"/>
  <c r="I26" i="2"/>
  <c r="J26" i="2"/>
  <c r="L26" i="2"/>
  <c r="M26" i="2"/>
  <c r="N26" i="2"/>
  <c r="G198" i="2"/>
  <c r="H198" i="2"/>
  <c r="I198" i="2"/>
  <c r="J198" i="2"/>
  <c r="L198" i="2"/>
  <c r="M198" i="2"/>
  <c r="N198" i="2"/>
  <c r="G84" i="2"/>
  <c r="H84" i="2"/>
  <c r="I84" i="2"/>
  <c r="J84" i="2"/>
  <c r="L84" i="2"/>
  <c r="M84" i="2"/>
  <c r="N84" i="2"/>
  <c r="G203" i="2"/>
  <c r="H203" i="2"/>
  <c r="I203" i="2"/>
  <c r="J203" i="2"/>
  <c r="L203" i="2"/>
  <c r="M203" i="2"/>
  <c r="N203" i="2"/>
  <c r="G124" i="2"/>
  <c r="H124" i="2"/>
  <c r="I124" i="2"/>
  <c r="J124" i="2"/>
  <c r="L124" i="2"/>
  <c r="M124" i="2"/>
  <c r="N124" i="2"/>
  <c r="G264" i="2"/>
  <c r="H264" i="2"/>
  <c r="I264" i="2"/>
  <c r="J264" i="2"/>
  <c r="L264" i="2"/>
  <c r="M264" i="2"/>
  <c r="N264" i="2"/>
  <c r="G166" i="2"/>
  <c r="H166" i="2"/>
  <c r="I166" i="2"/>
  <c r="J166" i="2"/>
  <c r="L166" i="2"/>
  <c r="M166" i="2"/>
  <c r="N166" i="2"/>
  <c r="G77" i="2"/>
  <c r="H77" i="2"/>
  <c r="I77" i="2"/>
  <c r="J77" i="2"/>
  <c r="L77" i="2"/>
  <c r="M77" i="2"/>
  <c r="N77" i="2"/>
  <c r="G213" i="2"/>
  <c r="H213" i="2"/>
  <c r="I213" i="2"/>
  <c r="J213" i="2"/>
  <c r="L213" i="2"/>
  <c r="M213" i="2"/>
  <c r="N213" i="2"/>
  <c r="G171" i="2"/>
  <c r="H171" i="2"/>
  <c r="I171" i="2"/>
  <c r="J171" i="2"/>
  <c r="L171" i="2"/>
  <c r="M171" i="2"/>
  <c r="N171" i="2"/>
  <c r="G252" i="2"/>
  <c r="H252" i="2"/>
  <c r="I252" i="2"/>
  <c r="J252" i="2"/>
  <c r="L252" i="2"/>
  <c r="M252" i="2"/>
  <c r="N252" i="2"/>
  <c r="G168" i="2"/>
  <c r="H168" i="2"/>
  <c r="I168" i="2"/>
  <c r="J168" i="2"/>
  <c r="L168" i="2"/>
  <c r="M168" i="2"/>
  <c r="N168" i="2"/>
  <c r="G244" i="2"/>
  <c r="H244" i="2"/>
  <c r="I244" i="2"/>
  <c r="J244" i="2"/>
  <c r="L244" i="2"/>
  <c r="M244" i="2"/>
  <c r="N244" i="2"/>
  <c r="G158" i="2"/>
  <c r="H158" i="2"/>
  <c r="I158" i="2"/>
  <c r="J158" i="2"/>
  <c r="L158" i="2"/>
  <c r="M158" i="2"/>
  <c r="N158" i="2"/>
  <c r="G22" i="2"/>
  <c r="H22" i="2"/>
  <c r="I22" i="2"/>
  <c r="J22" i="2"/>
  <c r="L22" i="2"/>
  <c r="M22" i="2"/>
  <c r="N22" i="2"/>
  <c r="G48" i="2"/>
  <c r="H48" i="2"/>
  <c r="I48" i="2"/>
  <c r="J48" i="2"/>
  <c r="L48" i="2"/>
  <c r="M48" i="2"/>
  <c r="N48" i="2"/>
  <c r="G30" i="2"/>
  <c r="H30" i="2"/>
  <c r="I30" i="2"/>
  <c r="J30" i="2"/>
  <c r="L30" i="2"/>
  <c r="M30" i="2"/>
  <c r="N30" i="2"/>
  <c r="G106" i="2"/>
  <c r="H106" i="2"/>
  <c r="I106" i="2"/>
  <c r="J106" i="2"/>
  <c r="L106" i="2"/>
  <c r="M106" i="2"/>
  <c r="N106" i="2"/>
  <c r="G24" i="2"/>
  <c r="H24" i="2"/>
  <c r="I24" i="2"/>
  <c r="J24" i="2"/>
  <c r="L24" i="2"/>
  <c r="M24" i="2"/>
  <c r="N24" i="2"/>
  <c r="G88" i="2"/>
  <c r="H88" i="2"/>
  <c r="I88" i="2"/>
  <c r="J88" i="2"/>
  <c r="L88" i="2"/>
  <c r="M88" i="2"/>
  <c r="N88" i="2"/>
  <c r="G7" i="2"/>
  <c r="H7" i="2"/>
  <c r="I7" i="2"/>
  <c r="J7" i="2"/>
  <c r="L7" i="2"/>
  <c r="M7" i="2"/>
  <c r="N7" i="2"/>
  <c r="G29" i="2"/>
  <c r="H29" i="2"/>
  <c r="I29" i="2"/>
  <c r="J29" i="2"/>
  <c r="L29" i="2"/>
  <c r="M29" i="2"/>
  <c r="N29" i="2"/>
  <c r="G269" i="2"/>
  <c r="H269" i="2"/>
  <c r="I269" i="2"/>
  <c r="J269" i="2"/>
  <c r="L269" i="2"/>
  <c r="M269" i="2"/>
  <c r="N269" i="2"/>
  <c r="G119" i="2"/>
  <c r="H119" i="2"/>
  <c r="I119" i="2"/>
  <c r="J119" i="2"/>
  <c r="L119" i="2"/>
  <c r="M119" i="2"/>
  <c r="N119" i="2"/>
  <c r="G44" i="2"/>
  <c r="H44" i="2"/>
  <c r="I44" i="2"/>
  <c r="J44" i="2"/>
  <c r="L44" i="2"/>
  <c r="M44" i="2"/>
  <c r="N44" i="2"/>
  <c r="G36" i="2"/>
  <c r="H36" i="2"/>
  <c r="I36" i="2"/>
  <c r="J36" i="2"/>
  <c r="L36" i="2"/>
  <c r="M36" i="2"/>
  <c r="N36" i="2"/>
  <c r="G55" i="2"/>
  <c r="H55" i="2"/>
  <c r="I55" i="2"/>
  <c r="J55" i="2"/>
  <c r="L55" i="2"/>
  <c r="M55" i="2"/>
  <c r="N55" i="2"/>
  <c r="G23" i="2"/>
  <c r="H23" i="2"/>
  <c r="I23" i="2"/>
  <c r="J23" i="2"/>
  <c r="L23" i="2"/>
  <c r="M23" i="2"/>
  <c r="N23" i="2"/>
  <c r="G260" i="2"/>
  <c r="H260" i="2"/>
  <c r="I260" i="2"/>
  <c r="J260" i="2"/>
  <c r="L260" i="2"/>
  <c r="M260" i="2"/>
  <c r="N260" i="2"/>
  <c r="G169" i="2"/>
  <c r="H169" i="2"/>
  <c r="I169" i="2"/>
  <c r="J169" i="2"/>
  <c r="L169" i="2"/>
  <c r="M169" i="2"/>
  <c r="N169" i="2"/>
  <c r="G37" i="2"/>
  <c r="H37" i="2"/>
  <c r="I37" i="2"/>
  <c r="J37" i="2"/>
  <c r="L37" i="2"/>
  <c r="M37" i="2"/>
  <c r="N37" i="2"/>
  <c r="G49" i="2"/>
  <c r="H49" i="2"/>
  <c r="I49" i="2"/>
  <c r="J49" i="2"/>
  <c r="L49" i="2"/>
  <c r="M49" i="2"/>
  <c r="N49" i="2"/>
  <c r="G122" i="2"/>
  <c r="H122" i="2"/>
  <c r="I122" i="2"/>
  <c r="J122" i="2"/>
  <c r="L122" i="2"/>
  <c r="M122" i="2"/>
  <c r="N122" i="2"/>
  <c r="G130" i="2"/>
  <c r="H130" i="2"/>
  <c r="I130" i="2"/>
  <c r="J130" i="2"/>
  <c r="L130" i="2"/>
  <c r="M130" i="2"/>
  <c r="N130" i="2"/>
  <c r="G102" i="2"/>
  <c r="H102" i="2"/>
  <c r="I102" i="2"/>
  <c r="J102" i="2"/>
  <c r="L102" i="2"/>
  <c r="M102" i="2"/>
  <c r="N102" i="2"/>
  <c r="G72" i="2"/>
  <c r="H72" i="2"/>
  <c r="I72" i="2"/>
  <c r="J72" i="2"/>
  <c r="L72" i="2"/>
  <c r="M72" i="2"/>
  <c r="N72" i="2"/>
  <c r="G99" i="2"/>
  <c r="H99" i="2"/>
  <c r="I99" i="2"/>
  <c r="J99" i="2"/>
  <c r="L99" i="2"/>
  <c r="M99" i="2"/>
  <c r="N99" i="2"/>
  <c r="G76" i="2"/>
  <c r="H76" i="2"/>
  <c r="I76" i="2"/>
  <c r="J76" i="2"/>
  <c r="L76" i="2"/>
  <c r="M76" i="2"/>
  <c r="N76" i="2"/>
  <c r="G79" i="2"/>
  <c r="H79" i="2"/>
  <c r="I79" i="2"/>
  <c r="J79" i="2"/>
  <c r="L79" i="2"/>
  <c r="M79" i="2"/>
  <c r="N79" i="2"/>
  <c r="G140" i="2"/>
  <c r="H140" i="2"/>
  <c r="I140" i="2"/>
  <c r="J140" i="2"/>
  <c r="L140" i="2"/>
  <c r="M140" i="2"/>
  <c r="N140" i="2"/>
  <c r="G104" i="2"/>
  <c r="H104" i="2"/>
  <c r="I104" i="2"/>
  <c r="J104" i="2"/>
  <c r="L104" i="2"/>
  <c r="M104" i="2"/>
  <c r="N104" i="2"/>
  <c r="G178" i="2"/>
  <c r="H178" i="2"/>
  <c r="I178" i="2"/>
  <c r="J178" i="2"/>
  <c r="L178" i="2"/>
  <c r="M178" i="2"/>
  <c r="N178" i="2"/>
  <c r="G270" i="2"/>
  <c r="H270" i="2"/>
  <c r="I270" i="2"/>
  <c r="J270" i="2"/>
  <c r="L270" i="2"/>
  <c r="M270" i="2"/>
  <c r="N270" i="2"/>
  <c r="G151" i="2"/>
  <c r="H151" i="2"/>
  <c r="I151" i="2"/>
  <c r="J151" i="2"/>
  <c r="L151" i="2"/>
  <c r="M151" i="2"/>
  <c r="N151" i="2"/>
  <c r="G238" i="2"/>
  <c r="H238" i="2"/>
  <c r="I238" i="2"/>
  <c r="J238" i="2"/>
  <c r="L238" i="2"/>
  <c r="M238" i="2"/>
  <c r="N238" i="2"/>
  <c r="G56" i="2"/>
  <c r="H56" i="2"/>
  <c r="I56" i="2"/>
  <c r="J56" i="2"/>
  <c r="L56" i="2"/>
  <c r="M56" i="2"/>
  <c r="N56" i="2"/>
  <c r="G193" i="2"/>
  <c r="H193" i="2"/>
  <c r="I193" i="2"/>
  <c r="J193" i="2"/>
  <c r="L193" i="2"/>
  <c r="M193" i="2"/>
  <c r="N193" i="2"/>
  <c r="G141" i="2"/>
  <c r="H141" i="2"/>
  <c r="I141" i="2"/>
  <c r="J141" i="2"/>
  <c r="L141" i="2"/>
  <c r="M141" i="2"/>
  <c r="N141" i="2"/>
  <c r="G41" i="2"/>
  <c r="H41" i="2"/>
  <c r="I41" i="2"/>
  <c r="J41" i="2"/>
  <c r="L41" i="2"/>
  <c r="M41" i="2"/>
  <c r="N41" i="2"/>
  <c r="G97" i="2"/>
  <c r="H97" i="2"/>
  <c r="I97" i="2"/>
  <c r="J97" i="2"/>
  <c r="L97" i="2"/>
  <c r="M97" i="2"/>
  <c r="N97" i="2"/>
  <c r="G223" i="2"/>
  <c r="H223" i="2"/>
  <c r="I223" i="2"/>
  <c r="J223" i="2"/>
  <c r="L223" i="2"/>
  <c r="M223" i="2"/>
  <c r="N223" i="2"/>
  <c r="G232" i="2"/>
  <c r="H232" i="2"/>
  <c r="I232" i="2"/>
  <c r="J232" i="2"/>
  <c r="L232" i="2"/>
  <c r="M232" i="2"/>
  <c r="N232" i="2"/>
  <c r="G247" i="2"/>
  <c r="H247" i="2"/>
  <c r="I247" i="2"/>
  <c r="J247" i="2"/>
  <c r="L247" i="2"/>
  <c r="M247" i="2"/>
  <c r="N247" i="2"/>
  <c r="G207" i="2"/>
  <c r="H207" i="2"/>
  <c r="I207" i="2"/>
  <c r="J207" i="2"/>
  <c r="L207" i="2"/>
  <c r="M207" i="2"/>
  <c r="N207" i="2"/>
  <c r="G209" i="2"/>
  <c r="H209" i="2"/>
  <c r="I209" i="2"/>
  <c r="J209" i="2"/>
  <c r="L209" i="2"/>
  <c r="M209" i="2"/>
  <c r="N209" i="2"/>
  <c r="G65" i="2"/>
  <c r="H65" i="2"/>
  <c r="I65" i="2"/>
  <c r="J65" i="2"/>
  <c r="L65" i="2"/>
  <c r="M65" i="2"/>
  <c r="N65" i="2"/>
  <c r="G258" i="2"/>
  <c r="H258" i="2"/>
  <c r="I258" i="2"/>
  <c r="J258" i="2"/>
  <c r="L258" i="2"/>
  <c r="M258" i="2"/>
  <c r="N258" i="2"/>
  <c r="G39" i="2"/>
  <c r="H39" i="2"/>
  <c r="I39" i="2"/>
  <c r="J39" i="2"/>
  <c r="L39" i="2"/>
  <c r="M39" i="2"/>
  <c r="N39" i="2"/>
  <c r="G133" i="2"/>
  <c r="H133" i="2"/>
  <c r="I133" i="2"/>
  <c r="J133" i="2"/>
  <c r="L133" i="2"/>
  <c r="M133" i="2"/>
  <c r="N133" i="2"/>
  <c r="G250" i="2"/>
  <c r="H250" i="2"/>
  <c r="I250" i="2"/>
  <c r="J250" i="2"/>
  <c r="L250" i="2"/>
  <c r="M250" i="2"/>
  <c r="N250" i="2"/>
  <c r="G13" i="2"/>
  <c r="H13" i="2"/>
  <c r="I13" i="2"/>
  <c r="J13" i="2"/>
  <c r="L13" i="2"/>
  <c r="M13" i="2"/>
  <c r="N13" i="2"/>
  <c r="G170" i="2"/>
  <c r="H170" i="2"/>
  <c r="I170" i="2"/>
  <c r="J170" i="2"/>
  <c r="L170" i="2"/>
  <c r="M170" i="2"/>
  <c r="N170" i="2"/>
  <c r="G279" i="2"/>
  <c r="H279" i="2"/>
  <c r="I279" i="2"/>
  <c r="J279" i="2"/>
  <c r="L279" i="2"/>
  <c r="M279" i="2"/>
  <c r="N279" i="2"/>
  <c r="G35" i="2"/>
  <c r="H35" i="2"/>
  <c r="I35" i="2"/>
  <c r="J35" i="2"/>
  <c r="L35" i="2"/>
  <c r="M35" i="2"/>
  <c r="N35" i="2"/>
  <c r="G204" i="2"/>
  <c r="H204" i="2"/>
  <c r="I204" i="2"/>
  <c r="J204" i="2"/>
  <c r="L204" i="2"/>
  <c r="M204" i="2"/>
  <c r="N204" i="2"/>
  <c r="G50" i="2"/>
  <c r="H50" i="2"/>
  <c r="I50" i="2"/>
  <c r="J50" i="2"/>
  <c r="L50" i="2"/>
  <c r="M50" i="2"/>
  <c r="N50" i="2"/>
  <c r="G18" i="2"/>
  <c r="H18" i="2"/>
  <c r="I18" i="2"/>
  <c r="J18" i="2"/>
  <c r="L18" i="2"/>
  <c r="M18" i="2"/>
  <c r="N18" i="2"/>
  <c r="G199" i="2"/>
  <c r="H199" i="2"/>
  <c r="I199" i="2"/>
  <c r="J199" i="2"/>
  <c r="L199" i="2"/>
  <c r="M199" i="2"/>
  <c r="N199" i="2"/>
  <c r="G163" i="2"/>
  <c r="H163" i="2"/>
  <c r="I163" i="2"/>
  <c r="J163" i="2"/>
  <c r="L163" i="2"/>
  <c r="M163" i="2"/>
  <c r="N163" i="2"/>
  <c r="G152" i="2"/>
  <c r="H152" i="2"/>
  <c r="I152" i="2"/>
  <c r="J152" i="2"/>
  <c r="L152" i="2"/>
  <c r="M152" i="2"/>
  <c r="N152" i="2"/>
  <c r="G229" i="2"/>
  <c r="H229" i="2"/>
  <c r="I229" i="2"/>
  <c r="J229" i="2"/>
  <c r="L229" i="2"/>
  <c r="M229" i="2"/>
  <c r="N229" i="2"/>
  <c r="G94" i="2"/>
  <c r="H94" i="2"/>
  <c r="I94" i="2"/>
  <c r="J94" i="2"/>
  <c r="L94" i="2"/>
  <c r="M94" i="2"/>
  <c r="N94" i="2"/>
  <c r="G137" i="2"/>
  <c r="H137" i="2"/>
  <c r="I137" i="2"/>
  <c r="J137" i="2"/>
  <c r="L137" i="2"/>
  <c r="M137" i="2"/>
  <c r="N137" i="2"/>
  <c r="G111" i="2"/>
  <c r="H111" i="2"/>
  <c r="I111" i="2"/>
  <c r="J111" i="2"/>
  <c r="L111" i="2"/>
  <c r="M111" i="2"/>
  <c r="N111" i="2"/>
  <c r="G245" i="2"/>
  <c r="H245" i="2"/>
  <c r="I245" i="2"/>
  <c r="J245" i="2"/>
  <c r="L245" i="2"/>
  <c r="M245" i="2"/>
  <c r="N245" i="2"/>
  <c r="G46" i="2"/>
  <c r="H46" i="2"/>
  <c r="I46" i="2"/>
  <c r="J46" i="2"/>
  <c r="L46" i="2"/>
  <c r="M46" i="2"/>
  <c r="N46" i="2"/>
  <c r="G127" i="2"/>
  <c r="H127" i="2"/>
  <c r="I127" i="2"/>
  <c r="J127" i="2"/>
  <c r="L127" i="2"/>
  <c r="M127" i="2"/>
  <c r="N127" i="2"/>
  <c r="G73" i="2"/>
  <c r="H73" i="2"/>
  <c r="I73" i="2"/>
  <c r="J73" i="2"/>
  <c r="L73" i="2"/>
  <c r="M73" i="2"/>
  <c r="N73" i="2"/>
  <c r="G145" i="2"/>
  <c r="H145" i="2"/>
  <c r="I145" i="2"/>
  <c r="J145" i="2"/>
  <c r="L145" i="2"/>
  <c r="M145" i="2"/>
  <c r="N145" i="2"/>
  <c r="G191" i="2"/>
  <c r="H191" i="2"/>
  <c r="I191" i="2"/>
  <c r="J191" i="2"/>
  <c r="L191" i="2"/>
  <c r="M191" i="2"/>
  <c r="N191" i="2"/>
  <c r="G74" i="2"/>
  <c r="H74" i="2"/>
  <c r="I74" i="2"/>
  <c r="J74" i="2"/>
  <c r="L74" i="2"/>
  <c r="M74" i="2"/>
  <c r="N74" i="2"/>
  <c r="G96" i="2"/>
  <c r="H96" i="2"/>
  <c r="I96" i="2"/>
  <c r="J96" i="2"/>
  <c r="L96" i="2"/>
  <c r="M96" i="2"/>
  <c r="N96" i="2"/>
  <c r="G103" i="2"/>
  <c r="H103" i="2"/>
  <c r="I103" i="2"/>
  <c r="J103" i="2"/>
  <c r="L103" i="2"/>
  <c r="M103" i="2"/>
  <c r="N103" i="2"/>
  <c r="G161" i="2"/>
  <c r="H161" i="2"/>
  <c r="I161" i="2"/>
  <c r="J161" i="2"/>
  <c r="L161" i="2"/>
  <c r="M161" i="2"/>
  <c r="N161" i="2"/>
  <c r="G132" i="2"/>
  <c r="H132" i="2"/>
  <c r="I132" i="2"/>
  <c r="J132" i="2"/>
  <c r="L132" i="2"/>
  <c r="M132" i="2"/>
  <c r="N132" i="2"/>
  <c r="G16" i="2"/>
  <c r="H16" i="2"/>
  <c r="I16" i="2"/>
  <c r="J16" i="2"/>
  <c r="L16" i="2"/>
  <c r="M16" i="2"/>
  <c r="N16" i="2"/>
  <c r="G62" i="2"/>
  <c r="H62" i="2"/>
  <c r="I62" i="2"/>
  <c r="J62" i="2"/>
  <c r="L62" i="2"/>
  <c r="M62" i="2"/>
  <c r="N62" i="2"/>
  <c r="G159" i="2"/>
  <c r="H159" i="2"/>
  <c r="I159" i="2"/>
  <c r="J159" i="2"/>
  <c r="L159" i="2"/>
  <c r="M159" i="2"/>
  <c r="N159" i="2"/>
  <c r="G86" i="2"/>
  <c r="H86" i="2"/>
  <c r="I86" i="2"/>
  <c r="J86" i="2"/>
  <c r="L86" i="2"/>
  <c r="M86" i="2"/>
  <c r="N86" i="2"/>
  <c r="G125" i="2"/>
  <c r="H125" i="2"/>
  <c r="I125" i="2"/>
  <c r="J125" i="2"/>
  <c r="L125" i="2"/>
  <c r="M125" i="2"/>
  <c r="N125" i="2"/>
  <c r="G174" i="2"/>
  <c r="H174" i="2"/>
  <c r="I174" i="2"/>
  <c r="J174" i="2"/>
  <c r="L174" i="2"/>
  <c r="M174" i="2"/>
  <c r="N174" i="2"/>
  <c r="G220" i="2"/>
  <c r="H220" i="2"/>
  <c r="I220" i="2"/>
  <c r="J220" i="2"/>
  <c r="L220" i="2"/>
  <c r="M220" i="2"/>
  <c r="N220" i="2"/>
  <c r="G243" i="2"/>
  <c r="H243" i="2"/>
  <c r="I243" i="2"/>
  <c r="J243" i="2"/>
  <c r="L243" i="2"/>
  <c r="M243" i="2"/>
  <c r="N243" i="2"/>
  <c r="G266" i="2"/>
  <c r="H266" i="2"/>
  <c r="I266" i="2"/>
  <c r="J266" i="2"/>
  <c r="L266" i="2"/>
  <c r="M266" i="2"/>
  <c r="N266" i="2"/>
  <c r="G149" i="2"/>
  <c r="H149" i="2"/>
  <c r="I149" i="2"/>
  <c r="J149" i="2"/>
  <c r="L149" i="2"/>
  <c r="M149" i="2"/>
  <c r="N149" i="2"/>
  <c r="G3" i="2"/>
  <c r="H3" i="2"/>
  <c r="I3" i="2"/>
  <c r="J3" i="2"/>
  <c r="L3" i="2"/>
  <c r="M3" i="2"/>
  <c r="N3" i="2"/>
  <c r="G255" i="2"/>
  <c r="H255" i="2"/>
  <c r="I255" i="2"/>
  <c r="J255" i="2"/>
  <c r="L255" i="2"/>
  <c r="M255" i="2"/>
  <c r="N255" i="2"/>
  <c r="G45" i="2"/>
  <c r="H45" i="2"/>
  <c r="I45" i="2"/>
  <c r="J45" i="2"/>
  <c r="L45" i="2"/>
  <c r="M45" i="2"/>
  <c r="N45" i="2"/>
  <c r="G11" i="2"/>
  <c r="H11" i="2"/>
  <c r="I11" i="2"/>
  <c r="J11" i="2"/>
  <c r="L11" i="2"/>
  <c r="M11" i="2"/>
  <c r="N11" i="2"/>
  <c r="G164" i="2"/>
  <c r="H164" i="2"/>
  <c r="I164" i="2"/>
  <c r="J164" i="2"/>
  <c r="L164" i="2"/>
  <c r="M164" i="2"/>
  <c r="N164" i="2"/>
  <c r="G112" i="2"/>
  <c r="H112" i="2"/>
  <c r="I112" i="2"/>
  <c r="J112" i="2"/>
  <c r="L112" i="2"/>
  <c r="M112" i="2"/>
  <c r="N112" i="2"/>
  <c r="G120" i="2"/>
  <c r="H120" i="2"/>
  <c r="I120" i="2"/>
  <c r="J120" i="2"/>
  <c r="L120" i="2"/>
  <c r="M120" i="2"/>
  <c r="N120" i="2"/>
  <c r="G69" i="2"/>
  <c r="H69" i="2"/>
  <c r="I69" i="2"/>
  <c r="J69" i="2"/>
  <c r="L69" i="2"/>
  <c r="M69" i="2"/>
  <c r="N69" i="2"/>
  <c r="G219" i="2"/>
  <c r="H219" i="2"/>
  <c r="I219" i="2"/>
  <c r="J219" i="2"/>
  <c r="L219" i="2"/>
  <c r="M219" i="2"/>
  <c r="N219" i="2"/>
  <c r="G150" i="2"/>
  <c r="H150" i="2"/>
  <c r="I150" i="2"/>
  <c r="J150" i="2"/>
  <c r="L150" i="2"/>
  <c r="M150" i="2"/>
  <c r="N150" i="2"/>
  <c r="G267" i="2"/>
  <c r="H267" i="2"/>
  <c r="I267" i="2"/>
  <c r="J267" i="2"/>
  <c r="L267" i="2"/>
  <c r="M267" i="2"/>
  <c r="N267" i="2"/>
  <c r="G240" i="2"/>
  <c r="H240" i="2"/>
  <c r="I240" i="2"/>
  <c r="J240" i="2"/>
  <c r="L240" i="2"/>
  <c r="M240" i="2"/>
  <c r="N240" i="2"/>
  <c r="G165" i="2"/>
  <c r="H165" i="2"/>
  <c r="I165" i="2"/>
  <c r="J165" i="2"/>
  <c r="L165" i="2"/>
  <c r="M165" i="2"/>
  <c r="N165" i="2"/>
  <c r="G51" i="2"/>
  <c r="H51" i="2"/>
  <c r="I51" i="2"/>
  <c r="J51" i="2"/>
  <c r="L51" i="2"/>
  <c r="M51" i="2"/>
  <c r="N51" i="2"/>
  <c r="G217" i="2"/>
  <c r="H217" i="2"/>
  <c r="I217" i="2"/>
  <c r="J217" i="2"/>
  <c r="L217" i="2"/>
  <c r="M217" i="2"/>
  <c r="N217" i="2"/>
  <c r="G278" i="2"/>
  <c r="H278" i="2"/>
  <c r="I278" i="2"/>
  <c r="J278" i="2"/>
  <c r="L278" i="2"/>
  <c r="M278" i="2"/>
  <c r="N278" i="2"/>
  <c r="G221" i="2"/>
  <c r="H221" i="2"/>
  <c r="I221" i="2"/>
  <c r="J221" i="2"/>
  <c r="L221" i="2"/>
  <c r="M221" i="2"/>
  <c r="N221" i="2"/>
  <c r="G246" i="2"/>
  <c r="H246" i="2"/>
  <c r="I246" i="2"/>
  <c r="J246" i="2"/>
  <c r="L246" i="2"/>
  <c r="M246" i="2"/>
  <c r="N246" i="2"/>
  <c r="G75" i="2"/>
  <c r="H75" i="2"/>
  <c r="I75" i="2"/>
  <c r="J75" i="2"/>
  <c r="L75" i="2"/>
  <c r="M75" i="2"/>
  <c r="N75" i="2"/>
  <c r="G157" i="2"/>
  <c r="H157" i="2"/>
  <c r="I157" i="2"/>
  <c r="J157" i="2"/>
  <c r="L157" i="2"/>
  <c r="M157" i="2"/>
  <c r="N157" i="2"/>
  <c r="G230" i="2"/>
  <c r="H230" i="2"/>
  <c r="I230" i="2"/>
  <c r="J230" i="2"/>
  <c r="L230" i="2"/>
  <c r="M230" i="2"/>
  <c r="N230" i="2"/>
  <c r="G239" i="2"/>
  <c r="H239" i="2"/>
  <c r="I239" i="2"/>
  <c r="J239" i="2"/>
  <c r="L239" i="2"/>
  <c r="M239" i="2"/>
  <c r="N239" i="2"/>
  <c r="G263" i="2"/>
  <c r="H263" i="2"/>
  <c r="I263" i="2"/>
  <c r="J263" i="2"/>
  <c r="L263" i="2"/>
  <c r="M263" i="2"/>
  <c r="N263" i="2"/>
  <c r="G251" i="2"/>
  <c r="H251" i="2"/>
  <c r="I251" i="2"/>
  <c r="J251" i="2"/>
  <c r="L251" i="2"/>
  <c r="M251" i="2"/>
  <c r="N251" i="2"/>
  <c r="G68" i="2"/>
  <c r="H68" i="2"/>
  <c r="I68" i="2"/>
  <c r="J68" i="2"/>
  <c r="L68" i="2"/>
  <c r="M68" i="2"/>
  <c r="N68" i="2"/>
  <c r="G256" i="2"/>
  <c r="H256" i="2"/>
  <c r="I256" i="2"/>
  <c r="J256" i="2"/>
  <c r="L256" i="2"/>
  <c r="M256" i="2"/>
  <c r="N256" i="2"/>
  <c r="G248" i="2"/>
  <c r="H248" i="2"/>
  <c r="I248" i="2"/>
  <c r="J248" i="2"/>
  <c r="L248" i="2"/>
  <c r="M248" i="2"/>
  <c r="N248" i="2"/>
  <c r="G80" i="2"/>
  <c r="H80" i="2"/>
  <c r="I80" i="2"/>
  <c r="J80" i="2"/>
  <c r="L80" i="2"/>
  <c r="M80" i="2"/>
  <c r="N80" i="2"/>
  <c r="G58" i="2"/>
  <c r="H58" i="2"/>
  <c r="I58" i="2"/>
  <c r="J58" i="2"/>
  <c r="L58" i="2"/>
  <c r="M58" i="2"/>
  <c r="N58" i="2"/>
  <c r="G71" i="2"/>
  <c r="H71" i="2"/>
  <c r="I71" i="2"/>
  <c r="J71" i="2"/>
  <c r="L71" i="2"/>
  <c r="M71" i="2"/>
  <c r="N71" i="2"/>
  <c r="G40" i="2"/>
  <c r="H40" i="2"/>
  <c r="I40" i="2"/>
  <c r="J40" i="2"/>
  <c r="L40" i="2"/>
  <c r="M40" i="2"/>
  <c r="N40" i="2"/>
  <c r="G128" i="2"/>
  <c r="H128" i="2"/>
  <c r="I128" i="2"/>
  <c r="J128" i="2"/>
  <c r="L128" i="2"/>
  <c r="M128" i="2"/>
  <c r="N128" i="2"/>
  <c r="G60" i="2"/>
  <c r="H60" i="2"/>
  <c r="I60" i="2"/>
  <c r="J60" i="2"/>
  <c r="L60" i="2"/>
  <c r="M60" i="2"/>
  <c r="N60" i="2"/>
  <c r="G192" i="2"/>
  <c r="H192" i="2"/>
  <c r="I192" i="2"/>
  <c r="J192" i="2"/>
  <c r="L192" i="2"/>
  <c r="M192" i="2"/>
  <c r="N192" i="2"/>
  <c r="G38" i="2"/>
  <c r="H38" i="2"/>
  <c r="I38" i="2"/>
  <c r="J38" i="2"/>
  <c r="L38" i="2"/>
  <c r="M38" i="2"/>
  <c r="N38" i="2"/>
  <c r="G114" i="2"/>
  <c r="H114" i="2"/>
  <c r="I114" i="2"/>
  <c r="J114" i="2"/>
  <c r="L114" i="2"/>
  <c r="M114" i="2"/>
  <c r="N114" i="2"/>
  <c r="G100" i="2"/>
  <c r="H100" i="2"/>
  <c r="I100" i="2"/>
  <c r="J100" i="2"/>
  <c r="L100" i="2"/>
  <c r="M100" i="2"/>
  <c r="N100" i="2"/>
  <c r="G180" i="2"/>
  <c r="H180" i="2"/>
  <c r="I180" i="2"/>
  <c r="J180" i="2"/>
  <c r="L180" i="2"/>
  <c r="M180" i="2"/>
  <c r="N180" i="2"/>
  <c r="G276" i="2"/>
  <c r="H276" i="2"/>
  <c r="I276" i="2"/>
  <c r="J276" i="2"/>
  <c r="L276" i="2"/>
  <c r="M276" i="2"/>
  <c r="N276" i="2"/>
  <c r="G249" i="2"/>
  <c r="H249" i="2"/>
  <c r="I249" i="2"/>
  <c r="J249" i="2"/>
  <c r="L249" i="2"/>
  <c r="M249" i="2"/>
  <c r="N249" i="2"/>
  <c r="G183" i="2"/>
  <c r="H183" i="2"/>
  <c r="I183" i="2"/>
  <c r="J183" i="2"/>
  <c r="L183" i="2"/>
  <c r="M183" i="2"/>
  <c r="N183" i="2"/>
  <c r="G210" i="2"/>
  <c r="H210" i="2"/>
  <c r="I210" i="2"/>
  <c r="J210" i="2"/>
  <c r="L210" i="2"/>
  <c r="M210" i="2"/>
  <c r="N210" i="2"/>
  <c r="G115" i="2"/>
  <c r="H115" i="2"/>
  <c r="I115" i="2"/>
  <c r="J115" i="2"/>
  <c r="L115" i="2"/>
  <c r="M115" i="2"/>
  <c r="N115" i="2"/>
  <c r="G28" i="2"/>
  <c r="H28" i="2"/>
  <c r="I28" i="2"/>
  <c r="J28" i="2"/>
  <c r="L28" i="2"/>
  <c r="M28" i="2"/>
  <c r="N28" i="2"/>
  <c r="G33" i="2"/>
  <c r="H33" i="2"/>
  <c r="I33" i="2"/>
  <c r="J33" i="2"/>
  <c r="L33" i="2"/>
  <c r="M33" i="2"/>
  <c r="N33" i="2"/>
  <c r="G101" i="2"/>
  <c r="H101" i="2"/>
  <c r="I101" i="2"/>
  <c r="J101" i="2"/>
  <c r="L101" i="2"/>
  <c r="M101" i="2"/>
  <c r="N101" i="2"/>
  <c r="G21" i="2"/>
  <c r="H21" i="2"/>
  <c r="I21" i="2"/>
  <c r="J21" i="2"/>
  <c r="L21" i="2"/>
  <c r="M21" i="2"/>
  <c r="N21" i="2"/>
  <c r="G95" i="2"/>
  <c r="H95" i="2"/>
  <c r="I95" i="2"/>
  <c r="J95" i="2"/>
  <c r="L95" i="2"/>
  <c r="M95" i="2"/>
  <c r="N95" i="2"/>
  <c r="G273" i="2"/>
  <c r="H273" i="2"/>
  <c r="I273" i="2"/>
  <c r="J273" i="2"/>
  <c r="L273" i="2"/>
  <c r="M273" i="2"/>
  <c r="N273" i="2"/>
  <c r="G216" i="2"/>
  <c r="H216" i="2"/>
  <c r="I216" i="2"/>
  <c r="J216" i="2"/>
  <c r="L216" i="2"/>
  <c r="M216" i="2"/>
  <c r="N216" i="2"/>
  <c r="G91" i="2"/>
  <c r="H91" i="2"/>
  <c r="I91" i="2"/>
  <c r="J91" i="2"/>
  <c r="L91" i="2"/>
  <c r="M91" i="2"/>
  <c r="N91" i="2"/>
  <c r="G177" i="2"/>
  <c r="H177" i="2"/>
  <c r="I177" i="2"/>
  <c r="J177" i="2"/>
  <c r="L177" i="2"/>
  <c r="M177" i="2"/>
  <c r="N177" i="2"/>
  <c r="G222" i="2"/>
  <c r="H222" i="2"/>
  <c r="I222" i="2"/>
  <c r="J222" i="2"/>
  <c r="L222" i="2"/>
  <c r="M222" i="2"/>
  <c r="N222" i="2"/>
  <c r="G236" i="2"/>
  <c r="H236" i="2"/>
  <c r="I236" i="2"/>
  <c r="J236" i="2"/>
  <c r="L236" i="2"/>
  <c r="M236" i="2"/>
  <c r="N236" i="2"/>
  <c r="G214" i="2"/>
  <c r="H214" i="2"/>
  <c r="I214" i="2"/>
  <c r="J214" i="2"/>
  <c r="L214" i="2"/>
  <c r="M214" i="2"/>
  <c r="N214" i="2"/>
  <c r="G109" i="2"/>
  <c r="H109" i="2"/>
  <c r="I109" i="2"/>
  <c r="J109" i="2"/>
  <c r="L109" i="2"/>
  <c r="M109" i="2"/>
  <c r="N109" i="2"/>
  <c r="G19" i="2"/>
  <c r="H19" i="2"/>
  <c r="I19" i="2"/>
  <c r="J19" i="2"/>
  <c r="L19" i="2"/>
  <c r="M19" i="2"/>
  <c r="N19" i="2"/>
  <c r="G253" i="2"/>
  <c r="H253" i="2"/>
  <c r="I253" i="2"/>
  <c r="J253" i="2"/>
  <c r="L253" i="2"/>
  <c r="M253" i="2"/>
  <c r="N253" i="2"/>
  <c r="G277" i="2"/>
  <c r="H277" i="2"/>
  <c r="I277" i="2"/>
  <c r="J277" i="2"/>
  <c r="L277" i="2"/>
  <c r="M277" i="2"/>
  <c r="N277" i="2"/>
  <c r="G242" i="2"/>
  <c r="H242" i="2"/>
  <c r="I242" i="2"/>
  <c r="J242" i="2"/>
  <c r="L242" i="2"/>
  <c r="M242" i="2"/>
  <c r="N242" i="2"/>
  <c r="G54" i="2"/>
  <c r="H54" i="2"/>
  <c r="I54" i="2"/>
  <c r="J54" i="2"/>
  <c r="L54" i="2"/>
  <c r="M54" i="2"/>
  <c r="N54" i="2"/>
  <c r="G190" i="2"/>
  <c r="H190" i="2"/>
  <c r="I190" i="2"/>
  <c r="J190" i="2"/>
  <c r="L190" i="2"/>
  <c r="M190" i="2"/>
  <c r="N190" i="2"/>
  <c r="G126" i="2"/>
  <c r="H126" i="2"/>
  <c r="I126" i="2"/>
  <c r="J126" i="2"/>
  <c r="L126" i="2"/>
  <c r="M126" i="2"/>
  <c r="N126" i="2"/>
  <c r="G227" i="2"/>
  <c r="H227" i="2"/>
  <c r="I227" i="2"/>
  <c r="J227" i="2"/>
  <c r="L227" i="2"/>
  <c r="M227" i="2"/>
  <c r="N227" i="2"/>
  <c r="G187" i="2"/>
  <c r="H187" i="2"/>
  <c r="I187" i="2"/>
  <c r="J187" i="2"/>
  <c r="L187" i="2"/>
  <c r="M187" i="2"/>
  <c r="N187" i="2"/>
  <c r="G173" i="2"/>
  <c r="H173" i="2"/>
  <c r="I173" i="2"/>
  <c r="J173" i="2"/>
  <c r="L173" i="2"/>
  <c r="M173" i="2"/>
  <c r="N173" i="2"/>
  <c r="G25" i="2"/>
  <c r="H25" i="2"/>
  <c r="I25" i="2"/>
  <c r="J25" i="2"/>
  <c r="L25" i="2"/>
  <c r="M25" i="2"/>
  <c r="N25" i="2"/>
  <c r="N186" i="2"/>
  <c r="M186" i="2"/>
  <c r="L186" i="2"/>
  <c r="J186" i="2"/>
  <c r="I186" i="2"/>
  <c r="H186" i="2"/>
  <c r="G186" i="2"/>
  <c r="O156" i="2" l="1"/>
  <c r="K243" i="2"/>
  <c r="K127" i="2"/>
  <c r="K118" i="2"/>
  <c r="O208" i="2"/>
  <c r="K87" i="2"/>
  <c r="K251" i="2"/>
  <c r="O114" i="2"/>
  <c r="K147" i="2"/>
  <c r="O194" i="2"/>
  <c r="K239" i="2"/>
  <c r="K247" i="2"/>
  <c r="K124" i="2"/>
  <c r="K206" i="2"/>
  <c r="O228" i="2"/>
  <c r="O80" i="2"/>
  <c r="O279" i="2"/>
  <c r="O237" i="2"/>
  <c r="K145" i="2"/>
  <c r="O212" i="2"/>
  <c r="K254" i="2"/>
  <c r="K175" i="2"/>
  <c r="K167" i="2"/>
  <c r="O202" i="2"/>
  <c r="O186" i="2"/>
  <c r="K148" i="2"/>
  <c r="O270" i="2"/>
  <c r="O42" i="2"/>
  <c r="O69" i="2"/>
  <c r="O233" i="2"/>
  <c r="K272" i="2"/>
  <c r="O112" i="2"/>
  <c r="K100" i="2"/>
  <c r="K71" i="2"/>
  <c r="O13" i="2"/>
  <c r="O67" i="2"/>
  <c r="K33" i="2"/>
  <c r="K83" i="2"/>
  <c r="K149" i="2"/>
  <c r="O11" i="2"/>
  <c r="O103" i="2"/>
  <c r="K276" i="2"/>
  <c r="O105" i="2"/>
  <c r="K122" i="2"/>
  <c r="K256" i="2"/>
  <c r="O75" i="2"/>
  <c r="O71" i="2"/>
  <c r="O174" i="2"/>
  <c r="K229" i="2"/>
  <c r="O79" i="2"/>
  <c r="K158" i="2"/>
  <c r="O230" i="2"/>
  <c r="O245" i="2"/>
  <c r="O128" i="2"/>
  <c r="K236" i="2"/>
  <c r="O64" i="2"/>
  <c r="K180" i="2"/>
  <c r="K37" i="2"/>
  <c r="O165" i="2"/>
  <c r="O102" i="2"/>
  <c r="K241" i="2"/>
  <c r="O274" i="2"/>
  <c r="O269" i="2"/>
  <c r="O7" i="2"/>
  <c r="O149" i="2"/>
  <c r="K56" i="2"/>
  <c r="O243" i="2"/>
  <c r="K258" i="2"/>
  <c r="K164" i="2"/>
  <c r="K112" i="2"/>
  <c r="O84" i="2"/>
  <c r="K202" i="2"/>
  <c r="O215" i="2"/>
  <c r="K186" i="2"/>
  <c r="K210" i="2"/>
  <c r="O121" i="2"/>
  <c r="O92" i="2"/>
  <c r="O14" i="2"/>
  <c r="K27" i="2"/>
  <c r="K74" i="2"/>
  <c r="K62" i="2"/>
  <c r="O235" i="2"/>
  <c r="K128" i="2"/>
  <c r="K41" i="2"/>
  <c r="O164" i="2"/>
  <c r="O199" i="2"/>
  <c r="K30" i="2"/>
  <c r="K194" i="2"/>
  <c r="K280" i="2"/>
  <c r="K263" i="2"/>
  <c r="K109" i="2"/>
  <c r="O28" i="2"/>
  <c r="O133" i="2"/>
  <c r="K209" i="2"/>
  <c r="K67" i="2"/>
  <c r="K15" i="2"/>
  <c r="K249" i="2"/>
  <c r="O182" i="2"/>
  <c r="K190" i="2"/>
  <c r="K60" i="2"/>
  <c r="O83" i="2"/>
  <c r="O218" i="2"/>
  <c r="O138" i="2"/>
  <c r="O166" i="2"/>
  <c r="O240" i="2"/>
  <c r="K44" i="2"/>
  <c r="K274" i="2"/>
  <c r="K8" i="2"/>
  <c r="K278" i="2"/>
  <c r="K5" i="2"/>
  <c r="O232" i="2"/>
  <c r="K160" i="2"/>
  <c r="K162" i="2"/>
  <c r="K104" i="2"/>
  <c r="K207" i="2"/>
  <c r="K269" i="2"/>
  <c r="O252" i="2"/>
  <c r="K271" i="2"/>
  <c r="O184" i="2"/>
  <c r="O231" i="2"/>
  <c r="O38" i="2"/>
  <c r="K135" i="2"/>
  <c r="K78" i="2"/>
  <c r="K204" i="2"/>
  <c r="K222" i="2"/>
  <c r="O5" i="2"/>
  <c r="O251" i="2"/>
  <c r="K265" i="2"/>
  <c r="O116" i="2"/>
  <c r="K98" i="2"/>
  <c r="K266" i="2"/>
  <c r="O229" i="2"/>
  <c r="O163" i="2"/>
  <c r="K260" i="2"/>
  <c r="K231" i="2"/>
  <c r="O20" i="2"/>
  <c r="O115" i="2"/>
  <c r="O276" i="2"/>
  <c r="O89" i="2"/>
  <c r="K176" i="2"/>
  <c r="K53" i="2"/>
  <c r="K25" i="2"/>
  <c r="O146" i="2"/>
  <c r="O101" i="2"/>
  <c r="K75" i="2"/>
  <c r="O266" i="2"/>
  <c r="K26" i="2"/>
  <c r="O268" i="2"/>
  <c r="K121" i="2"/>
  <c r="K17" i="2"/>
  <c r="O60" i="2"/>
  <c r="O58" i="2"/>
  <c r="K68" i="2"/>
  <c r="O51" i="2"/>
  <c r="O62" i="2"/>
  <c r="K13" i="2"/>
  <c r="K79" i="2"/>
  <c r="O124" i="2"/>
  <c r="O176" i="2"/>
  <c r="O110" i="2"/>
  <c r="K268" i="2"/>
  <c r="K10" i="2"/>
  <c r="K20" i="2"/>
  <c r="K95" i="2"/>
  <c r="K18" i="2"/>
  <c r="K89" i="2"/>
  <c r="K215" i="2"/>
  <c r="K54" i="2"/>
  <c r="K76" i="2"/>
  <c r="O244" i="2"/>
  <c r="K126" i="2"/>
  <c r="O209" i="2"/>
  <c r="O22" i="2"/>
  <c r="O127" i="2"/>
  <c r="K170" i="2"/>
  <c r="O264" i="2"/>
  <c r="O15" i="2"/>
  <c r="O236" i="2"/>
  <c r="O260" i="2"/>
  <c r="O109" i="2"/>
  <c r="O37" i="2"/>
  <c r="K223" i="2"/>
  <c r="K140" i="2"/>
  <c r="O203" i="2"/>
  <c r="K129" i="2"/>
  <c r="O155" i="2"/>
  <c r="K184" i="2"/>
  <c r="K16" i="2"/>
  <c r="K245" i="2"/>
  <c r="O152" i="2"/>
  <c r="K35" i="2"/>
  <c r="O23" i="2"/>
  <c r="K119" i="2"/>
  <c r="O8" i="2"/>
  <c r="K43" i="2"/>
  <c r="K227" i="2"/>
  <c r="K101" i="2"/>
  <c r="K51" i="2"/>
  <c r="O18" i="2"/>
  <c r="K132" i="2"/>
  <c r="O72" i="2"/>
  <c r="O55" i="2"/>
  <c r="K7" i="2"/>
  <c r="O154" i="2"/>
  <c r="K237" i="2"/>
  <c r="K259" i="2"/>
  <c r="O134" i="2"/>
  <c r="O125" i="2"/>
  <c r="O56" i="2"/>
  <c r="K178" i="2"/>
  <c r="K42" i="2"/>
  <c r="K212" i="2"/>
  <c r="P212" i="2" s="1"/>
  <c r="O61" i="2"/>
  <c r="O98" i="2"/>
  <c r="O277" i="2"/>
  <c r="O220" i="2"/>
  <c r="K154" i="2"/>
  <c r="K173" i="2"/>
  <c r="K150" i="2"/>
  <c r="K19" i="2"/>
  <c r="K220" i="2"/>
  <c r="O132" i="2"/>
  <c r="K94" i="2"/>
  <c r="K198" i="2"/>
  <c r="K6" i="2"/>
  <c r="K70" i="2"/>
  <c r="K40" i="2"/>
  <c r="O239" i="2"/>
  <c r="O189" i="2"/>
  <c r="K123" i="2"/>
  <c r="O183" i="2"/>
  <c r="O120" i="2"/>
  <c r="K203" i="2"/>
  <c r="K264" i="2"/>
  <c r="O118" i="2"/>
  <c r="O33" i="2"/>
  <c r="O172" i="2"/>
  <c r="O206" i="2"/>
  <c r="K183" i="2"/>
  <c r="O168" i="2"/>
  <c r="O59" i="2"/>
  <c r="K219" i="2"/>
  <c r="K49" i="2"/>
  <c r="K169" i="2"/>
  <c r="O188" i="2"/>
  <c r="K57" i="2"/>
  <c r="O158" i="2"/>
  <c r="K171" i="2"/>
  <c r="K107" i="2"/>
  <c r="O135" i="2"/>
  <c r="K253" i="2"/>
  <c r="O249" i="2"/>
  <c r="K192" i="2"/>
  <c r="O140" i="2"/>
  <c r="O197" i="2"/>
  <c r="K188" i="2"/>
  <c r="K211" i="2"/>
  <c r="O74" i="2"/>
  <c r="K159" i="2"/>
  <c r="K199" i="2"/>
  <c r="O254" i="2"/>
  <c r="K113" i="2"/>
  <c r="K195" i="2"/>
  <c r="K143" i="2"/>
  <c r="O63" i="2"/>
  <c r="O225" i="2"/>
  <c r="O3" i="2"/>
  <c r="O111" i="2"/>
  <c r="O85" i="2"/>
  <c r="O278" i="2"/>
  <c r="O46" i="2"/>
  <c r="O241" i="2"/>
  <c r="O87" i="2"/>
  <c r="K225" i="2"/>
  <c r="K38" i="2"/>
  <c r="K3" i="2"/>
  <c r="O108" i="2"/>
  <c r="O86" i="2"/>
  <c r="O73" i="2"/>
  <c r="K157" i="2"/>
  <c r="O21" i="2"/>
  <c r="O267" i="2"/>
  <c r="K77" i="2"/>
  <c r="K115" i="2"/>
  <c r="K2" i="2"/>
  <c r="K12" i="2"/>
  <c r="O273" i="2"/>
  <c r="K21" i="2"/>
  <c r="O76" i="2"/>
  <c r="O27" i="2"/>
  <c r="O91" i="2"/>
  <c r="K137" i="2"/>
  <c r="O48" i="2"/>
  <c r="K168" i="2"/>
  <c r="K146" i="2"/>
  <c r="O34" i="2"/>
  <c r="O143" i="2"/>
  <c r="O214" i="2"/>
  <c r="O227" i="2"/>
  <c r="K273" i="2"/>
  <c r="O247" i="2"/>
  <c r="O151" i="2"/>
  <c r="K34" i="2"/>
  <c r="K105" i="2"/>
  <c r="O95" i="2"/>
  <c r="O263" i="2"/>
  <c r="O221" i="2"/>
  <c r="O217" i="2"/>
  <c r="K141" i="2"/>
  <c r="K277" i="2"/>
  <c r="O161" i="2"/>
  <c r="K279" i="2"/>
  <c r="O207" i="2"/>
  <c r="K97" i="2"/>
  <c r="O238" i="2"/>
  <c r="K99" i="2"/>
  <c r="O29" i="2"/>
  <c r="K213" i="2"/>
  <c r="O261" i="2"/>
  <c r="O81" i="2"/>
  <c r="K179" i="2"/>
  <c r="O201" i="2"/>
  <c r="O43" i="2"/>
  <c r="K14" i="2"/>
  <c r="O200" i="2"/>
  <c r="O129" i="2"/>
  <c r="K138" i="2"/>
  <c r="O66" i="2"/>
  <c r="O162" i="2"/>
  <c r="O52" i="2"/>
  <c r="O32" i="2"/>
  <c r="K136" i="2"/>
  <c r="O25" i="2"/>
  <c r="O187" i="2"/>
  <c r="O177" i="2"/>
  <c r="O216" i="2"/>
  <c r="K230" i="2"/>
  <c r="K221" i="2"/>
  <c r="K217" i="2"/>
  <c r="K255" i="2"/>
  <c r="K174" i="2"/>
  <c r="K191" i="2"/>
  <c r="K163" i="2"/>
  <c r="O193" i="2"/>
  <c r="K29" i="2"/>
  <c r="K166" i="2"/>
  <c r="K228" i="2"/>
  <c r="O181" i="2"/>
  <c r="K205" i="2"/>
  <c r="K110" i="2"/>
  <c r="O185" i="2"/>
  <c r="O47" i="2"/>
  <c r="K156" i="2"/>
  <c r="P156" i="2" s="1"/>
  <c r="K133" i="2"/>
  <c r="K48" i="2"/>
  <c r="K108" i="2"/>
  <c r="K218" i="2"/>
  <c r="O131" i="2"/>
  <c r="O234" i="2"/>
  <c r="K196" i="2"/>
  <c r="O126" i="2"/>
  <c r="O54" i="2"/>
  <c r="K214" i="2"/>
  <c r="K114" i="2"/>
  <c r="K165" i="2"/>
  <c r="K86" i="2"/>
  <c r="K73" i="2"/>
  <c r="O99" i="2"/>
  <c r="O179" i="2"/>
  <c r="K172" i="2"/>
  <c r="K189" i="2"/>
  <c r="K63" i="2"/>
  <c r="O259" i="2"/>
  <c r="K82" i="2"/>
  <c r="K216" i="2"/>
  <c r="O100" i="2"/>
  <c r="O40" i="2"/>
  <c r="K69" i="2"/>
  <c r="O16" i="2"/>
  <c r="O145" i="2"/>
  <c r="O250" i="2"/>
  <c r="K238" i="2"/>
  <c r="O113" i="2"/>
  <c r="K261" i="2"/>
  <c r="K81" i="2"/>
  <c r="O275" i="2"/>
  <c r="K181" i="2"/>
  <c r="O148" i="2"/>
  <c r="O262" i="2"/>
  <c r="K153" i="2"/>
  <c r="O224" i="2"/>
  <c r="O6" i="2"/>
  <c r="O70" i="2"/>
  <c r="K52" i="2"/>
  <c r="K32" i="2"/>
  <c r="K257" i="2"/>
  <c r="P257" i="2" s="1"/>
  <c r="K187" i="2"/>
  <c r="O242" i="2"/>
  <c r="K58" i="2"/>
  <c r="O157" i="2"/>
  <c r="K161" i="2"/>
  <c r="O170" i="2"/>
  <c r="K65" i="2"/>
  <c r="O223" i="2"/>
  <c r="O49" i="2"/>
  <c r="O169" i="2"/>
  <c r="K36" i="2"/>
  <c r="O24" i="2"/>
  <c r="K22" i="2"/>
  <c r="K244" i="2"/>
  <c r="O198" i="2"/>
  <c r="K116" i="2"/>
  <c r="O271" i="2"/>
  <c r="O272" i="2"/>
  <c r="O57" i="2"/>
  <c r="K224" i="2"/>
  <c r="O90" i="2"/>
  <c r="O9" i="2"/>
  <c r="O222" i="2"/>
  <c r="O65" i="2"/>
  <c r="O82" i="2"/>
  <c r="K246" i="2"/>
  <c r="O39" i="2"/>
  <c r="O139" i="2"/>
  <c r="K120" i="2"/>
  <c r="O68" i="2"/>
  <c r="K50" i="2"/>
  <c r="K4" i="2"/>
  <c r="O137" i="2"/>
  <c r="O45" i="2"/>
  <c r="O280" i="2"/>
  <c r="O180" i="2"/>
  <c r="K270" i="2"/>
  <c r="O88" i="2"/>
  <c r="K28" i="2"/>
  <c r="O248" i="2"/>
  <c r="K193" i="2"/>
  <c r="K66" i="2"/>
  <c r="K208" i="2"/>
  <c r="O190" i="2"/>
  <c r="K152" i="2"/>
  <c r="K84" i="2"/>
  <c r="K262" i="2"/>
  <c r="K23" i="2"/>
  <c r="K61" i="2"/>
  <c r="K234" i="2"/>
  <c r="O150" i="2"/>
  <c r="O122" i="2"/>
  <c r="O78" i="2"/>
  <c r="O93" i="2"/>
  <c r="O106" i="2"/>
  <c r="O117" i="2"/>
  <c r="K85" i="2"/>
  <c r="K103" i="2"/>
  <c r="K88" i="2"/>
  <c r="K106" i="2"/>
  <c r="O171" i="2"/>
  <c r="O77" i="2"/>
  <c r="O195" i="2"/>
  <c r="K200" i="2"/>
  <c r="K117" i="2"/>
  <c r="K93" i="2"/>
  <c r="O253" i="2"/>
  <c r="K248" i="2"/>
  <c r="K250" i="2"/>
  <c r="K39" i="2"/>
  <c r="O97" i="2"/>
  <c r="O141" i="2"/>
  <c r="O44" i="2"/>
  <c r="K233" i="2"/>
  <c r="K131" i="2"/>
  <c r="K139" i="2"/>
  <c r="O211" i="2"/>
  <c r="O12" i="2"/>
  <c r="O17" i="2"/>
  <c r="K91" i="2"/>
  <c r="K240" i="2"/>
  <c r="O159" i="2"/>
  <c r="O204" i="2"/>
  <c r="K102" i="2"/>
  <c r="K197" i="2"/>
  <c r="K31" i="2"/>
  <c r="O144" i="2"/>
  <c r="O205" i="2"/>
  <c r="O53" i="2"/>
  <c r="K134" i="2"/>
  <c r="K242" i="2"/>
  <c r="O255" i="2"/>
  <c r="K232" i="2"/>
  <c r="O178" i="2"/>
  <c r="O30" i="2"/>
  <c r="K275" i="2"/>
  <c r="K64" i="2"/>
  <c r="O123" i="2"/>
  <c r="O147" i="2"/>
  <c r="O256" i="2"/>
  <c r="K125" i="2"/>
  <c r="O96" i="2"/>
  <c r="O191" i="2"/>
  <c r="O258" i="2"/>
  <c r="K55" i="2"/>
  <c r="K92" i="2"/>
  <c r="K144" i="2"/>
  <c r="O226" i="2"/>
  <c r="O160" i="2"/>
  <c r="O175" i="2"/>
  <c r="K9" i="2"/>
  <c r="K11" i="2"/>
  <c r="K151" i="2"/>
  <c r="O130" i="2"/>
  <c r="O213" i="2"/>
  <c r="K201" i="2"/>
  <c r="K90" i="2"/>
  <c r="O142" i="2"/>
  <c r="K80" i="2"/>
  <c r="O219" i="2"/>
  <c r="K96" i="2"/>
  <c r="O94" i="2"/>
  <c r="O41" i="2"/>
  <c r="K24" i="2"/>
  <c r="K226" i="2"/>
  <c r="O2" i="2"/>
  <c r="O10" i="2"/>
  <c r="K47" i="2"/>
  <c r="K45" i="2"/>
  <c r="O19" i="2"/>
  <c r="O246" i="2"/>
  <c r="K72" i="2"/>
  <c r="O36" i="2"/>
  <c r="O119" i="2"/>
  <c r="O26" i="2"/>
  <c r="K182" i="2"/>
  <c r="K185" i="2"/>
  <c r="K142" i="2"/>
  <c r="O136" i="2"/>
  <c r="O196" i="2"/>
  <c r="O31" i="2"/>
  <c r="O107" i="2"/>
  <c r="O265" i="2"/>
  <c r="K235" i="2"/>
  <c r="O192" i="2"/>
  <c r="K177" i="2"/>
  <c r="K130" i="2"/>
  <c r="O173" i="2"/>
  <c r="O210" i="2"/>
  <c r="K267" i="2"/>
  <c r="K46" i="2"/>
  <c r="K111" i="2"/>
  <c r="O50" i="2"/>
  <c r="O35" i="2"/>
  <c r="O104" i="2"/>
  <c r="K252" i="2"/>
  <c r="K59" i="2"/>
  <c r="K155" i="2"/>
  <c r="O4" i="2"/>
  <c r="O153" i="2"/>
  <c r="O167" i="2"/>
  <c r="P147" i="2" l="1"/>
  <c r="P127" i="2"/>
  <c r="P114" i="2"/>
  <c r="P186" i="2"/>
  <c r="P15" i="2"/>
  <c r="P243" i="2"/>
  <c r="P179" i="2"/>
  <c r="P5" i="2"/>
  <c r="P83" i="2"/>
  <c r="P254" i="2"/>
  <c r="P251" i="2"/>
  <c r="P247" i="2"/>
  <c r="P87" i="2"/>
  <c r="P118" i="2"/>
  <c r="P18" i="2"/>
  <c r="P208" i="2"/>
  <c r="P206" i="2"/>
  <c r="P194" i="2"/>
  <c r="P80" i="2"/>
  <c r="P239" i="2"/>
  <c r="P158" i="2"/>
  <c r="P60" i="2"/>
  <c r="P124" i="2"/>
  <c r="P13" i="2"/>
  <c r="P175" i="2"/>
  <c r="P167" i="2"/>
  <c r="P237" i="2"/>
  <c r="P202" i="2"/>
  <c r="P145" i="2"/>
  <c r="P228" i="2"/>
  <c r="P279" i="2"/>
  <c r="P67" i="2"/>
  <c r="P98" i="2"/>
  <c r="P43" i="2"/>
  <c r="P241" i="2"/>
  <c r="P75" i="2"/>
  <c r="P272" i="2"/>
  <c r="P95" i="2"/>
  <c r="P69" i="2"/>
  <c r="P103" i="2"/>
  <c r="P230" i="2"/>
  <c r="P100" i="2"/>
  <c r="P174" i="2"/>
  <c r="P183" i="2"/>
  <c r="P166" i="2"/>
  <c r="P148" i="2"/>
  <c r="P188" i="2"/>
  <c r="P270" i="2"/>
  <c r="P229" i="2"/>
  <c r="P256" i="2"/>
  <c r="P74" i="2"/>
  <c r="P42" i="2"/>
  <c r="P233" i="2"/>
  <c r="P115" i="2"/>
  <c r="P14" i="2"/>
  <c r="P222" i="2"/>
  <c r="P112" i="2"/>
  <c r="P27" i="2"/>
  <c r="P269" i="2"/>
  <c r="P276" i="2"/>
  <c r="P277" i="2"/>
  <c r="P263" i="2"/>
  <c r="P253" i="2"/>
  <c r="P122" i="2"/>
  <c r="P157" i="2"/>
  <c r="P216" i="2"/>
  <c r="P28" i="2"/>
  <c r="P105" i="2"/>
  <c r="P70" i="2"/>
  <c r="P34" i="2"/>
  <c r="P273" i="2"/>
  <c r="P56" i="2"/>
  <c r="P149" i="2"/>
  <c r="P37" i="2"/>
  <c r="P235" i="2"/>
  <c r="P11" i="2"/>
  <c r="P165" i="2"/>
  <c r="P29" i="2"/>
  <c r="P7" i="2"/>
  <c r="P199" i="2"/>
  <c r="P71" i="2"/>
  <c r="P102" i="2"/>
  <c r="P107" i="2"/>
  <c r="P33" i="2"/>
  <c r="P64" i="2"/>
  <c r="P266" i="2"/>
  <c r="P200" i="2"/>
  <c r="P245" i="2"/>
  <c r="P79" i="2"/>
  <c r="P274" i="2"/>
  <c r="P164" i="2"/>
  <c r="P180" i="2"/>
  <c r="P236" i="2"/>
  <c r="P128" i="2"/>
  <c r="P240" i="2"/>
  <c r="P280" i="2"/>
  <c r="P30" i="2"/>
  <c r="P249" i="2"/>
  <c r="P143" i="2"/>
  <c r="P209" i="2"/>
  <c r="P278" i="2"/>
  <c r="P215" i="2"/>
  <c r="P271" i="2"/>
  <c r="P198" i="2"/>
  <c r="P84" i="2"/>
  <c r="P182" i="2"/>
  <c r="P121" i="2"/>
  <c r="P258" i="2"/>
  <c r="P203" i="2"/>
  <c r="P51" i="2"/>
  <c r="P89" i="2"/>
  <c r="P38" i="2"/>
  <c r="P178" i="2"/>
  <c r="P252" i="2"/>
  <c r="P41" i="2"/>
  <c r="P133" i="2"/>
  <c r="P151" i="2"/>
  <c r="P40" i="2"/>
  <c r="P6" i="2"/>
  <c r="P132" i="2"/>
  <c r="P9" i="2"/>
  <c r="P275" i="2"/>
  <c r="P57" i="2"/>
  <c r="P76" i="2"/>
  <c r="P17" i="2"/>
  <c r="P109" i="2"/>
  <c r="P227" i="2"/>
  <c r="P92" i="2"/>
  <c r="P207" i="2"/>
  <c r="P44" i="2"/>
  <c r="P267" i="2"/>
  <c r="P218" i="2"/>
  <c r="P63" i="2"/>
  <c r="P135" i="2"/>
  <c r="P204" i="2"/>
  <c r="P78" i="2"/>
  <c r="P58" i="2"/>
  <c r="P20" i="2"/>
  <c r="P190" i="2"/>
  <c r="P26" i="2"/>
  <c r="P210" i="2"/>
  <c r="P65" i="2"/>
  <c r="P217" i="2"/>
  <c r="P184" i="2"/>
  <c r="P62" i="2"/>
  <c r="P104" i="2"/>
  <c r="P160" i="2"/>
  <c r="P81" i="2"/>
  <c r="P255" i="2"/>
  <c r="P137" i="2"/>
  <c r="P116" i="2"/>
  <c r="P181" i="2"/>
  <c r="P90" i="2"/>
  <c r="P16" i="2"/>
  <c r="P189" i="2"/>
  <c r="P231" i="2"/>
  <c r="P120" i="2"/>
  <c r="P97" i="2"/>
  <c r="P140" i="2"/>
  <c r="P8" i="2"/>
  <c r="P163" i="2"/>
  <c r="P138" i="2"/>
  <c r="P161" i="2"/>
  <c r="P268" i="2"/>
  <c r="P185" i="2"/>
  <c r="P25" i="2"/>
  <c r="P201" i="2"/>
  <c r="P244" i="2"/>
  <c r="P152" i="2"/>
  <c r="P162" i="2"/>
  <c r="P117" i="2"/>
  <c r="P106" i="2"/>
  <c r="P131" i="2"/>
  <c r="P21" i="2"/>
  <c r="P101" i="2"/>
  <c r="P91" i="2"/>
  <c r="P232" i="2"/>
  <c r="P113" i="2"/>
  <c r="P68" i="2"/>
  <c r="P54" i="2"/>
  <c r="P260" i="2"/>
  <c r="P139" i="2"/>
  <c r="P265" i="2"/>
  <c r="P123" i="2"/>
  <c r="P176" i="2"/>
  <c r="P10" i="2"/>
  <c r="P261" i="2"/>
  <c r="P110" i="2"/>
  <c r="P250" i="2"/>
  <c r="P264" i="2"/>
  <c r="P32" i="2"/>
  <c r="P94" i="2"/>
  <c r="P46" i="2"/>
  <c r="P154" i="2"/>
  <c r="P248" i="2"/>
  <c r="P22" i="2"/>
  <c r="P126" i="2"/>
  <c r="P220" i="2"/>
  <c r="P214" i="2"/>
  <c r="P173" i="2"/>
  <c r="P224" i="2"/>
  <c r="P55" i="2"/>
  <c r="P171" i="2"/>
  <c r="P150" i="2"/>
  <c r="P169" i="2"/>
  <c r="P129" i="2"/>
  <c r="P177" i="2"/>
  <c r="P259" i="2"/>
  <c r="P146" i="2"/>
  <c r="P3" i="2"/>
  <c r="P59" i="2"/>
  <c r="P246" i="2"/>
  <c r="P191" i="2"/>
  <c r="P134" i="2"/>
  <c r="P223" i="2"/>
  <c r="P225" i="2"/>
  <c r="P168" i="2"/>
  <c r="P53" i="2"/>
  <c r="P23" i="2"/>
  <c r="P221" i="2"/>
  <c r="P73" i="2"/>
  <c r="P47" i="2"/>
  <c r="P35" i="2"/>
  <c r="P119" i="2"/>
  <c r="P142" i="2"/>
  <c r="P211" i="2"/>
  <c r="P72" i="2"/>
  <c r="P4" i="2"/>
  <c r="P192" i="2"/>
  <c r="P19" i="2"/>
  <c r="P170" i="2"/>
  <c r="P86" i="2"/>
  <c r="P159" i="2"/>
  <c r="P226" i="2"/>
  <c r="P36" i="2"/>
  <c r="P155" i="2"/>
  <c r="P130" i="2"/>
  <c r="P141" i="2"/>
  <c r="P85" i="2"/>
  <c r="P262" i="2"/>
  <c r="P187" i="2"/>
  <c r="P219" i="2"/>
  <c r="P52" i="2"/>
  <c r="P50" i="2"/>
  <c r="P111" i="2"/>
  <c r="P234" i="2"/>
  <c r="P172" i="2"/>
  <c r="P48" i="2"/>
  <c r="P238" i="2"/>
  <c r="P93" i="2"/>
  <c r="P196" i="2"/>
  <c r="P213" i="2"/>
  <c r="P136" i="2"/>
  <c r="P195" i="2"/>
  <c r="P66" i="2"/>
  <c r="P45" i="2"/>
  <c r="P82" i="2"/>
  <c r="P49" i="2"/>
  <c r="P108" i="2"/>
  <c r="P2" i="2"/>
  <c r="P125" i="2"/>
  <c r="P24" i="2"/>
  <c r="P205" i="2"/>
  <c r="P193" i="2"/>
  <c r="P197" i="2"/>
  <c r="P12" i="2"/>
  <c r="P242" i="2"/>
  <c r="P77" i="2"/>
  <c r="P153" i="2"/>
  <c r="P144" i="2"/>
  <c r="P61" i="2"/>
  <c r="P99" i="2"/>
  <c r="P31" i="2"/>
  <c r="P88" i="2"/>
  <c r="P96" i="2"/>
  <c r="P39" i="2"/>
</calcChain>
</file>

<file path=xl/sharedStrings.xml><?xml version="1.0" encoding="utf-8"?>
<sst xmlns="http://schemas.openxmlformats.org/spreadsheetml/2006/main" count="2812" uniqueCount="839">
  <si>
    <t>13222 - PT. DAYA ANUGRAH MANDIRI</t>
  </si>
  <si>
    <t>REKAP KPB
13222-250805_2148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</si>
  <si>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</si>
  <si>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</si>
  <si>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</si>
  <si>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</si>
  <si>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</si>
  <si>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</si>
  <si>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</si>
  <si>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</si>
  <si>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</si>
  <si>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</si>
  <si>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</si>
  <si>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</si>
  <si>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</si>
  <si>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</si>
  <si>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BEAT SERIES</t>
  </si>
  <si>
    <t>13222-250805_2148</t>
  </si>
  <si>
    <t>0</t>
  </si>
  <si>
    <t>18,000</t>
  </si>
  <si>
    <t>Tidak</t>
  </si>
  <si>
    <t>2</t>
  </si>
  <si>
    <t>17</t>
  </si>
  <si>
    <t>4</t>
  </si>
  <si>
    <t>24</t>
  </si>
  <si>
    <t>395,520</t>
  </si>
  <si>
    <t>635,350</t>
  </si>
  <si>
    <t>1,030,870</t>
  </si>
  <si>
    <t>3</t>
  </si>
  <si>
    <t>CB 150 SERIES</t>
  </si>
  <si>
    <t>58,000</t>
  </si>
  <si>
    <t>71,240</t>
  </si>
  <si>
    <t>129,240</t>
  </si>
  <si>
    <t>CRF 150 SERIES</t>
  </si>
  <si>
    <t>11</t>
  </si>
  <si>
    <t>13</t>
  </si>
  <si>
    <t>244,400</t>
  </si>
  <si>
    <t>391,820</t>
  </si>
  <si>
    <t>636,220</t>
  </si>
  <si>
    <t>5</t>
  </si>
  <si>
    <t>GENIO SERIES</t>
  </si>
  <si>
    <t>115,600</t>
  </si>
  <si>
    <t>37,290</t>
  </si>
  <si>
    <t>152,890</t>
  </si>
  <si>
    <t>6</t>
  </si>
  <si>
    <t>PCX 160 SERIES</t>
  </si>
  <si>
    <t>86,600</t>
  </si>
  <si>
    <t>7</t>
  </si>
  <si>
    <t>REVO SERIES</t>
  </si>
  <si>
    <t>25,000</t>
  </si>
  <si>
    <t>43,000</t>
  </si>
  <si>
    <t>8</t>
  </si>
  <si>
    <t>82</t>
  </si>
  <si>
    <t>18</t>
  </si>
  <si>
    <t>15</t>
  </si>
  <si>
    <t>118</t>
  </si>
  <si>
    <t>2,124,000</t>
  </si>
  <si>
    <t>2,050,000</t>
  </si>
  <si>
    <t>4,174,000</t>
  </si>
  <si>
    <t>9</t>
  </si>
  <si>
    <t>SCOOPY SERIES</t>
  </si>
  <si>
    <t>33</t>
  </si>
  <si>
    <t>457,200</t>
  </si>
  <si>
    <t>896,380</t>
  </si>
  <si>
    <t>1,353,580</t>
  </si>
  <si>
    <t>10</t>
  </si>
  <si>
    <t>STYLO 160 SERIES</t>
  </si>
  <si>
    <t>103,500</t>
  </si>
  <si>
    <t>174,720</t>
  </si>
  <si>
    <t>278,220</t>
  </si>
  <si>
    <t>STYLO SERIES</t>
  </si>
  <si>
    <t>72,000</t>
  </si>
  <si>
    <t>43,680</t>
  </si>
  <si>
    <t>115,680</t>
  </si>
  <si>
    <t>12</t>
  </si>
  <si>
    <t>SUPRA 125 SERIES</t>
  </si>
  <si>
    <t>198,000</t>
  </si>
  <si>
    <t>188,000</t>
  </si>
  <si>
    <t>386,000</t>
  </si>
  <si>
    <t>SUPRA GTR SERIES</t>
  </si>
  <si>
    <t>77,000</t>
  </si>
  <si>
    <t>14</t>
  </si>
  <si>
    <t>VARIO 125 SERIES</t>
  </si>
  <si>
    <t>19</t>
  </si>
  <si>
    <t>31</t>
  </si>
  <si>
    <t>532,800</t>
  </si>
  <si>
    <t>543,460</t>
  </si>
  <si>
    <t>1,076,260</t>
  </si>
  <si>
    <t>VARIO 160 SERIES</t>
  </si>
  <si>
    <t>124,560</t>
  </si>
  <si>
    <t>269,500</t>
  </si>
  <si>
    <t>394,060</t>
  </si>
  <si>
    <t>16</t>
  </si>
  <si>
    <t>VERZA SERIES</t>
  </si>
  <si>
    <t>501,500</t>
  </si>
  <si>
    <t>498,680</t>
  </si>
  <si>
    <t>1,000,180</t>
  </si>
  <si>
    <t>No Engine</t>
  </si>
  <si>
    <t>Service Ke-</t>
  </si>
  <si>
    <t>Tgl Beli</t>
  </si>
  <si>
    <t>Tgl Service</t>
  </si>
  <si>
    <t>Km</t>
  </si>
  <si>
    <t>JMF2E1438829</t>
  </si>
  <si>
    <t>24/05/2025</t>
  </si>
  <si>
    <t>02/07/2025</t>
  </si>
  <si>
    <t>568</t>
  </si>
  <si>
    <t>JME1E1448157</t>
  </si>
  <si>
    <t>03/05/2025</t>
  </si>
  <si>
    <t>04/07/2025</t>
  </si>
  <si>
    <t>894</t>
  </si>
  <si>
    <t>JMF2E1462164</t>
  </si>
  <si>
    <t>28/06/2025</t>
  </si>
  <si>
    <t>05/07/2025</t>
  </si>
  <si>
    <t>330</t>
  </si>
  <si>
    <t>JME1E1525371</t>
  </si>
  <si>
    <t>17/06/2025</t>
  </si>
  <si>
    <t>473</t>
  </si>
  <si>
    <t>JMF1E1256224</t>
  </si>
  <si>
    <t>05/06/2025</t>
  </si>
  <si>
    <t>767</t>
  </si>
  <si>
    <t>JME1E1558114</t>
  </si>
  <si>
    <t>20/06/2025</t>
  </si>
  <si>
    <t>462</t>
  </si>
  <si>
    <t>JMF1E1259590</t>
  </si>
  <si>
    <t>16/06/2025</t>
  </si>
  <si>
    <t>08/07/2025</t>
  </si>
  <si>
    <t>322</t>
  </si>
  <si>
    <t>JMF1E1258931</t>
  </si>
  <si>
    <t>199</t>
  </si>
  <si>
    <t>JMF1E1224683</t>
  </si>
  <si>
    <t>10/06/2025</t>
  </si>
  <si>
    <t>09/07/2025</t>
  </si>
  <si>
    <t>379</t>
  </si>
  <si>
    <t>JMF1E1259684</t>
  </si>
  <si>
    <t>1037</t>
  </si>
  <si>
    <t>JME1E1487523</t>
  </si>
  <si>
    <t>14/05/2025</t>
  </si>
  <si>
    <t>10/07/2025</t>
  </si>
  <si>
    <t>JMF1E1257918</t>
  </si>
  <si>
    <t>11/06/2025</t>
  </si>
  <si>
    <t>11/07/2025</t>
  </si>
  <si>
    <t>1086</t>
  </si>
  <si>
    <t>JMF1E1246083</t>
  </si>
  <si>
    <t>09/05/2025</t>
  </si>
  <si>
    <t>12/07/2025</t>
  </si>
  <si>
    <t>598</t>
  </si>
  <si>
    <t>JME1E1490423</t>
  </si>
  <si>
    <t>22/05/2025</t>
  </si>
  <si>
    <t>1088</t>
  </si>
  <si>
    <t>JME1E1557989</t>
  </si>
  <si>
    <t>17/07/2025</t>
  </si>
  <si>
    <t>438</t>
  </si>
  <si>
    <t>JME1E1538004</t>
  </si>
  <si>
    <t>13/06/2025</t>
  </si>
  <si>
    <t>18/07/2025</t>
  </si>
  <si>
    <t>1043</t>
  </si>
  <si>
    <t>JME1E1545352</t>
  </si>
  <si>
    <t>26/07/2025</t>
  </si>
  <si>
    <t>805</t>
  </si>
  <si>
    <t>JME1E1493858</t>
  </si>
  <si>
    <t>1112</t>
  </si>
  <si>
    <t>JMF2E1349899</t>
  </si>
  <si>
    <t>19/03/2025</t>
  </si>
  <si>
    <t>1595</t>
  </si>
  <si>
    <t>JMF1E1216895</t>
  </si>
  <si>
    <t>20/03/2025</t>
  </si>
  <si>
    <t>1034</t>
  </si>
  <si>
    <t>JME1E1397593</t>
  </si>
  <si>
    <t>28/03/2025</t>
  </si>
  <si>
    <t>2145</t>
  </si>
  <si>
    <t>JMF1E1225785</t>
  </si>
  <si>
    <t>08/04/2025</t>
  </si>
  <si>
    <t>2825</t>
  </si>
  <si>
    <t>JME1E1418758</t>
  </si>
  <si>
    <t>21/04/2025</t>
  </si>
  <si>
    <t>21/07/2025</t>
  </si>
  <si>
    <t>4544</t>
  </si>
  <si>
    <t>JMF2E1330311</t>
  </si>
  <si>
    <t>26/04/2025</t>
  </si>
  <si>
    <t>28/07/2025</t>
  </si>
  <si>
    <t>4282</t>
  </si>
  <si>
    <t>JM91E3627940</t>
  </si>
  <si>
    <t>13/09/2024</t>
  </si>
  <si>
    <t>23/07/2025</t>
  </si>
  <si>
    <t>5659</t>
  </si>
  <si>
    <t>KC04E1006365</t>
  </si>
  <si>
    <t>639</t>
  </si>
  <si>
    <t>KC04E1008280</t>
  </si>
  <si>
    <t>25/06/2025</t>
  </si>
  <si>
    <t>258</t>
  </si>
  <si>
    <t>KCE1E1025405</t>
  </si>
  <si>
    <t>14/04/2025</t>
  </si>
  <si>
    <t>07/07/2025</t>
  </si>
  <si>
    <t>2472</t>
  </si>
  <si>
    <t>KD11E1600678</t>
  </si>
  <si>
    <t>03/07/2025</t>
  </si>
  <si>
    <t>KD11E1604405</t>
  </si>
  <si>
    <t>04/06/2025</t>
  </si>
  <si>
    <t>509</t>
  </si>
  <si>
    <t>KD11E1608986</t>
  </si>
  <si>
    <t>393</t>
  </si>
  <si>
    <t>KD11E1607893</t>
  </si>
  <si>
    <t>31/05/2025</t>
  </si>
  <si>
    <t>KD11E1607720</t>
  </si>
  <si>
    <t>316</t>
  </si>
  <si>
    <t>KD11E1609323</t>
  </si>
  <si>
    <t>21/06/2025</t>
  </si>
  <si>
    <t>788</t>
  </si>
  <si>
    <t>KD11E1611569</t>
  </si>
  <si>
    <t>304</t>
  </si>
  <si>
    <t>KD11E1605301</t>
  </si>
  <si>
    <t>23/05/2025</t>
  </si>
  <si>
    <t>15/07/2025</t>
  </si>
  <si>
    <t>646</t>
  </si>
  <si>
    <t>KD11E1611568</t>
  </si>
  <si>
    <t>30/06/2025</t>
  </si>
  <si>
    <t>1050</t>
  </si>
  <si>
    <t>KD11E1608617</t>
  </si>
  <si>
    <t>30/07/2025</t>
  </si>
  <si>
    <t>1047</t>
  </si>
  <si>
    <t>KD11E1612863</t>
  </si>
  <si>
    <t>31/07/2025</t>
  </si>
  <si>
    <t>674</t>
  </si>
  <si>
    <t>KD11E1580715</t>
  </si>
  <si>
    <t>4962</t>
  </si>
  <si>
    <t>KD11E1550330</t>
  </si>
  <si>
    <t>19/12/2024</t>
  </si>
  <si>
    <t>2384</t>
  </si>
  <si>
    <t>JMA1E1177562</t>
  </si>
  <si>
    <t>25/07/2025</t>
  </si>
  <si>
    <t>754</t>
  </si>
  <si>
    <t>JMA1E1187478</t>
  </si>
  <si>
    <t>19/05/2025</t>
  </si>
  <si>
    <t>1376</t>
  </si>
  <si>
    <t>JMB1E1190399</t>
  </si>
  <si>
    <t>25/05/2025</t>
  </si>
  <si>
    <t>2966</t>
  </si>
  <si>
    <t>JMA1E1179632</t>
  </si>
  <si>
    <t>18/03/2025</t>
  </si>
  <si>
    <t>2932</t>
  </si>
  <si>
    <t>JMB1E1171457</t>
  </si>
  <si>
    <t>04/10/2024</t>
  </si>
  <si>
    <t>5384</t>
  </si>
  <si>
    <t>KF81E1456065</t>
  </si>
  <si>
    <t>28/02/2025</t>
  </si>
  <si>
    <t>19/07/2025</t>
  </si>
  <si>
    <t>4470</t>
  </si>
  <si>
    <t>KFE1E1063177</t>
  </si>
  <si>
    <t>14/03/2025</t>
  </si>
  <si>
    <t>2246</t>
  </si>
  <si>
    <t>JBK1E2107307</t>
  </si>
  <si>
    <t>01/07/2025</t>
  </si>
  <si>
    <t>411</t>
  </si>
  <si>
    <t>JBK1E2102965</t>
  </si>
  <si>
    <t>02/06/2025</t>
  </si>
  <si>
    <t>967</t>
  </si>
  <si>
    <t>JBK3E1575150</t>
  </si>
  <si>
    <t>15/05/2025</t>
  </si>
  <si>
    <t>902</t>
  </si>
  <si>
    <t>JBK3E1580599</t>
  </si>
  <si>
    <t>24/06/2025</t>
  </si>
  <si>
    <t>347</t>
  </si>
  <si>
    <t>JBK1E2107406</t>
  </si>
  <si>
    <t>468</t>
  </si>
  <si>
    <t>JBK3E1580263</t>
  </si>
  <si>
    <t>219</t>
  </si>
  <si>
    <t>JBK1E2103360</t>
  </si>
  <si>
    <t>12/06/2025</t>
  </si>
  <si>
    <t>1029</t>
  </si>
  <si>
    <t>JBK3E1577422</t>
  </si>
  <si>
    <t>690</t>
  </si>
  <si>
    <t>JBK3E1576071</t>
  </si>
  <si>
    <t>242</t>
  </si>
  <si>
    <t>JBK1E2104398</t>
  </si>
  <si>
    <t>391</t>
  </si>
  <si>
    <t>JBK1E2099728</t>
  </si>
  <si>
    <t>917</t>
  </si>
  <si>
    <t>JBK3E1577957</t>
  </si>
  <si>
    <t>09/06/2025</t>
  </si>
  <si>
    <t>947</t>
  </si>
  <si>
    <t>JBK1E2109932</t>
  </si>
  <si>
    <t>100</t>
  </si>
  <si>
    <t>JBK3E1577069</t>
  </si>
  <si>
    <t>30/05/2025</t>
  </si>
  <si>
    <t>936</t>
  </si>
  <si>
    <t>JBK3E1573560</t>
  </si>
  <si>
    <t>10/05/2025</t>
  </si>
  <si>
    <t>471</t>
  </si>
  <si>
    <t>JBK1E2100299</t>
  </si>
  <si>
    <t>20/05/2025</t>
  </si>
  <si>
    <t>363</t>
  </si>
  <si>
    <t>JBK1E2105718</t>
  </si>
  <si>
    <t>18/06/2025</t>
  </si>
  <si>
    <t>231</t>
  </si>
  <si>
    <t>JBK1E2106585</t>
  </si>
  <si>
    <t>442</t>
  </si>
  <si>
    <t>JBK3E1579191</t>
  </si>
  <si>
    <t>576</t>
  </si>
  <si>
    <t>JBK1E2104049</t>
  </si>
  <si>
    <t>07/06/2025</t>
  </si>
  <si>
    <t>723</t>
  </si>
  <si>
    <t>JBK1E2100798</t>
  </si>
  <si>
    <t>484</t>
  </si>
  <si>
    <t>JBK3E1579516</t>
  </si>
  <si>
    <t>406</t>
  </si>
  <si>
    <t>JBK3E1577583</t>
  </si>
  <si>
    <t>773</t>
  </si>
  <si>
    <t>JBK1E2105696</t>
  </si>
  <si>
    <t>14/06/2025</t>
  </si>
  <si>
    <t>616</t>
  </si>
  <si>
    <t>JBK1E2105448</t>
  </si>
  <si>
    <t>733</t>
  </si>
  <si>
    <t>JBK1E2107047</t>
  </si>
  <si>
    <t>19/06/2025</t>
  </si>
  <si>
    <t>962</t>
  </si>
  <si>
    <t>JBK3E1582018</t>
  </si>
  <si>
    <t>236</t>
  </si>
  <si>
    <t>JBK3E1581390</t>
  </si>
  <si>
    <t>JBK1E2098712</t>
  </si>
  <si>
    <t>638</t>
  </si>
  <si>
    <t>JBK1E2100109</t>
  </si>
  <si>
    <t>433</t>
  </si>
  <si>
    <t>JBK3E1576817</t>
  </si>
  <si>
    <t>458</t>
  </si>
  <si>
    <t>JBK1E2107417</t>
  </si>
  <si>
    <t>187</t>
  </si>
  <si>
    <t>JBK1E2108365</t>
  </si>
  <si>
    <t>320</t>
  </si>
  <si>
    <t>JBK3E1578520</t>
  </si>
  <si>
    <t>827</t>
  </si>
  <si>
    <t>JBK3E1578139</t>
  </si>
  <si>
    <t>559</t>
  </si>
  <si>
    <t>JBK1E2109114</t>
  </si>
  <si>
    <t>455</t>
  </si>
  <si>
    <t>JBK1E2102853</t>
  </si>
  <si>
    <t>353</t>
  </si>
  <si>
    <t>JBK3E1577559</t>
  </si>
  <si>
    <t>891</t>
  </si>
  <si>
    <t>JBK3E1578672</t>
  </si>
  <si>
    <t>154</t>
  </si>
  <si>
    <t>JBK3E1574693</t>
  </si>
  <si>
    <t>JBK1E2105791</t>
  </si>
  <si>
    <t>609</t>
  </si>
  <si>
    <t>JBK1E2106244</t>
  </si>
  <si>
    <t>1058</t>
  </si>
  <si>
    <t>JBK3E1582487</t>
  </si>
  <si>
    <t>166</t>
  </si>
  <si>
    <t>JBK3E1578106</t>
  </si>
  <si>
    <t>565</t>
  </si>
  <si>
    <t>JBK3E1582495</t>
  </si>
  <si>
    <t>470</t>
  </si>
  <si>
    <t>JBK1E2103285</t>
  </si>
  <si>
    <t>13/07/2025</t>
  </si>
  <si>
    <t>188</t>
  </si>
  <si>
    <t>JBK1E2110573</t>
  </si>
  <si>
    <t>234</t>
  </si>
  <si>
    <t>JBK1E2107775</t>
  </si>
  <si>
    <t>JBK3E1579560</t>
  </si>
  <si>
    <t>298</t>
  </si>
  <si>
    <t>JBK1E2107049</t>
  </si>
  <si>
    <t>459</t>
  </si>
  <si>
    <t>JBK1E2110004</t>
  </si>
  <si>
    <t>578</t>
  </si>
  <si>
    <t>JBK3E1581388</t>
  </si>
  <si>
    <t>543</t>
  </si>
  <si>
    <t>JBK3E1582536</t>
  </si>
  <si>
    <t>355</t>
  </si>
  <si>
    <t>JBK1E2105480</t>
  </si>
  <si>
    <t>596</t>
  </si>
  <si>
    <t>JBK3E1584356</t>
  </si>
  <si>
    <t>533</t>
  </si>
  <si>
    <t>JBK1E2105936</t>
  </si>
  <si>
    <t>971</t>
  </si>
  <si>
    <t>JBK1E2108430</t>
  </si>
  <si>
    <t>783</t>
  </si>
  <si>
    <t>JBK1E2109591</t>
  </si>
  <si>
    <t>961</t>
  </si>
  <si>
    <t>JBK1E2108557</t>
  </si>
  <si>
    <t>550</t>
  </si>
  <si>
    <t>JBK1E2107790</t>
  </si>
  <si>
    <t>591</t>
  </si>
  <si>
    <t>JBK3E1581372</t>
  </si>
  <si>
    <t>293</t>
  </si>
  <si>
    <t>JBK1E2109923</t>
  </si>
  <si>
    <t>993</t>
  </si>
  <si>
    <t>JBK1E2109112</t>
  </si>
  <si>
    <t>907</t>
  </si>
  <si>
    <t>JBK3E1580435</t>
  </si>
  <si>
    <t>804</t>
  </si>
  <si>
    <t>JBK3E1581120</t>
  </si>
  <si>
    <t>377</t>
  </si>
  <si>
    <t>JBK1E2107784</t>
  </si>
  <si>
    <t>23/06/2025</t>
  </si>
  <si>
    <t>22/07/2025</t>
  </si>
  <si>
    <t>833</t>
  </si>
  <si>
    <t>JBK3E1583959</t>
  </si>
  <si>
    <t>313</t>
  </si>
  <si>
    <t>JBK3E1584121</t>
  </si>
  <si>
    <t>620</t>
  </si>
  <si>
    <t>JBK1E2103817</t>
  </si>
  <si>
    <t>373</t>
  </si>
  <si>
    <t>JBK1E2111401</t>
  </si>
  <si>
    <t>130</t>
  </si>
  <si>
    <t>JBK3E1579683</t>
  </si>
  <si>
    <t>611</t>
  </si>
  <si>
    <t>JBK1E2108501</t>
  </si>
  <si>
    <t>297</t>
  </si>
  <si>
    <t>JBK1E2106571</t>
  </si>
  <si>
    <t>JBK1E2107975</t>
  </si>
  <si>
    <t>401</t>
  </si>
  <si>
    <t>JBK3E1578908</t>
  </si>
  <si>
    <t>24/07/2025</t>
  </si>
  <si>
    <t>934</t>
  </si>
  <si>
    <t>JBK3E1584527</t>
  </si>
  <si>
    <t>506</t>
  </si>
  <si>
    <t>JBK3E1584103</t>
  </si>
  <si>
    <t>277</t>
  </si>
  <si>
    <t>JBK3E1574288</t>
  </si>
  <si>
    <t>697</t>
  </si>
  <si>
    <t>JBK3E1582066</t>
  </si>
  <si>
    <t>29/07/2025</t>
  </si>
  <si>
    <t>519</t>
  </si>
  <si>
    <t>JBK1E2109988</t>
  </si>
  <si>
    <t>880</t>
  </si>
  <si>
    <t>JBK3E1580251</t>
  </si>
  <si>
    <t>27/06/2025</t>
  </si>
  <si>
    <t>JBK3E1582128</t>
  </si>
  <si>
    <t>838</t>
  </si>
  <si>
    <t>JBK3E1579579</t>
  </si>
  <si>
    <t>479</t>
  </si>
  <si>
    <t>JBK1E2089824</t>
  </si>
  <si>
    <t>07/03/2025</t>
  </si>
  <si>
    <t>1237</t>
  </si>
  <si>
    <t>JBK1E2098558</t>
  </si>
  <si>
    <t>29/04/2025</t>
  </si>
  <si>
    <t>1990</t>
  </si>
  <si>
    <t>JBK3E1571740</t>
  </si>
  <si>
    <t>25/04/2025</t>
  </si>
  <si>
    <t>1511</t>
  </si>
  <si>
    <t>JBK3E1572652</t>
  </si>
  <si>
    <t>06/05/2025</t>
  </si>
  <si>
    <t>3526</t>
  </si>
  <si>
    <t>JBK1E2087206</t>
  </si>
  <si>
    <t>12/03/2025</t>
  </si>
  <si>
    <t>1255</t>
  </si>
  <si>
    <t>JBK1E2088437</t>
  </si>
  <si>
    <t>3061</t>
  </si>
  <si>
    <t>JBK1E2097288</t>
  </si>
  <si>
    <t>30/04/2025</t>
  </si>
  <si>
    <t>1036</t>
  </si>
  <si>
    <t>JBK1E2096773</t>
  </si>
  <si>
    <t>23/04/2025</t>
  </si>
  <si>
    <t>1486</t>
  </si>
  <si>
    <t>JBK3E1571698</t>
  </si>
  <si>
    <t>22/04/2025</t>
  </si>
  <si>
    <t>JBK3E1565795</t>
  </si>
  <si>
    <t>10/03/2025</t>
  </si>
  <si>
    <t>3804</t>
  </si>
  <si>
    <t>JBK3E1571737</t>
  </si>
  <si>
    <t>1938</t>
  </si>
  <si>
    <t>JBK3E1574871</t>
  </si>
  <si>
    <t>16/05/2025</t>
  </si>
  <si>
    <t>1710</t>
  </si>
  <si>
    <t>JBK3E1573264</t>
  </si>
  <si>
    <t>08/05/2025</t>
  </si>
  <si>
    <t>2213</t>
  </si>
  <si>
    <t>JBK1E2099836</t>
  </si>
  <si>
    <t>1251</t>
  </si>
  <si>
    <t>JBK3E1570599</t>
  </si>
  <si>
    <t>17/04/2025</t>
  </si>
  <si>
    <t>904</t>
  </si>
  <si>
    <t>147</t>
  </si>
  <si>
    <t>JBK3E1572960</t>
  </si>
  <si>
    <t>512</t>
  </si>
  <si>
    <t>JBK3E1567893</t>
  </si>
  <si>
    <t>29/03/2025</t>
  </si>
  <si>
    <t>1791</t>
  </si>
  <si>
    <t>JBK3E1574892</t>
  </si>
  <si>
    <t>2015</t>
  </si>
  <si>
    <t>JBK1E2066977</t>
  </si>
  <si>
    <t>18/12/2024</t>
  </si>
  <si>
    <t>3921</t>
  </si>
  <si>
    <t>JBK1E2067958</t>
  </si>
  <si>
    <t>4065</t>
  </si>
  <si>
    <t>JBK1E2068701</t>
  </si>
  <si>
    <t>21/12/2024</t>
  </si>
  <si>
    <t>3391</t>
  </si>
  <si>
    <t>JBK1E2066452</t>
  </si>
  <si>
    <t>09/12/2024</t>
  </si>
  <si>
    <t>2669</t>
  </si>
  <si>
    <t>JBK3E1552829</t>
  </si>
  <si>
    <t>13/12/2024</t>
  </si>
  <si>
    <t>3321</t>
  </si>
  <si>
    <t>JBK3E1550417</t>
  </si>
  <si>
    <t>10/12/2024</t>
  </si>
  <si>
    <t>2769</t>
  </si>
  <si>
    <t>JBK3E1551545</t>
  </si>
  <si>
    <t>11/12/2024</t>
  </si>
  <si>
    <t>2880</t>
  </si>
  <si>
    <t>JBK3E1552666</t>
  </si>
  <si>
    <t>16/12/2024</t>
  </si>
  <si>
    <t>4478</t>
  </si>
  <si>
    <t>JBK3E1553275</t>
  </si>
  <si>
    <t>3431</t>
  </si>
  <si>
    <t>JBK3E1551247</t>
  </si>
  <si>
    <t>03/12/2024</t>
  </si>
  <si>
    <t>5486</t>
  </si>
  <si>
    <t>JBK1E2074723</t>
  </si>
  <si>
    <t>14/01/2025</t>
  </si>
  <si>
    <t>957</t>
  </si>
  <si>
    <t>JBK1E2066753</t>
  </si>
  <si>
    <t>21/01/2025</t>
  </si>
  <si>
    <t>4634</t>
  </si>
  <si>
    <t>JBK3E1550212</t>
  </si>
  <si>
    <t>30/11/2024</t>
  </si>
  <si>
    <t>JBK1E2081323</t>
  </si>
  <si>
    <t>12/02/2025</t>
  </si>
  <si>
    <t>2240</t>
  </si>
  <si>
    <t>164</t>
  </si>
  <si>
    <t>JBK1E2095183</t>
  </si>
  <si>
    <t>15/04/2025</t>
  </si>
  <si>
    <t>5881</t>
  </si>
  <si>
    <t>JBK1E2044992</t>
  </si>
  <si>
    <t>04/09/2024</t>
  </si>
  <si>
    <t>4507</t>
  </si>
  <si>
    <t>JBK1E2085014</t>
  </si>
  <si>
    <t>24/03/2025</t>
  </si>
  <si>
    <t>1830</t>
  </si>
  <si>
    <t>167</t>
  </si>
  <si>
    <t>JBK3E1553452</t>
  </si>
  <si>
    <t>3293</t>
  </si>
  <si>
    <t>JMH1E1159155</t>
  </si>
  <si>
    <t>749</t>
  </si>
  <si>
    <t>JMH1E1109128</t>
  </si>
  <si>
    <t>789</t>
  </si>
  <si>
    <t>JMH1E1152171</t>
  </si>
  <si>
    <t>852</t>
  </si>
  <si>
    <t>JMH2E1151911</t>
  </si>
  <si>
    <t>643</t>
  </si>
  <si>
    <t>JMH1E1153686</t>
  </si>
  <si>
    <t>658</t>
  </si>
  <si>
    <t>JMH1E1109115</t>
  </si>
  <si>
    <t>240</t>
  </si>
  <si>
    <t>JMH2E1362023</t>
  </si>
  <si>
    <t>901</t>
  </si>
  <si>
    <t>JMH1E1192192</t>
  </si>
  <si>
    <t>182</t>
  </si>
  <si>
    <t>JMH1E1188276</t>
  </si>
  <si>
    <t>421</t>
  </si>
  <si>
    <t>JMH1E1179650</t>
  </si>
  <si>
    <t>871</t>
  </si>
  <si>
    <t>JMH2E1367783</t>
  </si>
  <si>
    <t>22/06/2025</t>
  </si>
  <si>
    <t>1055</t>
  </si>
  <si>
    <t>JMH2E1180004</t>
  </si>
  <si>
    <t>513</t>
  </si>
  <si>
    <t>JMH2E1131756</t>
  </si>
  <si>
    <t>13/05/2025</t>
  </si>
  <si>
    <t>988</t>
  </si>
  <si>
    <t>JMH2E1370788</t>
  </si>
  <si>
    <t>JMH1E1167768</t>
  </si>
  <si>
    <t>624</t>
  </si>
  <si>
    <t>JMH1E1138147</t>
  </si>
  <si>
    <t>205</t>
  </si>
  <si>
    <t>JMH1E1177207</t>
  </si>
  <si>
    <t>1089</t>
  </si>
  <si>
    <t>JMH1E1192928</t>
  </si>
  <si>
    <t>615</t>
  </si>
  <si>
    <t>JMH2E1372520</t>
  </si>
  <si>
    <t>501</t>
  </si>
  <si>
    <t>JMH1E1107960</t>
  </si>
  <si>
    <t>467</t>
  </si>
  <si>
    <t>JMH2E1335348</t>
  </si>
  <si>
    <t>784</t>
  </si>
  <si>
    <t>JMH1E1098074</t>
  </si>
  <si>
    <t>26/06/2025</t>
  </si>
  <si>
    <t>324</t>
  </si>
  <si>
    <t>JMH1E1192925</t>
  </si>
  <si>
    <t>439</t>
  </si>
  <si>
    <t>JMH2E1373322</t>
  </si>
  <si>
    <t>JMH2E1164900</t>
  </si>
  <si>
    <t>JMH2E1153687</t>
  </si>
  <si>
    <t>1978</t>
  </si>
  <si>
    <t>JMH2E1142381</t>
  </si>
  <si>
    <t>25/03/2025</t>
  </si>
  <si>
    <t>4033</t>
  </si>
  <si>
    <t>195</t>
  </si>
  <si>
    <t>JMH2E1229729</t>
  </si>
  <si>
    <t>27/07/2025</t>
  </si>
  <si>
    <t>2673</t>
  </si>
  <si>
    <t>JM04E2289155</t>
  </si>
  <si>
    <t>28/11/2024</t>
  </si>
  <si>
    <t>4586</t>
  </si>
  <si>
    <t>JMH2E1135972</t>
  </si>
  <si>
    <t>10/02/2025</t>
  </si>
  <si>
    <t>5860</t>
  </si>
  <si>
    <t>JMH2E1136644</t>
  </si>
  <si>
    <t>2704</t>
  </si>
  <si>
    <t>JM04E2230261</t>
  </si>
  <si>
    <t>26/09/2024</t>
  </si>
  <si>
    <t>3284</t>
  </si>
  <si>
    <t>JM04E2175983</t>
  </si>
  <si>
    <t>14/08/2024</t>
  </si>
  <si>
    <t>14/07/2025</t>
  </si>
  <si>
    <t>3422</t>
  </si>
  <si>
    <t>KFC1E1138609</t>
  </si>
  <si>
    <t>03/06/2025</t>
  </si>
  <si>
    <t>490</t>
  </si>
  <si>
    <t>KFC1E1139916</t>
  </si>
  <si>
    <t>28/05/2025</t>
  </si>
  <si>
    <t>414</t>
  </si>
  <si>
    <t>KFD1E1120072</t>
  </si>
  <si>
    <t>1087</t>
  </si>
  <si>
    <t>KFD1E1117676</t>
  </si>
  <si>
    <t>KFC1E1067263</t>
  </si>
  <si>
    <t>14/11/2024</t>
  </si>
  <si>
    <t>4832</t>
  </si>
  <si>
    <t>KFC1E1139917</t>
  </si>
  <si>
    <t>303</t>
  </si>
  <si>
    <t>207</t>
  </si>
  <si>
    <t>KFC1E1070085</t>
  </si>
  <si>
    <t>10/01/2025</t>
  </si>
  <si>
    <t>4013</t>
  </si>
  <si>
    <t>JBP1E2107479</t>
  </si>
  <si>
    <t>536</t>
  </si>
  <si>
    <t>JBP1E2103956</t>
  </si>
  <si>
    <t>736</t>
  </si>
  <si>
    <t>JBP1E2102065</t>
  </si>
  <si>
    <t>837</t>
  </si>
  <si>
    <t>JBP1E2101507</t>
  </si>
  <si>
    <t>12/05/2025</t>
  </si>
  <si>
    <t>JBP1E2107824</t>
  </si>
  <si>
    <t>463</t>
  </si>
  <si>
    <t>JBP1E2109402</t>
  </si>
  <si>
    <t>1010</t>
  </si>
  <si>
    <t>JBP1E2110254</t>
  </si>
  <si>
    <t>892</t>
  </si>
  <si>
    <t>JBP1E2109446</t>
  </si>
  <si>
    <t>JBP1E2102404</t>
  </si>
  <si>
    <t>1048</t>
  </si>
  <si>
    <t>JBP1E2102513</t>
  </si>
  <si>
    <t>5027</t>
  </si>
  <si>
    <t>JBP1E2091683</t>
  </si>
  <si>
    <t>21/02/2025</t>
  </si>
  <si>
    <t>3632</t>
  </si>
  <si>
    <t>KB22E1056830</t>
  </si>
  <si>
    <t>26/03/2025</t>
  </si>
  <si>
    <t>3831</t>
  </si>
  <si>
    <t>KB22E1054556</t>
  </si>
  <si>
    <t>2546</t>
  </si>
  <si>
    <t>JMC1E1635546</t>
  </si>
  <si>
    <t>735</t>
  </si>
  <si>
    <t>JMC1E1635642</t>
  </si>
  <si>
    <t>JMC1E1637032</t>
  </si>
  <si>
    <t>944</t>
  </si>
  <si>
    <t>JMD1E1939008</t>
  </si>
  <si>
    <t>829</t>
  </si>
  <si>
    <t>JMC1E1648108</t>
  </si>
  <si>
    <t>504</t>
  </si>
  <si>
    <t>JMC1E1648427</t>
  </si>
  <si>
    <t>JMC1E1628618</t>
  </si>
  <si>
    <t>731</t>
  </si>
  <si>
    <t>JMC1E1633694</t>
  </si>
  <si>
    <t>26/05/2025</t>
  </si>
  <si>
    <t>984</t>
  </si>
  <si>
    <t>JMD1E1935073</t>
  </si>
  <si>
    <t>740</t>
  </si>
  <si>
    <t>JMC1E1654819</t>
  </si>
  <si>
    <t>851</t>
  </si>
  <si>
    <t>JMD1E1980277</t>
  </si>
  <si>
    <t>275</t>
  </si>
  <si>
    <t>JMC1E1664668</t>
  </si>
  <si>
    <t>JMD1E1949031</t>
  </si>
  <si>
    <t>JMC1E1652350</t>
  </si>
  <si>
    <t>828</t>
  </si>
  <si>
    <t>JMC1E1664070</t>
  </si>
  <si>
    <t>929</t>
  </si>
  <si>
    <t>JMC1E1657722</t>
  </si>
  <si>
    <t>874</t>
  </si>
  <si>
    <t>JMC1E1643142</t>
  </si>
  <si>
    <t>249</t>
  </si>
  <si>
    <t>JMD1E1960358</t>
  </si>
  <si>
    <t>JMC1E1657106</t>
  </si>
  <si>
    <t>859</t>
  </si>
  <si>
    <t>JMD1E1845914</t>
  </si>
  <si>
    <t>05/03/2025</t>
  </si>
  <si>
    <t>2924</t>
  </si>
  <si>
    <t>JMD1E1887189</t>
  </si>
  <si>
    <t>16/04/2025</t>
  </si>
  <si>
    <t>2287</t>
  </si>
  <si>
    <t>JMC1E1615791</t>
  </si>
  <si>
    <t>2641</t>
  </si>
  <si>
    <t>JMC1E1602356</t>
  </si>
  <si>
    <t>12/04/2025</t>
  </si>
  <si>
    <t>1824</t>
  </si>
  <si>
    <t>JMC1E1589131</t>
  </si>
  <si>
    <t>21/03/2025</t>
  </si>
  <si>
    <t>4056</t>
  </si>
  <si>
    <t>JMC1E1554639</t>
  </si>
  <si>
    <t>01/02/2025</t>
  </si>
  <si>
    <t>2334</t>
  </si>
  <si>
    <t>JMC1E1554664</t>
  </si>
  <si>
    <t>31/01/2025</t>
  </si>
  <si>
    <t>5866</t>
  </si>
  <si>
    <t>JMC1E1561541</t>
  </si>
  <si>
    <t>08/02/2025</t>
  </si>
  <si>
    <t>1794</t>
  </si>
  <si>
    <t>JMD1E1818354</t>
  </si>
  <si>
    <t>03/02/2025</t>
  </si>
  <si>
    <t>3737</t>
  </si>
  <si>
    <t>JMD1E1667281</t>
  </si>
  <si>
    <t>06/09/2024</t>
  </si>
  <si>
    <t>3331</t>
  </si>
  <si>
    <t>JMD1E1834841</t>
  </si>
  <si>
    <t>17/02/2025</t>
  </si>
  <si>
    <t>5538</t>
  </si>
  <si>
    <t>JMC1E1606204</t>
  </si>
  <si>
    <t>9728</t>
  </si>
  <si>
    <t>JMD1E1941046</t>
  </si>
  <si>
    <t>869</t>
  </si>
  <si>
    <t>KF01E1884788</t>
  </si>
  <si>
    <t>562</t>
  </si>
  <si>
    <t>KFA1E1305276</t>
  </si>
  <si>
    <t>671</t>
  </si>
  <si>
    <t>KF01E1888326</t>
  </si>
  <si>
    <t>376</t>
  </si>
  <si>
    <t>KFA1E1309195</t>
  </si>
  <si>
    <t>KF01E1887998</t>
  </si>
  <si>
    <t>KFA1E1314973</t>
  </si>
  <si>
    <t>336</t>
  </si>
  <si>
    <t>KF01E1898824</t>
  </si>
  <si>
    <t>1120</t>
  </si>
  <si>
    <t>KF01E1804428</t>
  </si>
  <si>
    <t>3282</t>
  </si>
  <si>
    <t>KC04E1002633</t>
  </si>
  <si>
    <t>965</t>
  </si>
  <si>
    <t>KC04E1003237</t>
  </si>
  <si>
    <t>728</t>
  </si>
  <si>
    <t>KC04E1005145</t>
  </si>
  <si>
    <t>317</t>
  </si>
  <si>
    <t>KC04E1001950</t>
  </si>
  <si>
    <t>545</t>
  </si>
  <si>
    <t>KC04E1006977</t>
  </si>
  <si>
    <t>747</t>
  </si>
  <si>
    <t>KC04E1003256</t>
  </si>
  <si>
    <t>806</t>
  </si>
  <si>
    <t>KC04E1006397</t>
  </si>
  <si>
    <t>713</t>
  </si>
  <si>
    <t>KC04E1004839</t>
  </si>
  <si>
    <t>362</t>
  </si>
  <si>
    <t>KC04E1004308</t>
  </si>
  <si>
    <t>1099</t>
  </si>
  <si>
    <t>KC04E1004316</t>
  </si>
  <si>
    <t>884</t>
  </si>
  <si>
    <t>KC04E1008214</t>
  </si>
  <si>
    <t>979</t>
  </si>
  <si>
    <t>KC04E1006021</t>
  </si>
  <si>
    <t>834</t>
  </si>
  <si>
    <t>KC04E1003232</t>
  </si>
  <si>
    <t>KC04E1009597</t>
  </si>
  <si>
    <t>586</t>
  </si>
  <si>
    <t>KC02E1281120</t>
  </si>
  <si>
    <t>4024</t>
  </si>
  <si>
    <t>KC02E1283757</t>
  </si>
  <si>
    <t>20/12/2024</t>
  </si>
  <si>
    <t>7731</t>
  </si>
  <si>
    <t>KC02E1286176</t>
  </si>
  <si>
    <t>16/01/2025</t>
  </si>
  <si>
    <t>5709</t>
  </si>
  <si>
    <t>KC02E1289026</t>
  </si>
  <si>
    <t>05/02/2025</t>
  </si>
  <si>
    <t>5356</t>
  </si>
  <si>
    <t>KC02E1289021</t>
  </si>
  <si>
    <t>1266</t>
  </si>
  <si>
    <t>KET</t>
  </si>
  <si>
    <t>FOTO SAMA 559</t>
  </si>
  <si>
    <t>FOTO KM 3432</t>
  </si>
  <si>
    <t>SALAH INPUT TGL BELI</t>
  </si>
  <si>
    <t>FOTO KM 437</t>
  </si>
  <si>
    <t>FOTO KM 495</t>
  </si>
  <si>
    <t>FOTO KM 185</t>
  </si>
  <si>
    <t>JBK1E2090119/https://fruitbasket.blob.core.windows.net/gk2o5k/avatar/21283167820250414153208JXTOEF.jpg</t>
  </si>
  <si>
    <t>JBK1E2048300/https://fruitbasket.blob.core.windows.net/gk2o5k/avatar/21186821120241028112904IFNM2E.jpg</t>
  </si>
  <si>
    <t>JBK1E2028611/https://fruitbasket.blob.core.windows.net/gk2o5k/avatar/21141768620240903145553QGUCEP.jpg</t>
  </si>
  <si>
    <t>JBK1E2068076/https://fruitbasket.blob.core.windows.net/gk2o5k/avatar/21234374820250628132052Y8ARXD.jpg</t>
  </si>
  <si>
    <t>JBK1E2088984/https://fruitbasket.blob.core.windows.net/gk2o5k/avatar/2128992632025041510255985UTOT.jpg</t>
  </si>
  <si>
    <t>JBK1E2038665/https://fruitbasket.blob.core.windows.net/gk2o5k/avatar/212099193202505161635332CAXON.jpg</t>
  </si>
  <si>
    <t>JBK1E2087451/https://fruitbasket.blob.core.windows.net/gk2o5k/avatar/21113810620250409154546376PYX.jpg</t>
  </si>
  <si>
    <t>JBK1E2090440/https://fruitbasket.blob.core.windows.net/gk2o5k/avatar/21177281720250411153820DQLRMB.jpg</t>
  </si>
  <si>
    <t>JBK1E2092726/https://fruitbasket.blob.core.windows.net/gk2o5k/avatar/2521488120250412110840EAPB4W.jpg</t>
  </si>
  <si>
    <t>JBK1E2066514/https://fruitbasket.blob.core.windows.net/gk2o5k/avatar/21232748820250119123936IBNLSE.jpg</t>
  </si>
  <si>
    <t>JBK1E2022631/https://fruitbasket.blob.core.windows.net/gk2o5k/avatar/21161155120240909172420J2ESCF.jpg</t>
  </si>
  <si>
    <t>JBK1E2086452/https://fruitbasket.blob.core.windows.net/gk2o5k/avatar/21155479220250508131255N5OOFP.jpg</t>
  </si>
  <si>
    <t>JBK1E2090481/https://fruitbasket.blob.core.windows.net/gk2o5k/avatar/21281088120250410170530I6ZJEN.jpg</t>
  </si>
  <si>
    <t>JBK1E2090266/https://fruitbasket.blob.core.windows.net/gk2o5k/avatar/21290503520250410105149GAEFQX.jpg</t>
  </si>
  <si>
    <t>JBK3E1563104/https://fruitbasket.blob.core.windows.net/gk2o5k/avatar/21268126520250325120956GX2TFI.jpg</t>
  </si>
  <si>
    <t>JBK3E1564983/https://fruitbasket.blob.core.windows.net/gk2o5k/avatar/21195104120250321122622PVGNDO.jpg</t>
  </si>
  <si>
    <t>JBK3E1522618/https://fruitbasket.blob.core.windows.net/gk2o5k/avatar/211374804202409181203487ZGCGF.jpg</t>
  </si>
  <si>
    <t>JBK3E1544558/https://fruitbasket.blob.core.windows.net/gk2o5k/avatar/21205421720241101082653NTJ7GY.jpg</t>
  </si>
  <si>
    <t>JBK3E1545624/https://fruitbasket.blob.core.windows.net/gk2o5k/avatar/21223501820250624143222ESDVN7.jpg</t>
  </si>
  <si>
    <t>JBK3E1540709/https://fruitbasket.blob.core.windows.net/gk2o5k/avatar/21198452820250522160705AXCBK7.jpg</t>
  </si>
  <si>
    <t>JBK3E1566514/https://fruitbasket.blob.core.windows.net/gk2o5k/avatar/21283292320250411102932MBLNVL.jpg</t>
  </si>
  <si>
    <t>JBK3E1542633/https://fruitbasket.blob.core.windows.net/gk2o5k/avatar/21084382520241031103118PQGVCM.jpg</t>
  </si>
  <si>
    <t>JBK3E1537347/https://fruitbasket.blob.core.windows.net/gk2o5k/avatar/21179429720250628133039PMIQO4.jpg</t>
  </si>
  <si>
    <t>JBK3E1573628/https://fruitbasket.blob.core.windows.net/gk2o5k/avatar/213255519202506021653123ZDEC8.jpg</t>
  </si>
  <si>
    <t>JBK3E1537347/https://fruitbasket.blob.core.windows.net/gk2o5k/avatar/21179429720241028100154IO1PGT.jpg</t>
  </si>
  <si>
    <t>JBK3E1564078/https://fruitbasket.blob.core.windows.net/gk2o5k/avatar/21255301920250311092517PKF87A.jpg</t>
  </si>
  <si>
    <t>JBK3E1545616/https://fruitbasket.blob.core.windows.net/gk2o5k/avatar/212084612202411131246414PFGSQ.jpg</t>
  </si>
  <si>
    <t>JBK3E1561882/https://fruitbasket.blob.core.windows.net/gk2o5k/avatar/21245510720250321154552T64N0I.jpg</t>
  </si>
  <si>
    <t>JBK3E1535475/https://fruitbasket.blob.core.windows.net/gk2o5k/avatar/27875277202410071035101ZCPCV.jpg</t>
  </si>
  <si>
    <t>JBK3E1551395/https://fruitbasket.blob.core.windows.net/gk2o5k/avatar/21245464120250221151349X00MTH.jpg</t>
  </si>
  <si>
    <t>JMC1E1484571/https://fruitbasket.blob.core.windows.net/gk2o5k/avatar/21197737420241115151340QNDAHF.jpg</t>
  </si>
  <si>
    <t>JME1E1324491/https://fruitbasket.blob.core.windows.net/gk2o5k/avatar/21245464120250221153919LXOLL2.jpg</t>
  </si>
  <si>
    <t>JME1E1128071/https://fruitbasket.blob.core.windows.net/gk2o5k/avatar/21215399120241202083649CQE1ZD.jpg</t>
  </si>
  <si>
    <t>JMF1E1155438/https://fruitbasket.blob.core.windows.net/gk2o5k/avatar/21234345220250221152718YNDJYS.jpg</t>
  </si>
  <si>
    <t>JMH1E1026105/https://fruitbasket.blob.core.windows.net/gk2o5k/avatar/21238163620250107152738HMWFPG.jpg</t>
  </si>
  <si>
    <t>JMH1E1098082/https://fruitbasket.blob.core.windows.net/gk2o5k/avatar/2504729720250505154259K9JHN5.jpg</t>
  </si>
  <si>
    <t>JMH1E1097629/https://fruitbasket.blob.core.windows.net/gk2o5k/avatar/21328336820250609151939G5V3CZ.jpg</t>
  </si>
  <si>
    <t>JMH2E1314031/https://fruitbasket.blob.core.windows.net/gk2o5k/avatar/211761410202506101332410YHOVG.jpg</t>
  </si>
  <si>
    <t>JMH2E1013853/https://fruitbasket.blob.core.windows.net/gk2o5k/avatar/21238037720250125150949ALGHVD.jpg</t>
  </si>
  <si>
    <t>KC02E1282749/https://fruitbasket.blob.core.windows.net/gk2o5k/avatar/21231805420250318110023UAMZ7O.jpg</t>
  </si>
  <si>
    <t>KD11E1581663/https://fruitbasket.blob.core.windows.net/gk2o5k/avatar/255436092025031109352892VH2I.jpg</t>
  </si>
  <si>
    <t>KD11E1581256/https://fruitbasket.blob.core.windows.net/gk2o5k/avatar/21205342620250304103318MP9NOS.jpg</t>
  </si>
  <si>
    <t>KD11E1569733/https://fruitbasket.blob.core.windows.net/gk2o5k/avatar/2953236420250214153525VTPTQD.jpg</t>
  </si>
  <si>
    <t>https://fruitbasket.blob.core.windows.net/gk2o5k/avatar/211797604202506200955440TVRNF.jpg</t>
  </si>
  <si>
    <t>MD</t>
  </si>
  <si>
    <t>KPB2</t>
  </si>
  <si>
    <t>1970-01-01</t>
  </si>
  <si>
    <t>2025-06-20</t>
  </si>
  <si>
    <t>KM TIDAK SESUAI WEBC</t>
  </si>
  <si>
    <t>FOTO JBK1E</t>
  </si>
  <si>
    <t>FOTO JBK3E</t>
  </si>
  <si>
    <t>KM TRIP</t>
  </si>
  <si>
    <t>FOTOJMC1E</t>
  </si>
  <si>
    <t>FOTO JME1E</t>
  </si>
  <si>
    <t>TIDAK JELAS</t>
  </si>
  <si>
    <t>Type</t>
  </si>
  <si>
    <t>Bulan Beli</t>
  </si>
  <si>
    <t>Tahun 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</si>
</sst>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/>
    <xf numFmtId="14" fontId="0" fillId="0" borderId="0" xfId="0" applyNumberFormat="1"/>
    <xf numFmtId="0" fontId="4" fillId="2" borderId="0" xfId="0" applyFont="1" applyFill="1" applyAlignment="1">
      <alignment horizontal="left" vertical="center" wrapText="1"/>
    </xf>
    <xf numFmtId="49" fontId="5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1" applyFont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9865F00F-412B-43B7-9634-E7B8D99795A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b1979fad101c6d9/Desktop/DIGITAL%20DAM%20SEKADAU/WEBC%20DAM%20SEKADAU%20(2).xlsx" TargetMode="External"/><Relationship Id="rId1" Type="http://schemas.openxmlformats.org/officeDocument/2006/relationships/externalLinkPath" Target="https://d.docs.live.net/3b1979fad101c6d9/Desktop/DIGITAL%20DAM%20SEKADAU/WEBC%20DAM%20SEKADAU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>
        <row r="2">
          <cell r="I2" t="str">
            <v>KC04E1003256</v>
          </cell>
          <cell r="J2" t="str">
            <v>KB3256XY</v>
          </cell>
          <cell r="K2" t="str">
            <v>KPB1</v>
          </cell>
          <cell r="L2">
            <v>806</v>
          </cell>
          <cell r="M2" t="str">
            <v>2025-05-20</v>
          </cell>
          <cell r="N2" t="str">
            <v>2025-07-08</v>
          </cell>
          <cell r="O2" t="str">
            <v>https://fruitbasket.blob.core.windows.net/gk2o5k/avatar/21331165220250708152823IHGM2H.jpg</v>
          </cell>
        </row>
        <row r="3">
          <cell r="I3" t="str">
            <v>JBK3E1577583</v>
          </cell>
          <cell r="J3" t="str">
            <v>KB7583XY</v>
          </cell>
          <cell r="K3" t="str">
            <v>KPB1</v>
          </cell>
          <cell r="L3">
            <v>773</v>
          </cell>
          <cell r="M3" t="str">
            <v>2025-06-07</v>
          </cell>
          <cell r="N3" t="str">
            <v>2025-07-08</v>
          </cell>
          <cell r="O3" t="str">
            <v>https://fruitbasket.blob.core.windows.net/gk2o5k/avatar/21331165220250708152154R76GRQ.jpg</v>
          </cell>
        </row>
        <row r="4">
          <cell r="I4" t="str">
            <v>KFA1E1309195</v>
          </cell>
          <cell r="J4" t="str">
            <v>X123YZ</v>
          </cell>
          <cell r="K4" t="str">
            <v>KPB1</v>
          </cell>
          <cell r="L4">
            <v>147</v>
          </cell>
          <cell r="M4" t="str">
            <v>2025-05-26</v>
          </cell>
          <cell r="N4" t="str">
            <v>2025-07-08</v>
          </cell>
          <cell r="O4" t="str">
            <v>https://fruitbasket.blob.core.windows.net/gk2o5k/avatar/21330228720250708150741ULSZ45.jpg</v>
          </cell>
        </row>
        <row r="5">
          <cell r="I5" t="str">
            <v>KF01E1887998</v>
          </cell>
          <cell r="J5" t="str">
            <v>KB7998XX</v>
          </cell>
          <cell r="K5" t="str">
            <v>KPB1</v>
          </cell>
          <cell r="L5">
            <v>1645</v>
          </cell>
          <cell r="M5" t="str">
            <v>1970-01-01</v>
          </cell>
          <cell r="N5" t="str">
            <v>2025-07-08</v>
          </cell>
          <cell r="O5" t="str">
            <v>https://fruitbasket.blob.core.windows.net/gk2o5k/avatar/21330228720250708150101XSIWRC.jpg</v>
          </cell>
        </row>
        <row r="6">
          <cell r="I6" t="str">
            <v>KC04E1006977</v>
          </cell>
          <cell r="J6" t="str">
            <v>KB6977XX</v>
          </cell>
          <cell r="K6" t="str">
            <v>KPB1</v>
          </cell>
          <cell r="L6">
            <v>747</v>
          </cell>
          <cell r="M6" t="str">
            <v>1970-01-01</v>
          </cell>
          <cell r="N6" t="str">
            <v>2025-07-08</v>
          </cell>
          <cell r="O6" t="str">
            <v>https://fruitbasket.blob.core.windows.net/gk2o5k/avatar/21225744720250708145626KBAY8H.jpg</v>
          </cell>
        </row>
        <row r="7">
          <cell r="I7" t="str">
            <v>JMF1E1258931</v>
          </cell>
          <cell r="J7" t="str">
            <v>KB8931XX</v>
          </cell>
          <cell r="K7" t="str">
            <v>KPB1</v>
          </cell>
          <cell r="L7">
            <v>199</v>
          </cell>
          <cell r="M7" t="str">
            <v>1970-01-01</v>
          </cell>
          <cell r="N7" t="str">
            <v>2025-07-08</v>
          </cell>
          <cell r="O7" t="str">
            <v>https://fruitbasket.blob.core.windows.net/gk2o5k/avatar/21225735020250708144226DI11TK.jpg</v>
          </cell>
        </row>
        <row r="8">
          <cell r="I8" t="str">
            <v>JMH1E1192192</v>
          </cell>
          <cell r="J8" t="str">
            <v>KB2192XX</v>
          </cell>
          <cell r="K8" t="str">
            <v>KPB1</v>
          </cell>
          <cell r="L8">
            <v>182</v>
          </cell>
          <cell r="M8" t="str">
            <v>2025-06-30</v>
          </cell>
          <cell r="N8" t="str">
            <v>2025-07-08</v>
          </cell>
          <cell r="O8" t="str">
            <v>https://fruitbasket.blob.core.windows.net/gk2o5k/avatar/21225401720250708140516UKLONJ.jpg</v>
          </cell>
        </row>
        <row r="9">
          <cell r="I9" t="str">
            <v>JMD1E1887189</v>
          </cell>
          <cell r="J9" t="str">
            <v>KB7189XY</v>
          </cell>
          <cell r="K9" t="str">
            <v>KPB2</v>
          </cell>
          <cell r="L9">
            <v>2287</v>
          </cell>
          <cell r="M9" t="str">
            <v>2025-04-16</v>
          </cell>
          <cell r="N9" t="str">
            <v>2025-07-08</v>
          </cell>
          <cell r="O9" t="str">
            <v>https://fruitbasket.blob.core.windows.net/gk2o5k/avatar/213025582202507081247071BCAOQ.jpg</v>
          </cell>
        </row>
        <row r="10">
          <cell r="I10" t="str">
            <v>KFC1E1067263</v>
          </cell>
          <cell r="K10" t="str">
            <v>KPB3</v>
          </cell>
          <cell r="L10">
            <v>4832</v>
          </cell>
          <cell r="M10" t="str">
            <v>2024-11-14</v>
          </cell>
          <cell r="N10" t="str">
            <v>2025-07-08</v>
          </cell>
          <cell r="O10" t="str">
            <v>https://fruitbasket.blob.core.windows.net/gk2o5k/avatar/21227242120250708123445VIZDR3.jpg</v>
          </cell>
        </row>
        <row r="11">
          <cell r="I11" t="str">
            <v>JBP1E2107824</v>
          </cell>
          <cell r="J11" t="str">
            <v>KB2358YX</v>
          </cell>
          <cell r="K11" t="str">
            <v>KPB1</v>
          </cell>
          <cell r="L11">
            <v>463</v>
          </cell>
          <cell r="M11" t="str">
            <v>1970-01-01</v>
          </cell>
          <cell r="N11" t="str">
            <v>2025-07-08</v>
          </cell>
          <cell r="O11" t="str">
            <v>https://fruitbasket.blob.core.windows.net/gk2o5k/avatar/21227242120250708123118IIA6IG.jpg</v>
          </cell>
        </row>
        <row r="12">
          <cell r="I12" t="str">
            <v>JBK3E1579516</v>
          </cell>
          <cell r="J12" t="str">
            <v>X123YZ</v>
          </cell>
          <cell r="K12" t="str">
            <v>KPB1</v>
          </cell>
          <cell r="L12">
            <v>406</v>
          </cell>
          <cell r="M12" t="str">
            <v>2025-06-12</v>
          </cell>
          <cell r="N12" t="str">
            <v>2025-07-08</v>
          </cell>
          <cell r="O12" t="str">
            <v>https://fruitbasket.blob.core.windows.net/gk2o5k/avatar/21227242120250708121827NYQS3D.jpg</v>
          </cell>
        </row>
        <row r="13">
          <cell r="I13" t="str">
            <v>JMF1E1259590</v>
          </cell>
          <cell r="J13" t="str">
            <v>X123YZ</v>
          </cell>
          <cell r="K13" t="str">
            <v>KPB1</v>
          </cell>
          <cell r="L13">
            <v>322</v>
          </cell>
          <cell r="M13" t="str">
            <v>2025-06-16</v>
          </cell>
          <cell r="N13" t="str">
            <v>2025-07-08</v>
          </cell>
          <cell r="O13" t="str">
            <v>https://fruitbasket.blob.core.windows.net/gk2o5k/avatar/21197737420250708100938PMEHNG.jpg</v>
          </cell>
        </row>
        <row r="14">
          <cell r="I14" t="str">
            <v>KC04E1005145</v>
          </cell>
          <cell r="J14" t="str">
            <v>X123YZ</v>
          </cell>
          <cell r="K14" t="str">
            <v>KPB1</v>
          </cell>
          <cell r="L14">
            <v>317</v>
          </cell>
          <cell r="M14" t="str">
            <v>2025-06-13</v>
          </cell>
          <cell r="N14" t="str">
            <v>2025-07-08</v>
          </cell>
          <cell r="O14" t="str">
            <v>https://fruitbasket.blob.core.windows.net/gk2o5k/avatar/21197737420250708100457PNISWE.jpg</v>
          </cell>
        </row>
        <row r="15">
          <cell r="I15" t="str">
            <v>JM04E2230261</v>
          </cell>
          <cell r="J15" t="str">
            <v>X123YZ</v>
          </cell>
          <cell r="K15" t="str">
            <v>KPB4</v>
          </cell>
          <cell r="L15">
            <v>3284</v>
          </cell>
          <cell r="M15" t="str">
            <v>2024-09-26</v>
          </cell>
          <cell r="N15" t="str">
            <v>2025-07-08</v>
          </cell>
          <cell r="O15" t="str">
            <v>https://fruitbasket.blob.core.windows.net/gk2o5k/avatar/21188975320250708095948NIHABS.jpg</v>
          </cell>
        </row>
        <row r="16">
          <cell r="I16" t="str">
            <v>JBP1E2101507</v>
          </cell>
          <cell r="J16" t="str">
            <v>KB9728XY</v>
          </cell>
          <cell r="K16" t="str">
            <v>KPB1</v>
          </cell>
          <cell r="L16">
            <v>936</v>
          </cell>
          <cell r="M16" t="str">
            <v>2025-05-13</v>
          </cell>
          <cell r="N16" t="str">
            <v>2025-07-08</v>
          </cell>
          <cell r="O16" t="str">
            <v>https://fruitbasket.blob.core.windows.net/gk2o5k/avatar/21317403920250708095333A4SZBH.jpg</v>
          </cell>
        </row>
        <row r="17">
          <cell r="I17" t="str">
            <v>KC04E1001950</v>
          </cell>
          <cell r="J17" t="str">
            <v>KB1950XY</v>
          </cell>
          <cell r="K17" t="str">
            <v>KPB1</v>
          </cell>
          <cell r="L17">
            <v>545</v>
          </cell>
          <cell r="M17" t="str">
            <v>2025-05-10</v>
          </cell>
          <cell r="N17" t="str">
            <v>2025-07-08</v>
          </cell>
          <cell r="O17" t="str">
            <v>https://fruitbasket.blob.core.windows.net/gk2o5k/avatar/21026125920250708094920NUFZXC.jpg</v>
          </cell>
        </row>
        <row r="18">
          <cell r="I18" t="str">
            <v>JMC1E1628618</v>
          </cell>
          <cell r="J18" t="str">
            <v>X123YZ</v>
          </cell>
          <cell r="K18" t="str">
            <v>KPB1</v>
          </cell>
          <cell r="L18">
            <v>731</v>
          </cell>
          <cell r="M18" t="str">
            <v>2025-06-26</v>
          </cell>
          <cell r="N18" t="str">
            <v>2025-07-08</v>
          </cell>
          <cell r="O18" t="str">
            <v>https://fruitbasket.blob.core.windows.net/gk2o5k/avatar/21342936520250708094640QX3Q8B.jpg</v>
          </cell>
        </row>
        <row r="19">
          <cell r="I19" t="str">
            <v>JBK1E2104049</v>
          </cell>
          <cell r="J19" t="str">
            <v>X123YZ</v>
          </cell>
          <cell r="K19" t="str">
            <v>KPB1</v>
          </cell>
          <cell r="L19">
            <v>723</v>
          </cell>
          <cell r="M19" t="str">
            <v>2025-06-07</v>
          </cell>
          <cell r="N19" t="str">
            <v>2025-07-08</v>
          </cell>
          <cell r="O19" t="str">
            <v>https://fruitbasket.blob.core.windows.net/gk2o5k/avatar/213324993202507080943169KSCI5.jpg</v>
          </cell>
        </row>
        <row r="20">
          <cell r="I20" t="str">
            <v>JBK1E2100798</v>
          </cell>
          <cell r="J20" t="str">
            <v>KB0798XY</v>
          </cell>
          <cell r="K20" t="str">
            <v>KPB1</v>
          </cell>
          <cell r="L20">
            <v>484</v>
          </cell>
          <cell r="M20" t="str">
            <v>1970-01-01</v>
          </cell>
          <cell r="N20" t="str">
            <v>2025-07-08</v>
          </cell>
          <cell r="O20" t="str">
            <v>https://fruitbasket.blob.core.windows.net/gk2o5k/avatar/21321476620250708094209RAWGLS.jpg</v>
          </cell>
        </row>
        <row r="21">
          <cell r="I21" t="str">
            <v>KCE1E1025405</v>
          </cell>
          <cell r="J21" t="str">
            <v>KB2393YX</v>
          </cell>
          <cell r="K21" t="str">
            <v>KPB2</v>
          </cell>
          <cell r="L21">
            <v>2472</v>
          </cell>
          <cell r="M21" t="str">
            <v>1970-01-01</v>
          </cell>
          <cell r="N21" t="str">
            <v>2025-07-07</v>
          </cell>
          <cell r="O21" t="str">
            <v>https://fruitbasket.blob.core.windows.net/gk2o5k/avatar/21211495220250707150340T5OH0T.jpg</v>
          </cell>
        </row>
        <row r="22">
          <cell r="I22" t="str">
            <v>KF01E1888326</v>
          </cell>
          <cell r="J22" t="str">
            <v>KB8326XY</v>
          </cell>
          <cell r="K22" t="str">
            <v>KPB1</v>
          </cell>
          <cell r="L22">
            <v>376</v>
          </cell>
          <cell r="M22" t="str">
            <v>1970-01-01</v>
          </cell>
          <cell r="N22" t="str">
            <v>2025-07-07</v>
          </cell>
          <cell r="O22" t="str">
            <v>https://fruitbasket.blob.core.windows.net/gk2o5k/avatar/21211495220250707145754X0GUTF.jpg</v>
          </cell>
        </row>
        <row r="23">
          <cell r="I23" t="str">
            <v>JBK3E1579191</v>
          </cell>
          <cell r="J23" t="str">
            <v>KB2395YX</v>
          </cell>
          <cell r="K23" t="str">
            <v>KPB1</v>
          </cell>
          <cell r="L23">
            <v>576</v>
          </cell>
          <cell r="M23" t="str">
            <v>1970-01-01</v>
          </cell>
          <cell r="N23" t="str">
            <v>2025-07-07</v>
          </cell>
          <cell r="O23" t="str">
            <v>https://fruitbasket.blob.core.windows.net/gk2o5k/avatar/21211402420250707145341X1CCBW.jpg</v>
          </cell>
        </row>
        <row r="24">
          <cell r="I24" t="str">
            <v>JBK1E2088437</v>
          </cell>
          <cell r="J24" t="str">
            <v>X123YZ</v>
          </cell>
          <cell r="K24" t="str">
            <v>KPB2</v>
          </cell>
          <cell r="L24">
            <v>3061</v>
          </cell>
          <cell r="M24" t="str">
            <v>2025-03-14</v>
          </cell>
          <cell r="N24" t="str">
            <v>2025-07-07</v>
          </cell>
          <cell r="O24" t="str">
            <v>https://fruitbasket.blob.core.windows.net/gk2o5k/avatar/21211402420250707144910WP5YPC.jpg</v>
          </cell>
        </row>
        <row r="25">
          <cell r="I25" t="str">
            <v>JMC1E1648427</v>
          </cell>
          <cell r="J25" t="str">
            <v>X123YZ</v>
          </cell>
          <cell r="K25" t="str">
            <v>KPB1</v>
          </cell>
          <cell r="L25">
            <v>207</v>
          </cell>
          <cell r="M25" t="str">
            <v>2025-06-18</v>
          </cell>
          <cell r="N25" t="str">
            <v>2025-07-07</v>
          </cell>
          <cell r="O25" t="str">
            <v>https://fruitbasket.blob.core.windows.net/gk2o5k/avatar/21197843420250707144006UUOW5D.jpg</v>
          </cell>
        </row>
        <row r="26">
          <cell r="I26" t="str">
            <v>JMD1E1845914</v>
          </cell>
          <cell r="J26" t="str">
            <v>KB6108VL</v>
          </cell>
          <cell r="K26" t="str">
            <v>KPB2</v>
          </cell>
          <cell r="L26">
            <v>2924</v>
          </cell>
          <cell r="M26" t="str">
            <v>1970-01-01</v>
          </cell>
          <cell r="N26" t="str">
            <v>2025-07-07</v>
          </cell>
          <cell r="O26" t="str">
            <v>https://fruitbasket.blob.core.windows.net/gk2o5k/avatar/21278652320250707143437IG9YPD.jpg</v>
          </cell>
        </row>
        <row r="27">
          <cell r="I27" t="str">
            <v>KD11E1607720</v>
          </cell>
          <cell r="J27" t="str">
            <v>KB7720XY</v>
          </cell>
          <cell r="K27" t="str">
            <v>KPB1</v>
          </cell>
          <cell r="L27">
            <v>316</v>
          </cell>
          <cell r="M27" t="str">
            <v>1970-01-01</v>
          </cell>
          <cell r="N27" t="str">
            <v>2025-07-07</v>
          </cell>
          <cell r="O27" t="str">
            <v>https://fruitbasket.blob.core.windows.net/gk2o5k/avatar/21197791720250707125930BZLJOW.jpg</v>
          </cell>
        </row>
        <row r="28">
          <cell r="I28" t="str">
            <v>KD11E1602585</v>
          </cell>
          <cell r="J28" t="str">
            <v>KB2585XY</v>
          </cell>
          <cell r="K28" t="str">
            <v>KPB1</v>
          </cell>
          <cell r="L28">
            <v>1051</v>
          </cell>
          <cell r="M28" t="str">
            <v>2025-05-02</v>
          </cell>
          <cell r="N28" t="str">
            <v>2025-07-07</v>
          </cell>
          <cell r="O28" t="str">
            <v>https://fruitbasket.blob.core.windows.net/gk2o5k/avatar/21312905820250707125210XP1HDX.jpg</v>
          </cell>
        </row>
        <row r="29">
          <cell r="I29" t="str">
            <v>JBK1E2106585</v>
          </cell>
          <cell r="J29" t="str">
            <v>X123YZ</v>
          </cell>
          <cell r="K29" t="str">
            <v>KPB1</v>
          </cell>
          <cell r="L29">
            <v>442</v>
          </cell>
          <cell r="M29" t="str">
            <v>2025-06-17</v>
          </cell>
          <cell r="N29" t="str">
            <v>2025-07-07</v>
          </cell>
          <cell r="O29" t="str">
            <v>https://fruitbasket.blob.core.windows.net/gk2o5k/avatar/21196663620250707111559FW9Z83.jpg</v>
          </cell>
        </row>
        <row r="30">
          <cell r="I30" t="str">
            <v>JBK1E2105718</v>
          </cell>
          <cell r="J30" t="str">
            <v>X123YZ</v>
          </cell>
          <cell r="K30" t="str">
            <v>KPB1</v>
          </cell>
          <cell r="L30">
            <v>231</v>
          </cell>
          <cell r="M30" t="str">
            <v>2025-06-18</v>
          </cell>
          <cell r="N30" t="str">
            <v>2025-07-07</v>
          </cell>
          <cell r="O30" t="str">
            <v>https://fruitbasket.blob.core.windows.net/gk2o5k/avatar/21196653820250707110829ZKHWWT.jpg</v>
          </cell>
        </row>
        <row r="31">
          <cell r="I31" t="str">
            <v>JBK1E2100299</v>
          </cell>
          <cell r="J31" t="str">
            <v>X123YZ</v>
          </cell>
          <cell r="K31" t="str">
            <v>KPB1</v>
          </cell>
          <cell r="L31">
            <v>363</v>
          </cell>
          <cell r="M31" t="str">
            <v>2025-05-20</v>
          </cell>
          <cell r="N31" t="str">
            <v>2025-07-07</v>
          </cell>
          <cell r="O31" t="str">
            <v>https://fruitbasket.blob.core.windows.net/gk2o5k/avatar/21196338320250707105841XXOR2C.jpg</v>
          </cell>
        </row>
        <row r="32">
          <cell r="I32" t="str">
            <v>JMH2E1174594</v>
          </cell>
          <cell r="J32" t="str">
            <v>KB4594XY</v>
          </cell>
          <cell r="K32" t="str">
            <v>KPB2</v>
          </cell>
          <cell r="L32">
            <v>1024</v>
          </cell>
          <cell r="M32" t="str">
            <v>2025-04-28</v>
          </cell>
          <cell r="N32" t="str">
            <v>2025-07-07</v>
          </cell>
          <cell r="O32" t="str">
            <v>https://fruitbasket.blob.core.windows.net/gk2o5k/avatar/2525435620250707100602TZBRGB.jpg</v>
          </cell>
        </row>
        <row r="33">
          <cell r="I33" t="str">
            <v>JMC1E1554664</v>
          </cell>
          <cell r="J33" t="str">
            <v>KB5811XY</v>
          </cell>
          <cell r="K33" t="str">
            <v>KPB3</v>
          </cell>
          <cell r="L33">
            <v>5866</v>
          </cell>
          <cell r="M33" t="str">
            <v>2025-01-31</v>
          </cell>
          <cell r="N33" t="str">
            <v>2025-07-07</v>
          </cell>
          <cell r="O33" t="str">
            <v>https://fruitbasket.blob.core.windows.net/gk2o5k/avatar/21195802020250707095625S86L66.jpg</v>
          </cell>
        </row>
        <row r="34">
          <cell r="I34" t="str">
            <v>JMH2E1362023</v>
          </cell>
          <cell r="J34" t="str">
            <v>X123YZ</v>
          </cell>
          <cell r="K34" t="str">
            <v>KPB1</v>
          </cell>
          <cell r="L34">
            <v>901</v>
          </cell>
          <cell r="M34" t="str">
            <v>2025-06-20</v>
          </cell>
          <cell r="N34" t="str">
            <v>2025-07-07</v>
          </cell>
          <cell r="O34" t="str">
            <v>https://fruitbasket.blob.core.windows.net/gk2o5k/avatar/21195443620250707094758DP6MAU.jpg</v>
          </cell>
        </row>
        <row r="35">
          <cell r="I35" t="str">
            <v>KC04E1003237</v>
          </cell>
          <cell r="J35" t="str">
            <v>X123YZ</v>
          </cell>
          <cell r="K35" t="str">
            <v>KPB1</v>
          </cell>
          <cell r="L35">
            <v>728</v>
          </cell>
          <cell r="M35" t="str">
            <v>2025-05-20</v>
          </cell>
          <cell r="N35" t="str">
            <v>2025-07-07</v>
          </cell>
          <cell r="O35" t="str">
            <v>https://fruitbasket.blob.core.windows.net/gk2o5k/avatar/21321193620250707094014GJ2F0N.jpg</v>
          </cell>
        </row>
        <row r="36">
          <cell r="I36" t="str">
            <v>JMC1E1648108</v>
          </cell>
          <cell r="J36" t="str">
            <v>X123YZ</v>
          </cell>
          <cell r="K36" t="str">
            <v>KPB1</v>
          </cell>
          <cell r="L36">
            <v>504</v>
          </cell>
          <cell r="M36" t="str">
            <v>2025-06-17</v>
          </cell>
          <cell r="N36" t="str">
            <v>2025-07-07</v>
          </cell>
          <cell r="O36" t="str">
            <v>https://fruitbasket.blob.core.windows.net/gk2o5k/avatar/21195248420250707092752FD5WCN.jpg</v>
          </cell>
        </row>
        <row r="37">
          <cell r="I37" t="str">
            <v>JMH1E1109115</v>
          </cell>
          <cell r="J37" t="str">
            <v>KB9115XY</v>
          </cell>
          <cell r="K37" t="str">
            <v>KPB1</v>
          </cell>
          <cell r="L37">
            <v>240</v>
          </cell>
          <cell r="M37" t="str">
            <v>1970-01-01</v>
          </cell>
          <cell r="N37" t="str">
            <v>2025-07-07</v>
          </cell>
          <cell r="O37" t="str">
            <v>https://fruitbasket.blob.core.windows.net/gk2o5k/avatar/2132981222025070709203699JQN2.jpg</v>
          </cell>
        </row>
        <row r="38">
          <cell r="I38" t="str">
            <v>JBK3E1539524</v>
          </cell>
          <cell r="J38" t="str">
            <v>X123YZ</v>
          </cell>
          <cell r="K38" t="str">
            <v>KPB4</v>
          </cell>
          <cell r="L38">
            <v>5443</v>
          </cell>
          <cell r="M38" t="str">
            <v>2024-09-27</v>
          </cell>
          <cell r="N38" t="str">
            <v>2025-07-05</v>
          </cell>
          <cell r="O38" t="str">
            <v>https://fruitbasket.blob.core.windows.net/gk2o5k/avatar/211897684202507051647435Q0HS8.jpg</v>
          </cell>
        </row>
        <row r="39">
          <cell r="I39" t="str">
            <v>JBK1E2045623</v>
          </cell>
          <cell r="J39" t="str">
            <v>KB5623XY</v>
          </cell>
          <cell r="K39" t="str">
            <v>KPB4</v>
          </cell>
          <cell r="L39">
            <v>8226</v>
          </cell>
          <cell r="M39" t="str">
            <v>2024-09-06</v>
          </cell>
          <cell r="N39" t="str">
            <v>2025-07-05</v>
          </cell>
          <cell r="O39" t="str">
            <v>https://fruitbasket.blob.core.windows.net/gk2o5k/avatar/211859391202507051645051E418K.jpg</v>
          </cell>
        </row>
        <row r="40">
          <cell r="I40" t="str">
            <v>JBK3E1535475</v>
          </cell>
          <cell r="J40" t="str">
            <v>X123YZ</v>
          </cell>
          <cell r="K40" t="str">
            <v>KPB4</v>
          </cell>
          <cell r="L40">
            <v>7718</v>
          </cell>
          <cell r="M40" t="str">
            <v>2024-09-03</v>
          </cell>
          <cell r="N40" t="str">
            <v>2025-07-05</v>
          </cell>
          <cell r="O40" t="str">
            <v>https://fruitbasket.blob.core.windows.net/gk2o5k/avatar/2787527720250705164035TAQZZM.jpg</v>
          </cell>
        </row>
        <row r="41">
          <cell r="I41" t="str">
            <v>KD11E1544457</v>
          </cell>
          <cell r="J41" t="str">
            <v>KB4457XY</v>
          </cell>
          <cell r="K41" t="str">
            <v>KPB4</v>
          </cell>
          <cell r="L41">
            <v>6755</v>
          </cell>
          <cell r="M41" t="str">
            <v>2024-09-27</v>
          </cell>
          <cell r="N41" t="str">
            <v>2025-07-05</v>
          </cell>
          <cell r="O41" t="str">
            <v>https://fruitbasket.blob.core.windows.net/gk2o5k/avatar/21190434220250705163822NZ6UMW.jpg</v>
          </cell>
        </row>
        <row r="42">
          <cell r="I42" t="str">
            <v>JBP1E2058431</v>
          </cell>
          <cell r="J42" t="str">
            <v>B8431VY</v>
          </cell>
          <cell r="K42" t="str">
            <v>KPB4</v>
          </cell>
          <cell r="L42">
            <v>5795</v>
          </cell>
          <cell r="M42" t="str">
            <v>2024-09-30</v>
          </cell>
          <cell r="N42" t="str">
            <v>2025-07-05</v>
          </cell>
          <cell r="O42" t="str">
            <v>https://fruitbasket.blob.core.windows.net/gk2o5k/avatar/21190863420250705163600RPYFXD.jpg</v>
          </cell>
        </row>
        <row r="43">
          <cell r="I43" t="str">
            <v>JMD1E1687982</v>
          </cell>
          <cell r="J43" t="str">
            <v>X123YZ</v>
          </cell>
          <cell r="K43" t="str">
            <v>KPB4</v>
          </cell>
          <cell r="L43">
            <v>4298</v>
          </cell>
          <cell r="M43" t="str">
            <v>2024-09-26</v>
          </cell>
          <cell r="N43" t="str">
            <v>2025-07-05</v>
          </cell>
          <cell r="O43" t="str">
            <v>https://fruitbasket.blob.core.windows.net/gk2o5k/avatar/21190192820250705163333YO6SX3.jpg</v>
          </cell>
        </row>
        <row r="44">
          <cell r="I44" t="str">
            <v>JM04E2230100</v>
          </cell>
          <cell r="J44" t="str">
            <v>KB0100XY</v>
          </cell>
          <cell r="K44" t="str">
            <v>KPB4</v>
          </cell>
          <cell r="L44">
            <v>7159</v>
          </cell>
          <cell r="M44" t="str">
            <v>2024-09-19</v>
          </cell>
          <cell r="N44" t="str">
            <v>2025-07-05</v>
          </cell>
          <cell r="O44" t="str">
            <v>https://fruitbasket.blob.core.windows.net/gk2o5k/avatar/21184801020250705163008ZAH8ZX.jpg</v>
          </cell>
        </row>
        <row r="45">
          <cell r="I45" t="str">
            <v>JBK1E2038005</v>
          </cell>
          <cell r="J45" t="str">
            <v>KB8005XY</v>
          </cell>
          <cell r="K45" t="str">
            <v>KPB4</v>
          </cell>
          <cell r="L45">
            <v>7584</v>
          </cell>
          <cell r="M45" t="str">
            <v>2024-09-10</v>
          </cell>
          <cell r="N45" t="str">
            <v>2025-07-05</v>
          </cell>
          <cell r="O45" t="str">
            <v>https://fruitbasket.blob.core.windows.net/gk2o5k/avatar/212322330202507051628085LQOVQ.jpg</v>
          </cell>
        </row>
        <row r="46">
          <cell r="I46" t="str">
            <v>JBK3E1554407</v>
          </cell>
          <cell r="J46" t="str">
            <v>KB4407XY</v>
          </cell>
          <cell r="K46" t="str">
            <v>KPB3</v>
          </cell>
          <cell r="L46">
            <v>4122</v>
          </cell>
          <cell r="M46" t="str">
            <v>2024-12-24</v>
          </cell>
          <cell r="N46" t="str">
            <v>2025-07-05</v>
          </cell>
          <cell r="O46" t="str">
            <v>https://fruitbasket.blob.core.windows.net/gk2o5k/avatar/21238643720250705161826L19QXD.jpg</v>
          </cell>
        </row>
        <row r="47">
          <cell r="I47" t="str">
            <v>JBK3E1551545</v>
          </cell>
          <cell r="J47" t="str">
            <v>KB1545XY</v>
          </cell>
          <cell r="K47" t="str">
            <v>KPB3</v>
          </cell>
          <cell r="L47">
            <v>2880</v>
          </cell>
          <cell r="M47" t="str">
            <v>2024-12-11</v>
          </cell>
          <cell r="N47" t="str">
            <v>2025-07-05</v>
          </cell>
          <cell r="O47" t="str">
            <v>https://fruitbasket.blob.core.windows.net/gk2o5k/avatar/21231762720250705161302E0N2WL.jpg</v>
          </cell>
        </row>
        <row r="48">
          <cell r="I48" t="str">
            <v>JBK3E1552666</v>
          </cell>
          <cell r="K48" t="str">
            <v>KPB3</v>
          </cell>
          <cell r="L48">
            <v>4478</v>
          </cell>
          <cell r="M48" t="str">
            <v>2024-12-16</v>
          </cell>
          <cell r="N48" t="str">
            <v>2025-07-05</v>
          </cell>
          <cell r="O48" t="str">
            <v>https://fruitbasket.blob.core.windows.net/gk2o5k/avatar/21176909020250705161051MU2YE8.jpg</v>
          </cell>
        </row>
        <row r="49">
          <cell r="I49" t="str">
            <v>JBK1E2044992</v>
          </cell>
          <cell r="J49" t="str">
            <v>KB4992XY</v>
          </cell>
          <cell r="K49" t="str">
            <v>KPB4</v>
          </cell>
          <cell r="L49">
            <v>4507</v>
          </cell>
          <cell r="M49" t="str">
            <v>2024-09-04</v>
          </cell>
          <cell r="N49" t="str">
            <v>2025-07-05</v>
          </cell>
          <cell r="O49" t="str">
            <v>https://fruitbasket.blob.core.windows.net/gk2o5k/avatar/21176909020250705160458FJZYQW.jpg</v>
          </cell>
        </row>
        <row r="50">
          <cell r="I50" t="str">
            <v>JBK3E1553275</v>
          </cell>
          <cell r="J50" t="str">
            <v>KB3275XY</v>
          </cell>
          <cell r="K50" t="str">
            <v>KPB3</v>
          </cell>
          <cell r="L50">
            <v>3431</v>
          </cell>
          <cell r="M50" t="str">
            <v>2024-12-18</v>
          </cell>
          <cell r="N50" t="str">
            <v>2025-07-05</v>
          </cell>
          <cell r="O50" t="str">
            <v>https://fruitbasket.blob.core.windows.net/gk2o5k/avatar/212353973202507051601536QSZNY.jpg</v>
          </cell>
        </row>
        <row r="51">
          <cell r="I51" t="str">
            <v>KC04E1006365</v>
          </cell>
          <cell r="J51" t="str">
            <v>KB2380YX</v>
          </cell>
          <cell r="K51" t="str">
            <v>KPB1</v>
          </cell>
          <cell r="L51">
            <v>639</v>
          </cell>
          <cell r="M51" t="str">
            <v>1970-01-01</v>
          </cell>
          <cell r="N51" t="str">
            <v>2025-07-05</v>
          </cell>
          <cell r="O51" t="str">
            <v>https://fruitbasket.blob.core.windows.net/gk2o5k/avatar/21236510820250705155853AIWFQW.jpg</v>
          </cell>
        </row>
        <row r="52">
          <cell r="I52" t="str">
            <v>JBK1E2066977</v>
          </cell>
          <cell r="J52" t="str">
            <v>KB6977XY</v>
          </cell>
          <cell r="K52" t="str">
            <v>KPB3</v>
          </cell>
          <cell r="L52">
            <v>3921</v>
          </cell>
          <cell r="M52" t="str">
            <v>2024-12-18</v>
          </cell>
          <cell r="N52" t="str">
            <v>2025-07-05</v>
          </cell>
          <cell r="O52" t="str">
            <v>https://fruitbasket.blob.core.windows.net/gk2o5k/avatar/21236510820250705155242MHSTMR.jpg</v>
          </cell>
        </row>
        <row r="53">
          <cell r="I53" t="str">
            <v>JBK3E1573560</v>
          </cell>
          <cell r="J53" t="str">
            <v>KB2222XY</v>
          </cell>
          <cell r="K53" t="str">
            <v>KPB1</v>
          </cell>
          <cell r="L53">
            <v>471</v>
          </cell>
          <cell r="M53" t="str">
            <v>2025-05-10</v>
          </cell>
          <cell r="N53" t="str">
            <v>2025-07-05</v>
          </cell>
          <cell r="O53" t="str">
            <v>https://fruitbasket.blob.core.windows.net/gk2o5k/avatar/21232197620250705154728WCHRBK.jpg</v>
          </cell>
        </row>
        <row r="54">
          <cell r="I54" t="str">
            <v>JBK3E1551247</v>
          </cell>
          <cell r="J54" t="str">
            <v>KB1247XY</v>
          </cell>
          <cell r="K54" t="str">
            <v>KPB3</v>
          </cell>
          <cell r="L54">
            <v>5486</v>
          </cell>
          <cell r="M54" t="str">
            <v>2024-12-03</v>
          </cell>
          <cell r="N54" t="str">
            <v>2025-07-05</v>
          </cell>
          <cell r="O54" t="str">
            <v>https://fruitbasket.blob.core.windows.net/gk2o5k/avatar/21228345420250705153530HLNYTP.jpg</v>
          </cell>
        </row>
        <row r="55">
          <cell r="I55" t="str">
            <v>JBK1E2098917</v>
          </cell>
          <cell r="J55" t="str">
            <v>X123YZ</v>
          </cell>
          <cell r="K55" t="str">
            <v>KPB1</v>
          </cell>
          <cell r="L55">
            <v>934</v>
          </cell>
          <cell r="M55" t="str">
            <v>2025-05-09</v>
          </cell>
          <cell r="N55" t="str">
            <v>2025-07-05</v>
          </cell>
          <cell r="O55" t="str">
            <v>https://fruitbasket.blob.core.windows.net/gk2o5k/avatar/21314433320250705152920CUQISD.jpg</v>
          </cell>
        </row>
        <row r="56">
          <cell r="I56" t="str">
            <v>JBK1E2109932</v>
          </cell>
          <cell r="J56" t="str">
            <v>X123YZ</v>
          </cell>
          <cell r="K56" t="str">
            <v>KPB1</v>
          </cell>
          <cell r="L56">
            <v>100</v>
          </cell>
          <cell r="M56" t="str">
            <v>2025-06-28</v>
          </cell>
          <cell r="N56" t="str">
            <v>2025-07-05</v>
          </cell>
          <cell r="O56" t="str">
            <v>https://fruitbasket.blob.core.windows.net/gk2o5k/avatar/21231867220250705152015NEM0LN.jpg</v>
          </cell>
        </row>
        <row r="57">
          <cell r="I57" t="str">
            <v>JMD1E1939008</v>
          </cell>
          <cell r="J57" t="str">
            <v>X123YZ</v>
          </cell>
          <cell r="K57" t="str">
            <v>KPB1</v>
          </cell>
          <cell r="L57">
            <v>829</v>
          </cell>
          <cell r="M57" t="str">
            <v>2025-06-05</v>
          </cell>
          <cell r="N57" t="str">
            <v>2025-07-05</v>
          </cell>
          <cell r="O57" t="str">
            <v>https://fruitbasket.blob.core.windows.net/gk2o5k/avatar/21231894320250705151512SOHXKK.jpg</v>
          </cell>
        </row>
        <row r="58">
          <cell r="I58" t="str">
            <v>JBK1E2087206</v>
          </cell>
          <cell r="J58" t="str">
            <v>KB7206XY</v>
          </cell>
          <cell r="K58" t="str">
            <v>KPB2</v>
          </cell>
          <cell r="L58">
            <v>1255</v>
          </cell>
          <cell r="M58" t="str">
            <v>2025-03-12</v>
          </cell>
          <cell r="N58" t="str">
            <v>2025-07-05</v>
          </cell>
          <cell r="O58" t="str">
            <v>https://fruitbasket.blob.core.windows.net/gk2o5k/avatar/21282208120250705150712XGR75X.jpg</v>
          </cell>
        </row>
        <row r="59">
          <cell r="I59" t="str">
            <v>JBK3E1577069</v>
          </cell>
          <cell r="J59" t="str">
            <v>KB2369YX</v>
          </cell>
          <cell r="K59" t="str">
            <v>KPB1</v>
          </cell>
          <cell r="L59">
            <v>936</v>
          </cell>
          <cell r="M59" t="str">
            <v>1970-01-01</v>
          </cell>
          <cell r="N59" t="str">
            <v>2025-07-05</v>
          </cell>
          <cell r="O59" t="str">
            <v>https://fruitbasket.blob.core.windows.net/gk2o5k/avatar/21230651020250705145220FYT5IW.jpg</v>
          </cell>
        </row>
        <row r="60">
          <cell r="I60" t="str">
            <v>JBK1E2060537</v>
          </cell>
          <cell r="J60" t="str">
            <v>X123YZ</v>
          </cell>
          <cell r="K60" t="str">
            <v>KPB3</v>
          </cell>
          <cell r="L60">
            <v>2930</v>
          </cell>
          <cell r="M60" t="str">
            <v>2024-12-09</v>
          </cell>
          <cell r="N60" t="str">
            <v>2025-07-05</v>
          </cell>
          <cell r="O60" t="str">
            <v>https://fruitbasket.blob.core.windows.net/gk2o5k/avatar/21230651020250705144405WAEP22.jpg</v>
          </cell>
        </row>
        <row r="61">
          <cell r="I61" t="str">
            <v>JBK1E2067958</v>
          </cell>
          <cell r="J61" t="str">
            <v>KB7958XY</v>
          </cell>
          <cell r="K61" t="str">
            <v>KPB3</v>
          </cell>
          <cell r="L61">
            <v>4065</v>
          </cell>
          <cell r="M61" t="str">
            <v>2024-12-19</v>
          </cell>
          <cell r="N61" t="str">
            <v>2025-07-05</v>
          </cell>
          <cell r="O61" t="str">
            <v>https://fruitbasket.blob.core.windows.net/gk2o5k/avatar/21232013020250705144020VIKV1I.jpg</v>
          </cell>
        </row>
        <row r="62">
          <cell r="I62" t="str">
            <v>KC02E1281120</v>
          </cell>
          <cell r="J62" t="str">
            <v>X123YZ</v>
          </cell>
          <cell r="K62" t="str">
            <v>KPB3</v>
          </cell>
          <cell r="L62">
            <v>4024</v>
          </cell>
          <cell r="M62" t="str">
            <v>2024-12-11</v>
          </cell>
          <cell r="N62" t="str">
            <v>2025-07-05</v>
          </cell>
          <cell r="O62" t="str">
            <v>https://fruitbasket.blob.core.windows.net/gk2o5k/avatar/212320130202507051435572VXGRK.jpg</v>
          </cell>
        </row>
        <row r="63">
          <cell r="I63" t="str">
            <v>KC02E1283757</v>
          </cell>
          <cell r="K63" t="str">
            <v>KPB3</v>
          </cell>
          <cell r="L63">
            <v>7731</v>
          </cell>
          <cell r="M63" t="str">
            <v>2024-12-20</v>
          </cell>
          <cell r="N63" t="str">
            <v>2025-07-05</v>
          </cell>
          <cell r="O63" t="str">
            <v>https://fruitbasket.blob.core.windows.net/gk2o5k/avatar/21236888420250705143336VFMAR5.jpg</v>
          </cell>
        </row>
        <row r="64">
          <cell r="I64" t="str">
            <v>JBK1E2068701</v>
          </cell>
          <cell r="J64" t="str">
            <v>KB4187VL</v>
          </cell>
          <cell r="K64" t="str">
            <v>KPB3</v>
          </cell>
          <cell r="L64">
            <v>3391</v>
          </cell>
          <cell r="M64" t="str">
            <v>2024-12-21</v>
          </cell>
          <cell r="N64" t="str">
            <v>2025-07-05</v>
          </cell>
          <cell r="O64" t="str">
            <v>https://fruitbasket.blob.core.windows.net/gk2o5k/avatar/21237385920250705143025TOOYFH.jpg</v>
          </cell>
        </row>
        <row r="65">
          <cell r="I65" t="str">
            <v>JBK1E2066452</v>
          </cell>
          <cell r="J65" t="str">
            <v>KB6553VX</v>
          </cell>
          <cell r="K65" t="str">
            <v>KPB3</v>
          </cell>
          <cell r="L65">
            <v>2669</v>
          </cell>
          <cell r="M65" t="str">
            <v>2024-12-09</v>
          </cell>
          <cell r="N65" t="str">
            <v>2025-07-05</v>
          </cell>
          <cell r="O65" t="str">
            <v>https://fruitbasket.blob.core.windows.net/gk2o5k/avatar/21230609020250705142746J124GX.jpg</v>
          </cell>
        </row>
        <row r="66">
          <cell r="I66" t="str">
            <v>JBK3E1552829</v>
          </cell>
          <cell r="J66" t="str">
            <v>KB2829XY</v>
          </cell>
          <cell r="K66" t="str">
            <v>KPB3</v>
          </cell>
          <cell r="L66">
            <v>3321</v>
          </cell>
          <cell r="M66" t="str">
            <v>2024-12-13</v>
          </cell>
          <cell r="N66" t="str">
            <v>2025-07-05</v>
          </cell>
          <cell r="O66" t="str">
            <v>https://fruitbasket.blob.core.windows.net/gk2o5k/avatar/21232968920250705142415L2QZMC.jpg</v>
          </cell>
        </row>
        <row r="67">
          <cell r="I67" t="str">
            <v>JBK3E1550417</v>
          </cell>
          <cell r="J67" t="str">
            <v>KB0417XY</v>
          </cell>
          <cell r="K67" t="str">
            <v>KPB3</v>
          </cell>
          <cell r="L67">
            <v>2769</v>
          </cell>
          <cell r="M67" t="str">
            <v>2024-12-10</v>
          </cell>
          <cell r="N67" t="str">
            <v>2025-07-05</v>
          </cell>
          <cell r="O67" t="str">
            <v>https://fruitbasket.blob.core.windows.net/gk2o5k/avatar/21231250120250705141924WMFZYC.jpg</v>
          </cell>
        </row>
        <row r="68">
          <cell r="I68" t="str">
            <v>JME1E1558114</v>
          </cell>
          <cell r="J68" t="str">
            <v>KB8114XX</v>
          </cell>
          <cell r="K68" t="str">
            <v>KPB1</v>
          </cell>
          <cell r="L68">
            <v>462</v>
          </cell>
          <cell r="M68" t="str">
            <v>1970-01-01</v>
          </cell>
          <cell r="N68" t="str">
            <v>2025-07-05</v>
          </cell>
          <cell r="O68" t="str">
            <v>https://fruitbasket.blob.core.windows.net/gk2o5k/avatar/21330706320250705141326YMKM1B.jpg</v>
          </cell>
        </row>
        <row r="69">
          <cell r="I69" t="str">
            <v>JMF1E1256224</v>
          </cell>
          <cell r="J69" t="str">
            <v>KB6224XX</v>
          </cell>
          <cell r="K69" t="str">
            <v>KPB1</v>
          </cell>
          <cell r="L69">
            <v>767</v>
          </cell>
          <cell r="M69" t="str">
            <v>2025-06-05</v>
          </cell>
          <cell r="N69" t="str">
            <v>2025-07-05</v>
          </cell>
          <cell r="O69" t="str">
            <v>https://fruitbasket.blob.core.windows.net/gk2o5k/avatar/21330706320250705140406OG0WK5.jpg</v>
          </cell>
        </row>
        <row r="70">
          <cell r="I70" t="str">
            <v>KFC1E1139917</v>
          </cell>
          <cell r="J70" t="str">
            <v>X123YZ</v>
          </cell>
          <cell r="K70" t="str">
            <v>KPB1</v>
          </cell>
          <cell r="L70">
            <v>303</v>
          </cell>
          <cell r="M70" t="str">
            <v>2025-05-28</v>
          </cell>
          <cell r="N70" t="str">
            <v>2025-07-05</v>
          </cell>
          <cell r="O70" t="str">
            <v>https://fruitbasket.blob.core.windows.net/gk2o5k/avatar/21330706320250705123252FK05SJ.jpg</v>
          </cell>
        </row>
        <row r="71">
          <cell r="I71" t="str">
            <v>KC04E1008280</v>
          </cell>
          <cell r="J71" t="str">
            <v>KB8280XY</v>
          </cell>
          <cell r="K71" t="str">
            <v>KPB1</v>
          </cell>
          <cell r="L71">
            <v>258</v>
          </cell>
          <cell r="M71" t="str">
            <v>1970-01-01</v>
          </cell>
          <cell r="N71" t="str">
            <v>2025-07-05</v>
          </cell>
          <cell r="O71" t="str">
            <v>https://fruitbasket.blob.core.windows.net/gk2o5k/avatar/21341731220250705122741J0TNQU.jpg</v>
          </cell>
        </row>
        <row r="72">
          <cell r="I72" t="str">
            <v>JME1E1525371</v>
          </cell>
          <cell r="J72" t="str">
            <v>X123YZ</v>
          </cell>
          <cell r="K72" t="str">
            <v>KPB1</v>
          </cell>
          <cell r="L72">
            <v>437</v>
          </cell>
          <cell r="M72" t="str">
            <v>1970-01-01</v>
          </cell>
          <cell r="N72" t="str">
            <v>2025-07-05</v>
          </cell>
          <cell r="O72" t="str">
            <v>https://fruitbasket.blob.core.windows.net/gk2o5k/avatar/21195104120250705121400ETK3NI.jpg</v>
          </cell>
        </row>
        <row r="73">
          <cell r="I73" t="str">
            <v>JMH1E1153686</v>
          </cell>
          <cell r="J73" t="str">
            <v>KB3686XX</v>
          </cell>
          <cell r="K73" t="str">
            <v>KPB1</v>
          </cell>
          <cell r="L73">
            <v>658</v>
          </cell>
          <cell r="M73" t="str">
            <v>1970-01-01</v>
          </cell>
          <cell r="N73" t="str">
            <v>2025-07-05</v>
          </cell>
          <cell r="O73" t="str">
            <v>https://fruitbasket.blob.core.windows.net/gk2o5k/avatar/21327694320250705120818TXO1SQ.jpg</v>
          </cell>
        </row>
        <row r="74">
          <cell r="I74" t="str">
            <v>JMD1E1941046</v>
          </cell>
          <cell r="J74" t="str">
            <v>KB1046XX</v>
          </cell>
          <cell r="K74" t="str">
            <v>KPB1</v>
          </cell>
          <cell r="L74">
            <v>869</v>
          </cell>
          <cell r="M74" t="str">
            <v>2025-06-16</v>
          </cell>
          <cell r="N74" t="str">
            <v>2025-07-05</v>
          </cell>
          <cell r="O74" t="str">
            <v>https://fruitbasket.blob.core.windows.net/gk2o5k/avatar/213145113202507051145586YVBNO.jpg</v>
          </cell>
        </row>
        <row r="75">
          <cell r="I75" t="str">
            <v>KF01E1884788</v>
          </cell>
          <cell r="J75" t="str">
            <v>KB4788XX</v>
          </cell>
          <cell r="K75" t="str">
            <v>KPB1</v>
          </cell>
          <cell r="L75">
            <v>562</v>
          </cell>
          <cell r="M75" t="str">
            <v>1970-01-01</v>
          </cell>
          <cell r="N75" t="str">
            <v>2025-07-05</v>
          </cell>
          <cell r="O75" t="str">
            <v>https://fruitbasket.blob.core.windows.net/gk2o5k/avatar/21297540020250705113954NY4D4R.jpg</v>
          </cell>
        </row>
        <row r="76">
          <cell r="I76" t="str">
            <v>KF01E1819667</v>
          </cell>
          <cell r="J76" t="str">
            <v>KB9667XX</v>
          </cell>
          <cell r="K76" t="str">
            <v>KPB3</v>
          </cell>
          <cell r="L76">
            <v>1932</v>
          </cell>
          <cell r="M76" t="str">
            <v>1970-01-01</v>
          </cell>
          <cell r="N76" t="str">
            <v>2025-07-05</v>
          </cell>
          <cell r="O76" t="str">
            <v>https://fruitbasket.blob.core.windows.net/gk2o5k/avatar/21297540020250705111703ZONNJE.jpg</v>
          </cell>
        </row>
        <row r="77">
          <cell r="I77" t="str">
            <v>JBK3E1572652</v>
          </cell>
          <cell r="J77" t="str">
            <v>KB2652XX</v>
          </cell>
          <cell r="K77" t="str">
            <v>KPB2</v>
          </cell>
          <cell r="L77">
            <v>3526</v>
          </cell>
          <cell r="M77" t="str">
            <v>1970-01-01</v>
          </cell>
          <cell r="N77" t="str">
            <v>2025-07-05</v>
          </cell>
          <cell r="O77" t="str">
            <v>https://fruitbasket.blob.core.windows.net/gk2o5k/avatar/2131451132025070511151419LX5Y.jpg</v>
          </cell>
        </row>
        <row r="78">
          <cell r="I78" t="str">
            <v>KD11E1607893</v>
          </cell>
          <cell r="J78" t="str">
            <v>KB7893XX</v>
          </cell>
          <cell r="K78" t="str">
            <v>KPB1</v>
          </cell>
          <cell r="L78">
            <v>805</v>
          </cell>
          <cell r="M78" t="str">
            <v>1970-01-01</v>
          </cell>
          <cell r="N78" t="str">
            <v>2025-07-05</v>
          </cell>
          <cell r="O78" t="str">
            <v>https://fruitbasket.blob.core.windows.net/gk2o5k/avatar/21328359620250705111326GLIMJV.jpg</v>
          </cell>
        </row>
        <row r="79">
          <cell r="I79" t="str">
            <v>KFA1E1305276</v>
          </cell>
          <cell r="J79" t="str">
            <v>X123YZ</v>
          </cell>
          <cell r="K79" t="str">
            <v>KPB1</v>
          </cell>
          <cell r="L79">
            <v>671</v>
          </cell>
          <cell r="M79" t="str">
            <v>1970-01-01</v>
          </cell>
          <cell r="N79" t="str">
            <v>2025-07-05</v>
          </cell>
          <cell r="O79" t="str">
            <v>https://fruitbasket.blob.core.windows.net/gk2o5k/avatar/21195049320250705110812QMRU2E.jpg</v>
          </cell>
        </row>
        <row r="80">
          <cell r="I80" t="str">
            <v>JBK3E1577957</v>
          </cell>
          <cell r="J80" t="str">
            <v>KB7957XY</v>
          </cell>
          <cell r="K80" t="str">
            <v>KPB1</v>
          </cell>
          <cell r="L80">
            <v>947</v>
          </cell>
          <cell r="M80" t="str">
            <v>1970-01-01</v>
          </cell>
          <cell r="N80" t="str">
            <v>2025-07-05</v>
          </cell>
          <cell r="O80" t="str">
            <v>https://fruitbasket.blob.core.windows.net/gk2o5k/avatar/210948027202507051038129NF4F7.jpg</v>
          </cell>
        </row>
        <row r="81">
          <cell r="I81" t="str">
            <v>JMF2E1462164</v>
          </cell>
          <cell r="J81" t="str">
            <v>KB2164XX</v>
          </cell>
          <cell r="K81" t="str">
            <v>KPB1</v>
          </cell>
          <cell r="L81">
            <v>330</v>
          </cell>
          <cell r="M81" t="str">
            <v>2025-06-28</v>
          </cell>
          <cell r="N81" t="str">
            <v>2025-07-05</v>
          </cell>
          <cell r="O81" t="str">
            <v>https://fruitbasket.blob.core.windows.net/gk2o5k/avatar/21343474820250705092915WMN3DK.jpg</v>
          </cell>
        </row>
        <row r="82">
          <cell r="I82" t="str">
            <v>JBK1E2095281</v>
          </cell>
          <cell r="J82" t="str">
            <v>KB2221XY</v>
          </cell>
          <cell r="K82" t="str">
            <v>KPB2</v>
          </cell>
          <cell r="L82">
            <v>1802</v>
          </cell>
          <cell r="M82" t="str">
            <v>2025-04-15</v>
          </cell>
          <cell r="N82" t="str">
            <v>2025-07-04</v>
          </cell>
          <cell r="O82" t="str">
            <v>https://fruitbasket.blob.core.windows.net/gk2o5k/avatar/21194481820250704170845JK8TH1.jpg</v>
          </cell>
        </row>
        <row r="83">
          <cell r="I83" t="str">
            <v>JBK1E2051584</v>
          </cell>
          <cell r="J83" t="str">
            <v>X123YZ</v>
          </cell>
          <cell r="K83" t="str">
            <v>KPB4</v>
          </cell>
          <cell r="L83">
            <v>5302</v>
          </cell>
          <cell r="M83" t="str">
            <v>2024-10-05</v>
          </cell>
          <cell r="N83" t="str">
            <v>2025-07-04</v>
          </cell>
          <cell r="O83" t="str">
            <v>https://fruitbasket.blob.core.windows.net/gk2o5k/avatar/21194481820250704170614NZHAXU.jpg</v>
          </cell>
        </row>
        <row r="84">
          <cell r="I84" t="str">
            <v>JBK1E2058778</v>
          </cell>
          <cell r="J84" t="str">
            <v>X123YZ</v>
          </cell>
          <cell r="K84" t="str">
            <v>KPB4</v>
          </cell>
          <cell r="L84">
            <v>4835</v>
          </cell>
          <cell r="M84" t="str">
            <v>2024-10-31</v>
          </cell>
          <cell r="N84" t="str">
            <v>2025-07-04</v>
          </cell>
          <cell r="O84" t="str">
            <v>https://fruitbasket.blob.core.windows.net/gk2o5k/avatar/21236663820250704170330K1K3PM.jpg</v>
          </cell>
        </row>
        <row r="85">
          <cell r="I85" t="str">
            <v>KC04E1005653</v>
          </cell>
          <cell r="J85" t="str">
            <v>X123YZ</v>
          </cell>
          <cell r="K85" t="str">
            <v>KPB1</v>
          </cell>
          <cell r="L85">
            <v>420</v>
          </cell>
          <cell r="M85" t="str">
            <v>2025-06-05</v>
          </cell>
          <cell r="N85" t="str">
            <v>2025-07-04</v>
          </cell>
          <cell r="O85" t="str">
            <v>https://fruitbasket.blob.core.windows.net/gk2o5k/avatar/21236663820250704165913OSTECD.jpg</v>
          </cell>
        </row>
        <row r="86">
          <cell r="I86" t="str">
            <v>JBK1E2047811</v>
          </cell>
          <cell r="J86" t="str">
            <v>KB2223XY</v>
          </cell>
          <cell r="K86" t="str">
            <v>KPB4</v>
          </cell>
          <cell r="L86">
            <v>7048</v>
          </cell>
          <cell r="M86" t="str">
            <v>2024-10-19</v>
          </cell>
          <cell r="N86" t="str">
            <v>2025-07-04</v>
          </cell>
          <cell r="O86" t="str">
            <v>https://fruitbasket.blob.core.windows.net/gk2o5k/avatar/21236733120250704165623SHKKJM.jpg</v>
          </cell>
        </row>
        <row r="87">
          <cell r="I87" t="str">
            <v>JBP1E2100624</v>
          </cell>
          <cell r="J87" t="str">
            <v>X123YZ</v>
          </cell>
          <cell r="K87" t="str">
            <v>KPB2</v>
          </cell>
          <cell r="L87">
            <v>1139</v>
          </cell>
          <cell r="M87" t="str">
            <v>2025-04-25</v>
          </cell>
          <cell r="N87" t="str">
            <v>2025-07-04</v>
          </cell>
          <cell r="O87" t="str">
            <v>https://fruitbasket.blob.core.windows.net/gk2o5k/avatar/2123673312025070416531653OBLV.jpg</v>
          </cell>
        </row>
        <row r="88">
          <cell r="I88" t="str">
            <v>JBK3E1572222</v>
          </cell>
          <cell r="J88" t="str">
            <v>X123YZ</v>
          </cell>
          <cell r="K88" t="str">
            <v>KPB2</v>
          </cell>
          <cell r="L88">
            <v>1451</v>
          </cell>
          <cell r="M88" t="str">
            <v>2025-04-26</v>
          </cell>
          <cell r="N88" t="str">
            <v>2025-07-04</v>
          </cell>
          <cell r="O88" t="str">
            <v>https://fruitbasket.blob.core.windows.net/gk2o5k/avatar/21236733420250704165006KC9Y16.jpg</v>
          </cell>
        </row>
        <row r="89">
          <cell r="I89" t="str">
            <v>JBK1E2097471</v>
          </cell>
          <cell r="J89" t="str">
            <v>X123YZ</v>
          </cell>
          <cell r="K89" t="str">
            <v>KPB2</v>
          </cell>
          <cell r="L89">
            <v>1151</v>
          </cell>
          <cell r="M89" t="str">
            <v>2025-04-30</v>
          </cell>
          <cell r="N89" t="str">
            <v>2025-07-04</v>
          </cell>
          <cell r="O89" t="str">
            <v>https://fruitbasket.blob.core.windows.net/gk2o5k/avatar/21236733420250704164823UGQ7XH.jpg</v>
          </cell>
        </row>
        <row r="90">
          <cell r="I90" t="str">
            <v>JBK1E2095042</v>
          </cell>
          <cell r="J90" t="str">
            <v>KB2288XY</v>
          </cell>
          <cell r="K90" t="str">
            <v>KPB2</v>
          </cell>
          <cell r="L90">
            <v>1293</v>
          </cell>
          <cell r="M90" t="str">
            <v>2025-04-15</v>
          </cell>
          <cell r="N90" t="str">
            <v>2025-07-04</v>
          </cell>
          <cell r="O90" t="str">
            <v>https://fruitbasket.blob.core.windows.net/gk2o5k/avatar/21299550520250704164350B0MM1X.jpg</v>
          </cell>
        </row>
        <row r="91">
          <cell r="I91" t="str">
            <v>JBK1E2097432</v>
          </cell>
          <cell r="J91" t="str">
            <v>KB4161V</v>
          </cell>
          <cell r="K91" t="str">
            <v>KPB2</v>
          </cell>
          <cell r="L91">
            <v>1264</v>
          </cell>
          <cell r="M91" t="str">
            <v>2025-04-30</v>
          </cell>
          <cell r="N91" t="str">
            <v>2025-07-04</v>
          </cell>
          <cell r="O91" t="str">
            <v>https://fruitbasket.blob.core.windows.net/gk2o5k/avatar/21299550520250704164152WRZCSE.jpg</v>
          </cell>
        </row>
        <row r="92">
          <cell r="I92" t="str">
            <v>JBK1E2086492</v>
          </cell>
          <cell r="J92" t="str">
            <v>KB6492YX</v>
          </cell>
          <cell r="K92" t="str">
            <v>KPB2</v>
          </cell>
          <cell r="L92">
            <v>1136</v>
          </cell>
          <cell r="M92" t="str">
            <v>2025-04-10</v>
          </cell>
          <cell r="N92" t="str">
            <v>2025-07-04</v>
          </cell>
          <cell r="O92" t="str">
            <v>https://fruitbasket.blob.core.windows.net/gk2o5k/avatar/21299550520250704163928VV9IAM.jpg</v>
          </cell>
        </row>
        <row r="93">
          <cell r="I93" t="str">
            <v>JBK3E1570491</v>
          </cell>
          <cell r="J93" t="str">
            <v>X123YZ</v>
          </cell>
          <cell r="K93" t="str">
            <v>KPB2</v>
          </cell>
          <cell r="L93">
            <v>1710</v>
          </cell>
          <cell r="M93" t="str">
            <v>2025-04-14</v>
          </cell>
          <cell r="N93" t="str">
            <v>2025-07-04</v>
          </cell>
          <cell r="O93" t="str">
            <v>https://fruitbasket.blob.core.windows.net/gk2o5k/avatar/21186821120250704163436N8IVKV.jpg</v>
          </cell>
        </row>
        <row r="94">
          <cell r="I94" t="str">
            <v>JBK1E2097246</v>
          </cell>
          <cell r="J94" t="str">
            <v>X123YZ</v>
          </cell>
          <cell r="K94" t="str">
            <v>KPB2</v>
          </cell>
          <cell r="L94">
            <v>1557</v>
          </cell>
          <cell r="M94" t="str">
            <v>2025-04-24</v>
          </cell>
          <cell r="N94" t="str">
            <v>2025-07-04</v>
          </cell>
          <cell r="O94" t="str">
            <v>https://fruitbasket.blob.core.windows.net/gk2o5k/avatar/21185260920250704162925AF6SGJ.jpg</v>
          </cell>
        </row>
        <row r="95">
          <cell r="I95" t="str">
            <v>KC04E1005536</v>
          </cell>
          <cell r="J95" t="str">
            <v>KB5536XY</v>
          </cell>
          <cell r="K95" t="str">
            <v>KPB1</v>
          </cell>
          <cell r="L95">
            <v>601</v>
          </cell>
          <cell r="M95" t="str">
            <v>1970-01-01</v>
          </cell>
          <cell r="N95" t="str">
            <v>2025-07-04</v>
          </cell>
          <cell r="O95" t="str">
            <v>https://fruitbasket.blob.core.windows.net/gk2o5k/avatar/21329960220250704160947T3QAIN.jpg</v>
          </cell>
        </row>
        <row r="96">
          <cell r="I96" t="str">
            <v>KC04E1002633</v>
          </cell>
          <cell r="J96" t="str">
            <v>X123YZ</v>
          </cell>
          <cell r="K96" t="str">
            <v>KPB1</v>
          </cell>
          <cell r="L96">
            <v>965</v>
          </cell>
          <cell r="M96" t="str">
            <v>2025-05-16</v>
          </cell>
          <cell r="N96" t="str">
            <v>2025-07-04</v>
          </cell>
          <cell r="O96" t="str">
            <v>https://fruitbasket.blob.core.windows.net/gk2o5k/avatar/21188240120250704160250UWHAUC.jpg</v>
          </cell>
        </row>
        <row r="97">
          <cell r="I97" t="str">
            <v>JMH2E1151911</v>
          </cell>
          <cell r="J97" t="str">
            <v>KB1911XY</v>
          </cell>
          <cell r="K97" t="str">
            <v>KPB1</v>
          </cell>
          <cell r="L97">
            <v>643</v>
          </cell>
          <cell r="M97" t="str">
            <v>2025-06-09</v>
          </cell>
          <cell r="N97" t="str">
            <v>2025-07-04</v>
          </cell>
          <cell r="O97" t="str">
            <v>https://fruitbasket.blob.core.windows.net/gk2o5k/avatar/21331817620250704155655D51KFR.jpg</v>
          </cell>
        </row>
        <row r="98">
          <cell r="I98" t="str">
            <v>KD11E1608986</v>
          </cell>
          <cell r="J98" t="str">
            <v>KB8986YX</v>
          </cell>
          <cell r="K98" t="str">
            <v>KPB1</v>
          </cell>
          <cell r="L98">
            <v>393</v>
          </cell>
          <cell r="M98" t="str">
            <v>1970-01-01</v>
          </cell>
          <cell r="N98" t="str">
            <v>2025-07-04</v>
          </cell>
          <cell r="O98" t="str">
            <v>https://fruitbasket.blob.core.windows.net/gk2o5k/avatar/21188266120250704154824G5ORZC.jpg</v>
          </cell>
        </row>
        <row r="99">
          <cell r="I99" t="str">
            <v>JME1E1448157</v>
          </cell>
          <cell r="J99" t="str">
            <v>KB2375YX</v>
          </cell>
          <cell r="K99" t="str">
            <v>KPB1</v>
          </cell>
          <cell r="L99">
            <v>894</v>
          </cell>
          <cell r="M99" t="str">
            <v>1970-01-01</v>
          </cell>
          <cell r="N99" t="str">
            <v>2025-07-04</v>
          </cell>
          <cell r="O99" t="str">
            <v>https://fruitbasket.blob.core.windows.net/gk2o5k/avatar/21188266120250704153832EWQAKY.jpg</v>
          </cell>
        </row>
        <row r="100">
          <cell r="I100" t="str">
            <v>JMH1E1152171</v>
          </cell>
          <cell r="J100" t="str">
            <v>KB2171XX</v>
          </cell>
          <cell r="K100" t="str">
            <v>KPB1</v>
          </cell>
          <cell r="L100">
            <v>852</v>
          </cell>
          <cell r="M100" t="str">
            <v>2025-05-20</v>
          </cell>
          <cell r="N100" t="str">
            <v>2025-07-04</v>
          </cell>
          <cell r="O100" t="str">
            <v>https://fruitbasket.blob.core.windows.net/gk2o5k/avatar/21186710620250704152547JB2URB.jpg</v>
          </cell>
        </row>
        <row r="101">
          <cell r="I101" t="str">
            <v>JMC1E1635642</v>
          </cell>
          <cell r="J101" t="str">
            <v>KB5642YX</v>
          </cell>
          <cell r="K101" t="str">
            <v>KPB1</v>
          </cell>
          <cell r="L101">
            <v>463</v>
          </cell>
          <cell r="M101" t="str">
            <v>1970-01-01</v>
          </cell>
          <cell r="N101" t="str">
            <v>2025-07-04</v>
          </cell>
          <cell r="O101" t="str">
            <v>https://fruitbasket.blob.core.windows.net/gk2o5k/avatar/21186514020250704151348IW9BG4.jpg</v>
          </cell>
        </row>
        <row r="102">
          <cell r="I102" t="str">
            <v>JBK1E2104398</v>
          </cell>
          <cell r="J102" t="str">
            <v>X123YZ</v>
          </cell>
          <cell r="K102" t="str">
            <v>KPB1</v>
          </cell>
          <cell r="L102">
            <v>391</v>
          </cell>
          <cell r="M102" t="str">
            <v>2025-06-05</v>
          </cell>
          <cell r="N102" t="str">
            <v>2025-07-04</v>
          </cell>
          <cell r="O102" t="str">
            <v>https://fruitbasket.blob.core.windows.net/gk2o5k/avatar/21181708820250704150657MV1PBZ.jpg</v>
          </cell>
        </row>
        <row r="103">
          <cell r="I103" t="str">
            <v>JBK1E2099728</v>
          </cell>
          <cell r="J103" t="str">
            <v>KB6335DAI</v>
          </cell>
          <cell r="K103" t="str">
            <v>KPB1</v>
          </cell>
          <cell r="L103">
            <v>917</v>
          </cell>
          <cell r="M103" t="str">
            <v>2025-05-09</v>
          </cell>
          <cell r="N103" t="str">
            <v>2025-07-04</v>
          </cell>
          <cell r="O103" t="str">
            <v>https://fruitbasket.blob.core.windows.net/gk2o5k/avatar/21184767620250704134630LTBGSC.jpg</v>
          </cell>
        </row>
        <row r="104">
          <cell r="I104" t="str">
            <v>JBK1E2099514</v>
          </cell>
          <cell r="J104" t="str">
            <v>KB6337DAI</v>
          </cell>
          <cell r="K104" t="str">
            <v>KPB1</v>
          </cell>
          <cell r="L104">
            <v>659</v>
          </cell>
          <cell r="M104" t="str">
            <v>2025-05-09</v>
          </cell>
          <cell r="N104" t="str">
            <v>2025-07-04</v>
          </cell>
          <cell r="O104" t="str">
            <v>https://fruitbasket.blob.core.windows.net/gk2o5k/avatar/211847676202507041343366PFZDB.jpg</v>
          </cell>
        </row>
        <row r="105">
          <cell r="I105" t="str">
            <v>JMC1E1637032</v>
          </cell>
          <cell r="J105" t="str">
            <v>KB7032XY</v>
          </cell>
          <cell r="K105" t="str">
            <v>KPB1</v>
          </cell>
          <cell r="L105">
            <v>944</v>
          </cell>
          <cell r="M105" t="str">
            <v>1970-01-01</v>
          </cell>
          <cell r="N105" t="str">
            <v>2025-07-04</v>
          </cell>
          <cell r="O105" t="str">
            <v>https://fruitbasket.blob.core.windows.net/gk2o5k/avatar/21330110320250704133445LH1HBA.jpg</v>
          </cell>
        </row>
        <row r="106">
          <cell r="I106" t="str">
            <v>JMD1E1878644</v>
          </cell>
          <cell r="J106" t="str">
            <v>KB8644XY</v>
          </cell>
          <cell r="K106" t="str">
            <v>KPB2</v>
          </cell>
          <cell r="L106">
            <v>2807</v>
          </cell>
          <cell r="M106" t="str">
            <v>2025-04-07</v>
          </cell>
          <cell r="N106" t="str">
            <v>2025-07-04</v>
          </cell>
          <cell r="O106" t="str">
            <v>https://fruitbasket.blob.core.windows.net/gk2o5k/avatar/21297690920250704132952PZ4QPC.jpg</v>
          </cell>
        </row>
        <row r="107">
          <cell r="I107" t="str">
            <v>JBK3E1577422</v>
          </cell>
          <cell r="J107" t="str">
            <v>KB7422XY</v>
          </cell>
          <cell r="K107" t="str">
            <v>KPB1</v>
          </cell>
          <cell r="L107">
            <v>690</v>
          </cell>
          <cell r="M107" t="str">
            <v>2025-06-05</v>
          </cell>
          <cell r="N107" t="str">
            <v>2025-07-04</v>
          </cell>
          <cell r="O107" t="str">
            <v>https://fruitbasket.blob.core.windows.net/gk2o5k/avatar/21330565420250704132553UAYJB9.jpg</v>
          </cell>
        </row>
        <row r="108">
          <cell r="I108" t="str">
            <v>JBK3E1576071</v>
          </cell>
          <cell r="J108" t="str">
            <v>KB6071XY</v>
          </cell>
          <cell r="K108" t="str">
            <v>KPB1</v>
          </cell>
          <cell r="L108">
            <v>242</v>
          </cell>
          <cell r="M108" t="str">
            <v>1970-01-01</v>
          </cell>
          <cell r="N108" t="str">
            <v>2025-07-04</v>
          </cell>
          <cell r="O108" t="str">
            <v>https://fruitbasket.blob.core.windows.net/gk2o5k/avatar/21328750820250704132104XAQ7IH.jpg</v>
          </cell>
        </row>
        <row r="109">
          <cell r="I109" t="str">
            <v>KFD1E1120072</v>
          </cell>
          <cell r="J109" t="str">
            <v>KB0072XY</v>
          </cell>
          <cell r="K109" t="str">
            <v>KPB1</v>
          </cell>
          <cell r="L109">
            <v>1087</v>
          </cell>
          <cell r="M109" t="str">
            <v>1970-01-01</v>
          </cell>
          <cell r="N109" t="str">
            <v>2025-07-04</v>
          </cell>
          <cell r="O109" t="str">
            <v>https://fruitbasket.blob.core.windows.net/gk2o5k/avatar/213308344202507041307056ALQAA.jpg</v>
          </cell>
        </row>
        <row r="110">
          <cell r="I110" t="str">
            <v>KD11E1604405</v>
          </cell>
          <cell r="J110" t="str">
            <v>X123YZ</v>
          </cell>
          <cell r="K110" t="str">
            <v>KPB1</v>
          </cell>
          <cell r="L110">
            <v>509</v>
          </cell>
          <cell r="M110" t="str">
            <v>2025-06-04</v>
          </cell>
          <cell r="N110" t="str">
            <v>2025-07-04</v>
          </cell>
          <cell r="O110" t="str">
            <v>https://fruitbasket.blob.core.windows.net/gk2o5k/avatar/21106217720250704094742KXXBA6.jpg</v>
          </cell>
        </row>
        <row r="111">
          <cell r="I111" t="str">
            <v>JBK1E2103360</v>
          </cell>
          <cell r="J111" t="str">
            <v>X123YZ</v>
          </cell>
          <cell r="K111" t="str">
            <v>KPB1</v>
          </cell>
          <cell r="L111">
            <v>1029</v>
          </cell>
          <cell r="M111" t="str">
            <v>2025-06-12</v>
          </cell>
          <cell r="N111" t="str">
            <v>2025-07-04</v>
          </cell>
          <cell r="O111" t="str">
            <v>https://fruitbasket.blob.core.windows.net/gk2o5k/avatar/21106217720250704093328WSYU71.jpg</v>
          </cell>
        </row>
        <row r="112">
          <cell r="I112" t="str">
            <v>JBK3E1571740</v>
          </cell>
          <cell r="J112" t="str">
            <v>KB1740XY</v>
          </cell>
          <cell r="K112" t="str">
            <v>KPB2</v>
          </cell>
          <cell r="L112">
            <v>1511</v>
          </cell>
          <cell r="M112" t="str">
            <v>2025-04-25</v>
          </cell>
          <cell r="N112" t="str">
            <v>2025-07-03</v>
          </cell>
          <cell r="O112" t="str">
            <v>https://fruitbasket.blob.core.windows.net/gk2o5k/avatar/21308243020250703163457MHXYYF.jpg</v>
          </cell>
        </row>
        <row r="113">
          <cell r="I113" t="str">
            <v>KFC1E1139916</v>
          </cell>
          <cell r="J113" t="str">
            <v>X123YZ</v>
          </cell>
          <cell r="K113" t="str">
            <v>KPB1</v>
          </cell>
          <cell r="L113">
            <v>414</v>
          </cell>
          <cell r="M113" t="str">
            <v>2025-05-28</v>
          </cell>
          <cell r="N113" t="str">
            <v>2025-07-03</v>
          </cell>
          <cell r="O113" t="str">
            <v>https://fruitbasket.blob.core.windows.net/gk2o5k/avatar/2480197920250703162350ZRGPCD.jpg</v>
          </cell>
        </row>
        <row r="114">
          <cell r="I114" t="str">
            <v>JBP1E2103956</v>
          </cell>
          <cell r="J114" t="str">
            <v>KB3956XY</v>
          </cell>
          <cell r="K114" t="str">
            <v>KPB1</v>
          </cell>
          <cell r="L114">
            <v>736</v>
          </cell>
          <cell r="M114" t="str">
            <v>2025-05-20</v>
          </cell>
          <cell r="N114" t="str">
            <v>2025-07-03</v>
          </cell>
          <cell r="O114" t="str">
            <v>https://fruitbasket.blob.core.windows.net/gk2o5k/avatar/21321486320250703144638QISFSE.jpg</v>
          </cell>
        </row>
        <row r="115">
          <cell r="I115" t="str">
            <v>KD11E1600678</v>
          </cell>
          <cell r="J115" t="str">
            <v>X123YZ</v>
          </cell>
          <cell r="K115" t="str">
            <v>KPB1</v>
          </cell>
          <cell r="L115">
            <v>1034</v>
          </cell>
          <cell r="M115" t="str">
            <v>2025-06-05</v>
          </cell>
          <cell r="N115" t="str">
            <v>2025-07-03</v>
          </cell>
          <cell r="O115" t="str">
            <v>https://fruitbasket.blob.core.windows.net/gk2o5k/avatar/21188874820250703140359JHKR0O.jpg</v>
          </cell>
        </row>
        <row r="116">
          <cell r="I116" t="str">
            <v>JBP1E2102065</v>
          </cell>
          <cell r="J116" t="str">
            <v>X123YZ</v>
          </cell>
          <cell r="K116" t="str">
            <v>KPB1</v>
          </cell>
          <cell r="L116">
            <v>837</v>
          </cell>
          <cell r="M116" t="str">
            <v>2025-05-09</v>
          </cell>
          <cell r="N116" t="str">
            <v>2025-07-03</v>
          </cell>
          <cell r="O116" t="str">
            <v>https://fruitbasket.blob.core.windows.net/gk2o5k/avatar/21229540920250703131145EQOHNU.jpg</v>
          </cell>
        </row>
        <row r="117">
          <cell r="I117" t="str">
            <v>JBK3E1580263</v>
          </cell>
          <cell r="J117" t="str">
            <v>X123YZ</v>
          </cell>
          <cell r="K117" t="str">
            <v>KPB1</v>
          </cell>
          <cell r="L117">
            <v>219</v>
          </cell>
          <cell r="M117" t="str">
            <v>2025-06-24</v>
          </cell>
          <cell r="N117" t="str">
            <v>2025-07-03</v>
          </cell>
          <cell r="O117" t="str">
            <v>https://fruitbasket.blob.core.windows.net/gk2o5k/avatar/21106217720250703105859MRMQZE.jpg</v>
          </cell>
        </row>
        <row r="118">
          <cell r="I118" t="str">
            <v>JBK1E2107406</v>
          </cell>
          <cell r="J118" t="str">
            <v>KB7406XY</v>
          </cell>
          <cell r="K118" t="str">
            <v>KPB1</v>
          </cell>
          <cell r="L118">
            <v>468</v>
          </cell>
          <cell r="M118" t="str">
            <v>2025-06-24</v>
          </cell>
          <cell r="N118" t="str">
            <v>2025-07-02</v>
          </cell>
          <cell r="O118" t="str">
            <v>https://fruitbasket.blob.core.windows.net/gk2o5k/avatar/21341125020250702154607LWMZ4I.jpg</v>
          </cell>
        </row>
        <row r="119">
          <cell r="I119" t="str">
            <v>JMF2E1455400</v>
          </cell>
          <cell r="J119" t="str">
            <v>X123YZ</v>
          </cell>
          <cell r="K119" t="str">
            <v>KPB1</v>
          </cell>
          <cell r="L119">
            <v>472</v>
          </cell>
          <cell r="M119" t="str">
            <v>2025-06-05</v>
          </cell>
          <cell r="N119" t="str">
            <v>2025-07-02</v>
          </cell>
          <cell r="O119" t="str">
            <v>https://fruitbasket.blob.core.windows.net/gk2o5k/avatar/21330589920250702153947WLJYDP.jpg</v>
          </cell>
        </row>
        <row r="120">
          <cell r="I120" t="str">
            <v>JBK3E1580599</v>
          </cell>
          <cell r="J120" t="str">
            <v>KB0599XY</v>
          </cell>
          <cell r="K120" t="str">
            <v>KPB1</v>
          </cell>
          <cell r="L120">
            <v>347</v>
          </cell>
          <cell r="M120" t="str">
            <v>2025-06-24</v>
          </cell>
          <cell r="N120" t="str">
            <v>2025-07-02</v>
          </cell>
          <cell r="O120" t="str">
            <v>https://fruitbasket.blob.core.windows.net/gk2o5k/avatar/21341548120250702152839THZG7F.jpg</v>
          </cell>
        </row>
        <row r="121">
          <cell r="I121" t="str">
            <v>JBP1E2107479</v>
          </cell>
          <cell r="J121" t="str">
            <v>KB7479XY</v>
          </cell>
          <cell r="K121" t="str">
            <v>KPB1</v>
          </cell>
          <cell r="L121">
            <v>536</v>
          </cell>
          <cell r="M121" t="str">
            <v>2025-06-05</v>
          </cell>
          <cell r="N121" t="str">
            <v>2025-07-02</v>
          </cell>
          <cell r="O121" t="str">
            <v>https://fruitbasket.blob.core.windows.net/gk2o5k/avatar/213307179202507021506190RL3PG.jpg</v>
          </cell>
        </row>
        <row r="122">
          <cell r="I122" t="str">
            <v>JM04E2289155</v>
          </cell>
          <cell r="J122" t="str">
            <v>KB9155XY</v>
          </cell>
          <cell r="K122" t="str">
            <v>KPB3</v>
          </cell>
          <cell r="L122">
            <v>4586</v>
          </cell>
          <cell r="M122" t="str">
            <v>2024-11-28</v>
          </cell>
          <cell r="N122" t="str">
            <v>2025-07-02</v>
          </cell>
          <cell r="O122" t="str">
            <v>https://fruitbasket.blob.core.windows.net/gk2o5k/avatar/2965415720250702144118CGAF1U.jpg</v>
          </cell>
        </row>
        <row r="123">
          <cell r="I123" t="str">
            <v>JBK1E2098558</v>
          </cell>
          <cell r="J123" t="str">
            <v>KB8558XY</v>
          </cell>
          <cell r="K123" t="str">
            <v>KPB2</v>
          </cell>
          <cell r="L123">
            <v>1990</v>
          </cell>
          <cell r="M123" t="str">
            <v>2025-04-29</v>
          </cell>
          <cell r="N123" t="str">
            <v>2025-07-02</v>
          </cell>
          <cell r="O123" t="str">
            <v>https://fruitbasket.blob.core.windows.net/gk2o5k/avatar/21183811320250702142826AHCSYS.jpg</v>
          </cell>
        </row>
        <row r="124">
          <cell r="I124" t="str">
            <v>JMF1E1216895</v>
          </cell>
          <cell r="J124" t="str">
            <v>KB6895XY</v>
          </cell>
          <cell r="K124" t="str">
            <v>KPB2</v>
          </cell>
          <cell r="L124">
            <v>1034</v>
          </cell>
          <cell r="M124" t="str">
            <v>2025-03-20</v>
          </cell>
          <cell r="N124" t="str">
            <v>2025-07-02</v>
          </cell>
          <cell r="O124" t="str">
            <v>https://fruitbasket.blob.core.windows.net/gk2o5k/avatar/21287366620250702141803OHGSWX.jpg</v>
          </cell>
        </row>
        <row r="125">
          <cell r="I125" t="str">
            <v>JMD1E1667281</v>
          </cell>
          <cell r="J125" t="str">
            <v>KB7281XY</v>
          </cell>
          <cell r="K125" t="str">
            <v>KPB4</v>
          </cell>
          <cell r="L125">
            <v>3331</v>
          </cell>
          <cell r="M125" t="str">
            <v>2024-09-06</v>
          </cell>
          <cell r="N125" t="str">
            <v>2025-07-02</v>
          </cell>
          <cell r="O125" t="str">
            <v>https://fruitbasket.blob.core.windows.net/gk2o5k/avatar/211840319202507021305380WOPDX.jpg</v>
          </cell>
        </row>
        <row r="126">
          <cell r="I126" t="str">
            <v>JMC1E1554639</v>
          </cell>
          <cell r="J126" t="str">
            <v>X123YZ</v>
          </cell>
          <cell r="K126" t="str">
            <v>KPB3</v>
          </cell>
          <cell r="L126">
            <v>2334</v>
          </cell>
          <cell r="M126" t="str">
            <v>2025-02-01</v>
          </cell>
          <cell r="N126" t="str">
            <v>2025-07-02</v>
          </cell>
          <cell r="O126" t="str">
            <v>https://fruitbasket.blob.core.windows.net/gk2o5k/avatar/21184505320250702125926UOJMEF.jpg</v>
          </cell>
        </row>
        <row r="127">
          <cell r="I127" t="str">
            <v>KFC1E1138609</v>
          </cell>
          <cell r="J127" t="str">
            <v>KB8609XY</v>
          </cell>
          <cell r="K127" t="str">
            <v>KPB1</v>
          </cell>
          <cell r="L127">
            <v>490</v>
          </cell>
          <cell r="M127" t="str">
            <v>2025-06-03</v>
          </cell>
          <cell r="N127" t="str">
            <v>2025-07-02</v>
          </cell>
          <cell r="O127" t="str">
            <v>https://fruitbasket.blob.core.windows.net/gk2o5k/avatar/21184510020250702125159MAFVKM.jpg</v>
          </cell>
        </row>
        <row r="128">
          <cell r="I128" t="str">
            <v>JBK1E2089824</v>
          </cell>
          <cell r="J128" t="str">
            <v>X123YZ</v>
          </cell>
          <cell r="K128" t="str">
            <v>KPB2</v>
          </cell>
          <cell r="L128">
            <v>1237</v>
          </cell>
          <cell r="M128" t="str">
            <v>2025-03-07</v>
          </cell>
          <cell r="N128" t="str">
            <v>2025-07-02</v>
          </cell>
          <cell r="O128" t="str">
            <v>https://fruitbasket.blob.core.windows.net/gk2o5k/avatar/21184741720250702124658RD3NLT.jpg</v>
          </cell>
        </row>
        <row r="129">
          <cell r="I129" t="str">
            <v>JMF2E1349899</v>
          </cell>
          <cell r="J129" t="str">
            <v>KB9899XY</v>
          </cell>
          <cell r="K129" t="str">
            <v>KPB2</v>
          </cell>
          <cell r="L129">
            <v>1595</v>
          </cell>
          <cell r="M129" t="str">
            <v>2025-03-19</v>
          </cell>
          <cell r="N129" t="str">
            <v>2025-07-02</v>
          </cell>
          <cell r="O129" t="str">
            <v>https://fruitbasket.blob.core.windows.net/gk2o5k/avatar/21286275220250702124112TEPFSU.jpg</v>
          </cell>
        </row>
        <row r="130">
          <cell r="I130" t="str">
            <v>JMH1E1159155</v>
          </cell>
          <cell r="J130" t="str">
            <v>X123YZ</v>
          </cell>
          <cell r="K130" t="str">
            <v>KPB1</v>
          </cell>
          <cell r="L130">
            <v>749</v>
          </cell>
          <cell r="M130" t="str">
            <v>2025-05-30</v>
          </cell>
          <cell r="N130" t="str">
            <v>2025-07-02</v>
          </cell>
          <cell r="O130" t="str">
            <v>https://fruitbasket.blob.core.windows.net/gk2o5k/avatar/21327622620250702123707WRACCB.jpg</v>
          </cell>
        </row>
        <row r="131">
          <cell r="I131" t="str">
            <v>JBK3E1575150</v>
          </cell>
          <cell r="J131" t="str">
            <v>KB5150XY</v>
          </cell>
          <cell r="K131" t="str">
            <v>KPB1</v>
          </cell>
          <cell r="L131">
            <v>902</v>
          </cell>
          <cell r="M131" t="str">
            <v>2025-05-15</v>
          </cell>
          <cell r="N131" t="str">
            <v>2025-07-02</v>
          </cell>
          <cell r="O131" t="str">
            <v>https://fruitbasket.blob.core.windows.net/gk2o5k/avatar/21318503420250702123135VQS9LS.jpg</v>
          </cell>
        </row>
        <row r="132">
          <cell r="I132" t="str">
            <v>JMC1E1635546</v>
          </cell>
          <cell r="J132" t="str">
            <v>KB5546XY</v>
          </cell>
          <cell r="K132" t="str">
            <v>KPB1</v>
          </cell>
          <cell r="L132">
            <v>735</v>
          </cell>
          <cell r="M132" t="str">
            <v>2025-06-03</v>
          </cell>
          <cell r="N132" t="str">
            <v>2025-07-02</v>
          </cell>
          <cell r="O132" t="str">
            <v>https://fruitbasket.blob.core.windows.net/gk2o5k/avatar/213298285202507021227350H2VJQ.jpg</v>
          </cell>
        </row>
        <row r="133">
          <cell r="I133" t="str">
            <v>JMF2E1438829</v>
          </cell>
          <cell r="J133" t="str">
            <v>X123YZ</v>
          </cell>
          <cell r="K133" t="str">
            <v>KPB1</v>
          </cell>
          <cell r="L133">
            <v>568</v>
          </cell>
          <cell r="M133" t="str">
            <v>2025-05-24</v>
          </cell>
          <cell r="N133" t="str">
            <v>2025-07-02</v>
          </cell>
          <cell r="O133" t="str">
            <v>https://fruitbasket.blob.core.windows.net/gk2o5k/avatar/21329153420250702120339WA9CGQ.jpg</v>
          </cell>
        </row>
        <row r="134">
          <cell r="I134" t="str">
            <v>JMH1E1109128</v>
          </cell>
          <cell r="J134" t="str">
            <v>KB4742V</v>
          </cell>
          <cell r="K134" t="str">
            <v>KPB1</v>
          </cell>
          <cell r="L134">
            <v>789</v>
          </cell>
          <cell r="M134" t="str">
            <v>1970-01-01</v>
          </cell>
          <cell r="N134" t="str">
            <v>2025-07-02</v>
          </cell>
          <cell r="O134" t="str">
            <v>https://fruitbasket.blob.core.windows.net/gk2o5k/avatar/21329153420250702115947RT4ODT.jpg</v>
          </cell>
        </row>
        <row r="135">
          <cell r="I135" t="str">
            <v>JBK1E2102965</v>
          </cell>
          <cell r="J135" t="str">
            <v>KB2965XY</v>
          </cell>
          <cell r="K135" t="str">
            <v>KPB1</v>
          </cell>
          <cell r="L135">
            <v>967</v>
          </cell>
          <cell r="M135" t="str">
            <v>2025-06-02</v>
          </cell>
          <cell r="N135" t="str">
            <v>2025-07-02</v>
          </cell>
          <cell r="O135" t="str">
            <v>https://fruitbasket.blob.core.windows.net/gk2o5k/avatar/21329153420250702115506AZQ7LS.jpg</v>
          </cell>
        </row>
        <row r="136">
          <cell r="I136" t="str">
            <v>JBK1E2107307</v>
          </cell>
          <cell r="J136" t="str">
            <v>B7307V</v>
          </cell>
          <cell r="K136" t="str">
            <v>KPB1</v>
          </cell>
          <cell r="L136">
            <v>411</v>
          </cell>
          <cell r="M136" t="str">
            <v>2025-06-20</v>
          </cell>
          <cell r="N136" t="str">
            <v>2025-07-01</v>
          </cell>
          <cell r="O136" t="str">
            <v>https://fruitbasket.blob.core.windows.net/gk2o5k/avatar/213404434202507011419506EWIZG.jpg</v>
          </cell>
        </row>
        <row r="137">
          <cell r="I137" t="str">
            <v>JME1E1397228</v>
          </cell>
          <cell r="J137" t="str">
            <v>X123YZ</v>
          </cell>
          <cell r="K137" t="str">
            <v>KPB1</v>
          </cell>
          <cell r="L137">
            <v>719</v>
          </cell>
          <cell r="M137" t="str">
            <v>2025-06-11</v>
          </cell>
          <cell r="N137" t="str">
            <v>2025-07-15</v>
          </cell>
          <cell r="O137" t="str">
            <v>https://fruitbasket.blob.core.windows.net/gk2o5k/avatar/21332514420250715163255W1X2WK.jpg</v>
          </cell>
        </row>
        <row r="138">
          <cell r="I138" t="str">
            <v>JMC1E1637777</v>
          </cell>
          <cell r="J138" t="str">
            <v>KB7777XX</v>
          </cell>
          <cell r="K138" t="str">
            <v>KPB1</v>
          </cell>
          <cell r="L138">
            <v>184</v>
          </cell>
          <cell r="M138" t="str">
            <v>1970-01-01</v>
          </cell>
          <cell r="N138" t="str">
            <v>2025-07-15</v>
          </cell>
          <cell r="O138" t="str">
            <v>https://fruitbasket.blob.core.windows.net/gk2o5k/avatar/21330398620250715162738B6QUCM.jpg</v>
          </cell>
        </row>
        <row r="139">
          <cell r="I139" t="str">
            <v>JMD1E1951452</v>
          </cell>
          <cell r="J139" t="str">
            <v>KB1452XX</v>
          </cell>
          <cell r="K139" t="str">
            <v>KPB1</v>
          </cell>
          <cell r="L139">
            <v>1048</v>
          </cell>
          <cell r="M139" t="str">
            <v>1970-01-01</v>
          </cell>
          <cell r="N139" t="str">
            <v>2025-07-15</v>
          </cell>
          <cell r="O139" t="str">
            <v>https://fruitbasket.blob.core.windows.net/gk2o5k/avatar/21295322320250715162420QIUYMX.jpg</v>
          </cell>
        </row>
        <row r="140">
          <cell r="I140" t="str">
            <v>JBK1E2105941</v>
          </cell>
          <cell r="J140" t="str">
            <v>KB5941XX</v>
          </cell>
          <cell r="K140" t="str">
            <v>KPB1</v>
          </cell>
          <cell r="L140">
            <v>92</v>
          </cell>
          <cell r="M140" t="str">
            <v>1970-01-01</v>
          </cell>
          <cell r="N140" t="str">
            <v>2025-07-15</v>
          </cell>
          <cell r="O140" t="str">
            <v>https://fruitbasket.blob.core.windows.net/gk2o5k/avatar/27327162202507151605348JIDOO.jpg</v>
          </cell>
        </row>
        <row r="141">
          <cell r="I141" t="str">
            <v>KFA1E1297952</v>
          </cell>
          <cell r="J141" t="str">
            <v>KB7952XX</v>
          </cell>
          <cell r="K141" t="str">
            <v>KPB2</v>
          </cell>
          <cell r="L141">
            <v>2365</v>
          </cell>
          <cell r="M141" t="str">
            <v>1970-01-01</v>
          </cell>
          <cell r="N141" t="str">
            <v>2025-07-15</v>
          </cell>
          <cell r="O141" t="str">
            <v>https://fruitbasket.blob.core.windows.net/gk2o5k/avatar/2732716220250715155851WTCHCX.jpg</v>
          </cell>
        </row>
        <row r="142">
          <cell r="I142" t="str">
            <v>JMF2E1322088</v>
          </cell>
          <cell r="J142" t="str">
            <v>KB2088XX</v>
          </cell>
          <cell r="K142" t="str">
            <v>KPB3</v>
          </cell>
          <cell r="L142">
            <v>1814</v>
          </cell>
          <cell r="M142" t="str">
            <v>2025-03-10</v>
          </cell>
          <cell r="N142" t="str">
            <v>2025-07-15</v>
          </cell>
          <cell r="O142" t="str">
            <v>https://fruitbasket.blob.core.windows.net/gk2o5k/avatar/21281019020250715155647JJZMYK.jpg</v>
          </cell>
        </row>
        <row r="143">
          <cell r="I143" t="str">
            <v>JBK1E2105167</v>
          </cell>
          <cell r="J143" t="str">
            <v>KB5167XX</v>
          </cell>
          <cell r="K143" t="str">
            <v>KPB1</v>
          </cell>
          <cell r="L143">
            <v>782</v>
          </cell>
          <cell r="M143" t="str">
            <v>2025-06-14</v>
          </cell>
          <cell r="N143" t="str">
            <v>2025-07-15</v>
          </cell>
          <cell r="O143" t="str">
            <v>https://fruitbasket.blob.core.windows.net/gk2o5k/avatar/21240481820250715155354PDQPH0.jpg</v>
          </cell>
        </row>
        <row r="144">
          <cell r="I144" t="str">
            <v>KFA1E1307572</v>
          </cell>
          <cell r="J144" t="str">
            <v>KB7572XX</v>
          </cell>
          <cell r="K144" t="str">
            <v>KPB1</v>
          </cell>
          <cell r="L144">
            <v>487</v>
          </cell>
          <cell r="M144" t="str">
            <v>1970-01-01</v>
          </cell>
          <cell r="N144" t="str">
            <v>2025-07-15</v>
          </cell>
          <cell r="O144" t="str">
            <v>https://fruitbasket.blob.core.windows.net/gk2o5k/avatar/21240481820250715154937TLFGN8.jpg</v>
          </cell>
        </row>
        <row r="145">
          <cell r="I145" t="str">
            <v>KC02E1282904</v>
          </cell>
          <cell r="J145" t="str">
            <v>KB2230XY</v>
          </cell>
          <cell r="K145" t="str">
            <v>KPB3</v>
          </cell>
          <cell r="L145">
            <v>4571</v>
          </cell>
          <cell r="M145" t="str">
            <v>2024-12-06</v>
          </cell>
          <cell r="N145" t="str">
            <v>2025-07-15</v>
          </cell>
          <cell r="O145" t="str">
            <v>https://fruitbasket.blob.core.windows.net/gk2o5k/avatar/21236232520250715154025H4MJDA.jpg</v>
          </cell>
        </row>
        <row r="146">
          <cell r="I146" t="str">
            <v>JBK1E2066892</v>
          </cell>
          <cell r="J146" t="str">
            <v>KB6892XY</v>
          </cell>
          <cell r="K146" t="str">
            <v>KPB3</v>
          </cell>
          <cell r="L146">
            <v>5128</v>
          </cell>
          <cell r="M146" t="str">
            <v>2024-12-19</v>
          </cell>
          <cell r="N146" t="str">
            <v>2025-07-15</v>
          </cell>
          <cell r="O146" t="str">
            <v>https://fruitbasket.blob.core.windows.net/gk2o5k/avatar/212362325202507151533061QF0RQ.jpg</v>
          </cell>
        </row>
        <row r="147">
          <cell r="I147" t="str">
            <v>JBK1E2067885</v>
          </cell>
          <cell r="J147" t="str">
            <v>KB7885XY</v>
          </cell>
          <cell r="K147" t="str">
            <v>KPB3</v>
          </cell>
          <cell r="L147">
            <v>3288</v>
          </cell>
          <cell r="M147" t="str">
            <v>2024-12-14</v>
          </cell>
          <cell r="N147" t="str">
            <v>2025-07-15</v>
          </cell>
          <cell r="O147" t="str">
            <v>https://fruitbasket.blob.core.windows.net/gk2o5k/avatar/21233417520250715152713PJ5GWD.jpg</v>
          </cell>
        </row>
        <row r="148">
          <cell r="I148" t="str">
            <v>JBK1E2063225</v>
          </cell>
          <cell r="J148" t="str">
            <v>KB3225XY</v>
          </cell>
          <cell r="K148" t="str">
            <v>KPB3</v>
          </cell>
          <cell r="L148">
            <v>4357</v>
          </cell>
          <cell r="M148" t="str">
            <v>2024-12-19</v>
          </cell>
          <cell r="N148" t="str">
            <v>2025-07-15</v>
          </cell>
          <cell r="O148" t="str">
            <v>https://fruitbasket.blob.core.windows.net/gk2o5k/avatar/21235972420250715152250HUCO8I.jpg</v>
          </cell>
        </row>
        <row r="149">
          <cell r="I149" t="str">
            <v>JMC1E1647390</v>
          </cell>
          <cell r="J149" t="str">
            <v>KB7390XY</v>
          </cell>
          <cell r="K149" t="str">
            <v>KPB1</v>
          </cell>
          <cell r="L149">
            <v>244</v>
          </cell>
          <cell r="M149" t="str">
            <v>1970-01-01</v>
          </cell>
          <cell r="N149" t="str">
            <v>2025-07-15</v>
          </cell>
          <cell r="O149" t="str">
            <v>https://fruitbasket.blob.core.windows.net/gk2o5k/avatar/21240719720250715151802XSPLK2.jpg</v>
          </cell>
        </row>
        <row r="150">
          <cell r="I150" t="str">
            <v>JBP1E2101527</v>
          </cell>
          <cell r="J150" t="str">
            <v>KB1527XY</v>
          </cell>
          <cell r="K150" t="str">
            <v>KPB2</v>
          </cell>
          <cell r="L150">
            <v>1193</v>
          </cell>
          <cell r="M150" t="str">
            <v>2025-04-29</v>
          </cell>
          <cell r="N150" t="str">
            <v>2025-07-15</v>
          </cell>
          <cell r="O150" t="str">
            <v>https://fruitbasket.blob.core.windows.net/gk2o5k/avatar/2124071972025071515110411NOJ2.jpg</v>
          </cell>
        </row>
        <row r="151">
          <cell r="I151" t="str">
            <v>JBK3E1581388</v>
          </cell>
          <cell r="J151" t="str">
            <v>KB1388XX</v>
          </cell>
          <cell r="K151" t="str">
            <v>KPB1</v>
          </cell>
          <cell r="L151">
            <v>543</v>
          </cell>
          <cell r="M151" t="str">
            <v>2025-06-30</v>
          </cell>
          <cell r="N151" t="str">
            <v>2025-07-15</v>
          </cell>
          <cell r="O151" t="str">
            <v>https://fruitbasket.blob.core.windows.net/gk2o5k/avatar/212407454202507151500591L5YJV.jpg</v>
          </cell>
        </row>
        <row r="152">
          <cell r="I152" t="str">
            <v>JBK3E1582536</v>
          </cell>
          <cell r="J152" t="str">
            <v>X123YZ</v>
          </cell>
          <cell r="K152" t="str">
            <v>KPB1</v>
          </cell>
          <cell r="L152">
            <v>355</v>
          </cell>
          <cell r="M152" t="str">
            <v>2025-07-08</v>
          </cell>
          <cell r="N152" t="str">
            <v>2025-07-15</v>
          </cell>
          <cell r="O152" t="str">
            <v>https://fruitbasket.blob.core.windows.net/gk2o5k/avatar/212407454202507151451499YWJDL.jpg</v>
          </cell>
        </row>
        <row r="153">
          <cell r="I153" t="str">
            <v>JBK1E2105480</v>
          </cell>
          <cell r="J153" t="str">
            <v>KB5480XY</v>
          </cell>
          <cell r="K153" t="str">
            <v>KPB1</v>
          </cell>
          <cell r="L153">
            <v>596</v>
          </cell>
          <cell r="M153" t="str">
            <v>1970-01-01</v>
          </cell>
          <cell r="N153" t="str">
            <v>2025-07-15</v>
          </cell>
          <cell r="O153" t="str">
            <v>https://fruitbasket.blob.core.windows.net/gk2o5k/avatar/21240745420250715143847YDRQAD.jpg</v>
          </cell>
        </row>
        <row r="154">
          <cell r="I154" t="str">
            <v>KD11E1605301</v>
          </cell>
          <cell r="J154" t="str">
            <v>KB2357YX</v>
          </cell>
          <cell r="K154" t="str">
            <v>KPB1</v>
          </cell>
          <cell r="L154">
            <v>646</v>
          </cell>
          <cell r="M154" t="str">
            <v>1970-01-01</v>
          </cell>
          <cell r="N154" t="str">
            <v>2025-07-15</v>
          </cell>
          <cell r="O154" t="str">
            <v>https://fruitbasket.blob.core.windows.net/gk2o5k/avatar/21241240420250715143211OCJTTB.jpg</v>
          </cell>
        </row>
        <row r="155">
          <cell r="I155" t="str">
            <v>JBK1E2110004</v>
          </cell>
          <cell r="J155" t="str">
            <v>X123YZ</v>
          </cell>
          <cell r="K155" t="str">
            <v>KPB1</v>
          </cell>
          <cell r="L155">
            <v>578</v>
          </cell>
          <cell r="M155" t="str">
            <v>2025-07-07</v>
          </cell>
          <cell r="N155" t="str">
            <v>2025-07-15</v>
          </cell>
          <cell r="O155" t="str">
            <v>https://fruitbasket.blob.core.windows.net/gk2o5k/avatar/21241240420250715142811LGMFZ4.jpg</v>
          </cell>
        </row>
        <row r="156">
          <cell r="I156" t="str">
            <v>JBK1E2074723</v>
          </cell>
          <cell r="J156" t="str">
            <v>KB4723XY</v>
          </cell>
          <cell r="K156" t="str">
            <v>KPB3</v>
          </cell>
          <cell r="L156">
            <v>957</v>
          </cell>
          <cell r="M156" t="str">
            <v>2025-01-14</v>
          </cell>
          <cell r="N156" t="str">
            <v>2025-07-15</v>
          </cell>
          <cell r="O156" t="str">
            <v>https://fruitbasket.blob.core.windows.net/gk2o5k/avatar/21242482420250715102308FQ2GGB.jpg</v>
          </cell>
        </row>
        <row r="157">
          <cell r="I157" t="str">
            <v>JBK1E2107049</v>
          </cell>
          <cell r="J157" t="str">
            <v>X123YZ</v>
          </cell>
          <cell r="K157" t="str">
            <v>KPB1</v>
          </cell>
          <cell r="L157">
            <v>495</v>
          </cell>
          <cell r="M157" t="str">
            <v>2025-06-20</v>
          </cell>
          <cell r="N157" t="str">
            <v>2025-07-15</v>
          </cell>
          <cell r="O157" t="str">
            <v>https://fruitbasket.blob.core.windows.net/gk2o5k/avatar/213412584202507150958510OWT9G.jpg</v>
          </cell>
        </row>
        <row r="158">
          <cell r="I158" t="str">
            <v>JBK3E1579560</v>
          </cell>
          <cell r="J158" t="str">
            <v>X123YZ</v>
          </cell>
          <cell r="K158" t="str">
            <v>KPB1</v>
          </cell>
          <cell r="L158">
            <v>298</v>
          </cell>
          <cell r="M158" t="str">
            <v>2025-06-20</v>
          </cell>
          <cell r="N158" t="str">
            <v>2025-07-15</v>
          </cell>
          <cell r="O158" t="str">
            <v>https://fruitbasket.blob.core.windows.net/gk2o5k/avatar/21341258420250715095152VJKSTE.jpg</v>
          </cell>
        </row>
        <row r="159">
          <cell r="I159" t="str">
            <v>JBK1E2107775</v>
          </cell>
          <cell r="J159" t="str">
            <v>X123YZ</v>
          </cell>
          <cell r="K159" t="str">
            <v>KPB1</v>
          </cell>
          <cell r="L159">
            <v>616</v>
          </cell>
          <cell r="M159" t="str">
            <v>2025-06-24</v>
          </cell>
          <cell r="N159" t="str">
            <v>2025-07-15</v>
          </cell>
          <cell r="O159" t="str">
            <v>https://fruitbasket.blob.core.windows.net/gk2o5k/avatar/21341258420250715094656E47P1Z.jpg</v>
          </cell>
        </row>
        <row r="160">
          <cell r="I160" t="str">
            <v>JBK3E1582426</v>
          </cell>
          <cell r="J160" t="str">
            <v>KB2426XX</v>
          </cell>
          <cell r="K160" t="str">
            <v>KPB1</v>
          </cell>
          <cell r="L160">
            <v>797</v>
          </cell>
          <cell r="M160" t="str">
            <v>1970-01-01</v>
          </cell>
          <cell r="N160" t="str">
            <v>2025-07-14</v>
          </cell>
          <cell r="O160" t="str">
            <v>https://fruitbasket.blob.core.windows.net/gk2o5k/avatar/21313248120250714172307CKJZXL.jpg</v>
          </cell>
        </row>
        <row r="161">
          <cell r="I161" t="str">
            <v>JMH2E1151912</v>
          </cell>
          <cell r="J161" t="str">
            <v>KB2212XY</v>
          </cell>
          <cell r="K161" t="str">
            <v>KPB1</v>
          </cell>
          <cell r="L161">
            <v>986</v>
          </cell>
          <cell r="M161" t="str">
            <v>1970-01-01</v>
          </cell>
          <cell r="N161" t="str">
            <v>2025-07-14</v>
          </cell>
          <cell r="O161" t="str">
            <v>https://fruitbasket.blob.core.windows.net/gk2o5k/avatar/213132481202507141716257AOP0M.jpg</v>
          </cell>
        </row>
        <row r="162">
          <cell r="I162" t="str">
            <v>JBK3E1572940</v>
          </cell>
          <cell r="J162" t="str">
            <v>X123YZ</v>
          </cell>
          <cell r="K162" t="str">
            <v>KPB1</v>
          </cell>
          <cell r="L162">
            <v>723</v>
          </cell>
          <cell r="M162" t="str">
            <v>2025-05-03</v>
          </cell>
          <cell r="N162" t="str">
            <v>2025-07-14</v>
          </cell>
          <cell r="O162" t="str">
            <v>https://fruitbasket.blob.core.windows.net/gk2o5k/avatar/21313248120250714171123NDZ2MG.jpg</v>
          </cell>
        </row>
        <row r="163">
          <cell r="I163" t="str">
            <v>KC02E1295425</v>
          </cell>
          <cell r="J163" t="str">
            <v>KB2380YX</v>
          </cell>
          <cell r="K163" t="str">
            <v>KPB2</v>
          </cell>
          <cell r="L163">
            <v>2103</v>
          </cell>
          <cell r="M163" t="str">
            <v>1970-01-01</v>
          </cell>
          <cell r="N163" t="str">
            <v>2025-07-14</v>
          </cell>
          <cell r="O163" t="str">
            <v>https://fruitbasket.blob.core.windows.net/gk2o5k/avatar/21307222220250714165750YDWEV5.jpg</v>
          </cell>
        </row>
        <row r="164">
          <cell r="I164" t="str">
            <v>JBK1E2096845</v>
          </cell>
          <cell r="J164" t="str">
            <v>KB3594V</v>
          </cell>
          <cell r="K164" t="str">
            <v>KPB2</v>
          </cell>
          <cell r="L164">
            <v>1218</v>
          </cell>
          <cell r="M164" t="str">
            <v>1970-01-01</v>
          </cell>
          <cell r="N164" t="str">
            <v>2025-07-14</v>
          </cell>
          <cell r="O164" t="str">
            <v>https://fruitbasket.blob.core.windows.net/gk2o5k/avatar/21307222220250714165418A1LONS.jpg</v>
          </cell>
        </row>
        <row r="165">
          <cell r="I165" t="str">
            <v>JBK1E2096879</v>
          </cell>
          <cell r="J165" t="str">
            <v>X123YZ</v>
          </cell>
          <cell r="K165" t="str">
            <v>KPB2</v>
          </cell>
          <cell r="L165">
            <v>2029</v>
          </cell>
          <cell r="M165" t="str">
            <v>2025-04-24</v>
          </cell>
          <cell r="N165" t="str">
            <v>2025-07-14</v>
          </cell>
          <cell r="O165" t="str">
            <v>https://fruitbasket.blob.core.windows.net/gk2o5k/avatar/21307222220250714165059RR3NY4.jpg</v>
          </cell>
        </row>
        <row r="166">
          <cell r="I166" t="str">
            <v>JBK1E2096322</v>
          </cell>
          <cell r="J166" t="str">
            <v>X123YZ</v>
          </cell>
          <cell r="K166" t="str">
            <v>KPB2</v>
          </cell>
          <cell r="L166">
            <v>1116</v>
          </cell>
          <cell r="M166" t="str">
            <v>2025-04-22</v>
          </cell>
          <cell r="N166" t="str">
            <v>2025-07-14</v>
          </cell>
          <cell r="O166" t="str">
            <v>https://fruitbasket.blob.core.windows.net/gk2o5k/avatar/21181172020250714163226AZIW8Z.jpg</v>
          </cell>
        </row>
        <row r="167">
          <cell r="I167" t="str">
            <v>JBK1E2097029</v>
          </cell>
          <cell r="J167" t="str">
            <v>X123YZ</v>
          </cell>
          <cell r="K167" t="str">
            <v>KPB2</v>
          </cell>
          <cell r="L167">
            <v>1486</v>
          </cell>
          <cell r="M167" t="str">
            <v>2025-04-26</v>
          </cell>
          <cell r="N167" t="str">
            <v>2025-07-14</v>
          </cell>
          <cell r="O167" t="str">
            <v>https://fruitbasket.blob.core.windows.net/gk2o5k/avatar/21181172020250714162529JCCLRN.jpg</v>
          </cell>
        </row>
        <row r="168">
          <cell r="I168" t="str">
            <v>JMD1E1882553</v>
          </cell>
          <cell r="J168" t="str">
            <v>X123YZ</v>
          </cell>
          <cell r="K168" t="str">
            <v>KPB2</v>
          </cell>
          <cell r="L168">
            <v>1333</v>
          </cell>
          <cell r="M168" t="str">
            <v>2025-04-19</v>
          </cell>
          <cell r="N168" t="str">
            <v>2025-07-14</v>
          </cell>
          <cell r="O168" t="str">
            <v>https://fruitbasket.blob.core.windows.net/gk2o5k/avatar/21273358420250714161625QUKOUT.jpg</v>
          </cell>
        </row>
        <row r="169">
          <cell r="I169" t="str">
            <v>JBK1E2095249</v>
          </cell>
          <cell r="J169" t="str">
            <v>KB5249XY</v>
          </cell>
          <cell r="K169" t="str">
            <v>KPB2</v>
          </cell>
          <cell r="L169">
            <v>1372</v>
          </cell>
          <cell r="M169" t="str">
            <v>2025-04-10</v>
          </cell>
          <cell r="N169" t="str">
            <v>2025-07-14</v>
          </cell>
          <cell r="O169" t="str">
            <v>https://fruitbasket.blob.core.windows.net/gk2o5k/avatar/211932173202507141611472WVYLZ.jpg</v>
          </cell>
        </row>
        <row r="170">
          <cell r="I170" t="str">
            <v>JMF1E1133372</v>
          </cell>
          <cell r="J170" t="str">
            <v>KB3372XY</v>
          </cell>
          <cell r="K170" t="str">
            <v>KPB3</v>
          </cell>
          <cell r="L170">
            <v>4276</v>
          </cell>
          <cell r="M170" t="str">
            <v>2024-12-11</v>
          </cell>
          <cell r="N170" t="str">
            <v>2025-07-14</v>
          </cell>
          <cell r="O170" t="str">
            <v>https://fruitbasket.blob.core.windows.net/gk2o5k/avatar/212319586202507141555529PYDMC.jpg</v>
          </cell>
        </row>
        <row r="171">
          <cell r="I171" t="str">
            <v>JBK3E1571448</v>
          </cell>
          <cell r="J171" t="str">
            <v>KB1448XY</v>
          </cell>
          <cell r="K171" t="str">
            <v>KPB2</v>
          </cell>
          <cell r="L171">
            <v>1344</v>
          </cell>
          <cell r="M171" t="str">
            <v>2025-04-22</v>
          </cell>
          <cell r="N171" t="str">
            <v>2025-07-14</v>
          </cell>
          <cell r="O171" t="str">
            <v>https://fruitbasket.blob.core.windows.net/gk2o5k/avatar/213058828202507141548445X5CEY.jpg</v>
          </cell>
        </row>
        <row r="172">
          <cell r="I172" t="str">
            <v>JM04E2175983</v>
          </cell>
          <cell r="J172" t="str">
            <v>KB5983XY</v>
          </cell>
          <cell r="K172" t="str">
            <v>KPB4</v>
          </cell>
          <cell r="L172">
            <v>3432</v>
          </cell>
          <cell r="M172" t="str">
            <v>2024-08-14</v>
          </cell>
          <cell r="N172" t="str">
            <v>2025-07-14</v>
          </cell>
          <cell r="O172" t="str">
            <v>https://fruitbasket.blob.core.windows.net/gk2o5k/avatar/21162425820250714121708UJIJ48.jpg</v>
          </cell>
        </row>
        <row r="173">
          <cell r="I173" t="str">
            <v>JBK1E2110573</v>
          </cell>
          <cell r="J173" t="str">
            <v>KB0573XY</v>
          </cell>
          <cell r="K173" t="str">
            <v>KPB1</v>
          </cell>
          <cell r="L173">
            <v>234</v>
          </cell>
          <cell r="M173" t="str">
            <v>1970-01-01</v>
          </cell>
          <cell r="N173" t="str">
            <v>2025-07-13</v>
          </cell>
          <cell r="O173" t="str">
            <v>https://fruitbasket.blob.core.windows.net/gk2o5k/avatar/21333591020250713130121WPRULH.jpg</v>
          </cell>
        </row>
        <row r="174">
          <cell r="I174" t="str">
            <v>JMH1E1167768</v>
          </cell>
          <cell r="J174" t="str">
            <v>KB7768XY</v>
          </cell>
          <cell r="K174" t="str">
            <v>KPB1</v>
          </cell>
          <cell r="L174">
            <v>624</v>
          </cell>
          <cell r="M174" t="str">
            <v>1970-01-01</v>
          </cell>
          <cell r="N174" t="str">
            <v>2025-07-13</v>
          </cell>
          <cell r="O174" t="str">
            <v>https://fruitbasket.blob.core.windows.net/gk2o5k/avatar/2133359102025071312563112PNTE.jpg</v>
          </cell>
        </row>
        <row r="175">
          <cell r="I175" t="str">
            <v>JBK3E1565795</v>
          </cell>
          <cell r="J175" t="str">
            <v>KB5795XY</v>
          </cell>
          <cell r="K175" t="str">
            <v>KPB2</v>
          </cell>
          <cell r="L175">
            <v>3804</v>
          </cell>
          <cell r="M175" t="str">
            <v>2025-03-10</v>
          </cell>
          <cell r="N175" t="str">
            <v>2025-07-13</v>
          </cell>
          <cell r="O175" t="str">
            <v>https://fruitbasket.blob.core.windows.net/gk2o5k/avatar/21281006920250713124326BX8JW5.jpg</v>
          </cell>
        </row>
        <row r="176">
          <cell r="I176" t="str">
            <v>KC04E1004308</v>
          </cell>
          <cell r="J176" t="str">
            <v>KB4308XY</v>
          </cell>
          <cell r="K176" t="str">
            <v>KPB1</v>
          </cell>
          <cell r="L176">
            <v>1099</v>
          </cell>
          <cell r="M176" t="str">
            <v>2025-05-26</v>
          </cell>
          <cell r="N176" t="str">
            <v>2025-07-13</v>
          </cell>
          <cell r="O176" t="str">
            <v>https://fruitbasket.blob.core.windows.net/gk2o5k/avatar/2120174512025071311511130O6QT.jpg</v>
          </cell>
        </row>
        <row r="177">
          <cell r="I177" t="str">
            <v>JBK1E2103285</v>
          </cell>
          <cell r="J177" t="str">
            <v>X123YZ</v>
          </cell>
          <cell r="K177" t="str">
            <v>KPB1</v>
          </cell>
          <cell r="L177">
            <v>188</v>
          </cell>
          <cell r="M177" t="str">
            <v>2025-06-13</v>
          </cell>
          <cell r="N177" t="str">
            <v>2025-07-13</v>
          </cell>
          <cell r="O177" t="str">
            <v>https://fruitbasket.blob.core.windows.net/gk2o5k/avatar/21201745120250713114601SP6BNI.jpg</v>
          </cell>
        </row>
        <row r="178">
          <cell r="I178" t="str">
            <v>JMH2E1325736</v>
          </cell>
          <cell r="J178" t="str">
            <v>KB2222XY</v>
          </cell>
          <cell r="K178" t="str">
            <v>KPB1</v>
          </cell>
          <cell r="L178">
            <v>213</v>
          </cell>
          <cell r="M178" t="str">
            <v>1970-01-01</v>
          </cell>
          <cell r="N178" t="str">
            <v>2025-07-12</v>
          </cell>
          <cell r="O178" t="str">
            <v>https://fruitbasket.blob.core.windows.net/gk2o5k/avatar/21202089020250712171110S2YROM.jpg</v>
          </cell>
        </row>
        <row r="179">
          <cell r="I179" t="str">
            <v>KC04E1006162</v>
          </cell>
          <cell r="J179" t="str">
            <v>KB6162XY</v>
          </cell>
          <cell r="K179" t="str">
            <v>KPB1</v>
          </cell>
          <cell r="L179">
            <v>307</v>
          </cell>
          <cell r="M179" t="str">
            <v>1970-01-01</v>
          </cell>
          <cell r="N179" t="str">
            <v>2025-07-12</v>
          </cell>
          <cell r="O179" t="str">
            <v>https://fruitbasket.blob.core.windows.net/gk2o5k/avatar/21202089020250712170858TRJ22D.jpg</v>
          </cell>
        </row>
        <row r="180">
          <cell r="I180" t="str">
            <v>JMF1E1246083</v>
          </cell>
          <cell r="J180" t="str">
            <v>KB6083XY</v>
          </cell>
          <cell r="K180" t="str">
            <v>KPB1</v>
          </cell>
          <cell r="L180">
            <v>598</v>
          </cell>
          <cell r="M180" t="str">
            <v>2025-05-09</v>
          </cell>
          <cell r="N180" t="str">
            <v>2025-07-12</v>
          </cell>
          <cell r="O180" t="str">
            <v>https://fruitbasket.blob.core.windows.net/gk2o5k/avatar/21315740120250712170321HMYRUM.jpg</v>
          </cell>
        </row>
        <row r="181">
          <cell r="I181" t="str">
            <v>JBK3E1571698</v>
          </cell>
          <cell r="J181" t="str">
            <v>KB2356YX</v>
          </cell>
          <cell r="K181" t="str">
            <v>KPB2</v>
          </cell>
          <cell r="L181">
            <v>947</v>
          </cell>
          <cell r="M181" t="str">
            <v>1970-01-01</v>
          </cell>
          <cell r="N181" t="str">
            <v>2025-07-12</v>
          </cell>
          <cell r="O181" t="str">
            <v>https://fruitbasket.blob.core.windows.net/gk2o5k/avatar/21201593220250712165310NUPFO9.jpg</v>
          </cell>
        </row>
        <row r="182">
          <cell r="I182" t="str">
            <v>JBK1E2105791</v>
          </cell>
          <cell r="J182" t="str">
            <v>KB2400YX</v>
          </cell>
          <cell r="K182" t="str">
            <v>KPB1</v>
          </cell>
          <cell r="L182">
            <v>609</v>
          </cell>
          <cell r="M182" t="str">
            <v>1970-01-01</v>
          </cell>
          <cell r="N182" t="str">
            <v>2025-07-12</v>
          </cell>
          <cell r="O182" t="str">
            <v>https://fruitbasket.blob.core.windows.net/gk2o5k/avatar/212015932202507121650349LHN17.jpg</v>
          </cell>
        </row>
        <row r="183">
          <cell r="I183" t="str">
            <v>JMH2E1153687</v>
          </cell>
          <cell r="J183" t="str">
            <v>X123YZ</v>
          </cell>
          <cell r="K183" t="str">
            <v>KPB2</v>
          </cell>
          <cell r="L183">
            <v>1978</v>
          </cell>
          <cell r="M183" t="str">
            <v>1970-01-01</v>
          </cell>
          <cell r="N183" t="str">
            <v>2025-07-12</v>
          </cell>
          <cell r="O183" t="str">
            <v>https://fruitbasket.blob.core.windows.net/gk2o5k/avatar/21201510520250712164639VWNFQZ.jpg</v>
          </cell>
        </row>
        <row r="184">
          <cell r="I184" t="str">
            <v>JBK1E2102853</v>
          </cell>
          <cell r="J184" t="str">
            <v>KB1123XY</v>
          </cell>
          <cell r="K184" t="str">
            <v>KPB1</v>
          </cell>
          <cell r="L184">
            <v>353</v>
          </cell>
          <cell r="M184" t="str">
            <v>2025-06-02</v>
          </cell>
          <cell r="N184" t="str">
            <v>2025-07-12</v>
          </cell>
          <cell r="O184" t="str">
            <v>https://fruitbasket.blob.core.windows.net/gk2o5k/avatar/21199880120250712162537GAU9D0.jpg</v>
          </cell>
        </row>
        <row r="185">
          <cell r="I185" t="str">
            <v>JBK3E1574693</v>
          </cell>
          <cell r="J185" t="str">
            <v>X123YZ</v>
          </cell>
          <cell r="K185" t="str">
            <v>KPB1</v>
          </cell>
          <cell r="L185">
            <v>559</v>
          </cell>
          <cell r="M185" t="str">
            <v>2025-05-19</v>
          </cell>
          <cell r="N185" t="str">
            <v>2025-07-12</v>
          </cell>
          <cell r="O185" t="str">
            <v>https://fruitbasket.blob.core.windows.net/gk2o5k/avatar/21199880120250712162111L0CBIM.jpg</v>
          </cell>
        </row>
        <row r="186">
          <cell r="I186" t="str">
            <v>JBK1E2109114</v>
          </cell>
          <cell r="J186" t="str">
            <v>X123YZ</v>
          </cell>
          <cell r="K186" t="str">
            <v>KPB1</v>
          </cell>
          <cell r="L186">
            <v>455</v>
          </cell>
          <cell r="M186" t="str">
            <v>2025-07-02</v>
          </cell>
          <cell r="N186" t="str">
            <v>2025-07-12</v>
          </cell>
          <cell r="O186" t="str">
            <v>https://fruitbasket.blob.core.windows.net/gk2o5k/avatar/21346977920250712160226PFCZ4A.jpg</v>
          </cell>
        </row>
        <row r="187">
          <cell r="I187" t="str">
            <v>JBK3E1582487</v>
          </cell>
          <cell r="J187" t="str">
            <v>KB2487XY</v>
          </cell>
          <cell r="K187" t="str">
            <v>KPB1</v>
          </cell>
          <cell r="L187">
            <v>166</v>
          </cell>
          <cell r="M187" t="str">
            <v>2025-07-04</v>
          </cell>
          <cell r="N187" t="str">
            <v>2025-07-12</v>
          </cell>
          <cell r="O187" t="str">
            <v>https://fruitbasket.blob.core.windows.net/gk2o5k/avatar/211990567202507121557463H7PRC.jpg</v>
          </cell>
        </row>
        <row r="188">
          <cell r="I188" t="str">
            <v>JBK1E2106244</v>
          </cell>
          <cell r="J188" t="str">
            <v>X123YZ</v>
          </cell>
          <cell r="K188" t="str">
            <v>KPB1</v>
          </cell>
          <cell r="L188">
            <v>1058</v>
          </cell>
          <cell r="M188" t="str">
            <v>2025-06-17</v>
          </cell>
          <cell r="N188" t="str">
            <v>2025-07-12</v>
          </cell>
          <cell r="O188" t="str">
            <v>https://fruitbasket.blob.core.windows.net/gk2o5k/avatar/21338973320250712154518PRFXRG.jpg</v>
          </cell>
        </row>
        <row r="189">
          <cell r="I189" t="str">
            <v>JBK3E1582495</v>
          </cell>
          <cell r="J189" t="str">
            <v>KB3333XY</v>
          </cell>
          <cell r="K189" t="str">
            <v>KPB1</v>
          </cell>
          <cell r="L189">
            <v>470</v>
          </cell>
          <cell r="M189" t="str">
            <v>1970-01-01</v>
          </cell>
          <cell r="N189" t="str">
            <v>2025-07-12</v>
          </cell>
          <cell r="O189" t="str">
            <v>https://fruitbasket.blob.core.windows.net/gk2o5k/avatar/2119952182025071215352216SN9S.jpg</v>
          </cell>
        </row>
        <row r="190">
          <cell r="I190" t="str">
            <v>KF01E1898824</v>
          </cell>
          <cell r="J190" t="str">
            <v>KB3451GAN</v>
          </cell>
          <cell r="K190" t="str">
            <v>KPB2</v>
          </cell>
          <cell r="L190">
            <v>1120</v>
          </cell>
          <cell r="M190" t="str">
            <v>2025-06-04</v>
          </cell>
          <cell r="N190" t="str">
            <v>2025-07-12</v>
          </cell>
          <cell r="O190" t="str">
            <v>https://fruitbasket.blob.core.windows.net/gk2o5k/avatar/21204493620250712151022RFJBPT.jpg</v>
          </cell>
        </row>
        <row r="191">
          <cell r="I191" t="str">
            <v>JMH2E1131756</v>
          </cell>
          <cell r="J191" t="str">
            <v>KB2391YX</v>
          </cell>
          <cell r="K191" t="str">
            <v>KPB1</v>
          </cell>
          <cell r="L191">
            <v>988</v>
          </cell>
          <cell r="M191" t="str">
            <v>1970-01-01</v>
          </cell>
          <cell r="N191" t="str">
            <v>2025-07-12</v>
          </cell>
          <cell r="O191" t="str">
            <v>https://fruitbasket.blob.core.windows.net/gk2o5k/avatar/21204520220250712145700WDBU6C.jpg</v>
          </cell>
        </row>
        <row r="192">
          <cell r="I192" t="str">
            <v>JBK3E1578672</v>
          </cell>
          <cell r="J192" t="str">
            <v>X123YZ</v>
          </cell>
          <cell r="K192" t="str">
            <v>KPB1</v>
          </cell>
          <cell r="L192">
            <v>154</v>
          </cell>
          <cell r="M192" t="str">
            <v>2025-06-14</v>
          </cell>
          <cell r="N192" t="str">
            <v>2025-07-12</v>
          </cell>
          <cell r="O192" t="str">
            <v>https://fruitbasket.blob.core.windows.net/gk2o5k/avatar/212045202202507121450548KZRDO.jpg</v>
          </cell>
        </row>
        <row r="193">
          <cell r="I193" t="str">
            <v>JBK3E1578106</v>
          </cell>
          <cell r="J193" t="str">
            <v>KB2216XY</v>
          </cell>
          <cell r="K193" t="str">
            <v>KPB1</v>
          </cell>
          <cell r="L193">
            <v>565</v>
          </cell>
          <cell r="M193" t="str">
            <v>2025-06-04</v>
          </cell>
          <cell r="N193" t="str">
            <v>2025-07-12</v>
          </cell>
          <cell r="O193" t="str">
            <v>https://fruitbasket.blob.core.windows.net/gk2o5k/avatar/211975140202507121444185QMF6M.jpg</v>
          </cell>
        </row>
        <row r="194">
          <cell r="I194" t="str">
            <v>JBK3E1577559</v>
          </cell>
          <cell r="J194" t="str">
            <v>X123YZ</v>
          </cell>
          <cell r="K194" t="str">
            <v>KPB1</v>
          </cell>
          <cell r="L194">
            <v>891</v>
          </cell>
          <cell r="M194" t="str">
            <v>2025-06-07</v>
          </cell>
          <cell r="N194" t="str">
            <v>2025-07-12</v>
          </cell>
          <cell r="O194" t="str">
            <v>https://fruitbasket.blob.core.windows.net/gk2o5k/avatar/21197514020250712143249IHRC2S.jpg</v>
          </cell>
        </row>
        <row r="195">
          <cell r="I195" t="str">
            <v>JMH2E1370788</v>
          </cell>
          <cell r="J195" t="str">
            <v>X123YZ</v>
          </cell>
          <cell r="K195" t="str">
            <v>KPB1</v>
          </cell>
          <cell r="L195">
            <v>167</v>
          </cell>
          <cell r="M195" t="str">
            <v>2025-07-03</v>
          </cell>
          <cell r="N195" t="str">
            <v>2025-07-12</v>
          </cell>
          <cell r="O195" t="str">
            <v>https://fruitbasket.blob.core.windows.net/gk2o5k/avatar/2670108120250712140008WFU43H.jpg</v>
          </cell>
        </row>
        <row r="196">
          <cell r="I196" t="str">
            <v>JME1E1490423</v>
          </cell>
          <cell r="J196" t="str">
            <v>X123YZ</v>
          </cell>
          <cell r="K196" t="str">
            <v>KPB1</v>
          </cell>
          <cell r="L196">
            <v>1088</v>
          </cell>
          <cell r="M196" t="str">
            <v>2025-05-22</v>
          </cell>
          <cell r="N196" t="str">
            <v>2025-07-12</v>
          </cell>
          <cell r="O196" t="str">
            <v>https://fruitbasket.blob.core.windows.net/gk2o5k/avatar/21322163220250712134127V7AQ7U.jpg</v>
          </cell>
        </row>
        <row r="197">
          <cell r="I197" t="str">
            <v>KD11E1611569</v>
          </cell>
          <cell r="J197" t="str">
            <v>X123YZ</v>
          </cell>
          <cell r="K197" t="str">
            <v>KPB1</v>
          </cell>
          <cell r="L197">
            <v>304</v>
          </cell>
          <cell r="M197" t="str">
            <v>2025-07-04</v>
          </cell>
          <cell r="N197" t="str">
            <v>2025-07-12</v>
          </cell>
          <cell r="O197" t="str">
            <v>https://fruitbasket.blob.core.windows.net/gk2o5k/avatar/211981446202507121325277DYXUG.jpg</v>
          </cell>
        </row>
        <row r="198">
          <cell r="I198" t="str">
            <v>KD11E1609323</v>
          </cell>
          <cell r="J198" t="str">
            <v>KB9323XX</v>
          </cell>
          <cell r="K198" t="str">
            <v>KPB1</v>
          </cell>
          <cell r="L198">
            <v>788</v>
          </cell>
          <cell r="M198" t="str">
            <v>1970-01-01</v>
          </cell>
          <cell r="N198" t="str">
            <v>2025-07-11</v>
          </cell>
          <cell r="O198" t="str">
            <v>https://fruitbasket.blob.core.windows.net/gk2o5k/avatar/211985707202507111704224GQTMP.jpg</v>
          </cell>
        </row>
        <row r="199">
          <cell r="I199" t="str">
            <v>JBK1E2108365</v>
          </cell>
          <cell r="J199" t="str">
            <v>X123YZ</v>
          </cell>
          <cell r="K199" t="str">
            <v>KPB1</v>
          </cell>
          <cell r="L199">
            <v>320</v>
          </cell>
          <cell r="M199" t="str">
            <v>2025-06-21</v>
          </cell>
          <cell r="N199" t="str">
            <v>2025-07-11</v>
          </cell>
          <cell r="O199" t="str">
            <v>https://fruitbasket.blob.core.windows.net/gk2o5k/avatar/21198570720250711165343ADTKA7.jpg</v>
          </cell>
        </row>
        <row r="200">
          <cell r="I200" t="str">
            <v>JBK1E2098712</v>
          </cell>
          <cell r="J200" t="str">
            <v>KB8712XY</v>
          </cell>
          <cell r="K200" t="str">
            <v>KPB1</v>
          </cell>
          <cell r="L200">
            <v>638</v>
          </cell>
          <cell r="M200" t="str">
            <v>2025-05-03</v>
          </cell>
          <cell r="N200" t="str">
            <v>2025-07-11</v>
          </cell>
          <cell r="O200" t="str">
            <v>https://fruitbasket.blob.core.windows.net/gk2o5k/avatar/21195503820250711162714ZZ33B9.jpg</v>
          </cell>
        </row>
        <row r="201">
          <cell r="I201" t="str">
            <v>JBK3E1578139</v>
          </cell>
          <cell r="J201" t="str">
            <v>X123YZ</v>
          </cell>
          <cell r="K201" t="str">
            <v>KPB1</v>
          </cell>
          <cell r="L201">
            <v>559</v>
          </cell>
          <cell r="M201" t="str">
            <v>2025-06-13</v>
          </cell>
          <cell r="N201" t="str">
            <v>2025-07-11</v>
          </cell>
          <cell r="O201" t="str">
            <v>https://fruitbasket.blob.core.windows.net/gk2o5k/avatar/21195443620250711161646ZUGGPJ.jpg</v>
          </cell>
        </row>
        <row r="202">
          <cell r="I202" t="str">
            <v>JBK1E2100109</v>
          </cell>
          <cell r="J202" t="str">
            <v>X123YZ</v>
          </cell>
          <cell r="K202" t="str">
            <v>KPB1</v>
          </cell>
          <cell r="L202">
            <v>433</v>
          </cell>
          <cell r="M202" t="str">
            <v>2025-05-14</v>
          </cell>
          <cell r="N202" t="str">
            <v>2025-07-11</v>
          </cell>
          <cell r="O202" t="str">
            <v>https://fruitbasket.blob.core.windows.net/gk2o5k/avatar/21195503820250711160940EUGCEV.jpg</v>
          </cell>
        </row>
        <row r="203">
          <cell r="I203" t="str">
            <v>JMH1E1188276</v>
          </cell>
          <cell r="J203" t="str">
            <v>KB8276XY</v>
          </cell>
          <cell r="K203" t="str">
            <v>KPB1</v>
          </cell>
          <cell r="L203">
            <v>421</v>
          </cell>
          <cell r="M203" t="str">
            <v>2025-06-14</v>
          </cell>
          <cell r="N203" t="str">
            <v>2025-07-11</v>
          </cell>
          <cell r="O203" t="str">
            <v>https://fruitbasket.blob.core.windows.net/gk2o5k/avatar/21335509220250711155856B7PTIC.jpg</v>
          </cell>
        </row>
        <row r="204">
          <cell r="I204" t="str">
            <v>JMH2E1180004</v>
          </cell>
          <cell r="J204" t="str">
            <v>KB6119VA</v>
          </cell>
          <cell r="K204" t="str">
            <v>KPB1</v>
          </cell>
          <cell r="L204">
            <v>513</v>
          </cell>
          <cell r="M204" t="str">
            <v>1970-01-01</v>
          </cell>
          <cell r="N204" t="str">
            <v>2025-07-11</v>
          </cell>
          <cell r="O204" t="str">
            <v>https://fruitbasket.blob.core.windows.net/gk2o5k/avatar/21193445520250711155441UGJRRW.jpg</v>
          </cell>
        </row>
        <row r="205">
          <cell r="I205" t="str">
            <v>KC04E1004839</v>
          </cell>
          <cell r="J205" t="str">
            <v>X123YZ</v>
          </cell>
          <cell r="K205" t="str">
            <v>KPB1</v>
          </cell>
          <cell r="L205">
            <v>362</v>
          </cell>
          <cell r="M205" t="str">
            <v>2025-06-17</v>
          </cell>
          <cell r="N205" t="str">
            <v>2025-07-11</v>
          </cell>
          <cell r="O205" t="str">
            <v>https://fruitbasket.blob.core.windows.net/gk2o5k/avatar/211923134202507111547551PSLF3.jpg</v>
          </cell>
        </row>
        <row r="206">
          <cell r="I206" t="str">
            <v>JMH2E1367783</v>
          </cell>
          <cell r="J206" t="str">
            <v>KB2367YX</v>
          </cell>
          <cell r="K206" t="str">
            <v>KPB1</v>
          </cell>
          <cell r="L206">
            <v>1055</v>
          </cell>
          <cell r="M206" t="str">
            <v>1970-01-01</v>
          </cell>
          <cell r="N206" t="str">
            <v>2025-07-11</v>
          </cell>
          <cell r="O206" t="str">
            <v>https://fruitbasket.blob.core.windows.net/gk2o5k/avatar/21192313420250711154246D1JP3D.jpg</v>
          </cell>
        </row>
        <row r="207">
          <cell r="I207" t="str">
            <v>KD11E1580715</v>
          </cell>
          <cell r="J207" t="str">
            <v>KB2359YX</v>
          </cell>
          <cell r="K207" t="str">
            <v>KPB3</v>
          </cell>
          <cell r="L207">
            <v>4962</v>
          </cell>
          <cell r="M207" t="str">
            <v>1970-01-01</v>
          </cell>
          <cell r="N207" t="str">
            <v>2025-07-11</v>
          </cell>
          <cell r="O207" t="str">
            <v>https://fruitbasket.blob.core.windows.net/gk2o5k/avatar/21192393220250711153807DULWBV.jpg</v>
          </cell>
        </row>
        <row r="208">
          <cell r="I208" t="str">
            <v>JMH2E1164900</v>
          </cell>
          <cell r="J208" t="str">
            <v>KB2368YX</v>
          </cell>
          <cell r="K208" t="str">
            <v>KPB2</v>
          </cell>
          <cell r="L208">
            <v>838</v>
          </cell>
          <cell r="M208" t="str">
            <v>1970-01-01</v>
          </cell>
          <cell r="N208" t="str">
            <v>2025-07-11</v>
          </cell>
          <cell r="O208" t="str">
            <v>https://fruitbasket.blob.core.windows.net/gk2o5k/avatar/21192393220250711153341HISFMR.jpg</v>
          </cell>
        </row>
        <row r="209">
          <cell r="I209" t="str">
            <v>JMC1E1654819</v>
          </cell>
          <cell r="J209" t="str">
            <v>X123YZ</v>
          </cell>
          <cell r="K209" t="str">
            <v>KPB1</v>
          </cell>
          <cell r="L209">
            <v>851</v>
          </cell>
          <cell r="M209" t="str">
            <v>2025-06-23</v>
          </cell>
          <cell r="N209" t="str">
            <v>2025-07-11</v>
          </cell>
          <cell r="O209" t="str">
            <v>https://fruitbasket.blob.core.windows.net/gk2o5k/avatar/21192393220250711152701MCXFRH.jpg</v>
          </cell>
        </row>
        <row r="210">
          <cell r="I210" t="str">
            <v>JBK1E2107417</v>
          </cell>
          <cell r="J210" t="str">
            <v>X123YZ</v>
          </cell>
          <cell r="K210" t="str">
            <v>KPB1</v>
          </cell>
          <cell r="L210">
            <v>185</v>
          </cell>
          <cell r="M210" t="str">
            <v>2025-06-20</v>
          </cell>
          <cell r="N210" t="str">
            <v>2025-07-11</v>
          </cell>
          <cell r="O210" t="str">
            <v>https://fruitbasket.blob.core.windows.net/gk2o5k/avatar/21192556320250711151416XABVKO.jpg</v>
          </cell>
        </row>
        <row r="211">
          <cell r="I211" t="str">
            <v>JMH1E1179650</v>
          </cell>
          <cell r="J211" t="str">
            <v>KB7650XY</v>
          </cell>
          <cell r="K211" t="str">
            <v>KPB1</v>
          </cell>
          <cell r="L211">
            <v>871</v>
          </cell>
          <cell r="M211" t="str">
            <v>1970-01-01</v>
          </cell>
          <cell r="N211" t="str">
            <v>2025-07-11</v>
          </cell>
          <cell r="O211" t="str">
            <v>https://fruitbasket.blob.core.windows.net/gk2o5k/avatar/21336051620250711144832JCSP3T.jpg</v>
          </cell>
        </row>
        <row r="212">
          <cell r="I212" t="str">
            <v>JBP1E2109402</v>
          </cell>
          <cell r="J212" t="str">
            <v>KB9402XY</v>
          </cell>
          <cell r="K212" t="str">
            <v>KPB1</v>
          </cell>
          <cell r="L212">
            <v>1010</v>
          </cell>
          <cell r="M212" t="str">
            <v>1970-01-01</v>
          </cell>
          <cell r="N212" t="str">
            <v>2025-07-11</v>
          </cell>
          <cell r="O212" t="str">
            <v>https://fruitbasket.blob.core.windows.net/gk2o5k/avatar/21192879420250711144029TUDLKK.jpg</v>
          </cell>
        </row>
        <row r="213">
          <cell r="I213" t="str">
            <v>JBK1E2085014</v>
          </cell>
          <cell r="J213" t="str">
            <v>X123YZ</v>
          </cell>
          <cell r="K213" t="str">
            <v>KPB4</v>
          </cell>
          <cell r="L213">
            <v>1830</v>
          </cell>
          <cell r="M213" t="str">
            <v>2025-03-24</v>
          </cell>
          <cell r="N213" t="str">
            <v>2025-07-11</v>
          </cell>
          <cell r="O213" t="str">
            <v>https://fruitbasket.blob.core.windows.net/gk2o5k/avatar/21289034320250711141900EHWA8O.jpg</v>
          </cell>
        </row>
        <row r="214">
          <cell r="I214" t="str">
            <v>JBK3E1578520</v>
          </cell>
          <cell r="J214" t="str">
            <v>KB8520XY</v>
          </cell>
          <cell r="K214" t="str">
            <v>KPB1</v>
          </cell>
          <cell r="L214">
            <v>827</v>
          </cell>
          <cell r="M214" t="str">
            <v>1970-01-01</v>
          </cell>
          <cell r="N214" t="str">
            <v>2025-07-11</v>
          </cell>
          <cell r="O214" t="str">
            <v>https://fruitbasket.blob.core.windows.net/gk2o5k/avatar/211939503202507111404323JYI1K.jpg</v>
          </cell>
        </row>
        <row r="215">
          <cell r="I215" t="str">
            <v>JMF1E1257918</v>
          </cell>
          <cell r="J215" t="str">
            <v>X123YZ</v>
          </cell>
          <cell r="K215" t="str">
            <v>KPB1</v>
          </cell>
          <cell r="L215">
            <v>1086</v>
          </cell>
          <cell r="M215" t="str">
            <v>2025-06-11</v>
          </cell>
          <cell r="N215" t="str">
            <v>2025-07-11</v>
          </cell>
          <cell r="O215" t="str">
            <v>https://fruitbasket.blob.core.windows.net/gk2o5k/avatar/21193984320250711135903WJGU6I.jpg</v>
          </cell>
        </row>
        <row r="216">
          <cell r="I216" t="str">
            <v>JBK3E1576817</v>
          </cell>
          <cell r="J216" t="str">
            <v>X123YZ</v>
          </cell>
          <cell r="K216" t="str">
            <v>KPB1</v>
          </cell>
          <cell r="L216">
            <v>458</v>
          </cell>
          <cell r="M216" t="str">
            <v>2025-05-31</v>
          </cell>
          <cell r="N216" t="str">
            <v>2025-07-11</v>
          </cell>
          <cell r="O216" t="str">
            <v>https://fruitbasket.blob.core.windows.net/gk2o5k/avatar/21193984320250711135047BAAD3I.jpg</v>
          </cell>
        </row>
        <row r="217">
          <cell r="I217" t="str">
            <v>KC04E1006397</v>
          </cell>
          <cell r="J217" t="str">
            <v>X123YZ</v>
          </cell>
          <cell r="K217" t="str">
            <v>KPB1</v>
          </cell>
          <cell r="L217">
            <v>713</v>
          </cell>
          <cell r="M217" t="str">
            <v>2025-06-18</v>
          </cell>
          <cell r="N217" t="str">
            <v>2025-07-11</v>
          </cell>
          <cell r="O217" t="str">
            <v>https://fruitbasket.blob.core.windows.net/gk2o5k/avatar/21342805120250711114438AZLFIW.jpg</v>
          </cell>
        </row>
        <row r="218">
          <cell r="I218" t="str">
            <v>JBK3E1581390</v>
          </cell>
          <cell r="J218" t="str">
            <v>X123YZ</v>
          </cell>
          <cell r="K218" t="str">
            <v>KPB1</v>
          </cell>
          <cell r="L218">
            <v>462</v>
          </cell>
          <cell r="M218" t="str">
            <v>2025-06-28</v>
          </cell>
          <cell r="N218" t="str">
            <v>2025-07-11</v>
          </cell>
          <cell r="O218" t="str">
            <v>https://fruitbasket.blob.core.windows.net/gk2o5k/avatar/21106217720250711112336UCNSGL.jpg</v>
          </cell>
        </row>
        <row r="219">
          <cell r="I219" t="str">
            <v>JMC1E1561541</v>
          </cell>
          <cell r="J219" t="str">
            <v>KB1541XY</v>
          </cell>
          <cell r="K219" t="str">
            <v>KPB3</v>
          </cell>
          <cell r="L219">
            <v>1794</v>
          </cell>
          <cell r="M219" t="str">
            <v>2025-02-08</v>
          </cell>
          <cell r="N219" t="str">
            <v>2025-07-10</v>
          </cell>
          <cell r="O219" t="str">
            <v>https://fruitbasket.blob.core.windows.net/gk2o5k/avatar/212632878202507101605455OPO8O.jpg</v>
          </cell>
        </row>
        <row r="220">
          <cell r="I220" t="str">
            <v>JBK3E1582018</v>
          </cell>
          <cell r="J220" t="str">
            <v>X123YZ</v>
          </cell>
          <cell r="K220" t="str">
            <v>KPB1</v>
          </cell>
          <cell r="L220">
            <v>236</v>
          </cell>
          <cell r="M220" t="str">
            <v>2025-07-03</v>
          </cell>
          <cell r="N220" t="str">
            <v>2025-07-10</v>
          </cell>
          <cell r="O220" t="str">
            <v>https://fruitbasket.blob.core.windows.net/gk2o5k/avatar/21094802720250710135509MDTTB3.jpg</v>
          </cell>
        </row>
        <row r="221">
          <cell r="I221" t="str">
            <v>JBK1E2107047</v>
          </cell>
          <cell r="J221" t="str">
            <v>X123YZ</v>
          </cell>
          <cell r="K221" t="str">
            <v>KPB1</v>
          </cell>
          <cell r="L221">
            <v>962</v>
          </cell>
          <cell r="M221" t="str">
            <v>2025-06-19</v>
          </cell>
          <cell r="N221" t="str">
            <v>2025-07-10</v>
          </cell>
          <cell r="O221" t="str">
            <v>https://fruitbasket.blob.core.windows.net/gk2o5k/avatar/21094802720250710134931FWOG2Z.jpg</v>
          </cell>
        </row>
        <row r="222">
          <cell r="I222" t="str">
            <v>JME1E1487523</v>
          </cell>
          <cell r="J222" t="str">
            <v>KB7523XX</v>
          </cell>
          <cell r="K222" t="str">
            <v>KPB1</v>
          </cell>
          <cell r="L222">
            <v>379</v>
          </cell>
          <cell r="M222" t="str">
            <v>2025-05-14</v>
          </cell>
          <cell r="N222" t="str">
            <v>2025-07-10</v>
          </cell>
          <cell r="O222" t="str">
            <v>https://fruitbasket.blob.core.windows.net/gk2o5k/avatar/21199116920250710103536TOWXA5.jpg</v>
          </cell>
        </row>
        <row r="223">
          <cell r="I223" t="str">
            <v>JMC1E1615791</v>
          </cell>
          <cell r="J223" t="str">
            <v>X123YZ</v>
          </cell>
          <cell r="K223" t="str">
            <v>KPB2</v>
          </cell>
          <cell r="L223">
            <v>2641</v>
          </cell>
          <cell r="M223" t="str">
            <v>2025-05-08</v>
          </cell>
          <cell r="N223" t="str">
            <v>2025-07-10</v>
          </cell>
          <cell r="O223" t="str">
            <v>https://fruitbasket.blob.core.windows.net/gk2o5k/avatar/21195161620250710101042TI1TKO.jpg</v>
          </cell>
        </row>
        <row r="224">
          <cell r="I224" t="str">
            <v>JBK1E2105448</v>
          </cell>
          <cell r="J224" t="str">
            <v>X123YZ</v>
          </cell>
          <cell r="K224" t="str">
            <v>KPB1</v>
          </cell>
          <cell r="L224">
            <v>733</v>
          </cell>
          <cell r="M224" t="str">
            <v>2025-06-16</v>
          </cell>
          <cell r="N224" t="str">
            <v>2025-07-09</v>
          </cell>
          <cell r="O224" t="str">
            <v>https://fruitbasket.blob.core.windows.net/gk2o5k/avatar/21233435820250709170145FOFGA6.jpg</v>
          </cell>
        </row>
        <row r="225">
          <cell r="I225" t="str">
            <v>JM04E2227321</v>
          </cell>
          <cell r="J225" t="str">
            <v>KB7738XY</v>
          </cell>
          <cell r="K225" t="str">
            <v>KPB4</v>
          </cell>
          <cell r="L225">
            <v>7050</v>
          </cell>
          <cell r="M225" t="str">
            <v>2024-09-19</v>
          </cell>
          <cell r="N225" t="str">
            <v>2025-07-09</v>
          </cell>
          <cell r="O225" t="str">
            <v>https://fruitbasket.blob.core.windows.net/gk2o5k/avatar/21187365820250709163525CUPRLV.jpg</v>
          </cell>
        </row>
        <row r="226">
          <cell r="I226" t="str">
            <v>JBK1E2067868</v>
          </cell>
          <cell r="J226" t="str">
            <v>KB7868XY</v>
          </cell>
          <cell r="K226" t="str">
            <v>KPB3</v>
          </cell>
          <cell r="L226">
            <v>2122</v>
          </cell>
          <cell r="M226" t="str">
            <v>2024-12-13</v>
          </cell>
          <cell r="N226" t="str">
            <v>2025-07-09</v>
          </cell>
          <cell r="O226" t="str">
            <v>https://fruitbasket.blob.core.windows.net/gk2o5k/avatar/21233082320250709163322BPXCVM.jpg</v>
          </cell>
        </row>
        <row r="227">
          <cell r="I227" t="str">
            <v>JBK1E2068822</v>
          </cell>
          <cell r="J227" t="str">
            <v>KB8822XY</v>
          </cell>
          <cell r="K227" t="str">
            <v>KPB3</v>
          </cell>
          <cell r="L227">
            <v>3399</v>
          </cell>
          <cell r="M227" t="str">
            <v>2024-12-20</v>
          </cell>
          <cell r="N227" t="str">
            <v>2025-07-09</v>
          </cell>
          <cell r="O227" t="str">
            <v>https://fruitbasket.blob.core.windows.net/gk2o5k/avatar/21236635320250709163115X50OZC.jpg</v>
          </cell>
        </row>
        <row r="228">
          <cell r="I228" t="str">
            <v>JBK1E2096655</v>
          </cell>
          <cell r="J228" t="str">
            <v>KB6655XY</v>
          </cell>
          <cell r="K228" t="str">
            <v>KPB2</v>
          </cell>
          <cell r="L228">
            <v>1772</v>
          </cell>
          <cell r="M228" t="str">
            <v>2025-04-29</v>
          </cell>
          <cell r="N228" t="str">
            <v>2025-07-09</v>
          </cell>
          <cell r="O228" t="str">
            <v>https://fruitbasket.blob.core.windows.net/gk2o5k/avatar/21233508320250709162834CSD82A.jpg</v>
          </cell>
        </row>
        <row r="229">
          <cell r="I229" t="str">
            <v>JBK1E2095420</v>
          </cell>
          <cell r="J229" t="str">
            <v>KB2234XY</v>
          </cell>
          <cell r="K229" t="str">
            <v>KPB2</v>
          </cell>
          <cell r="L229">
            <v>1162</v>
          </cell>
          <cell r="M229" t="str">
            <v>2025-04-11</v>
          </cell>
          <cell r="N229" t="str">
            <v>2025-07-09</v>
          </cell>
          <cell r="O229" t="str">
            <v>https://fruitbasket.blob.core.windows.net/gk2o5k/avatar/212979298202507091612408OUGIX.jpg</v>
          </cell>
        </row>
        <row r="230">
          <cell r="I230" t="str">
            <v>JMG1E1337423</v>
          </cell>
          <cell r="J230" t="str">
            <v>KB7423XY</v>
          </cell>
          <cell r="K230" t="str">
            <v>KPB2</v>
          </cell>
          <cell r="L230">
            <v>1278</v>
          </cell>
          <cell r="M230" t="str">
            <v>2025-04-07</v>
          </cell>
          <cell r="N230" t="str">
            <v>2025-07-09</v>
          </cell>
          <cell r="O230" t="str">
            <v>https://fruitbasket.blob.core.windows.net/gk2o5k/avatar/212979298202507091608180UCSEK.jpg</v>
          </cell>
        </row>
        <row r="231">
          <cell r="I231" t="str">
            <v>JME1E1568597</v>
          </cell>
          <cell r="J231" t="str">
            <v>KB8597XY</v>
          </cell>
          <cell r="K231" t="str">
            <v>KPB1</v>
          </cell>
          <cell r="L231">
            <v>186</v>
          </cell>
          <cell r="M231" t="str">
            <v>2025-06-30</v>
          </cell>
          <cell r="N231" t="str">
            <v>2025-07-09</v>
          </cell>
          <cell r="O231" t="str">
            <v>https://fruitbasket.blob.core.windows.net/gk2o5k/avatar/213458401202507091602119DVEYT.jpg</v>
          </cell>
        </row>
        <row r="232">
          <cell r="I232" t="str">
            <v>JBK1E2067680</v>
          </cell>
          <cell r="J232" t="str">
            <v>X123YZ</v>
          </cell>
          <cell r="K232" t="str">
            <v>KPB3</v>
          </cell>
          <cell r="L232">
            <v>1856</v>
          </cell>
          <cell r="M232" t="str">
            <v>2024-12-17</v>
          </cell>
          <cell r="N232" t="str">
            <v>2025-07-09</v>
          </cell>
          <cell r="O232" t="str">
            <v>https://fruitbasket.blob.core.windows.net/gk2o5k/avatar/21233663320250709155951SHIK4O.jpg</v>
          </cell>
        </row>
        <row r="233">
          <cell r="I233" t="str">
            <v>KC02E1282794</v>
          </cell>
          <cell r="J233" t="str">
            <v>KB2794XY</v>
          </cell>
          <cell r="K233" t="str">
            <v>KPB3</v>
          </cell>
          <cell r="L233">
            <v>4541</v>
          </cell>
          <cell r="M233" t="str">
            <v>2024-12-24</v>
          </cell>
          <cell r="N233" t="str">
            <v>2025-07-09</v>
          </cell>
          <cell r="O233" t="str">
            <v>https://fruitbasket.blob.core.windows.net/gk2o5k/avatar/21233663320250709155443LYADJB.jpg</v>
          </cell>
        </row>
        <row r="234">
          <cell r="I234" t="str">
            <v>JBK1E2067783</v>
          </cell>
          <cell r="J234" t="str">
            <v>X123YZ</v>
          </cell>
          <cell r="K234" t="str">
            <v>KPB3</v>
          </cell>
          <cell r="L234">
            <v>2410</v>
          </cell>
          <cell r="M234" t="str">
            <v>2024-12-18</v>
          </cell>
          <cell r="N234" t="str">
            <v>2025-07-09</v>
          </cell>
          <cell r="O234" t="str">
            <v>https://fruitbasket.blob.core.windows.net/gk2o5k/avatar/21234345220250709155001IU270O.jpg</v>
          </cell>
        </row>
        <row r="235">
          <cell r="I235" t="str">
            <v>JBK3E1551893</v>
          </cell>
          <cell r="J235" t="str">
            <v>KB1893XY</v>
          </cell>
          <cell r="K235" t="str">
            <v>KPB3</v>
          </cell>
          <cell r="L235">
            <v>3612</v>
          </cell>
          <cell r="M235" t="str">
            <v>2024-12-16</v>
          </cell>
          <cell r="N235" t="str">
            <v>2025-07-09</v>
          </cell>
          <cell r="O235" t="str">
            <v>https://fruitbasket.blob.core.windows.net/gk2o5k/avatar/21234345220250709153439YWOCNU.jpg</v>
          </cell>
        </row>
        <row r="236">
          <cell r="I236" t="str">
            <v>JBK3E1553496</v>
          </cell>
          <cell r="J236" t="str">
            <v>KB3496XY</v>
          </cell>
          <cell r="K236" t="str">
            <v>KPB3</v>
          </cell>
          <cell r="L236">
            <v>4122</v>
          </cell>
          <cell r="M236" t="str">
            <v>2024-12-14</v>
          </cell>
          <cell r="N236" t="str">
            <v>2025-07-09</v>
          </cell>
          <cell r="O236" t="str">
            <v>https://fruitbasket.blob.core.windows.net/gk2o5k/avatar/21233663320250709152403JXIR2Q.jpg</v>
          </cell>
        </row>
        <row r="237">
          <cell r="I237" t="str">
            <v>JBK1E2051502</v>
          </cell>
          <cell r="J237" t="str">
            <v>X123YZ</v>
          </cell>
          <cell r="K237" t="str">
            <v>KPB4</v>
          </cell>
          <cell r="L237">
            <v>7571</v>
          </cell>
          <cell r="M237" t="str">
            <v>2024-10-16</v>
          </cell>
          <cell r="N237" t="str">
            <v>2025-07-09</v>
          </cell>
          <cell r="O237" t="str">
            <v>https://fruitbasket.blob.core.windows.net/gk2o5k/avatar/21208114420250709151945UUJKLM.jpg</v>
          </cell>
        </row>
        <row r="238">
          <cell r="I238" t="str">
            <v>JBK1E2052231</v>
          </cell>
          <cell r="K238" t="str">
            <v>KPB4</v>
          </cell>
          <cell r="L238">
            <v>5750</v>
          </cell>
          <cell r="M238" t="str">
            <v>2024-10-15</v>
          </cell>
          <cell r="N238" t="str">
            <v>2025-07-09</v>
          </cell>
          <cell r="O238" t="str">
            <v>https://fruitbasket.blob.core.windows.net/gk2o5k/avatar/21199468020250709151538QT9LLJ.jpg</v>
          </cell>
        </row>
        <row r="239">
          <cell r="I239" t="str">
            <v>JBP1E2061602</v>
          </cell>
          <cell r="J239" t="str">
            <v>KB1602XY</v>
          </cell>
          <cell r="K239" t="str">
            <v>KPB4</v>
          </cell>
          <cell r="L239">
            <v>3849</v>
          </cell>
          <cell r="M239" t="str">
            <v>2024-10-11</v>
          </cell>
          <cell r="N239" t="str">
            <v>2025-07-09</v>
          </cell>
          <cell r="O239" t="str">
            <v>https://fruitbasket.blob.core.windows.net/gk2o5k/avatar/21078417920250709151000PJEE4A.jpg</v>
          </cell>
        </row>
        <row r="240">
          <cell r="I240" t="str">
            <v>JBK1E2053896</v>
          </cell>
          <cell r="J240" t="str">
            <v>KB3896XY</v>
          </cell>
          <cell r="K240" t="str">
            <v>KPB4</v>
          </cell>
          <cell r="L240">
            <v>5750</v>
          </cell>
          <cell r="M240" t="str">
            <v>2024-10-15</v>
          </cell>
          <cell r="N240" t="str">
            <v>2025-07-09</v>
          </cell>
          <cell r="O240" t="str">
            <v>https://fruitbasket.blob.core.windows.net/gk2o5k/avatar/21199510220250709145802XAECNQ.jpg</v>
          </cell>
        </row>
        <row r="241">
          <cell r="I241" t="str">
            <v>JM03E1812709</v>
          </cell>
          <cell r="J241" t="str">
            <v>X123YZ</v>
          </cell>
          <cell r="K241" t="str">
            <v>KPB4</v>
          </cell>
          <cell r="L241">
            <v>6097</v>
          </cell>
          <cell r="M241" t="str">
            <v>2024-10-29</v>
          </cell>
          <cell r="N241" t="str">
            <v>2025-07-09</v>
          </cell>
          <cell r="O241" t="str">
            <v>https://fruitbasket.blob.core.windows.net/gk2o5k/avatar/21209123820250709145239MBLY3W.jpg</v>
          </cell>
        </row>
        <row r="242">
          <cell r="I242" t="str">
            <v>KC04E1003249</v>
          </cell>
          <cell r="J242" t="str">
            <v>X123YZ</v>
          </cell>
          <cell r="K242" t="str">
            <v>KPB1</v>
          </cell>
          <cell r="L242">
            <v>716</v>
          </cell>
          <cell r="M242" t="str">
            <v>2025-05-21</v>
          </cell>
          <cell r="N242" t="str">
            <v>2025-07-09</v>
          </cell>
          <cell r="O242" t="str">
            <v>https://fruitbasket.blob.core.windows.net/gk2o5k/avatar/21190434220250709144356ZWPGAP.jpg</v>
          </cell>
        </row>
        <row r="243">
          <cell r="I243" t="str">
            <v>JMC1E1636993</v>
          </cell>
          <cell r="J243" t="str">
            <v>KB6993XY</v>
          </cell>
          <cell r="K243" t="str">
            <v>KPB1</v>
          </cell>
          <cell r="L243">
            <v>461</v>
          </cell>
          <cell r="M243" t="str">
            <v>2025-06-04</v>
          </cell>
          <cell r="N243" t="str">
            <v>2025-07-09</v>
          </cell>
          <cell r="O243" t="str">
            <v>https://fruitbasket.blob.core.windows.net/gk2o5k/avatar/21332357320250709143342QVDSPW.jpg</v>
          </cell>
        </row>
        <row r="244">
          <cell r="I244" t="str">
            <v>JMF1E1259684</v>
          </cell>
          <cell r="J244" t="str">
            <v>KB9684XY</v>
          </cell>
          <cell r="K244" t="str">
            <v>KPB1</v>
          </cell>
          <cell r="L244">
            <v>1037</v>
          </cell>
          <cell r="M244" t="str">
            <v>1970-01-01</v>
          </cell>
          <cell r="N244" t="str">
            <v>2025-07-09</v>
          </cell>
          <cell r="O244" t="str">
            <v>https://fruitbasket.blob.core.windows.net/gk2o5k/avatar/21332285320250709142927W53HMZ.jpg</v>
          </cell>
        </row>
        <row r="245">
          <cell r="I245" t="str">
            <v>JBK1E2105696</v>
          </cell>
          <cell r="J245" t="str">
            <v>X123YZ</v>
          </cell>
          <cell r="K245" t="str">
            <v>KPB1</v>
          </cell>
          <cell r="L245">
            <v>616</v>
          </cell>
          <cell r="M245" t="str">
            <v>2025-06-16</v>
          </cell>
          <cell r="N245" t="str">
            <v>2025-07-09</v>
          </cell>
          <cell r="O245" t="str">
            <v>https://fruitbasket.blob.core.windows.net/gk2o5k/avatar/21190460720250709142114XW95EP.jpg</v>
          </cell>
        </row>
        <row r="246">
          <cell r="I246" t="str">
            <v>JBP1E2108264</v>
          </cell>
          <cell r="J246" t="str">
            <v>X123YZ</v>
          </cell>
          <cell r="K246" t="str">
            <v>KPB1</v>
          </cell>
          <cell r="L246">
            <v>991</v>
          </cell>
          <cell r="M246" t="str">
            <v>2025-06-20</v>
          </cell>
          <cell r="N246" t="str">
            <v>2025-07-09</v>
          </cell>
          <cell r="O246" t="str">
            <v>https://fruitbasket.blob.core.windows.net/gk2o5k/avatar/21193217320250709141306G52WT3.jpg</v>
          </cell>
        </row>
        <row r="247">
          <cell r="I247" t="str">
            <v>KFA1E1306329</v>
          </cell>
          <cell r="J247" t="str">
            <v>KB6329XY</v>
          </cell>
          <cell r="K247" t="str">
            <v>KPB1</v>
          </cell>
          <cell r="L247">
            <v>382</v>
          </cell>
          <cell r="M247" t="str">
            <v>2025-05-08</v>
          </cell>
          <cell r="N247" t="str">
            <v>2025-07-09</v>
          </cell>
          <cell r="O247" t="str">
            <v>https://fruitbasket.blob.core.windows.net/gk2o5k/avatar/21193255220250709140456NFRSIG.jpg</v>
          </cell>
        </row>
        <row r="248">
          <cell r="I248" t="str">
            <v>JMD1E1935073</v>
          </cell>
          <cell r="J248" t="str">
            <v>KB5073XY</v>
          </cell>
          <cell r="K248" t="str">
            <v>KPB1</v>
          </cell>
          <cell r="L248">
            <v>740</v>
          </cell>
          <cell r="M248" t="str">
            <v>2025-06-02</v>
          </cell>
          <cell r="N248" t="str">
            <v>2025-07-09</v>
          </cell>
          <cell r="O248" t="str">
            <v>https://fruitbasket.blob.core.windows.net/gk2o5k/avatar/21329493120250709135436LLBBFV.jpg</v>
          </cell>
        </row>
        <row r="249">
          <cell r="I249" t="str">
            <v>JMC1E1633694</v>
          </cell>
          <cell r="J249" t="str">
            <v>KB1234YX</v>
          </cell>
          <cell r="K249" t="str">
            <v>KPB1</v>
          </cell>
          <cell r="L249">
            <v>984</v>
          </cell>
          <cell r="M249" t="str">
            <v>1970-01-01</v>
          </cell>
          <cell r="N249" t="str">
            <v>2025-07-09</v>
          </cell>
          <cell r="O249" t="str">
            <v>https://fruitbasket.blob.core.windows.net/gk2o5k/avatar/21324940520250709134837DQS9OA.jpg</v>
          </cell>
        </row>
        <row r="250">
          <cell r="I250" t="str">
            <v>JBK1E2096773</v>
          </cell>
          <cell r="J250" t="str">
            <v>KB6773XX</v>
          </cell>
          <cell r="K250" t="str">
            <v>KPB2</v>
          </cell>
          <cell r="L250">
            <v>1486</v>
          </cell>
          <cell r="M250" t="str">
            <v>2025-04-23</v>
          </cell>
          <cell r="N250" t="str">
            <v>2025-07-09</v>
          </cell>
          <cell r="O250" t="str">
            <v>https://fruitbasket.blob.core.windows.net/gk2o5k/avatar/21193937020250709134252DO9NTU.jpg</v>
          </cell>
        </row>
        <row r="251">
          <cell r="I251" t="str">
            <v>JBK1E2097288</v>
          </cell>
          <cell r="J251" t="str">
            <v>X123YZ</v>
          </cell>
          <cell r="K251" t="str">
            <v>KPB2</v>
          </cell>
          <cell r="L251">
            <v>1036</v>
          </cell>
          <cell r="M251" t="str">
            <v>2025-04-30</v>
          </cell>
          <cell r="N251" t="str">
            <v>2025-07-09</v>
          </cell>
          <cell r="O251" t="str">
            <v>https://fruitbasket.blob.core.windows.net/gk2o5k/avatar/21311398520250709133530EQCQMB.jpg</v>
          </cell>
        </row>
        <row r="252">
          <cell r="I252" t="str">
            <v>JBK3E1580632</v>
          </cell>
          <cell r="J252" t="str">
            <v>KB0632XY</v>
          </cell>
          <cell r="K252" t="str">
            <v>KPB1</v>
          </cell>
          <cell r="L252">
            <v>217</v>
          </cell>
          <cell r="M252" t="str">
            <v>2025-06-24</v>
          </cell>
          <cell r="N252" t="str">
            <v>2025-07-09</v>
          </cell>
          <cell r="O252" t="str">
            <v>https://fruitbasket.blob.core.windows.net/gk2o5k/avatar/2134108692025070913290616ERTT.jpg</v>
          </cell>
        </row>
        <row r="253">
          <cell r="I253" t="str">
            <v>JMF1E1224683</v>
          </cell>
          <cell r="J253" t="str">
            <v>X123YZ</v>
          </cell>
          <cell r="K253" t="str">
            <v>KPB1</v>
          </cell>
          <cell r="L253">
            <v>379</v>
          </cell>
          <cell r="M253" t="str">
            <v>2025-06-10</v>
          </cell>
          <cell r="N253" t="str">
            <v>2025-07-09</v>
          </cell>
          <cell r="O253" t="str">
            <v>https://fruitbasket.blob.core.windows.net/gk2o5k/avatar/21332467420250709132407BQG3QG.jpg</v>
          </cell>
        </row>
        <row r="254">
          <cell r="I254" t="str">
            <v>KB22E1054556</v>
          </cell>
          <cell r="J254" t="str">
            <v>B4556VY</v>
          </cell>
          <cell r="K254" t="str">
            <v>KPB3</v>
          </cell>
          <cell r="L254">
            <v>2546</v>
          </cell>
          <cell r="M254" t="str">
            <v>2024-11-14</v>
          </cell>
          <cell r="N254" t="str">
            <v>2025-07-09</v>
          </cell>
          <cell r="O254" t="str">
            <v>https://fruitbasket.blob.core.windows.net/gk2o5k/avatar/21194980920250709131552PZK3AG.jpg</v>
          </cell>
        </row>
        <row r="255">
          <cell r="I255" t="str">
            <v>JBK1E2106565</v>
          </cell>
          <cell r="J255" t="str">
            <v>X123YZ</v>
          </cell>
          <cell r="K255" t="str">
            <v>KPB1</v>
          </cell>
          <cell r="L255">
            <v>422</v>
          </cell>
          <cell r="M255" t="str">
            <v>2025-06-17</v>
          </cell>
          <cell r="N255" t="str">
            <v>2025-07-09</v>
          </cell>
          <cell r="O255" t="str">
            <v>https://fruitbasket.blob.core.windows.net/gk2o5k/avatar/21342723220250709113919XAMCHO.jpg</v>
          </cell>
        </row>
        <row r="256">
          <cell r="I256" t="str">
            <v>JBK3E1570599</v>
          </cell>
          <cell r="J256" t="str">
            <v>KB0599XX</v>
          </cell>
          <cell r="K256" t="str">
            <v>KPB2</v>
          </cell>
          <cell r="L256">
            <v>904</v>
          </cell>
          <cell r="M256" t="str">
            <v>2025-04-16</v>
          </cell>
          <cell r="N256" t="str">
            <v>2025-07-24</v>
          </cell>
          <cell r="O256" t="str">
            <v>https://fruitbasket.blob.core.windows.net/gk2o5k/avatar/21310883720250724170733MCOQEI.jpg</v>
          </cell>
        </row>
        <row r="257">
          <cell r="I257" t="str">
            <v>JMC1E1652350</v>
          </cell>
          <cell r="J257" t="str">
            <v>KB2350XX</v>
          </cell>
          <cell r="K257" t="str">
            <v>KPB1</v>
          </cell>
          <cell r="L257">
            <v>828</v>
          </cell>
          <cell r="M257" t="str">
            <v>1970-01-01</v>
          </cell>
          <cell r="N257" t="str">
            <v>2025-07-24</v>
          </cell>
          <cell r="O257" t="str">
            <v>https://fruitbasket.blob.core.windows.net/gk2o5k/avatar/21310883720250724170459KTZESV.jpg</v>
          </cell>
        </row>
        <row r="258">
          <cell r="I258" t="str">
            <v>KC02E1281054</v>
          </cell>
          <cell r="J258" t="str">
            <v>KB1054XY</v>
          </cell>
          <cell r="K258" t="str">
            <v>KPB3</v>
          </cell>
          <cell r="L258">
            <v>3393</v>
          </cell>
          <cell r="M258" t="str">
            <v>2024-12-11</v>
          </cell>
          <cell r="N258" t="str">
            <v>2025-07-24</v>
          </cell>
          <cell r="O258" t="str">
            <v>https://fruitbasket.blob.core.windows.net/gk2o5k/avatar/21237142620250724160700Y1FHC8.jpg</v>
          </cell>
        </row>
        <row r="259">
          <cell r="I259" t="str">
            <v>JBP1E2075064</v>
          </cell>
          <cell r="J259" t="str">
            <v>KB2234XY</v>
          </cell>
          <cell r="K259" t="str">
            <v>KPB3</v>
          </cell>
          <cell r="L259">
            <v>2092</v>
          </cell>
          <cell r="M259" t="str">
            <v>2024-12-20</v>
          </cell>
          <cell r="N259" t="str">
            <v>2025-07-24</v>
          </cell>
          <cell r="O259" t="str">
            <v>https://fruitbasket.blob.core.windows.net/gk2o5k/avatar/21237142620250724155827NFALW0.jpg</v>
          </cell>
        </row>
        <row r="260">
          <cell r="I260" t="str">
            <v>JBK1E2052897</v>
          </cell>
          <cell r="J260" t="str">
            <v>KB2897XY</v>
          </cell>
          <cell r="K260" t="str">
            <v>KPB4</v>
          </cell>
          <cell r="L260">
            <v>4357</v>
          </cell>
          <cell r="M260" t="str">
            <v>2024-10-02</v>
          </cell>
          <cell r="N260" t="str">
            <v>2025-07-24</v>
          </cell>
          <cell r="O260" t="str">
            <v>https://fruitbasket.blob.core.windows.net/gk2o5k/avatar/21192879420250724154320UUWDL4.jpg</v>
          </cell>
        </row>
        <row r="261">
          <cell r="I261" t="str">
            <v>JBK1E2100707</v>
          </cell>
          <cell r="J261" t="str">
            <v>X123YZ</v>
          </cell>
          <cell r="K261" t="str">
            <v>KPB2</v>
          </cell>
          <cell r="L261">
            <v>1919</v>
          </cell>
          <cell r="M261" t="str">
            <v>2025-05-14</v>
          </cell>
          <cell r="N261" t="str">
            <v>2025-07-24</v>
          </cell>
          <cell r="O261" t="str">
            <v>https://fruitbasket.blob.core.windows.net/gk2o5k/avatar/21227498920250724153912FXM8KX.jpg</v>
          </cell>
        </row>
        <row r="262">
          <cell r="I262" t="str">
            <v>JBK3E1549196</v>
          </cell>
          <cell r="J262" t="str">
            <v>XY9196XY</v>
          </cell>
          <cell r="K262" t="str">
            <v>KPB3</v>
          </cell>
          <cell r="L262">
            <v>2317</v>
          </cell>
          <cell r="M262" t="str">
            <v>2024-12-02</v>
          </cell>
          <cell r="N262" t="str">
            <v>2025-07-24</v>
          </cell>
          <cell r="O262" t="str">
            <v>https://fruitbasket.blob.core.windows.net/gk2o5k/avatar/21227498920250724153428SKH97O.jpg</v>
          </cell>
        </row>
        <row r="263">
          <cell r="I263" t="str">
            <v>KC02E1282552</v>
          </cell>
          <cell r="J263" t="str">
            <v>KB2552XY</v>
          </cell>
          <cell r="K263" t="str">
            <v>KPB3</v>
          </cell>
          <cell r="L263">
            <v>1772</v>
          </cell>
          <cell r="M263" t="str">
            <v>2024-12-10</v>
          </cell>
          <cell r="N263" t="str">
            <v>2025-07-24</v>
          </cell>
          <cell r="O263" t="str">
            <v>https://fruitbasket.blob.core.windows.net/gk2o5k/avatar/21231217820250724152613ZTABLK.jpg</v>
          </cell>
        </row>
        <row r="264">
          <cell r="I264" t="str">
            <v>JBK1E2038665</v>
          </cell>
          <cell r="J264" t="str">
            <v>X123YZ</v>
          </cell>
          <cell r="K264" t="str">
            <v>KPB4</v>
          </cell>
          <cell r="L264">
            <v>5071</v>
          </cell>
          <cell r="M264" t="str">
            <v>2024-10-31</v>
          </cell>
          <cell r="N264" t="str">
            <v>2025-07-24</v>
          </cell>
          <cell r="O264" t="str">
            <v>https://fruitbasket.blob.core.windows.net/gk2o5k/avatar/21209919320250724152106EGSJG3.jpg</v>
          </cell>
        </row>
        <row r="265">
          <cell r="I265" t="str">
            <v>JBK1E2099904</v>
          </cell>
          <cell r="J265" t="str">
            <v>KB9904XY</v>
          </cell>
          <cell r="K265" t="str">
            <v>KPB1</v>
          </cell>
          <cell r="L265">
            <v>870</v>
          </cell>
          <cell r="M265" t="str">
            <v>2025-05-16</v>
          </cell>
          <cell r="N265" t="str">
            <v>2025-07-24</v>
          </cell>
          <cell r="O265" t="str">
            <v>https://fruitbasket.blob.core.windows.net/gk2o5k/avatar/21305287320250724151454PTRREF.jpg</v>
          </cell>
        </row>
        <row r="266">
          <cell r="I266" t="str">
            <v>JBP1E2101004</v>
          </cell>
          <cell r="J266" t="str">
            <v>KB1004XY</v>
          </cell>
          <cell r="K266" t="str">
            <v>KPB2</v>
          </cell>
          <cell r="L266">
            <v>1554</v>
          </cell>
          <cell r="M266" t="str">
            <v>2025-05-02</v>
          </cell>
          <cell r="N266" t="str">
            <v>2025-07-24</v>
          </cell>
          <cell r="O266" t="str">
            <v>https://fruitbasket.blob.core.windows.net/gk2o5k/avatar/21305287320250724150809PT1FFX.jpg</v>
          </cell>
        </row>
        <row r="267">
          <cell r="I267" t="str">
            <v>JBK1E2100180</v>
          </cell>
          <cell r="J267" t="str">
            <v>X123YZ</v>
          </cell>
          <cell r="K267" t="str">
            <v>KPB2</v>
          </cell>
          <cell r="L267">
            <v>1368</v>
          </cell>
          <cell r="M267" t="str">
            <v>2025-05-15</v>
          </cell>
          <cell r="N267" t="str">
            <v>2025-07-24</v>
          </cell>
          <cell r="O267" t="str">
            <v>https://fruitbasket.blob.core.windows.net/gk2o5k/avatar/21203180820250724145039B21MFE.jpg</v>
          </cell>
        </row>
        <row r="268">
          <cell r="I268" t="str">
            <v>JMH2E1013961</v>
          </cell>
          <cell r="J268" t="str">
            <v>KB4205VL</v>
          </cell>
          <cell r="K268" t="str">
            <v>KPB3</v>
          </cell>
          <cell r="L268">
            <v>1901</v>
          </cell>
          <cell r="M268" t="str">
            <v>2024-12-23</v>
          </cell>
          <cell r="N268" t="str">
            <v>2025-07-24</v>
          </cell>
          <cell r="O268" t="str">
            <v>https://fruitbasket.blob.core.windows.net/gk2o5k/avatar/21203180820250724144634SAXBTU.jpg</v>
          </cell>
        </row>
        <row r="269">
          <cell r="I269" t="str">
            <v>JBK1E2017117</v>
          </cell>
          <cell r="J269" t="str">
            <v>X123YZ</v>
          </cell>
          <cell r="K269" t="str">
            <v>KPB4</v>
          </cell>
          <cell r="L269">
            <v>4833</v>
          </cell>
          <cell r="M269" t="str">
            <v>2024-10-22</v>
          </cell>
          <cell r="N269" t="str">
            <v>2025-07-24</v>
          </cell>
          <cell r="O269" t="str">
            <v>https://fruitbasket.blob.core.windows.net/gk2o5k/avatar/21203180820250724143902XLI3WL.jpg</v>
          </cell>
        </row>
        <row r="270">
          <cell r="I270" t="str">
            <v>KC04E1003253</v>
          </cell>
          <cell r="J270" t="str">
            <v>KB3252CY</v>
          </cell>
          <cell r="K270" t="str">
            <v>KPB1</v>
          </cell>
          <cell r="L270">
            <v>1064</v>
          </cell>
          <cell r="M270" t="str">
            <v>1970-01-01</v>
          </cell>
          <cell r="N270" t="str">
            <v>2025-07-24</v>
          </cell>
          <cell r="O270" t="str">
            <v>https://fruitbasket.blob.core.windows.net/gk2o5k/avatar/21308021020250724120905MGTLSA.jpg</v>
          </cell>
        </row>
        <row r="271">
          <cell r="I271" t="str">
            <v>KD11E1548036</v>
          </cell>
          <cell r="J271" t="str">
            <v>KB5637VX</v>
          </cell>
          <cell r="K271" t="str">
            <v>KPB4</v>
          </cell>
          <cell r="L271">
            <v>4193</v>
          </cell>
          <cell r="M271" t="str">
            <v>2024-11-05</v>
          </cell>
          <cell r="N271" t="str">
            <v>2025-07-24</v>
          </cell>
          <cell r="O271" t="str">
            <v>https://fruitbasket.blob.core.windows.net/gk2o5k/avatar/212120660202507241139008IXLV3.jpg</v>
          </cell>
        </row>
        <row r="272">
          <cell r="I272" t="str">
            <v>JBK1E2055858</v>
          </cell>
          <cell r="J272" t="str">
            <v>B5858XV</v>
          </cell>
          <cell r="K272" t="str">
            <v>KPB4</v>
          </cell>
          <cell r="L272">
            <v>6785</v>
          </cell>
          <cell r="M272" t="str">
            <v>2024-10-26</v>
          </cell>
          <cell r="N272" t="str">
            <v>2025-07-24</v>
          </cell>
          <cell r="O272" t="str">
            <v>https://fruitbasket.blob.core.windows.net/gk2o5k/avatar/21305415420250724112520XQQKXU.jpg</v>
          </cell>
        </row>
        <row r="273">
          <cell r="I273" t="str">
            <v>KC02E1278834</v>
          </cell>
          <cell r="J273" t="str">
            <v>KB8834XY</v>
          </cell>
          <cell r="K273" t="str">
            <v>KPB4</v>
          </cell>
          <cell r="L273">
            <v>5676</v>
          </cell>
          <cell r="M273" t="str">
            <v>2024-11-23</v>
          </cell>
          <cell r="N273" t="str">
            <v>2025-07-24</v>
          </cell>
          <cell r="O273" t="str">
            <v>https://fruitbasket.blob.core.windows.net/gk2o5k/avatar/21222033120250724111936ZLVITC.jpg</v>
          </cell>
        </row>
        <row r="274">
          <cell r="I274" t="str">
            <v>KC04E1008214</v>
          </cell>
          <cell r="J274" t="str">
            <v>KB8214XY</v>
          </cell>
          <cell r="K274" t="str">
            <v>KPB1</v>
          </cell>
          <cell r="L274">
            <v>979</v>
          </cell>
          <cell r="M274" t="str">
            <v>1970-01-01</v>
          </cell>
          <cell r="N274" t="str">
            <v>2025-07-24</v>
          </cell>
          <cell r="O274" t="str">
            <v>https://fruitbasket.blob.core.windows.net/gk2o5k/avatar/21297442920250724110915ZQ22HL.jpg</v>
          </cell>
        </row>
        <row r="275">
          <cell r="I275" t="str">
            <v>JBK3E1578908</v>
          </cell>
          <cell r="J275" t="str">
            <v>KB2355YX</v>
          </cell>
          <cell r="K275" t="str">
            <v>KPB1</v>
          </cell>
          <cell r="L275">
            <v>934</v>
          </cell>
          <cell r="M275" t="str">
            <v>1970-01-01</v>
          </cell>
          <cell r="N275" t="str">
            <v>2025-07-24</v>
          </cell>
          <cell r="O275" t="str">
            <v>https://fruitbasket.blob.core.windows.net/gk2o5k/avatar/21297442920250724110508GEZUHS.jpg</v>
          </cell>
        </row>
        <row r="276">
          <cell r="I276" t="str">
            <v>JMH2E1372520</v>
          </cell>
          <cell r="J276" t="str">
            <v>X123YZ</v>
          </cell>
          <cell r="K276" t="str">
            <v>KPB1</v>
          </cell>
          <cell r="L276">
            <v>501</v>
          </cell>
          <cell r="M276" t="str">
            <v>2025-06-28</v>
          </cell>
          <cell r="N276" t="str">
            <v>2025-07-23</v>
          </cell>
          <cell r="O276" t="str">
            <v>https://fruitbasket.blob.core.windows.net/gk2o5k/avatar/21290736220250723161806IHCDDX.jpg</v>
          </cell>
        </row>
        <row r="277">
          <cell r="I277" t="str">
            <v>JMB1E1171457</v>
          </cell>
          <cell r="J277" t="str">
            <v>KB1457XY</v>
          </cell>
          <cell r="K277" t="str">
            <v>KPB4</v>
          </cell>
          <cell r="L277">
            <v>5384</v>
          </cell>
          <cell r="M277" t="str">
            <v>2024-10-04</v>
          </cell>
          <cell r="N277" t="str">
            <v>2025-07-23</v>
          </cell>
          <cell r="O277" t="str">
            <v>https://fruitbasket.blob.core.windows.net/gk2o5k/avatar/22630420250723160739YIVA7X.jpg</v>
          </cell>
        </row>
        <row r="278">
          <cell r="I278" t="str">
            <v>JMH1E1141274</v>
          </cell>
          <cell r="J278" t="str">
            <v>KB1274XY</v>
          </cell>
          <cell r="K278" t="str">
            <v>KPB2</v>
          </cell>
          <cell r="L278">
            <v>869</v>
          </cell>
          <cell r="M278" t="str">
            <v>2025-05-05</v>
          </cell>
          <cell r="N278" t="str">
            <v>2025-07-23</v>
          </cell>
          <cell r="O278" t="str">
            <v>https://fruitbasket.blob.core.windows.net/gk2o5k/avatar/21287368620250723154928TCU6U6.jpg</v>
          </cell>
        </row>
        <row r="279">
          <cell r="I279" t="str">
            <v>JMH2E1152454</v>
          </cell>
          <cell r="J279" t="str">
            <v>X123YZ</v>
          </cell>
          <cell r="K279" t="str">
            <v>KPB2</v>
          </cell>
          <cell r="L279">
            <v>1525</v>
          </cell>
          <cell r="M279" t="str">
            <v>2025-05-06</v>
          </cell>
          <cell r="N279" t="str">
            <v>2025-07-23</v>
          </cell>
          <cell r="O279" t="str">
            <v>https://fruitbasket.blob.core.windows.net/gk2o5k/avatar/21287368620250723154354MNNCLR.jpg</v>
          </cell>
        </row>
        <row r="280">
          <cell r="I280" t="str">
            <v>JMH2E1181909</v>
          </cell>
          <cell r="J280" t="str">
            <v>X123YZ</v>
          </cell>
          <cell r="K280" t="str">
            <v>KPB2</v>
          </cell>
          <cell r="L280">
            <v>1293</v>
          </cell>
          <cell r="M280" t="str">
            <v>2025-05-09</v>
          </cell>
          <cell r="N280" t="str">
            <v>2025-07-23</v>
          </cell>
          <cell r="O280" t="str">
            <v>https://fruitbasket.blob.core.windows.net/gk2o5k/avatar/21287410220250723153538FDSNGE.jpg</v>
          </cell>
        </row>
        <row r="281">
          <cell r="I281" t="str">
            <v>JBK1E2107975</v>
          </cell>
          <cell r="J281" t="str">
            <v>KB7975XY</v>
          </cell>
          <cell r="K281" t="str">
            <v>KPB1</v>
          </cell>
          <cell r="L281">
            <v>401</v>
          </cell>
          <cell r="M281" t="str">
            <v>1970-01-01</v>
          </cell>
          <cell r="N281" t="str">
            <v>2025-07-23</v>
          </cell>
          <cell r="O281" t="str">
            <v>https://fruitbasket.blob.core.windows.net/gk2o5k/avatar/21287410220250723153035DR0UZC.jpg</v>
          </cell>
        </row>
        <row r="282">
          <cell r="I282" t="str">
            <v>JBK1E2099836</v>
          </cell>
          <cell r="J282" t="str">
            <v>X123YZ</v>
          </cell>
          <cell r="K282" t="str">
            <v>KPB2</v>
          </cell>
          <cell r="L282">
            <v>1251</v>
          </cell>
          <cell r="M282" t="str">
            <v>2025-05-03</v>
          </cell>
          <cell r="N282" t="str">
            <v>2025-07-23</v>
          </cell>
          <cell r="O282" t="str">
            <v>https://fruitbasket.blob.core.windows.net/gk2o5k/avatar/21287410220250723152613WM5ASR.jpg</v>
          </cell>
        </row>
        <row r="283">
          <cell r="I283" t="str">
            <v>JBK3E1573264</v>
          </cell>
          <cell r="J283" t="str">
            <v>KB3264XY</v>
          </cell>
          <cell r="K283" t="str">
            <v>KPB2</v>
          </cell>
          <cell r="L283">
            <v>2213</v>
          </cell>
          <cell r="M283" t="str">
            <v>2025-05-07</v>
          </cell>
          <cell r="N283" t="str">
            <v>2025-07-23</v>
          </cell>
          <cell r="O283" t="str">
            <v>https://fruitbasket.blob.core.windows.net/gk2o5k/avatar/21287198020250723151819BFVBKN.jpg</v>
          </cell>
        </row>
        <row r="284">
          <cell r="I284" t="str">
            <v>JBK3E1574871</v>
          </cell>
          <cell r="J284" t="str">
            <v>X123YZ</v>
          </cell>
          <cell r="K284" t="str">
            <v>KPB2</v>
          </cell>
          <cell r="L284">
            <v>1710</v>
          </cell>
          <cell r="M284" t="str">
            <v>2025-05-15</v>
          </cell>
          <cell r="N284" t="str">
            <v>2025-07-23</v>
          </cell>
          <cell r="O284" t="str">
            <v>https://fruitbasket.blob.core.windows.net/gk2o5k/avatar/21287198020250723151201K5SL9R.jpg</v>
          </cell>
        </row>
        <row r="285">
          <cell r="I285" t="str">
            <v>JMH1E1192928</v>
          </cell>
          <cell r="J285" t="str">
            <v>X123YZ</v>
          </cell>
          <cell r="K285" t="str">
            <v>KPB1</v>
          </cell>
          <cell r="L285">
            <v>615</v>
          </cell>
          <cell r="M285" t="str">
            <v>2025-07-10</v>
          </cell>
          <cell r="N285" t="str">
            <v>2025-07-23</v>
          </cell>
          <cell r="O285" t="str">
            <v>https://fruitbasket.blob.core.windows.net/gk2o5k/avatar/2965488820250723150512FZSQR1.jpg</v>
          </cell>
        </row>
        <row r="286">
          <cell r="I286" t="str">
            <v>JMD1E1818354</v>
          </cell>
          <cell r="J286" t="str">
            <v>KB5241VL</v>
          </cell>
          <cell r="K286" t="str">
            <v>KPB3</v>
          </cell>
          <cell r="L286">
            <v>3737</v>
          </cell>
          <cell r="M286" t="str">
            <v>2025-02-03</v>
          </cell>
          <cell r="N286" t="str">
            <v>2025-07-23</v>
          </cell>
          <cell r="O286" t="str">
            <v>https://fruitbasket.blob.core.windows.net/gk2o5k/avatar/29654888202507231401583MLDSF.jpg</v>
          </cell>
        </row>
        <row r="287">
          <cell r="I287" t="str">
            <v>JBK1E2106571</v>
          </cell>
          <cell r="J287" t="str">
            <v>X123YZ</v>
          </cell>
          <cell r="K287" t="str">
            <v>KPB1</v>
          </cell>
          <cell r="L287">
            <v>620</v>
          </cell>
          <cell r="M287" t="str">
            <v>2025-06-17</v>
          </cell>
          <cell r="N287" t="str">
            <v>2025-07-23</v>
          </cell>
          <cell r="O287" t="str">
            <v>https://fruitbasket.blob.core.windows.net/gk2o5k/avatar/213159210202507231328374KWKYA.jpg</v>
          </cell>
        </row>
        <row r="288">
          <cell r="I288" t="str">
            <v>KF01E1889518</v>
          </cell>
          <cell r="J288" t="str">
            <v>KB9518XX</v>
          </cell>
          <cell r="K288" t="str">
            <v>KPB1</v>
          </cell>
          <cell r="L288">
            <v>709</v>
          </cell>
          <cell r="M288" t="str">
            <v>1970-01-01</v>
          </cell>
          <cell r="N288" t="str">
            <v>2025-07-23</v>
          </cell>
          <cell r="O288" t="str">
            <v>https://fruitbasket.blob.core.windows.net/gk2o5k/avatar/21286637120250723123033UPMJTK.jpg</v>
          </cell>
        </row>
        <row r="289">
          <cell r="I289" t="str">
            <v>JBP1E2108528</v>
          </cell>
          <cell r="J289" t="str">
            <v>KB8528XX</v>
          </cell>
          <cell r="K289" t="str">
            <v>KPB1</v>
          </cell>
          <cell r="L289">
            <v>716</v>
          </cell>
          <cell r="M289" t="str">
            <v>2025-06-24</v>
          </cell>
          <cell r="N289" t="str">
            <v>2025-07-23</v>
          </cell>
          <cell r="O289" t="str">
            <v>https://fruitbasket.blob.core.windows.net/gk2o5k/avatar/21286637120250723122820FKKS8M.jpg</v>
          </cell>
        </row>
        <row r="290">
          <cell r="I290" t="str">
            <v>JBK1E2108501</v>
          </cell>
          <cell r="J290" t="str">
            <v>KB8501XY</v>
          </cell>
          <cell r="K290" t="str">
            <v>KPB1</v>
          </cell>
          <cell r="L290">
            <v>297</v>
          </cell>
          <cell r="M290" t="str">
            <v>1970-01-01</v>
          </cell>
          <cell r="N290" t="str">
            <v>2025-07-23</v>
          </cell>
          <cell r="O290" t="str">
            <v>https://fruitbasket.blob.core.windows.net/gk2o5k/avatar/21285266720250723113438GJW42L.jpg</v>
          </cell>
        </row>
        <row r="291">
          <cell r="I291" t="str">
            <v>JBK3E1579683</v>
          </cell>
          <cell r="J291" t="str">
            <v>X123YZ</v>
          </cell>
          <cell r="K291" t="str">
            <v>KPB1</v>
          </cell>
          <cell r="L291">
            <v>611</v>
          </cell>
          <cell r="M291" t="str">
            <v>2025-06-13</v>
          </cell>
          <cell r="N291" t="str">
            <v>2025-07-23</v>
          </cell>
          <cell r="O291" t="str">
            <v>https://fruitbasket.blob.core.windows.net/gk2o5k/avatar/21285670620250723112840EYZZEM.jpg</v>
          </cell>
        </row>
        <row r="292">
          <cell r="I292" t="str">
            <v>JBP1E2109446</v>
          </cell>
          <cell r="J292" t="str">
            <v>KB9446XY</v>
          </cell>
          <cell r="K292" t="str">
            <v>KPB1</v>
          </cell>
          <cell r="L292">
            <v>195</v>
          </cell>
          <cell r="M292" t="str">
            <v>1970-01-01</v>
          </cell>
          <cell r="N292" t="str">
            <v>2025-07-23</v>
          </cell>
          <cell r="O292" t="str">
            <v>https://fruitbasket.blob.core.windows.net/gk2o5k/avatar/21285670620250723112448NH5ZGP.jpg</v>
          </cell>
        </row>
        <row r="293">
          <cell r="I293" t="str">
            <v>KC02E1286176</v>
          </cell>
          <cell r="J293" t="str">
            <v>KB3631EAG</v>
          </cell>
          <cell r="K293" t="str">
            <v>KPB3</v>
          </cell>
          <cell r="L293">
            <v>5709</v>
          </cell>
          <cell r="M293" t="str">
            <v>2025-01-16</v>
          </cell>
          <cell r="N293" t="str">
            <v>2025-07-23</v>
          </cell>
          <cell r="O293" t="str">
            <v>https://fruitbasket.blob.core.windows.net/gk2o5k/avatar/21283193020250723111817HDJGYJ.jpg</v>
          </cell>
        </row>
        <row r="294">
          <cell r="I294" t="str">
            <v>JM91E3627940</v>
          </cell>
          <cell r="J294" t="str">
            <v>KB4377VX</v>
          </cell>
          <cell r="K294" t="str">
            <v>KPB4</v>
          </cell>
          <cell r="L294">
            <v>5659</v>
          </cell>
          <cell r="M294" t="str">
            <v>2024-09-13</v>
          </cell>
          <cell r="N294" t="str">
            <v>2025-07-23</v>
          </cell>
          <cell r="O294" t="str">
            <v>https://fruitbasket.blob.core.windows.net/gk2o5k/avatar/21283280820250723111052NSUZXG.jpg</v>
          </cell>
        </row>
        <row r="295">
          <cell r="I295" t="str">
            <v>JMD1E1949031</v>
          </cell>
          <cell r="J295" t="str">
            <v>X123YZ</v>
          </cell>
          <cell r="K295" t="str">
            <v>KPB1</v>
          </cell>
          <cell r="L295">
            <v>784</v>
          </cell>
          <cell r="M295" t="str">
            <v>2025-06-10</v>
          </cell>
          <cell r="N295" t="str">
            <v>2025-07-22</v>
          </cell>
          <cell r="O295" t="str">
            <v>https://fruitbasket.blob.core.windows.net/gk2o5k/avatar/21289820320250722170928THZ9WY.jpg</v>
          </cell>
        </row>
        <row r="296">
          <cell r="I296" t="str">
            <v>JBK1E2111401</v>
          </cell>
          <cell r="J296" t="str">
            <v>KB1401XX</v>
          </cell>
          <cell r="K296" t="str">
            <v>KPB1</v>
          </cell>
          <cell r="L296">
            <v>130</v>
          </cell>
          <cell r="M296" t="str">
            <v>2025-07-11</v>
          </cell>
          <cell r="N296" t="str">
            <v>2025-07-22</v>
          </cell>
          <cell r="O296" t="str">
            <v>https://fruitbasket.blob.core.windows.net/gk2o5k/avatar/212898203202507221705252ZRB9U.jpg</v>
          </cell>
        </row>
        <row r="297">
          <cell r="I297" t="str">
            <v>JBK3E1548850</v>
          </cell>
          <cell r="J297" t="str">
            <v>KB2280XY</v>
          </cell>
          <cell r="K297" t="str">
            <v>KPB3</v>
          </cell>
          <cell r="L297">
            <v>2601</v>
          </cell>
          <cell r="M297" t="str">
            <v>2024-12-06</v>
          </cell>
          <cell r="N297" t="str">
            <v>2025-07-22</v>
          </cell>
          <cell r="O297" t="str">
            <v>https://fruitbasket.blob.core.windows.net/gk2o5k/avatar/21229379520250722165832BQRJIL.jpg</v>
          </cell>
        </row>
        <row r="298">
          <cell r="I298" t="str">
            <v>JBK3E1550942</v>
          </cell>
          <cell r="J298" t="str">
            <v>KB0942XY</v>
          </cell>
          <cell r="K298" t="str">
            <v>KPB3</v>
          </cell>
          <cell r="L298">
            <v>2880</v>
          </cell>
          <cell r="M298" t="str">
            <v>2024-12-12</v>
          </cell>
          <cell r="N298" t="str">
            <v>2025-07-22</v>
          </cell>
          <cell r="O298" t="str">
            <v>https://fruitbasket.blob.core.windows.net/gk2o5k/avatar/21135395420250722165601CNNXN2.jpg</v>
          </cell>
        </row>
        <row r="299">
          <cell r="I299" t="str">
            <v>JBK1E2067973</v>
          </cell>
          <cell r="J299" t="str">
            <v>X123YZ</v>
          </cell>
          <cell r="K299" t="str">
            <v>KPB3</v>
          </cell>
          <cell r="L299">
            <v>3686</v>
          </cell>
          <cell r="M299" t="str">
            <v>2024-12-20</v>
          </cell>
          <cell r="N299" t="str">
            <v>2025-07-22</v>
          </cell>
          <cell r="O299" t="str">
            <v>https://fruitbasket.blob.core.windows.net/gk2o5k/avatar/21236878720250722165021B7MSAZ.jpg</v>
          </cell>
        </row>
        <row r="300">
          <cell r="I300" t="str">
            <v>JBP1E2073633</v>
          </cell>
          <cell r="J300" t="str">
            <v>KB2266XY</v>
          </cell>
          <cell r="K300" t="str">
            <v>KPB3</v>
          </cell>
          <cell r="L300">
            <v>3442</v>
          </cell>
          <cell r="M300" t="str">
            <v>2024-12-07</v>
          </cell>
          <cell r="N300" t="str">
            <v>2025-07-22</v>
          </cell>
          <cell r="O300" t="str">
            <v>https://fruitbasket.blob.core.windows.net/gk2o5k/avatar/21229956120250722164754VJTGBT.jpg</v>
          </cell>
        </row>
        <row r="301">
          <cell r="I301" t="str">
            <v>JBK3E1553118</v>
          </cell>
          <cell r="J301" t="str">
            <v>X123YZ</v>
          </cell>
          <cell r="K301" t="str">
            <v>KPB3</v>
          </cell>
          <cell r="L301">
            <v>3431</v>
          </cell>
          <cell r="M301" t="str">
            <v>2024-12-17</v>
          </cell>
          <cell r="N301" t="str">
            <v>2025-07-22</v>
          </cell>
          <cell r="O301" t="str">
            <v>https://fruitbasket.blob.core.windows.net/gk2o5k/avatar/21235342720250722164527SCM1BY.jpg</v>
          </cell>
        </row>
        <row r="302">
          <cell r="I302" t="str">
            <v>JBK3E1551549</v>
          </cell>
          <cell r="J302" t="str">
            <v>KB1549XY</v>
          </cell>
          <cell r="K302" t="str">
            <v>KPB3</v>
          </cell>
          <cell r="L302">
            <v>2911</v>
          </cell>
          <cell r="M302" t="str">
            <v>2024-12-10</v>
          </cell>
          <cell r="N302" t="str">
            <v>2025-07-22</v>
          </cell>
          <cell r="O302" t="str">
            <v>https://fruitbasket.blob.core.windows.net/gk2o5k/avatar/212311713202507221642325OLK1I.jpg</v>
          </cell>
        </row>
        <row r="303">
          <cell r="I303" t="str">
            <v>JBK3E1552862</v>
          </cell>
          <cell r="J303" t="str">
            <v>KB2862XY</v>
          </cell>
          <cell r="K303" t="str">
            <v>KPB3</v>
          </cell>
          <cell r="L303">
            <v>4621</v>
          </cell>
          <cell r="M303" t="str">
            <v>2024-12-17</v>
          </cell>
          <cell r="N303" t="str">
            <v>2025-07-22</v>
          </cell>
          <cell r="O303" t="str">
            <v>https://fruitbasket.blob.core.windows.net/gk2o5k/avatar/21235007420250722163005SYM6ZN.jpg</v>
          </cell>
        </row>
        <row r="304">
          <cell r="I304" t="str">
            <v>JMH2E1018011</v>
          </cell>
          <cell r="J304" t="str">
            <v>X123YZ</v>
          </cell>
          <cell r="K304" t="str">
            <v>KPB3</v>
          </cell>
          <cell r="L304">
            <v>3509</v>
          </cell>
          <cell r="M304" t="str">
            <v>2024-12-27</v>
          </cell>
          <cell r="N304" t="str">
            <v>2025-07-22</v>
          </cell>
          <cell r="O304" t="str">
            <v>https://fruitbasket.blob.core.windows.net/gk2o5k/avatar/21229879820250722162124KFQUMA.jpg</v>
          </cell>
        </row>
        <row r="305">
          <cell r="I305" t="str">
            <v>JBP1E2073645</v>
          </cell>
          <cell r="J305" t="str">
            <v>KB3645X</v>
          </cell>
          <cell r="K305" t="str">
            <v>KPB3</v>
          </cell>
          <cell r="L305">
            <v>3169</v>
          </cell>
          <cell r="M305" t="str">
            <v>2024-12-07</v>
          </cell>
          <cell r="N305" t="str">
            <v>2025-07-22</v>
          </cell>
          <cell r="O305" t="str">
            <v>https://fruitbasket.blob.core.windows.net/gk2o5k/avatar/21229879820250722161543FMBXRZ.jpg</v>
          </cell>
        </row>
        <row r="306">
          <cell r="I306" t="str">
            <v>JBP1E2063397</v>
          </cell>
          <cell r="J306" t="str">
            <v>B3397VY</v>
          </cell>
          <cell r="K306" t="str">
            <v>KPB4</v>
          </cell>
          <cell r="L306">
            <v>7038</v>
          </cell>
          <cell r="M306" t="str">
            <v>2024-10-09</v>
          </cell>
          <cell r="N306" t="str">
            <v>2025-07-22</v>
          </cell>
          <cell r="O306" t="str">
            <v>https://fruitbasket.blob.core.windows.net/gk2o5k/avatar/21205170720250722161148QIVYQH.jpg</v>
          </cell>
        </row>
        <row r="307">
          <cell r="I307" t="str">
            <v>JBK3E1531118</v>
          </cell>
          <cell r="K307" t="str">
            <v>KPB4</v>
          </cell>
          <cell r="L307">
            <v>6540</v>
          </cell>
          <cell r="M307" t="str">
            <v>2024-11-11</v>
          </cell>
          <cell r="N307" t="str">
            <v>2025-07-22</v>
          </cell>
          <cell r="O307" t="str">
            <v>https://fruitbasket.blob.core.windows.net/gk2o5k/avatar/21205170720250722160700ZW1DVQ.jpg</v>
          </cell>
        </row>
        <row r="308">
          <cell r="I308" t="str">
            <v>KC02E1268139</v>
          </cell>
          <cell r="J308" t="str">
            <v>X123YZ</v>
          </cell>
          <cell r="K308" t="str">
            <v>KPB4</v>
          </cell>
          <cell r="L308">
            <v>6629</v>
          </cell>
          <cell r="M308" t="str">
            <v>2024-10-25</v>
          </cell>
          <cell r="N308" t="str">
            <v>2025-07-22</v>
          </cell>
          <cell r="O308" t="str">
            <v>https://fruitbasket.blob.core.windows.net/gk2o5k/avatar/21205170720250722160223ANA8GD.jpg</v>
          </cell>
        </row>
        <row r="309">
          <cell r="I309" t="str">
            <v>JBK3E1574716</v>
          </cell>
          <cell r="J309" t="str">
            <v>KB2361YX</v>
          </cell>
          <cell r="K309" t="str">
            <v>KPB1</v>
          </cell>
          <cell r="L309">
            <v>974</v>
          </cell>
          <cell r="M309" t="str">
            <v>1970-01-01</v>
          </cell>
          <cell r="N309" t="str">
            <v>2025-07-22</v>
          </cell>
          <cell r="O309" t="str">
            <v>https://fruitbasket.blob.core.windows.net/gk2o5k/avatar/21285181920250722155131KEQ4FQ.jpg</v>
          </cell>
        </row>
        <row r="310">
          <cell r="I310" t="str">
            <v>JME1E1528032</v>
          </cell>
          <cell r="J310" t="str">
            <v>KB6134VA</v>
          </cell>
          <cell r="K310" t="str">
            <v>KPB1</v>
          </cell>
          <cell r="L310">
            <v>745</v>
          </cell>
          <cell r="M310" t="str">
            <v>1970-01-01</v>
          </cell>
          <cell r="N310" t="str">
            <v>2025-07-22</v>
          </cell>
          <cell r="O310" t="str">
            <v>https://fruitbasket.blob.core.windows.net/gk2o5k/avatar/21193445520250722154552SUCV3Y.jpg</v>
          </cell>
        </row>
        <row r="311">
          <cell r="I311" t="str">
            <v>JBK1E2049681</v>
          </cell>
          <cell r="J311" t="str">
            <v>KB9681XY</v>
          </cell>
          <cell r="K311" t="str">
            <v>KPB4</v>
          </cell>
          <cell r="L311">
            <v>5383</v>
          </cell>
          <cell r="M311" t="str">
            <v>2024-10-03</v>
          </cell>
          <cell r="N311" t="str">
            <v>2025-07-22</v>
          </cell>
          <cell r="O311" t="str">
            <v>https://fruitbasket.blob.core.windows.net/gk2o5k/avatar/21193445520250722153052NFFAHV.jpg</v>
          </cell>
        </row>
        <row r="312">
          <cell r="I312" t="str">
            <v>KC02E1273264</v>
          </cell>
          <cell r="K312" t="str">
            <v>KPB4</v>
          </cell>
          <cell r="L312">
            <v>5355</v>
          </cell>
          <cell r="M312" t="str">
            <v>1970-01-01</v>
          </cell>
          <cell r="N312" t="str">
            <v>2025-07-22</v>
          </cell>
          <cell r="O312" t="str">
            <v>https://fruitbasket.blob.core.windows.net/gk2o5k/avatar/211960784202507221524237IHUDJ.jpg</v>
          </cell>
        </row>
        <row r="313">
          <cell r="I313" t="str">
            <v>JBK1E2051354</v>
          </cell>
          <cell r="J313" t="str">
            <v>X123YZ</v>
          </cell>
          <cell r="K313" t="str">
            <v>KPB4</v>
          </cell>
          <cell r="L313">
            <v>5141</v>
          </cell>
          <cell r="M313" t="str">
            <v>2024-10-09</v>
          </cell>
          <cell r="N313" t="str">
            <v>2025-07-22</v>
          </cell>
          <cell r="O313" t="str">
            <v>https://fruitbasket.blob.core.windows.net/gk2o5k/avatar/21196078420250722151717KIUEGD.jpg</v>
          </cell>
        </row>
        <row r="314">
          <cell r="I314" t="str">
            <v>JBK3E1584121</v>
          </cell>
          <cell r="J314" t="str">
            <v>X123YZ</v>
          </cell>
          <cell r="K314" t="str">
            <v>KPB1</v>
          </cell>
          <cell r="L314">
            <v>620</v>
          </cell>
          <cell r="M314" t="str">
            <v>2025-07-18</v>
          </cell>
          <cell r="N314" t="str">
            <v>2025-07-22</v>
          </cell>
          <cell r="O314" t="str">
            <v>https://fruitbasket.blob.core.windows.net/gk2o5k/avatar/21284775220250722150501EUHZKD.jpg</v>
          </cell>
        </row>
        <row r="315">
          <cell r="I315" t="str">
            <v>JMC1E1664668</v>
          </cell>
          <cell r="J315" t="str">
            <v>X123YZ</v>
          </cell>
          <cell r="K315" t="str">
            <v>KPB1</v>
          </cell>
          <cell r="L315">
            <v>473</v>
          </cell>
          <cell r="M315" t="str">
            <v>2025-07-14</v>
          </cell>
          <cell r="N315" t="str">
            <v>2025-07-22</v>
          </cell>
          <cell r="O315" t="str">
            <v>https://fruitbasket.blob.core.windows.net/gk2o5k/avatar/212847475202507221456469J6XUX.jpg</v>
          </cell>
        </row>
        <row r="316">
          <cell r="I316" t="str">
            <v>JBK3E1583959</v>
          </cell>
          <cell r="J316" t="str">
            <v>KB3959XY</v>
          </cell>
          <cell r="K316" t="str">
            <v>KPB1</v>
          </cell>
          <cell r="L316">
            <v>313</v>
          </cell>
          <cell r="M316" t="str">
            <v>2025-07-11</v>
          </cell>
          <cell r="N316" t="str">
            <v>2025-07-22</v>
          </cell>
          <cell r="O316" t="str">
            <v>https://fruitbasket.blob.core.windows.net/gk2o5k/avatar/21284747520250722145122FQLEL3.jpg</v>
          </cell>
        </row>
        <row r="317">
          <cell r="I317" t="str">
            <v>JBK1E2103817</v>
          </cell>
          <cell r="J317" t="str">
            <v>KB2372YX</v>
          </cell>
          <cell r="K317" t="str">
            <v>KPB1</v>
          </cell>
          <cell r="L317">
            <v>373</v>
          </cell>
          <cell r="M317" t="str">
            <v>1970-01-01</v>
          </cell>
          <cell r="N317" t="str">
            <v>2025-07-22</v>
          </cell>
          <cell r="O317" t="str">
            <v>https://fruitbasket.blob.core.windows.net/gk2o5k/avatar/2128474752025072214471608CXSL.jpg</v>
          </cell>
        </row>
        <row r="318">
          <cell r="I318" t="str">
            <v>JBK1E2107784</v>
          </cell>
          <cell r="J318" t="str">
            <v>KB2369YX</v>
          </cell>
          <cell r="K318" t="str">
            <v>KPB1</v>
          </cell>
          <cell r="L318">
            <v>833</v>
          </cell>
          <cell r="M318" t="str">
            <v>1970-01-01</v>
          </cell>
          <cell r="N318" t="str">
            <v>2025-07-22</v>
          </cell>
          <cell r="O318" t="str">
            <v>https://fruitbasket.blob.core.windows.net/gk2o5k/avatar/21282787520250722123808SAAMMC.jpg</v>
          </cell>
        </row>
        <row r="319">
          <cell r="I319" t="str">
            <v>JBK1E2106572</v>
          </cell>
          <cell r="J319" t="str">
            <v>KB6572XX</v>
          </cell>
          <cell r="K319" t="str">
            <v>KPB1</v>
          </cell>
          <cell r="L319">
            <v>651</v>
          </cell>
          <cell r="M319" t="str">
            <v>1970-01-01</v>
          </cell>
          <cell r="N319" t="str">
            <v>2025-07-21</v>
          </cell>
          <cell r="O319" t="str">
            <v>https://fruitbasket.blob.core.windows.net/gk2o5k/avatar/21281410020250721134714EEZ9U3.jpg</v>
          </cell>
        </row>
        <row r="320">
          <cell r="I320" t="str">
            <v>JMD1E1963941</v>
          </cell>
          <cell r="J320" t="str">
            <v>KB3941XX</v>
          </cell>
          <cell r="K320" t="str">
            <v>KPB1</v>
          </cell>
          <cell r="L320">
            <v>208</v>
          </cell>
          <cell r="M320" t="str">
            <v>1970-01-01</v>
          </cell>
          <cell r="N320" t="str">
            <v>2025-07-21</v>
          </cell>
          <cell r="O320" t="str">
            <v>https://fruitbasket.blob.core.windows.net/gk2o5k/avatar/21279932320250721133845BE9YD7.jpg</v>
          </cell>
        </row>
        <row r="321">
          <cell r="I321" t="str">
            <v>JBK3E1561277</v>
          </cell>
          <cell r="J321" t="str">
            <v>KB2382YX</v>
          </cell>
          <cell r="K321" t="str">
            <v>KPB4</v>
          </cell>
          <cell r="L321">
            <v>2552</v>
          </cell>
          <cell r="M321" t="str">
            <v>1970-01-01</v>
          </cell>
          <cell r="N321" t="str">
            <v>2025-07-21</v>
          </cell>
          <cell r="O321" t="str">
            <v>https://fruitbasket.blob.core.windows.net/gk2o5k/avatar/21279932320250721133156ODXGLR.jpg</v>
          </cell>
        </row>
        <row r="322">
          <cell r="I322" t="str">
            <v>JMH2E1142381</v>
          </cell>
          <cell r="J322" t="str">
            <v>X123YZ</v>
          </cell>
          <cell r="K322" t="str">
            <v>KPB2</v>
          </cell>
          <cell r="L322">
            <v>4033</v>
          </cell>
          <cell r="M322" t="str">
            <v>2025-03-26</v>
          </cell>
          <cell r="N322" t="str">
            <v>2025-07-21</v>
          </cell>
          <cell r="O322" t="str">
            <v>https://fruitbasket.blob.core.windows.net/gk2o5k/avatar/21279932320250721132617HIMNKO.jpg</v>
          </cell>
        </row>
        <row r="323">
          <cell r="I323" t="str">
            <v>JBK3E1581120</v>
          </cell>
          <cell r="J323" t="str">
            <v>KB1120XY</v>
          </cell>
          <cell r="K323" t="str">
            <v>KPB1</v>
          </cell>
          <cell r="L323">
            <v>377</v>
          </cell>
          <cell r="M323" t="str">
            <v>2025-06-21</v>
          </cell>
          <cell r="N323" t="str">
            <v>2025-07-21</v>
          </cell>
          <cell r="O323" t="str">
            <v>https://fruitbasket.blob.core.windows.net/gk2o5k/avatar/21279898220250721131819AVLRYN.jpg</v>
          </cell>
        </row>
        <row r="324">
          <cell r="I324" t="str">
            <v>JMA1E1187478</v>
          </cell>
          <cell r="J324" t="str">
            <v>X123YZ</v>
          </cell>
          <cell r="K324" t="str">
            <v>KPB2</v>
          </cell>
          <cell r="L324">
            <v>1326</v>
          </cell>
          <cell r="M324" t="str">
            <v>2025-05-19</v>
          </cell>
          <cell r="N324" t="str">
            <v>2025-07-21</v>
          </cell>
          <cell r="O324" t="str">
            <v>https://fruitbasket.blob.core.windows.net/gk2o5k/avatar/21279898220250721131304LCIM8L.jpg</v>
          </cell>
        </row>
        <row r="325">
          <cell r="I325" t="str">
            <v>JMH1E1177207</v>
          </cell>
          <cell r="J325" t="str">
            <v>KB7207XY</v>
          </cell>
          <cell r="K325" t="str">
            <v>KPB1</v>
          </cell>
          <cell r="L325">
            <v>1089</v>
          </cell>
          <cell r="M325" t="str">
            <v>1970-01-01</v>
          </cell>
          <cell r="N325" t="str">
            <v>2025-07-21</v>
          </cell>
          <cell r="O325" t="str">
            <v>https://fruitbasket.blob.core.windows.net/gk2o5k/avatar/21279713620250721113744WDWWSE.jpg</v>
          </cell>
        </row>
        <row r="326">
          <cell r="I326" t="str">
            <v>JMH1E1138147</v>
          </cell>
          <cell r="J326" t="str">
            <v>KB2380YX</v>
          </cell>
          <cell r="K326" t="str">
            <v>KPB1</v>
          </cell>
          <cell r="L326">
            <v>205</v>
          </cell>
          <cell r="M326" t="str">
            <v>1970-01-01</v>
          </cell>
          <cell r="N326" t="str">
            <v>2025-07-21</v>
          </cell>
          <cell r="O326" t="str">
            <v>https://fruitbasket.blob.core.windows.net/gk2o5k/avatar/21235929220250721105833V1MQGK.jpg</v>
          </cell>
        </row>
        <row r="327">
          <cell r="I327" t="str">
            <v>KD11E1550330</v>
          </cell>
          <cell r="J327" t="str">
            <v>X123YZ</v>
          </cell>
          <cell r="K327" t="str">
            <v>KPB3</v>
          </cell>
          <cell r="L327">
            <v>2384</v>
          </cell>
          <cell r="M327" t="str">
            <v>2024-12-19</v>
          </cell>
          <cell r="N327" t="str">
            <v>2025-07-21</v>
          </cell>
          <cell r="O327" t="str">
            <v>https://fruitbasket.blob.core.windows.net/gk2o5k/avatar/21235929220250721104032ERTEMH.jpg</v>
          </cell>
        </row>
        <row r="328">
          <cell r="I328" t="str">
            <v>JBK3E1553452</v>
          </cell>
          <cell r="J328" t="str">
            <v>KB3452XY</v>
          </cell>
          <cell r="K328" t="str">
            <v>KPB4</v>
          </cell>
          <cell r="L328">
            <v>3293</v>
          </cell>
          <cell r="M328" t="str">
            <v>2024-12-19</v>
          </cell>
          <cell r="N328" t="str">
            <v>2025-07-21</v>
          </cell>
          <cell r="O328" t="str">
            <v>https://fruitbasket.blob.core.windows.net/gk2o5k/avatar/212359292202507211038122LHDFB.jpg</v>
          </cell>
        </row>
        <row r="329">
          <cell r="I329" t="str">
            <v>JME1E1418758</v>
          </cell>
          <cell r="J329" t="str">
            <v>X123YZ</v>
          </cell>
          <cell r="K329" t="str">
            <v>KPB3</v>
          </cell>
          <cell r="L329">
            <v>4544</v>
          </cell>
          <cell r="M329" t="str">
            <v>2025-04-21</v>
          </cell>
          <cell r="N329" t="str">
            <v>2025-07-21</v>
          </cell>
          <cell r="O329" t="str">
            <v>https://fruitbasket.blob.core.windows.net/gk2o5k/avatar/21271404420250721094835GXFAMQ.jpg</v>
          </cell>
        </row>
        <row r="330">
          <cell r="I330" t="str">
            <v>JBP1E2091683</v>
          </cell>
          <cell r="J330" t="str">
            <v>KB1683YX</v>
          </cell>
          <cell r="K330" t="str">
            <v>KPB3</v>
          </cell>
          <cell r="L330">
            <v>3632</v>
          </cell>
          <cell r="M330" t="str">
            <v>1970-01-01</v>
          </cell>
          <cell r="N330" t="str">
            <v>2025-07-21</v>
          </cell>
          <cell r="O330" t="str">
            <v>https://fruitbasket.blob.core.windows.net/gk2o5k/avatar/21271404420250721094232JCEVYY.jpg</v>
          </cell>
        </row>
        <row r="331">
          <cell r="I331" t="str">
            <v>JMD1E1834841</v>
          </cell>
          <cell r="J331" t="str">
            <v>B4841V</v>
          </cell>
          <cell r="K331" t="str">
            <v>KPB4</v>
          </cell>
          <cell r="L331">
            <v>5538</v>
          </cell>
          <cell r="M331" t="str">
            <v>2025-02-17</v>
          </cell>
          <cell r="N331" t="str">
            <v>2025-07-19</v>
          </cell>
          <cell r="O331" t="str">
            <v>https://fruitbasket.blob.core.windows.net/gk2o5k/avatar/21278541820250719154938L1HP7D.jpg</v>
          </cell>
        </row>
        <row r="332">
          <cell r="I332" t="str">
            <v>JBK1E2103457</v>
          </cell>
          <cell r="J332" t="str">
            <v>KB6141VA</v>
          </cell>
          <cell r="K332" t="str">
            <v>KPB1</v>
          </cell>
          <cell r="L332">
            <v>846</v>
          </cell>
          <cell r="M332" t="str">
            <v>2025-06-14</v>
          </cell>
          <cell r="N332" t="str">
            <v>2025-07-19</v>
          </cell>
          <cell r="O332" t="str">
            <v>https://fruitbasket.blob.core.windows.net/gk2o5k/avatar/212785222202507191544573B9ZSE.jpg</v>
          </cell>
        </row>
        <row r="333">
          <cell r="I333" t="str">
            <v>JBK3E1580435</v>
          </cell>
          <cell r="J333" t="str">
            <v>X123YZ</v>
          </cell>
          <cell r="K333" t="str">
            <v>KPB1</v>
          </cell>
          <cell r="L333">
            <v>804</v>
          </cell>
          <cell r="M333" t="str">
            <v>2025-06-24</v>
          </cell>
          <cell r="N333" t="str">
            <v>2025-07-19</v>
          </cell>
          <cell r="O333" t="str">
            <v>https://fruitbasket.blob.core.windows.net/gk2o5k/avatar/2127852222025071915400511ETJA.jpg</v>
          </cell>
        </row>
        <row r="334">
          <cell r="I334" t="str">
            <v>KF81E1456065</v>
          </cell>
          <cell r="J334" t="str">
            <v>KB2355YX</v>
          </cell>
          <cell r="K334" t="str">
            <v>KPB2</v>
          </cell>
          <cell r="L334">
            <v>4440</v>
          </cell>
          <cell r="M334" t="str">
            <v>1970-01-01</v>
          </cell>
          <cell r="N334" t="str">
            <v>2025-07-19</v>
          </cell>
          <cell r="O334" t="str">
            <v>https://fruitbasket.blob.core.windows.net/gk2o5k/avatar/21277965620250719152329AVUSFU.jpg</v>
          </cell>
        </row>
        <row r="335">
          <cell r="I335" t="str">
            <v>JBK3E1571737</v>
          </cell>
          <cell r="J335" t="str">
            <v>KB1737XY</v>
          </cell>
          <cell r="K335" t="str">
            <v>KPB2</v>
          </cell>
          <cell r="L335">
            <v>1938</v>
          </cell>
          <cell r="M335" t="str">
            <v>2025-04-25</v>
          </cell>
          <cell r="N335" t="str">
            <v>2025-07-19</v>
          </cell>
          <cell r="O335" t="str">
            <v>https://fruitbasket.blob.core.windows.net/gk2o5k/avatar/21277965620250719151710QSK69Q.jpg</v>
          </cell>
        </row>
        <row r="336">
          <cell r="I336" t="str">
            <v>JBK3E1581372</v>
          </cell>
          <cell r="J336" t="str">
            <v>X123YZ</v>
          </cell>
          <cell r="K336" t="str">
            <v>KPB1</v>
          </cell>
          <cell r="L336">
            <v>293</v>
          </cell>
          <cell r="M336" t="str">
            <v>2025-06-28</v>
          </cell>
          <cell r="N336" t="str">
            <v>2025-07-19</v>
          </cell>
          <cell r="O336" t="str">
            <v>https://fruitbasket.blob.core.windows.net/gk2o5k/avatar/21346998420250719150240KUML2M.jpg</v>
          </cell>
        </row>
        <row r="337">
          <cell r="I337" t="str">
            <v>JBK1E2081323</v>
          </cell>
          <cell r="J337" t="str">
            <v>KB5480VL</v>
          </cell>
          <cell r="K337" t="str">
            <v>KPB3</v>
          </cell>
          <cell r="L337">
            <v>2240</v>
          </cell>
          <cell r="M337" t="str">
            <v>2025-02-12</v>
          </cell>
          <cell r="N337" t="str">
            <v>2025-07-19</v>
          </cell>
          <cell r="O337" t="str">
            <v>https://fruitbasket.blob.core.windows.net/gk2o5k/avatar/212650007202507191448027RLGKL.jpg</v>
          </cell>
        </row>
        <row r="338">
          <cell r="I338" t="str">
            <v>JBK1E2109112</v>
          </cell>
          <cell r="J338" t="str">
            <v>X123YZ</v>
          </cell>
          <cell r="K338" t="str">
            <v>KPB1</v>
          </cell>
          <cell r="L338">
            <v>907</v>
          </cell>
          <cell r="M338" t="str">
            <v>2025-07-01</v>
          </cell>
          <cell r="N338" t="str">
            <v>2025-07-19</v>
          </cell>
          <cell r="O338" t="str">
            <v>https://fruitbasket.blob.core.windows.net/gk2o5k/avatar/21346998420250719143952YDQAAF.jpg</v>
          </cell>
        </row>
        <row r="339">
          <cell r="I339" t="str">
            <v>JBK1E2109923</v>
          </cell>
          <cell r="J339" t="str">
            <v>KB9923XX</v>
          </cell>
          <cell r="K339" t="str">
            <v>KPB1</v>
          </cell>
          <cell r="L339">
            <v>993</v>
          </cell>
          <cell r="M339" t="str">
            <v>2025-06-28</v>
          </cell>
          <cell r="N339" t="str">
            <v>2025-07-19</v>
          </cell>
          <cell r="O339" t="str">
            <v>https://fruitbasket.blob.core.windows.net/gk2o5k/avatar/21277681120250719110238MBHLJQ.jpg</v>
          </cell>
        </row>
        <row r="340">
          <cell r="I340" t="str">
            <v>JBK1E2107790</v>
          </cell>
          <cell r="J340" t="str">
            <v>KB7790XY</v>
          </cell>
          <cell r="K340" t="str">
            <v>KPB1</v>
          </cell>
          <cell r="L340">
            <v>591</v>
          </cell>
          <cell r="M340" t="str">
            <v>1970-01-01</v>
          </cell>
          <cell r="N340" t="str">
            <v>2025-07-19</v>
          </cell>
          <cell r="O340" t="str">
            <v>https://fruitbasket.blob.core.windows.net/gk2o5k/avatar/21277637120250719104111KNHNHJ.jpg</v>
          </cell>
        </row>
        <row r="341">
          <cell r="I341" t="str">
            <v>JMD1E1980277</v>
          </cell>
          <cell r="J341" t="str">
            <v>X123YZ</v>
          </cell>
          <cell r="K341" t="str">
            <v>KPB1</v>
          </cell>
          <cell r="L341">
            <v>275</v>
          </cell>
          <cell r="M341" t="str">
            <v>2025-07-05</v>
          </cell>
          <cell r="N341" t="str">
            <v>2025-07-19</v>
          </cell>
          <cell r="O341" t="str">
            <v>https://fruitbasket.blob.core.windows.net/gk2o5k/avatar/21277637120250719103647HQII7Z.jpg</v>
          </cell>
        </row>
        <row r="342">
          <cell r="I342" t="str">
            <v>JBP1E2102513</v>
          </cell>
          <cell r="J342" t="str">
            <v>X123YZ</v>
          </cell>
          <cell r="K342" t="str">
            <v>KPB3</v>
          </cell>
          <cell r="L342">
            <v>5027</v>
          </cell>
          <cell r="M342" t="str">
            <v>2025-05-13</v>
          </cell>
          <cell r="N342" t="str">
            <v>2025-07-19</v>
          </cell>
          <cell r="O342" t="str">
            <v>https://fruitbasket.blob.core.windows.net/gk2o5k/avatar/21277590520250719102847HQVYFR.jpg</v>
          </cell>
        </row>
        <row r="343">
          <cell r="I343" t="str">
            <v>JBK3E1550212</v>
          </cell>
          <cell r="J343" t="str">
            <v>X123YZ</v>
          </cell>
          <cell r="K343" t="str">
            <v>KPB3</v>
          </cell>
          <cell r="L343">
            <v>827</v>
          </cell>
          <cell r="M343" t="str">
            <v>2024-11-30</v>
          </cell>
          <cell r="N343" t="str">
            <v>2025-07-19</v>
          </cell>
          <cell r="O343" t="str">
            <v>https://fruitbasket.blob.core.windows.net/gk2o5k/avatar/210649912202507191026520IFYFM.jpg</v>
          </cell>
        </row>
        <row r="344">
          <cell r="I344" t="str">
            <v>JBK1E2108557</v>
          </cell>
          <cell r="J344" t="str">
            <v>X123YZ</v>
          </cell>
          <cell r="K344" t="str">
            <v>KPB1</v>
          </cell>
          <cell r="L344">
            <v>550</v>
          </cell>
          <cell r="M344" t="str">
            <v>2025-06-21</v>
          </cell>
          <cell r="N344" t="str">
            <v>2025-07-19</v>
          </cell>
          <cell r="O344" t="str">
            <v>https://fruitbasket.blob.core.windows.net/gk2o5k/avatar/21277510220250719092449KJWCJD.jpg</v>
          </cell>
        </row>
        <row r="345">
          <cell r="I345" t="str">
            <v>JME1E1538004</v>
          </cell>
          <cell r="J345" t="str">
            <v>X123YZ</v>
          </cell>
          <cell r="K345" t="str">
            <v>KPB1</v>
          </cell>
          <cell r="L345">
            <v>1043</v>
          </cell>
          <cell r="M345" t="str">
            <v>2025-06-13</v>
          </cell>
          <cell r="N345" t="str">
            <v>2025-07-18</v>
          </cell>
          <cell r="O345" t="str">
            <v>https://fruitbasket.blob.core.windows.net/gk2o5k/avatar/21277485320250718162557QDAALM.jpg</v>
          </cell>
        </row>
        <row r="346">
          <cell r="I346" t="str">
            <v>JBK1E2109591</v>
          </cell>
          <cell r="J346" t="str">
            <v>X123YZ</v>
          </cell>
          <cell r="K346" t="str">
            <v>KPB1</v>
          </cell>
          <cell r="L346">
            <v>961</v>
          </cell>
          <cell r="M346" t="str">
            <v>2025-06-28</v>
          </cell>
          <cell r="N346" t="str">
            <v>2025-07-18</v>
          </cell>
          <cell r="O346" t="str">
            <v>https://fruitbasket.blob.core.windows.net/gk2o5k/avatar/21277485320250718162021K66KZP.jpg</v>
          </cell>
        </row>
        <row r="347">
          <cell r="I347" t="str">
            <v>KFC1E1070085</v>
          </cell>
          <cell r="J347" t="str">
            <v>KB0085XY</v>
          </cell>
          <cell r="K347" t="str">
            <v>KPB3</v>
          </cell>
          <cell r="L347">
            <v>4013</v>
          </cell>
          <cell r="M347" t="str">
            <v>2024-12-31</v>
          </cell>
          <cell r="N347" t="str">
            <v>2025-07-18</v>
          </cell>
          <cell r="O347" t="str">
            <v>https://fruitbasket.blob.core.windows.net/gk2o5k/avatar/21247136920250718160728TVFLBK.jpg</v>
          </cell>
        </row>
        <row r="348">
          <cell r="I348" t="str">
            <v>JBK1E2066753</v>
          </cell>
          <cell r="J348" t="str">
            <v>KB6753XX</v>
          </cell>
          <cell r="K348" t="str">
            <v>KPB3</v>
          </cell>
          <cell r="L348">
            <v>4634</v>
          </cell>
          <cell r="M348" t="str">
            <v>2025-01-21</v>
          </cell>
          <cell r="N348" t="str">
            <v>2025-07-18</v>
          </cell>
          <cell r="O348" t="str">
            <v>https://fruitbasket.blob.core.windows.net/gk2o5k/avatar/21277323820250718160336OFVLCA.jpg</v>
          </cell>
        </row>
        <row r="349">
          <cell r="I349" t="str">
            <v>JMH2E1135972</v>
          </cell>
          <cell r="J349" t="str">
            <v>KB5972XY</v>
          </cell>
          <cell r="K349" t="str">
            <v>KPB3</v>
          </cell>
          <cell r="L349">
            <v>5860</v>
          </cell>
          <cell r="M349" t="str">
            <v>2025-02-10</v>
          </cell>
          <cell r="N349" t="str">
            <v>2025-07-18</v>
          </cell>
          <cell r="O349" t="str">
            <v>https://fruitbasket.blob.core.windows.net/gk2o5k/avatar/21263515120250718142214IGK889.jpg</v>
          </cell>
        </row>
        <row r="350">
          <cell r="I350" t="str">
            <v>KC04E1004316</v>
          </cell>
          <cell r="J350" t="str">
            <v>KB4316XY</v>
          </cell>
          <cell r="K350" t="str">
            <v>KPB1</v>
          </cell>
          <cell r="L350">
            <v>884</v>
          </cell>
          <cell r="M350" t="str">
            <v>2025-06-03</v>
          </cell>
          <cell r="N350" t="str">
            <v>2025-07-18</v>
          </cell>
          <cell r="O350" t="str">
            <v>https://fruitbasket.blob.core.windows.net/gk2o5k/avatar/21277315620250718141707SNY8EK.jpg</v>
          </cell>
        </row>
        <row r="351">
          <cell r="I351" t="str">
            <v>JBK1E2080400</v>
          </cell>
          <cell r="J351" t="str">
            <v>KB5049VL</v>
          </cell>
          <cell r="K351" t="str">
            <v>KPB3</v>
          </cell>
          <cell r="L351">
            <v>6325</v>
          </cell>
          <cell r="M351" t="str">
            <v>2025-01-25</v>
          </cell>
          <cell r="N351" t="str">
            <v>2025-07-18</v>
          </cell>
          <cell r="O351" t="str">
            <v>https://fruitbasket.blob.core.windows.net/gk2o5k/avatar/212773156202507181411277OWCMS.jpg</v>
          </cell>
        </row>
        <row r="352">
          <cell r="I352" t="str">
            <v>JMD1E1967858</v>
          </cell>
          <cell r="J352" t="str">
            <v>X123YZ</v>
          </cell>
          <cell r="K352" t="str">
            <v>KPB1</v>
          </cell>
          <cell r="L352">
            <v>770</v>
          </cell>
          <cell r="M352" t="str">
            <v>2025-06-30</v>
          </cell>
          <cell r="N352" t="str">
            <v>2025-07-18</v>
          </cell>
          <cell r="O352" t="str">
            <v>https://fruitbasket.blob.core.windows.net/gk2o5k/avatar/212475079202507181032381SDUCH.jpg</v>
          </cell>
        </row>
        <row r="353">
          <cell r="I353" t="str">
            <v>JMH2E1120884</v>
          </cell>
          <cell r="J353" t="str">
            <v>X123YZ</v>
          </cell>
          <cell r="K353" t="str">
            <v>KPB1</v>
          </cell>
          <cell r="L353">
            <v>999</v>
          </cell>
          <cell r="M353" t="str">
            <v>1970-01-01</v>
          </cell>
          <cell r="N353" t="str">
            <v>2025-07-18</v>
          </cell>
          <cell r="O353" t="str">
            <v>https://fruitbasket.blob.core.windows.net/gk2o5k/avatar/21323101020250718100004SDTGZ4.jpg</v>
          </cell>
        </row>
        <row r="354">
          <cell r="I354" t="str">
            <v>JMH2E1215951</v>
          </cell>
          <cell r="J354" t="str">
            <v>X123YZ</v>
          </cell>
          <cell r="K354" t="str">
            <v>KPB3</v>
          </cell>
          <cell r="L354">
            <v>2088</v>
          </cell>
          <cell r="M354" t="str">
            <v>2025-03-26</v>
          </cell>
          <cell r="N354" t="str">
            <v>2025-07-18</v>
          </cell>
          <cell r="O354" t="str">
            <v>https://fruitbasket.blob.core.windows.net/gk2o5k/avatar/21293534420250718095248ANNUWD.jpg</v>
          </cell>
        </row>
        <row r="355">
          <cell r="I355" t="str">
            <v>JMC1E1627344</v>
          </cell>
          <cell r="J355" t="str">
            <v>KB7344XX</v>
          </cell>
          <cell r="K355" t="str">
            <v>KPB2</v>
          </cell>
          <cell r="L355">
            <v>1286</v>
          </cell>
          <cell r="M355" t="str">
            <v>2025-05-22</v>
          </cell>
          <cell r="N355" t="str">
            <v>2025-07-18</v>
          </cell>
          <cell r="O355" t="str">
            <v>https://fruitbasket.blob.core.windows.net/gk2o5k/avatar/213231010202507180950402QRTLC.jpg</v>
          </cell>
        </row>
        <row r="356">
          <cell r="I356" t="str">
            <v>JMH1E1185772</v>
          </cell>
          <cell r="J356" t="str">
            <v>KB5772XX</v>
          </cell>
          <cell r="K356" t="str">
            <v>KPB1</v>
          </cell>
          <cell r="L356">
            <v>218</v>
          </cell>
          <cell r="M356" t="str">
            <v>1970-01-01</v>
          </cell>
          <cell r="N356" t="str">
            <v>2025-07-17</v>
          </cell>
          <cell r="O356" t="str">
            <v>https://fruitbasket.blob.core.windows.net/gk2o5k/avatar/21314998820250717164204IKV1ZW.jpg</v>
          </cell>
        </row>
        <row r="357">
          <cell r="I357" t="str">
            <v>JBK1E2101183</v>
          </cell>
          <cell r="J357" t="str">
            <v>KB1183XX</v>
          </cell>
          <cell r="K357" t="str">
            <v>KPB2</v>
          </cell>
          <cell r="L357">
            <v>2246</v>
          </cell>
          <cell r="M357" t="str">
            <v>2025-05-19</v>
          </cell>
          <cell r="N357" t="str">
            <v>2025-07-17</v>
          </cell>
          <cell r="O357" t="str">
            <v>https://fruitbasket.blob.core.windows.net/gk2o5k/avatar/21314998820250717163731JPF5LX.jpg</v>
          </cell>
        </row>
        <row r="358">
          <cell r="I358" t="str">
            <v>JBK3E1573409</v>
          </cell>
          <cell r="J358" t="str">
            <v>KB3409XX</v>
          </cell>
          <cell r="K358" t="str">
            <v>KPB2</v>
          </cell>
          <cell r="L358">
            <v>1104</v>
          </cell>
          <cell r="M358" t="str">
            <v>1970-01-01</v>
          </cell>
          <cell r="N358" t="str">
            <v>2025-07-17</v>
          </cell>
          <cell r="O358" t="str">
            <v>https://fruitbasket.blob.core.windows.net/gk2o5k/avatar/21314998820250717163220WW7KSI.jpg</v>
          </cell>
        </row>
        <row r="359">
          <cell r="I359" t="str">
            <v>JBK3E1583980</v>
          </cell>
          <cell r="J359" t="str">
            <v>KB2362YX</v>
          </cell>
          <cell r="K359" t="str">
            <v>KPB1</v>
          </cell>
          <cell r="L359">
            <v>326</v>
          </cell>
          <cell r="M359" t="str">
            <v>1970-01-01</v>
          </cell>
          <cell r="N359" t="str">
            <v>2025-07-17</v>
          </cell>
          <cell r="O359" t="str">
            <v>https://fruitbasket.blob.core.windows.net/gk2o5k/avatar/21277211920250717153752IRMWDX.jpg</v>
          </cell>
        </row>
        <row r="360">
          <cell r="I360" t="str">
            <v>JBK1E2105936</v>
          </cell>
          <cell r="J360" t="str">
            <v>X123YZ</v>
          </cell>
          <cell r="K360" t="str">
            <v>KPB1</v>
          </cell>
          <cell r="L360">
            <v>971</v>
          </cell>
          <cell r="M360" t="str">
            <v>2025-06-12</v>
          </cell>
          <cell r="N360" t="str">
            <v>2025-07-17</v>
          </cell>
          <cell r="O360" t="str">
            <v>https://fruitbasket.blob.core.windows.net/gk2o5k/avatar/21339577320250717152906EO47ZL.jpg</v>
          </cell>
        </row>
        <row r="361">
          <cell r="I361" t="str">
            <v>JBK3E1580185</v>
          </cell>
          <cell r="J361" t="str">
            <v>KB0185XY</v>
          </cell>
          <cell r="K361" t="str">
            <v>KPB1</v>
          </cell>
          <cell r="L361">
            <v>1078</v>
          </cell>
          <cell r="M361" t="str">
            <v>2025-06-18</v>
          </cell>
          <cell r="N361" t="str">
            <v>2025-07-17</v>
          </cell>
          <cell r="O361" t="str">
            <v>https://fruitbasket.blob.core.windows.net/gk2o5k/avatar/21339577320250717152351P2LWKM.jpg</v>
          </cell>
        </row>
        <row r="362">
          <cell r="I362" t="str">
            <v>JBK1E2108430</v>
          </cell>
          <cell r="J362" t="str">
            <v>KB8430XY</v>
          </cell>
          <cell r="K362" t="str">
            <v>KPB1</v>
          </cell>
          <cell r="L362">
            <v>783</v>
          </cell>
          <cell r="M362" t="str">
            <v>2025-06-21</v>
          </cell>
          <cell r="N362" t="str">
            <v>2025-07-17</v>
          </cell>
          <cell r="O362" t="str">
            <v>https://fruitbasket.blob.core.windows.net/gk2o5k/avatar/21339577320250717151654R0PLD9.jpg</v>
          </cell>
        </row>
        <row r="363">
          <cell r="I363" t="str">
            <v>JBP1E2110254</v>
          </cell>
          <cell r="J363" t="str">
            <v>X123YZ</v>
          </cell>
          <cell r="K363" t="str">
            <v>KPB1</v>
          </cell>
          <cell r="L363">
            <v>892</v>
          </cell>
          <cell r="M363" t="str">
            <v>2025-06-28</v>
          </cell>
          <cell r="N363" t="str">
            <v>2025-07-17</v>
          </cell>
          <cell r="O363" t="str">
            <v>https://fruitbasket.blob.core.windows.net/gk2o5k/avatar/213435990202507171456421FYWY2.jpg</v>
          </cell>
        </row>
        <row r="364">
          <cell r="I364" t="str">
            <v>JBK3E1584196</v>
          </cell>
          <cell r="J364" t="str">
            <v>X123YZ</v>
          </cell>
          <cell r="K364" t="str">
            <v>KPB1</v>
          </cell>
          <cell r="L364">
            <v>87</v>
          </cell>
          <cell r="M364" t="str">
            <v>2025-07-12</v>
          </cell>
          <cell r="N364" t="str">
            <v>2025-07-17</v>
          </cell>
          <cell r="O364" t="str">
            <v>https://fruitbasket.blob.core.windows.net/gk2o5k/avatar/21277032620250717144516SCPS7C.jpg</v>
          </cell>
        </row>
        <row r="365">
          <cell r="I365" t="str">
            <v>KD11E1613694</v>
          </cell>
          <cell r="J365" t="str">
            <v>KB3694XY</v>
          </cell>
          <cell r="K365" t="str">
            <v>KPB1</v>
          </cell>
          <cell r="L365">
            <v>516</v>
          </cell>
          <cell r="M365" t="str">
            <v>2025-07-04</v>
          </cell>
          <cell r="N365" t="str">
            <v>2025-07-17</v>
          </cell>
          <cell r="O365" t="str">
            <v>https://fruitbasket.blob.core.windows.net/gk2o5k/avatar/21277032620250717144114BELPWD.jpg</v>
          </cell>
        </row>
        <row r="366">
          <cell r="I366" t="str">
            <v>JMH1E1005449</v>
          </cell>
          <cell r="K366" t="str">
            <v>KPB4</v>
          </cell>
          <cell r="L366">
            <v>10272</v>
          </cell>
          <cell r="M366" t="str">
            <v>2024-12-18</v>
          </cell>
          <cell r="N366" t="str">
            <v>2025-07-17</v>
          </cell>
          <cell r="O366" t="str">
            <v>https://fruitbasket.blob.core.windows.net/gk2o5k/avatar/212770184202507171436161ZYUAN.jpg</v>
          </cell>
        </row>
        <row r="367">
          <cell r="I367" t="str">
            <v>KC04E1009557</v>
          </cell>
          <cell r="J367" t="str">
            <v>KB9557XY</v>
          </cell>
          <cell r="K367" t="str">
            <v>KPB1</v>
          </cell>
          <cell r="L367">
            <v>605</v>
          </cell>
          <cell r="M367" t="str">
            <v>2025-07-09</v>
          </cell>
          <cell r="N367" t="str">
            <v>2025-07-17</v>
          </cell>
          <cell r="O367" t="str">
            <v>https://fruitbasket.blob.core.windows.net/gk2o5k/avatar/212770041202507171426407LGAKO.jpg</v>
          </cell>
        </row>
        <row r="368">
          <cell r="I368" t="str">
            <v>KD11E1612096</v>
          </cell>
          <cell r="J368" t="str">
            <v>X123YZ</v>
          </cell>
          <cell r="K368" t="str">
            <v>KPB1</v>
          </cell>
          <cell r="L368">
            <v>555</v>
          </cell>
          <cell r="M368" t="str">
            <v>2025-06-28</v>
          </cell>
          <cell r="N368" t="str">
            <v>2025-07-17</v>
          </cell>
          <cell r="O368" t="str">
            <v>https://fruitbasket.blob.core.windows.net/gk2o5k/avatar/21277004120250717142110BK8KT1.jpg</v>
          </cell>
        </row>
        <row r="369">
          <cell r="I369" t="str">
            <v>KD11E1613494</v>
          </cell>
          <cell r="J369" t="str">
            <v>KB3494XY</v>
          </cell>
          <cell r="K369" t="str">
            <v>KPB1</v>
          </cell>
          <cell r="L369">
            <v>682</v>
          </cell>
          <cell r="M369" t="str">
            <v>2025-07-04</v>
          </cell>
          <cell r="N369" t="str">
            <v>2025-07-17</v>
          </cell>
          <cell r="O369" t="str">
            <v>https://fruitbasket.blob.core.windows.net/gk2o5k/avatar/21277004120250717141622R3GL8D.jpg</v>
          </cell>
        </row>
        <row r="370">
          <cell r="I370" t="str">
            <v>KC04E1009202</v>
          </cell>
          <cell r="J370" t="str">
            <v>KB9202XY</v>
          </cell>
          <cell r="K370" t="str">
            <v>KPB1</v>
          </cell>
          <cell r="L370">
            <v>201</v>
          </cell>
          <cell r="M370" t="str">
            <v>2025-07-07</v>
          </cell>
          <cell r="N370" t="str">
            <v>2025-07-17</v>
          </cell>
          <cell r="O370" t="str">
            <v>https://fruitbasket.blob.core.windows.net/gk2o5k/avatar/21276976620250717133442OMT3QT.jpg</v>
          </cell>
        </row>
        <row r="371">
          <cell r="I371" t="str">
            <v>KC04E1002622</v>
          </cell>
          <cell r="J371" t="str">
            <v>KB2622XY</v>
          </cell>
          <cell r="K371" t="str">
            <v>KPB1</v>
          </cell>
          <cell r="L371">
            <v>1057</v>
          </cell>
          <cell r="M371" t="str">
            <v>2025-05-16</v>
          </cell>
          <cell r="N371" t="str">
            <v>2025-07-17</v>
          </cell>
          <cell r="O371" t="str">
            <v>https://fruitbasket.blob.core.windows.net/gk2o5k/avatar/21276976620250717132823GL167T.jpg</v>
          </cell>
        </row>
        <row r="372">
          <cell r="I372" t="str">
            <v>KB22E1057728</v>
          </cell>
          <cell r="J372" t="str">
            <v>KB7728XY</v>
          </cell>
          <cell r="K372" t="str">
            <v>KPB1</v>
          </cell>
          <cell r="L372">
            <v>351</v>
          </cell>
          <cell r="M372" t="str">
            <v>2025-07-10</v>
          </cell>
          <cell r="N372" t="str">
            <v>2025-07-17</v>
          </cell>
          <cell r="O372" t="str">
            <v>https://fruitbasket.blob.core.windows.net/gk2o5k/avatar/21276955920250717132218YSDPID.jpg</v>
          </cell>
        </row>
        <row r="373">
          <cell r="I373" t="str">
            <v>JMH1E1203265</v>
          </cell>
          <cell r="J373" t="str">
            <v>KB3265XY</v>
          </cell>
          <cell r="K373" t="str">
            <v>KPB1</v>
          </cell>
          <cell r="L373">
            <v>117</v>
          </cell>
          <cell r="M373" t="str">
            <v>1970-01-01</v>
          </cell>
          <cell r="N373" t="str">
            <v>2025-07-17</v>
          </cell>
          <cell r="O373" t="str">
            <v>https://fruitbasket.blob.core.windows.net/gk2o5k/avatar/21276955920250717131642JJCQTN.jpg</v>
          </cell>
        </row>
        <row r="374">
          <cell r="I374" t="str">
            <v>JBK3E1579545</v>
          </cell>
          <cell r="J374" t="str">
            <v>X123YZ</v>
          </cell>
          <cell r="K374" t="str">
            <v>KPB1</v>
          </cell>
          <cell r="L374">
            <v>975</v>
          </cell>
          <cell r="M374" t="str">
            <v>2025-06-17</v>
          </cell>
          <cell r="N374" t="str">
            <v>2025-07-17</v>
          </cell>
          <cell r="O374" t="str">
            <v>https://fruitbasket.blob.core.windows.net/gk2o5k/avatar/21276955920250717131026XIAETE.jpg</v>
          </cell>
        </row>
        <row r="375">
          <cell r="I375" t="str">
            <v>JBK1E2107799</v>
          </cell>
          <cell r="J375" t="str">
            <v>X123YZ</v>
          </cell>
          <cell r="K375" t="str">
            <v>KPB1</v>
          </cell>
          <cell r="L375">
            <v>623</v>
          </cell>
          <cell r="M375" t="str">
            <v>2025-06-20</v>
          </cell>
          <cell r="N375" t="str">
            <v>2025-07-17</v>
          </cell>
          <cell r="O375" t="str">
            <v>https://fruitbasket.blob.core.windows.net/gk2o5k/avatar/21276913320250717130216L0ZHQR.jpg</v>
          </cell>
        </row>
        <row r="376">
          <cell r="I376" t="str">
            <v>JBK1E2109727</v>
          </cell>
          <cell r="J376" t="str">
            <v>KB9727XY</v>
          </cell>
          <cell r="K376" t="str">
            <v>KPB1</v>
          </cell>
          <cell r="L376">
            <v>549</v>
          </cell>
          <cell r="M376" t="str">
            <v>2025-07-04</v>
          </cell>
          <cell r="N376" t="str">
            <v>2025-07-17</v>
          </cell>
          <cell r="O376" t="str">
            <v>https://fruitbasket.blob.core.windows.net/gk2o5k/avatar/21276913320250717125555HKWLJM.jpg</v>
          </cell>
        </row>
        <row r="377">
          <cell r="I377" t="str">
            <v>JMH2E1404378</v>
          </cell>
          <cell r="J377" t="str">
            <v>KB4378XY</v>
          </cell>
          <cell r="K377" t="str">
            <v>KPB1</v>
          </cell>
          <cell r="L377">
            <v>416</v>
          </cell>
          <cell r="M377" t="str">
            <v>2025-07-04</v>
          </cell>
          <cell r="N377" t="str">
            <v>2025-07-17</v>
          </cell>
          <cell r="O377" t="str">
            <v>https://fruitbasket.blob.core.windows.net/gk2o5k/avatar/212768795202507171244066CMOYL.jpg</v>
          </cell>
        </row>
        <row r="378">
          <cell r="I378" t="str">
            <v>JME1E1557989</v>
          </cell>
          <cell r="J378" t="str">
            <v>KB7989XY</v>
          </cell>
          <cell r="K378" t="str">
            <v>KPB1</v>
          </cell>
          <cell r="L378">
            <v>438</v>
          </cell>
          <cell r="M378" t="str">
            <v>2025-06-17</v>
          </cell>
          <cell r="N378" t="str">
            <v>2025-07-17</v>
          </cell>
          <cell r="O378" t="str">
            <v>https://fruitbasket.blob.core.windows.net/gk2o5k/avatar/21276857220250717123734LENOOM.jpg</v>
          </cell>
        </row>
        <row r="379">
          <cell r="I379" t="str">
            <v>JBK3E1584356</v>
          </cell>
          <cell r="J379" t="str">
            <v>X123YZ</v>
          </cell>
          <cell r="K379" t="str">
            <v>KPB1</v>
          </cell>
          <cell r="L379">
            <v>533</v>
          </cell>
          <cell r="M379" t="str">
            <v>2025-07-12</v>
          </cell>
          <cell r="N379" t="str">
            <v>2025-07-17</v>
          </cell>
          <cell r="O379" t="str">
            <v>https://fruitbasket.blob.core.windows.net/gk2o5k/avatar/21276857220250717123221SUHEIJ.jpg</v>
          </cell>
        </row>
        <row r="380">
          <cell r="I380" t="str">
            <v>JBK3E1538356</v>
          </cell>
          <cell r="J380" t="str">
            <v>X123YZ</v>
          </cell>
          <cell r="K380" t="str">
            <v>KPB4</v>
          </cell>
          <cell r="L380">
            <v>7792</v>
          </cell>
          <cell r="M380" t="str">
            <v>2024-10-28</v>
          </cell>
          <cell r="N380" t="str">
            <v>2025-07-31</v>
          </cell>
          <cell r="O380" t="str">
            <v>https://fruitbasket.blob.core.windows.net/gk2o5k/avatar/21329558420250731165623KKN7EU.jpg</v>
          </cell>
        </row>
        <row r="381">
          <cell r="I381" t="str">
            <v>KC02E1287022</v>
          </cell>
          <cell r="J381" t="str">
            <v>KB7022XY</v>
          </cell>
          <cell r="K381" t="str">
            <v>KPB3</v>
          </cell>
          <cell r="L381">
            <v>3721</v>
          </cell>
          <cell r="M381" t="str">
            <v>1970-01-01</v>
          </cell>
          <cell r="N381" t="str">
            <v>2025-07-31</v>
          </cell>
          <cell r="O381" t="str">
            <v>https://fruitbasket.blob.core.windows.net/gk2o5k/avatar/213248219202507311650524QL6PF.jpg</v>
          </cell>
        </row>
        <row r="382">
          <cell r="I382" t="str">
            <v>JBK1E2054992</v>
          </cell>
          <cell r="J382" t="str">
            <v>X123YZ</v>
          </cell>
          <cell r="K382" t="str">
            <v>KPB4</v>
          </cell>
          <cell r="L382">
            <v>5688</v>
          </cell>
          <cell r="M382" t="str">
            <v>2024-10-31</v>
          </cell>
          <cell r="N382" t="str">
            <v>2025-07-31</v>
          </cell>
          <cell r="O382" t="str">
            <v>https://fruitbasket.blob.core.windows.net/gk2o5k/avatar/21324821920250731164819U8TUUO.jpg</v>
          </cell>
        </row>
        <row r="383">
          <cell r="I383" t="str">
            <v>JBK3E1555846</v>
          </cell>
          <cell r="J383" t="str">
            <v>KB5846XY</v>
          </cell>
          <cell r="K383" t="str">
            <v>KPB3</v>
          </cell>
          <cell r="L383">
            <v>3472</v>
          </cell>
          <cell r="M383" t="str">
            <v>2025-01-04</v>
          </cell>
          <cell r="N383" t="str">
            <v>2025-07-31</v>
          </cell>
          <cell r="O383" t="str">
            <v>https://fruitbasket.blob.core.windows.net/gk2o5k/avatar/21324821920250731164521D9ODNL.jpg</v>
          </cell>
        </row>
        <row r="384">
          <cell r="I384" t="str">
            <v>JBK1E2081856</v>
          </cell>
          <cell r="J384" t="str">
            <v>KB5360VL</v>
          </cell>
          <cell r="K384" t="str">
            <v>KPB3</v>
          </cell>
          <cell r="L384">
            <v>2101</v>
          </cell>
          <cell r="M384" t="str">
            <v>2025-02-08</v>
          </cell>
          <cell r="N384" t="str">
            <v>2025-07-31</v>
          </cell>
          <cell r="O384" t="str">
            <v>https://fruitbasket.blob.core.windows.net/gk2o5k/avatar/21324342320250731163753C01XMQ.jpg</v>
          </cell>
        </row>
        <row r="385">
          <cell r="I385" t="str">
            <v>JBK3E1538951</v>
          </cell>
          <cell r="J385" t="str">
            <v>KB8951XY</v>
          </cell>
          <cell r="K385" t="str">
            <v>KPB4</v>
          </cell>
          <cell r="L385">
            <v>9112</v>
          </cell>
          <cell r="M385" t="str">
            <v>2024-10-02</v>
          </cell>
          <cell r="N385" t="str">
            <v>2025-07-31</v>
          </cell>
          <cell r="O385" t="str">
            <v>https://fruitbasket.blob.core.windows.net/gk2o5k/avatar/21324342320250731163547PBY04X.jpg</v>
          </cell>
        </row>
        <row r="386">
          <cell r="I386" t="str">
            <v>JMH1E1047905</v>
          </cell>
          <cell r="J386" t="str">
            <v>KB7905XY</v>
          </cell>
          <cell r="K386" t="str">
            <v>KPB3</v>
          </cell>
          <cell r="L386">
            <v>2145</v>
          </cell>
          <cell r="M386" t="str">
            <v>2025-01-14</v>
          </cell>
          <cell r="N386" t="str">
            <v>2025-07-31</v>
          </cell>
          <cell r="O386" t="str">
            <v>https://fruitbasket.blob.core.windows.net/gk2o5k/avatar/21245700220250731163209YLWXMR.jpg</v>
          </cell>
        </row>
        <row r="387">
          <cell r="I387" t="str">
            <v>JBK1E2071830</v>
          </cell>
          <cell r="J387" t="str">
            <v>KB1830XT</v>
          </cell>
          <cell r="K387" t="str">
            <v>KPB3</v>
          </cell>
          <cell r="L387">
            <v>3382</v>
          </cell>
          <cell r="M387" t="str">
            <v>2025-01-07</v>
          </cell>
          <cell r="N387" t="str">
            <v>2025-07-31</v>
          </cell>
          <cell r="O387" t="str">
            <v>https://fruitbasket.blob.core.windows.net/gk2o5k/avatar/21245700220250731162937TTJW4T.jpg</v>
          </cell>
        </row>
        <row r="388">
          <cell r="I388" t="str">
            <v>JMF1E1081613</v>
          </cell>
          <cell r="J388" t="str">
            <v>KB1613XY</v>
          </cell>
          <cell r="K388" t="str">
            <v>KPB4</v>
          </cell>
          <cell r="L388">
            <v>4575</v>
          </cell>
          <cell r="M388" t="str">
            <v>2024-10-03</v>
          </cell>
          <cell r="N388" t="str">
            <v>2025-07-31</v>
          </cell>
          <cell r="O388" t="str">
            <v>https://fruitbasket.blob.core.windows.net/gk2o5k/avatar/21193342420250731162520SL7RB0.jpg</v>
          </cell>
        </row>
        <row r="389">
          <cell r="I389" t="str">
            <v>JBK1E2069014</v>
          </cell>
          <cell r="J389" t="str">
            <v>X123YZ</v>
          </cell>
          <cell r="K389" t="str">
            <v>KPB3</v>
          </cell>
          <cell r="L389">
            <v>2297</v>
          </cell>
          <cell r="M389" t="str">
            <v>2025-01-04</v>
          </cell>
          <cell r="N389" t="str">
            <v>2025-07-31</v>
          </cell>
          <cell r="O389" t="str">
            <v>https://fruitbasket.blob.core.windows.net/gk2o5k/avatar/21244572920250731162104ETDPPB.jpg</v>
          </cell>
        </row>
        <row r="390">
          <cell r="I390" t="str">
            <v>JMF2E1159095</v>
          </cell>
          <cell r="J390" t="str">
            <v>X123YZ</v>
          </cell>
          <cell r="K390" t="str">
            <v>KPB4</v>
          </cell>
          <cell r="L390">
            <v>4879</v>
          </cell>
          <cell r="M390" t="str">
            <v>2024-10-16</v>
          </cell>
          <cell r="N390" t="str">
            <v>2025-07-31</v>
          </cell>
          <cell r="O390" t="str">
            <v>https://fruitbasket.blob.core.windows.net/gk2o5k/avatar/21199991520250731161645YFNJ4A.jpg</v>
          </cell>
        </row>
        <row r="391">
          <cell r="I391" t="str">
            <v>JMF1E1083992</v>
          </cell>
          <cell r="J391" t="str">
            <v>X123YZ</v>
          </cell>
          <cell r="K391" t="str">
            <v>KPB4</v>
          </cell>
          <cell r="L391">
            <v>5687</v>
          </cell>
          <cell r="M391" t="str">
            <v>2024-10-14</v>
          </cell>
          <cell r="N391" t="str">
            <v>2025-07-31</v>
          </cell>
          <cell r="O391" t="str">
            <v>https://fruitbasket.blob.core.windows.net/gk2o5k/avatar/21198890420250731161123DLYXJV.jpg</v>
          </cell>
        </row>
        <row r="392">
          <cell r="I392" t="str">
            <v>JBK3E1543953</v>
          </cell>
          <cell r="J392" t="str">
            <v>KB3953XY</v>
          </cell>
          <cell r="K392" t="str">
            <v>KPB4</v>
          </cell>
          <cell r="L392">
            <v>5051</v>
          </cell>
          <cell r="M392" t="str">
            <v>2024-10-22</v>
          </cell>
          <cell r="N392" t="str">
            <v>2025-07-31</v>
          </cell>
          <cell r="O392" t="str">
            <v>https://fruitbasket.blob.core.windows.net/gk2o5k/avatar/2750077220250731160641CFQMSP.jpg</v>
          </cell>
        </row>
        <row r="393">
          <cell r="I393" t="str">
            <v>JBK1E2053626</v>
          </cell>
          <cell r="J393" t="str">
            <v>X123YZ</v>
          </cell>
          <cell r="K393" t="str">
            <v>KPB4</v>
          </cell>
          <cell r="L393">
            <v>4137</v>
          </cell>
          <cell r="M393" t="str">
            <v>2024-10-30</v>
          </cell>
          <cell r="N393" t="str">
            <v>2025-07-31</v>
          </cell>
          <cell r="O393" t="str">
            <v>https://fruitbasket.blob.core.windows.net/gk2o5k/avatar/21208410420250731154445ZB2H75.jpg</v>
          </cell>
        </row>
        <row r="394">
          <cell r="I394" t="str">
            <v>JBK3E1540709</v>
          </cell>
          <cell r="J394" t="str">
            <v>X123YZ</v>
          </cell>
          <cell r="K394" t="str">
            <v>KPB4</v>
          </cell>
          <cell r="L394">
            <v>4792</v>
          </cell>
          <cell r="M394" t="str">
            <v>2024-10-14</v>
          </cell>
          <cell r="N394" t="str">
            <v>2025-07-31</v>
          </cell>
          <cell r="O394" t="str">
            <v>https://fruitbasket.blob.core.windows.net/gk2o5k/avatar/21198452820250731154125PZXSIA.jpg</v>
          </cell>
        </row>
        <row r="395">
          <cell r="I395" t="str">
            <v>JBK1E2054838</v>
          </cell>
          <cell r="J395" t="str">
            <v>KB4838XY</v>
          </cell>
          <cell r="K395" t="str">
            <v>KPB4</v>
          </cell>
          <cell r="L395">
            <v>5838</v>
          </cell>
          <cell r="M395" t="str">
            <v>2024-10-25</v>
          </cell>
          <cell r="N395" t="str">
            <v>2025-07-31</v>
          </cell>
          <cell r="O395" t="str">
            <v>https://fruitbasket.blob.core.windows.net/gk2o5k/avatar/21205114720250731153651UNQAJW.jpg</v>
          </cell>
        </row>
        <row r="396">
          <cell r="I396" t="str">
            <v>JBK1E2055079</v>
          </cell>
          <cell r="J396" t="str">
            <v>KB5079XY</v>
          </cell>
          <cell r="K396" t="str">
            <v>KPB4</v>
          </cell>
          <cell r="L396">
            <v>5007</v>
          </cell>
          <cell r="M396" t="str">
            <v>2024-10-23</v>
          </cell>
          <cell r="N396" t="str">
            <v>2025-07-31</v>
          </cell>
          <cell r="O396" t="str">
            <v>https://fruitbasket.blob.core.windows.net/gk2o5k/avatar/21208461220250731153243EXHDTD.jpg</v>
          </cell>
        </row>
        <row r="397">
          <cell r="I397" t="str">
            <v>JBK3E1545616</v>
          </cell>
          <cell r="J397" t="str">
            <v>KB5616XY</v>
          </cell>
          <cell r="K397" t="str">
            <v>KPB4</v>
          </cell>
          <cell r="L397">
            <v>6821</v>
          </cell>
          <cell r="M397" t="str">
            <v>2024-10-30</v>
          </cell>
          <cell r="N397" t="str">
            <v>2025-07-31</v>
          </cell>
          <cell r="O397" t="str">
            <v>https://fruitbasket.blob.core.windows.net/gk2o5k/avatar/21208461220250731152414SCQC5Z.jpg</v>
          </cell>
        </row>
        <row r="398">
          <cell r="I398" t="str">
            <v>KD11E1612863</v>
          </cell>
          <cell r="J398" t="str">
            <v>KB2863XY</v>
          </cell>
          <cell r="K398" t="str">
            <v>KPB1</v>
          </cell>
          <cell r="L398">
            <v>674</v>
          </cell>
          <cell r="M398" t="str">
            <v>2025-07-07</v>
          </cell>
          <cell r="N398" t="str">
            <v>2025-07-31</v>
          </cell>
          <cell r="O398" t="str">
            <v>https://fruitbasket.blob.core.windows.net/gk2o5k/avatar/21323438520250731151854RR98T2.jpg</v>
          </cell>
        </row>
        <row r="399">
          <cell r="I399" t="str">
            <v>JBK3E1579579</v>
          </cell>
          <cell r="J399" t="str">
            <v>KB9579XX</v>
          </cell>
          <cell r="K399" t="str">
            <v>KPB1</v>
          </cell>
          <cell r="L399">
            <v>479</v>
          </cell>
          <cell r="M399" t="str">
            <v>1970-01-01</v>
          </cell>
          <cell r="N399" t="str">
            <v>2025-07-31</v>
          </cell>
          <cell r="O399" t="str">
            <v>https://fruitbasket.blob.core.windows.net/gk2o5k/avatar/21312832020250731151424NWR8PG.jpg</v>
          </cell>
        </row>
        <row r="400">
          <cell r="I400" t="str">
            <v>JBK1E2046769</v>
          </cell>
          <cell r="J400" t="str">
            <v>X123YZ</v>
          </cell>
          <cell r="K400" t="str">
            <v>KPB4</v>
          </cell>
          <cell r="L400">
            <v>6691</v>
          </cell>
          <cell r="M400" t="str">
            <v>2024-09-11</v>
          </cell>
          <cell r="N400" t="str">
            <v>2025-07-31</v>
          </cell>
          <cell r="O400" t="str">
            <v>https://fruitbasket.blob.core.windows.net/gk2o5k/avatar/21179318320250731143425EWZCNH.jpg</v>
          </cell>
        </row>
        <row r="401">
          <cell r="I401" t="str">
            <v>JBK3E1539102</v>
          </cell>
          <cell r="J401" t="str">
            <v>X123YZ</v>
          </cell>
          <cell r="K401" t="str">
            <v>KPB4</v>
          </cell>
          <cell r="L401">
            <v>5883</v>
          </cell>
          <cell r="M401" t="str">
            <v>2024-09-11</v>
          </cell>
          <cell r="N401" t="str">
            <v>2025-07-31</v>
          </cell>
          <cell r="O401" t="str">
            <v>https://fruitbasket.blob.core.windows.net/gk2o5k/avatar/210497424202507311424263W3FV5.jpg</v>
          </cell>
        </row>
        <row r="402">
          <cell r="I402" t="str">
            <v>JBK3E1536981</v>
          </cell>
          <cell r="J402" t="str">
            <v>B6981XV</v>
          </cell>
          <cell r="K402" t="str">
            <v>KPB4</v>
          </cell>
          <cell r="L402">
            <v>5716</v>
          </cell>
          <cell r="M402" t="str">
            <v>2024-09-10</v>
          </cell>
          <cell r="N402" t="str">
            <v>2025-07-31</v>
          </cell>
          <cell r="O402" t="str">
            <v>https://fruitbasket.blob.core.windows.net/gk2o5k/avatar/21179318320250731141511HUODBW.jpg</v>
          </cell>
        </row>
        <row r="403">
          <cell r="I403" t="str">
            <v>JBK1E2044080</v>
          </cell>
          <cell r="J403" t="str">
            <v>KB4080XY</v>
          </cell>
          <cell r="K403" t="str">
            <v>KPB4</v>
          </cell>
          <cell r="L403">
            <v>7901</v>
          </cell>
          <cell r="M403" t="str">
            <v>2024-09-11</v>
          </cell>
          <cell r="N403" t="str">
            <v>2025-07-31</v>
          </cell>
          <cell r="O403" t="str">
            <v>https://fruitbasket.blob.core.windows.net/gk2o5k/avatar/211798429202507311408537PGGSO.jpg</v>
          </cell>
        </row>
        <row r="404">
          <cell r="I404" t="str">
            <v>JBK1E2107996</v>
          </cell>
          <cell r="J404" t="str">
            <v>KB7996XY</v>
          </cell>
          <cell r="K404" t="str">
            <v>KPB1</v>
          </cell>
          <cell r="L404">
            <v>501</v>
          </cell>
          <cell r="M404" t="str">
            <v>2025-06-24</v>
          </cell>
          <cell r="N404" t="str">
            <v>2025-07-31</v>
          </cell>
          <cell r="O404" t="str">
            <v>https://fruitbasket.blob.core.windows.net/gk2o5k/avatar/21181708820250731140221HT6QEK.jpg</v>
          </cell>
        </row>
        <row r="405">
          <cell r="I405" t="str">
            <v>JBK3E1536031</v>
          </cell>
          <cell r="J405" t="str">
            <v>KB6031XY</v>
          </cell>
          <cell r="K405" t="str">
            <v>KPB4</v>
          </cell>
          <cell r="L405">
            <v>5584</v>
          </cell>
          <cell r="M405" t="str">
            <v>2024-09-14</v>
          </cell>
          <cell r="N405" t="str">
            <v>2025-07-31</v>
          </cell>
          <cell r="O405" t="str">
            <v>https://fruitbasket.blob.core.windows.net/gk2o5k/avatar/21181708820250731135842MM9G5N.jpg</v>
          </cell>
        </row>
        <row r="406">
          <cell r="I406" t="str">
            <v>JBK3E1536326</v>
          </cell>
          <cell r="J406" t="str">
            <v>X123YZ</v>
          </cell>
          <cell r="K406" t="str">
            <v>KPB4</v>
          </cell>
          <cell r="L406">
            <v>5797</v>
          </cell>
          <cell r="M406" t="str">
            <v>2024-09-05</v>
          </cell>
          <cell r="N406" t="str">
            <v>2025-07-31</v>
          </cell>
          <cell r="O406" t="str">
            <v>https://fruitbasket.blob.core.windows.net/gk2o5k/avatar/2763802620250731135001LQNNSJ.jpg</v>
          </cell>
        </row>
        <row r="407">
          <cell r="I407" t="str">
            <v>JBK1E2028927</v>
          </cell>
          <cell r="J407" t="str">
            <v>X123YZ</v>
          </cell>
          <cell r="K407" t="str">
            <v>KPB4</v>
          </cell>
          <cell r="L407">
            <v>7101</v>
          </cell>
          <cell r="M407" t="str">
            <v>2024-08-08</v>
          </cell>
          <cell r="N407" t="str">
            <v>2025-07-31</v>
          </cell>
          <cell r="O407" t="str">
            <v>https://fruitbasket.blob.core.windows.net/gk2o5k/avatar/25606654202507311345221GWKZI.jpg</v>
          </cell>
        </row>
        <row r="408">
          <cell r="I408" t="str">
            <v>JBK3E1582128</v>
          </cell>
          <cell r="J408" t="str">
            <v>X123YZ</v>
          </cell>
          <cell r="K408" t="str">
            <v>KPB1</v>
          </cell>
          <cell r="L408">
            <v>838</v>
          </cell>
          <cell r="M408" t="str">
            <v>2025-06-28</v>
          </cell>
          <cell r="N408" t="str">
            <v>2025-07-31</v>
          </cell>
          <cell r="O408" t="str">
            <v>https://fruitbasket.blob.core.windows.net/gk2o5k/avatar/21343645020250731134145AKNRGM.jpg</v>
          </cell>
        </row>
        <row r="409">
          <cell r="I409" t="str">
            <v>JBK3E1537569</v>
          </cell>
          <cell r="J409" t="str">
            <v>KB7569XY</v>
          </cell>
          <cell r="K409" t="str">
            <v>KPB4</v>
          </cell>
          <cell r="L409">
            <v>5358</v>
          </cell>
          <cell r="M409" t="str">
            <v>2024-09-28</v>
          </cell>
          <cell r="N409" t="str">
            <v>2025-07-31</v>
          </cell>
          <cell r="O409" t="str">
            <v>https://fruitbasket.blob.core.windows.net/gk2o5k/avatar/2560665420250731133937PRI6CI.jpg</v>
          </cell>
        </row>
        <row r="410">
          <cell r="I410" t="str">
            <v>JBK1E2036789</v>
          </cell>
          <cell r="J410" t="str">
            <v>KB6789XY</v>
          </cell>
          <cell r="K410" t="str">
            <v>KPB4</v>
          </cell>
          <cell r="L410">
            <v>8972</v>
          </cell>
          <cell r="M410" t="str">
            <v>2024-08-14</v>
          </cell>
          <cell r="N410" t="str">
            <v>2025-07-31</v>
          </cell>
          <cell r="O410" t="str">
            <v>https://fruitbasket.blob.core.windows.net/gk2o5k/avatar/21335858320250731133513V38HND.jpg</v>
          </cell>
        </row>
        <row r="411">
          <cell r="I411" t="str">
            <v>JBK1E2043218</v>
          </cell>
          <cell r="J411" t="str">
            <v>X123YZ</v>
          </cell>
          <cell r="K411" t="str">
            <v>KPB4</v>
          </cell>
          <cell r="L411">
            <v>5631</v>
          </cell>
          <cell r="M411" t="str">
            <v>2024-08-30</v>
          </cell>
          <cell r="N411" t="str">
            <v>2025-07-31</v>
          </cell>
          <cell r="O411" t="str">
            <v>https://fruitbasket.blob.core.windows.net/gk2o5k/avatar/21335858320250731132920TFOYFR.jpg</v>
          </cell>
        </row>
        <row r="412">
          <cell r="I412" t="str">
            <v>JBP1E2051505</v>
          </cell>
          <cell r="J412" t="str">
            <v>X123YZ</v>
          </cell>
          <cell r="K412" t="str">
            <v>KPB4</v>
          </cell>
          <cell r="L412">
            <v>4878</v>
          </cell>
          <cell r="M412" t="str">
            <v>2024-08-29</v>
          </cell>
          <cell r="N412" t="str">
            <v>2025-07-31</v>
          </cell>
          <cell r="O412" t="str">
            <v>https://fruitbasket.blob.core.windows.net/gk2o5k/avatar/211689951202507311326170JC3I7.jpg</v>
          </cell>
        </row>
        <row r="413">
          <cell r="I413" t="str">
            <v>JBK1E2042152</v>
          </cell>
          <cell r="J413" t="str">
            <v>KB4523XY</v>
          </cell>
          <cell r="K413" t="str">
            <v>KPB4</v>
          </cell>
          <cell r="L413">
            <v>6107</v>
          </cell>
          <cell r="M413" t="str">
            <v>2024-08-24</v>
          </cell>
          <cell r="N413" t="str">
            <v>2025-07-31</v>
          </cell>
          <cell r="O413" t="str">
            <v>https://fruitbasket.blob.core.windows.net/gk2o5k/avatar/21168995120250731132039HJNXJY.jpg</v>
          </cell>
        </row>
        <row r="414">
          <cell r="I414" t="str">
            <v>JBK1E2027220</v>
          </cell>
          <cell r="J414" t="str">
            <v>KB7220XY</v>
          </cell>
          <cell r="K414" t="str">
            <v>KPB4</v>
          </cell>
          <cell r="L414">
            <v>10783</v>
          </cell>
          <cell r="M414" t="str">
            <v>2024-08-26</v>
          </cell>
          <cell r="N414" t="str">
            <v>2025-07-31</v>
          </cell>
          <cell r="O414" t="str">
            <v>https://fruitbasket.blob.core.windows.net/gk2o5k/avatar/21323779620250731131644CEQ6VB.jpg</v>
          </cell>
        </row>
        <row r="415">
          <cell r="I415" t="str">
            <v>JBK3E1574892</v>
          </cell>
          <cell r="J415" t="str">
            <v>X123YZ</v>
          </cell>
          <cell r="K415" t="str">
            <v>KPB2</v>
          </cell>
          <cell r="L415">
            <v>2015</v>
          </cell>
          <cell r="M415" t="str">
            <v>2025-05-24</v>
          </cell>
          <cell r="N415" t="str">
            <v>2025-07-31</v>
          </cell>
          <cell r="O415" t="str">
            <v>https://fruitbasket.blob.core.windows.net/gk2o5k/avatar/21323779620250731111313T63OMG.jpg</v>
          </cell>
        </row>
        <row r="416">
          <cell r="I416" t="str">
            <v>JMF1E1259684</v>
          </cell>
          <cell r="J416" t="str">
            <v>KB9684XY</v>
          </cell>
          <cell r="K416" t="str">
            <v>KPB2</v>
          </cell>
          <cell r="L416">
            <v>2799</v>
          </cell>
          <cell r="M416" t="str">
            <v>1970-01-01</v>
          </cell>
          <cell r="N416" t="str">
            <v>2025-07-31</v>
          </cell>
          <cell r="O416" t="str">
            <v>https://fruitbasket.blob.core.windows.net/gk2o5k/avatar/21332285320250731110708AQUKMM.jpg</v>
          </cell>
        </row>
        <row r="417">
          <cell r="I417" t="str">
            <v>JMC1E1657106</v>
          </cell>
          <cell r="J417" t="str">
            <v>X123YZ</v>
          </cell>
          <cell r="K417" t="str">
            <v>KPB1</v>
          </cell>
          <cell r="L417">
            <v>859</v>
          </cell>
          <cell r="M417" t="str">
            <v>2025-06-28</v>
          </cell>
          <cell r="N417" t="str">
            <v>2025-07-31</v>
          </cell>
          <cell r="O417" t="str">
            <v>https://fruitbasket.blob.core.windows.net/gk2o5k/avatar/2117297282025073111011290BRLR.jpg</v>
          </cell>
        </row>
        <row r="418">
          <cell r="I418" t="str">
            <v>KFD1E1117676</v>
          </cell>
          <cell r="J418" t="str">
            <v>KB7676XX</v>
          </cell>
          <cell r="K418" t="str">
            <v>KPB1</v>
          </cell>
          <cell r="L418">
            <v>234</v>
          </cell>
          <cell r="M418" t="str">
            <v>1970-01-01</v>
          </cell>
          <cell r="N418" t="str">
            <v>2025-07-30</v>
          </cell>
          <cell r="O418" t="str">
            <v>https://fruitbasket.blob.core.windows.net/gk2o5k/avatar/21330398620250730151624V4OTHI.jpg</v>
          </cell>
        </row>
        <row r="419">
          <cell r="I419" t="str">
            <v>JMD1E1960358</v>
          </cell>
          <cell r="J419" t="str">
            <v>KB0358XX</v>
          </cell>
          <cell r="K419" t="str">
            <v>KPB1</v>
          </cell>
          <cell r="L419">
            <v>892</v>
          </cell>
          <cell r="M419" t="str">
            <v>1970-01-01</v>
          </cell>
          <cell r="N419" t="str">
            <v>2025-07-30</v>
          </cell>
          <cell r="O419" t="str">
            <v>https://fruitbasket.blob.core.windows.net/gk2o5k/avatar/21330383420250730145901LPZ29C.jpg</v>
          </cell>
        </row>
        <row r="420">
          <cell r="I420" t="str">
            <v>KD11E1608617</v>
          </cell>
          <cell r="J420" t="str">
            <v>KB8617XX</v>
          </cell>
          <cell r="K420" t="str">
            <v>KPB1</v>
          </cell>
          <cell r="L420">
            <v>1047</v>
          </cell>
          <cell r="M420" t="str">
            <v>2025-07-07</v>
          </cell>
          <cell r="N420" t="str">
            <v>2025-07-30</v>
          </cell>
          <cell r="O420" t="str">
            <v>https://fruitbasket.blob.core.windows.net/gk2o5k/avatar/213302723202507301453076FCYNH.jpg</v>
          </cell>
        </row>
        <row r="421">
          <cell r="I421" t="str">
            <v>JMH1E1192925</v>
          </cell>
          <cell r="J421" t="str">
            <v>KB2925XX</v>
          </cell>
          <cell r="K421" t="str">
            <v>KPB1</v>
          </cell>
          <cell r="L421">
            <v>439</v>
          </cell>
          <cell r="M421" t="str">
            <v>1970-01-01</v>
          </cell>
          <cell r="N421" t="str">
            <v>2025-07-30</v>
          </cell>
          <cell r="O421" t="str">
            <v>https://fruitbasket.blob.core.windows.net/gk2o5k/avatar/21330272320250730144354FJSQUL.jpg</v>
          </cell>
        </row>
        <row r="422">
          <cell r="I422" t="str">
            <v>KC04E1009597</v>
          </cell>
          <cell r="J422" t="str">
            <v>X123YZ</v>
          </cell>
          <cell r="K422" t="str">
            <v>KPB1</v>
          </cell>
          <cell r="L422">
            <v>586</v>
          </cell>
          <cell r="M422" t="str">
            <v>2025-07-12</v>
          </cell>
          <cell r="N422" t="str">
            <v>2025-07-30</v>
          </cell>
          <cell r="O422" t="str">
            <v>https://fruitbasket.blob.core.windows.net/gk2o5k/avatar/21330272320250730142744TAPMQS.jpg</v>
          </cell>
        </row>
        <row r="423">
          <cell r="I423" t="str">
            <v>JBK3E1580251</v>
          </cell>
          <cell r="J423" t="str">
            <v>KB2379YX</v>
          </cell>
          <cell r="K423" t="str">
            <v>KPB1</v>
          </cell>
          <cell r="L423">
            <v>509</v>
          </cell>
          <cell r="M423" t="str">
            <v>1970-01-01</v>
          </cell>
          <cell r="N423" t="str">
            <v>2025-07-30</v>
          </cell>
          <cell r="O423" t="str">
            <v>https://fruitbasket.blob.core.windows.net/gk2o5k/avatar/21330228720250730141356K8DVVR.jpg</v>
          </cell>
        </row>
        <row r="424">
          <cell r="I424" t="str">
            <v>JMH2E1373322</v>
          </cell>
          <cell r="J424" t="str">
            <v>KB3322XY</v>
          </cell>
          <cell r="K424" t="str">
            <v>KPB1</v>
          </cell>
          <cell r="L424">
            <v>363</v>
          </cell>
          <cell r="M424" t="str">
            <v>1970-01-01</v>
          </cell>
          <cell r="N424" t="str">
            <v>2025-07-30</v>
          </cell>
          <cell r="O424" t="str">
            <v>https://fruitbasket.blob.core.windows.net/gk2o5k/avatar/2133000032025073014074081I5D7.jpg</v>
          </cell>
        </row>
        <row r="425">
          <cell r="I425" t="str">
            <v>JMH2E1136644</v>
          </cell>
          <cell r="J425" t="str">
            <v>KB2373YX</v>
          </cell>
          <cell r="K425" t="str">
            <v>KPB3</v>
          </cell>
          <cell r="L425">
            <v>2704</v>
          </cell>
          <cell r="M425" t="str">
            <v>1970-01-01</v>
          </cell>
          <cell r="N425" t="str">
            <v>2025-07-30</v>
          </cell>
          <cell r="O425" t="str">
            <v>https://fruitbasket.blob.core.windows.net/gk2o5k/avatar/21330000320250730140130AODTK5.jpg</v>
          </cell>
        </row>
        <row r="426">
          <cell r="I426" t="str">
            <v>KFA1E1314973</v>
          </cell>
          <cell r="J426" t="str">
            <v>KB2387YX</v>
          </cell>
          <cell r="K426" t="str">
            <v>KPB1</v>
          </cell>
          <cell r="L426">
            <v>336</v>
          </cell>
          <cell r="M426" t="str">
            <v>1970-01-01</v>
          </cell>
          <cell r="N426" t="str">
            <v>2025-07-29</v>
          </cell>
          <cell r="O426" t="str">
            <v>https://fruitbasket.blob.core.windows.net/gk2o5k/avatar/21328668120250729160310RAJ6TW.jpg</v>
          </cell>
        </row>
        <row r="427">
          <cell r="I427" t="str">
            <v>JBK3E1567893</v>
          </cell>
          <cell r="J427" t="str">
            <v>KB2366YX</v>
          </cell>
          <cell r="K427" t="str">
            <v>KPB2</v>
          </cell>
          <cell r="L427">
            <v>1791</v>
          </cell>
          <cell r="M427" t="str">
            <v>1970-01-01</v>
          </cell>
          <cell r="N427" t="str">
            <v>2025-07-29</v>
          </cell>
          <cell r="O427" t="str">
            <v>https://fruitbasket.blob.core.windows.net/gk2o5k/avatar/21328668120250729160038WOCVXT.jpg</v>
          </cell>
        </row>
        <row r="428">
          <cell r="I428" t="str">
            <v>JBK1E2109988</v>
          </cell>
          <cell r="J428" t="str">
            <v>KB9988XY</v>
          </cell>
          <cell r="K428" t="str">
            <v>KPB1</v>
          </cell>
          <cell r="L428">
            <v>880</v>
          </cell>
          <cell r="M428" t="str">
            <v>1970-01-01</v>
          </cell>
          <cell r="N428" t="str">
            <v>2025-07-29</v>
          </cell>
          <cell r="O428" t="str">
            <v>https://fruitbasket.blob.core.windows.net/gk2o5k/avatar/21328668120250729155501RKDNLN.jpg</v>
          </cell>
        </row>
        <row r="429">
          <cell r="I429" t="str">
            <v>KF01E1804428</v>
          </cell>
          <cell r="J429" t="str">
            <v>X123YZ</v>
          </cell>
          <cell r="K429" t="str">
            <v>KPB2</v>
          </cell>
          <cell r="L429">
            <v>3282</v>
          </cell>
          <cell r="M429" t="str">
            <v>2025-03-26</v>
          </cell>
          <cell r="N429" t="str">
            <v>2025-07-29</v>
          </cell>
          <cell r="O429" t="str">
            <v>https://fruitbasket.blob.core.windows.net/gk2o5k/avatar/21318063020250729134648BGW96Q.jpg</v>
          </cell>
        </row>
        <row r="430">
          <cell r="I430" t="str">
            <v>JMC1E1589131</v>
          </cell>
          <cell r="J430" t="str">
            <v>X123YZ</v>
          </cell>
          <cell r="K430" t="str">
            <v>KPB2</v>
          </cell>
          <cell r="L430">
            <v>4056</v>
          </cell>
          <cell r="M430" t="str">
            <v>2025-03-21</v>
          </cell>
          <cell r="N430" t="str">
            <v>2025-07-29</v>
          </cell>
          <cell r="O430" t="str">
            <v>https://fruitbasket.blob.core.windows.net/gk2o5k/avatar/213179849202507291237242HG0FX.jpg</v>
          </cell>
        </row>
        <row r="431">
          <cell r="I431" t="str">
            <v>JMH1E1098074</v>
          </cell>
          <cell r="J431" t="str">
            <v>X123YZ</v>
          </cell>
          <cell r="K431" t="str">
            <v>KPB1</v>
          </cell>
          <cell r="L431">
            <v>324</v>
          </cell>
          <cell r="M431" t="str">
            <v>2025-06-26</v>
          </cell>
          <cell r="N431" t="str">
            <v>2025-07-29</v>
          </cell>
          <cell r="O431" t="str">
            <v>https://fruitbasket.blob.core.windows.net/gk2o5k/avatar/213179849202507291232539YHLHG.jpg</v>
          </cell>
        </row>
        <row r="432">
          <cell r="I432" t="str">
            <v>KB22E1056830</v>
          </cell>
          <cell r="J432" t="str">
            <v>X123YZ</v>
          </cell>
          <cell r="K432" t="str">
            <v>KPB2</v>
          </cell>
          <cell r="L432">
            <v>3831</v>
          </cell>
          <cell r="M432" t="str">
            <v>2025-03-26</v>
          </cell>
          <cell r="N432" t="str">
            <v>2025-07-29</v>
          </cell>
          <cell r="O432" t="str">
            <v>https://fruitbasket.blob.core.windows.net/gk2o5k/avatar/21317222720250729121918DYIWAX.jpg</v>
          </cell>
        </row>
        <row r="433">
          <cell r="I433" t="str">
            <v>JMC1E1643142</v>
          </cell>
          <cell r="J433" t="str">
            <v>X123YZ</v>
          </cell>
          <cell r="K433" t="str">
            <v>KPB1</v>
          </cell>
          <cell r="L433">
            <v>249</v>
          </cell>
          <cell r="M433" t="str">
            <v>2025-06-10</v>
          </cell>
          <cell r="N433" t="str">
            <v>2025-07-29</v>
          </cell>
          <cell r="O433" t="str">
            <v>https://fruitbasket.blob.core.windows.net/gk2o5k/avatar/21317222720250729121441EIL2W5.jpg</v>
          </cell>
        </row>
        <row r="434">
          <cell r="I434" t="str">
            <v>JBK3E1582066</v>
          </cell>
          <cell r="J434" t="str">
            <v>KB2066XY</v>
          </cell>
          <cell r="K434" t="str">
            <v>KPB1</v>
          </cell>
          <cell r="L434">
            <v>519</v>
          </cell>
          <cell r="M434" t="str">
            <v>1970-01-01</v>
          </cell>
          <cell r="N434" t="str">
            <v>2025-07-29</v>
          </cell>
          <cell r="O434" t="str">
            <v>https://fruitbasket.blob.core.windows.net/gk2o5k/avatar/213172317202507291154446BEXPY.jpg</v>
          </cell>
        </row>
        <row r="435">
          <cell r="I435" t="str">
            <v>KC04E1003256</v>
          </cell>
          <cell r="J435" t="str">
            <v>KB3256XY</v>
          </cell>
          <cell r="K435" t="str">
            <v>KPB2</v>
          </cell>
          <cell r="L435">
            <v>1511</v>
          </cell>
          <cell r="M435" t="str">
            <v>2025-05-20</v>
          </cell>
          <cell r="N435" t="str">
            <v>2025-07-29</v>
          </cell>
          <cell r="O435" t="str">
            <v>https://fruitbasket.blob.core.windows.net/gk2o5k/avatar/21317231720250729114958XJB6XB.jpg</v>
          </cell>
        </row>
        <row r="436">
          <cell r="I436" t="str">
            <v>JMC1E1628568</v>
          </cell>
          <cell r="J436" t="str">
            <v>KB8568XX</v>
          </cell>
          <cell r="K436" t="str">
            <v>KPB1</v>
          </cell>
          <cell r="L436">
            <v>725</v>
          </cell>
          <cell r="M436" t="str">
            <v>1970-01-01</v>
          </cell>
          <cell r="N436" t="str">
            <v>2025-07-28</v>
          </cell>
          <cell r="O436" t="str">
            <v>https://fruitbasket.blob.core.windows.net/gk2o5k/avatar/213192364202507281703011VPFBI.jpg</v>
          </cell>
        </row>
        <row r="437">
          <cell r="I437" t="str">
            <v>JMF1E1246486</v>
          </cell>
          <cell r="J437" t="str">
            <v>KB6486XY</v>
          </cell>
          <cell r="K437" t="str">
            <v>KPB2</v>
          </cell>
          <cell r="L437">
            <v>3769</v>
          </cell>
          <cell r="M437" t="str">
            <v>2025-05-16</v>
          </cell>
          <cell r="N437" t="str">
            <v>2025-07-28</v>
          </cell>
          <cell r="O437" t="str">
            <v>https://fruitbasket.blob.core.windows.net/gk2o5k/avatar/21319236420250728170030UHRQSV.jpg</v>
          </cell>
        </row>
        <row r="438">
          <cell r="I438" t="str">
            <v>JMB1E1190399</v>
          </cell>
          <cell r="J438" t="str">
            <v>X123YZ</v>
          </cell>
          <cell r="K438" t="str">
            <v>KPB2</v>
          </cell>
          <cell r="L438">
            <v>2966</v>
          </cell>
          <cell r="M438" t="str">
            <v>2025-03-25</v>
          </cell>
          <cell r="N438" t="str">
            <v>2025-07-28</v>
          </cell>
          <cell r="O438" t="str">
            <v>https://fruitbasket.blob.core.windows.net/gk2o5k/avatar/21319236420250728165312VX12DF.jpg</v>
          </cell>
        </row>
        <row r="439">
          <cell r="I439" t="str">
            <v>JMF2E1330311</v>
          </cell>
          <cell r="J439" t="str">
            <v>KB0311XY</v>
          </cell>
          <cell r="K439" t="str">
            <v>KPB3</v>
          </cell>
          <cell r="L439">
            <v>4282</v>
          </cell>
          <cell r="M439" t="str">
            <v>2025-04-26</v>
          </cell>
          <cell r="N439" t="str">
            <v>2025-07-28</v>
          </cell>
          <cell r="O439" t="str">
            <v>https://fruitbasket.blob.core.windows.net/gk2o5k/avatar/21308857920250728164505I8WBUO.jpg</v>
          </cell>
        </row>
        <row r="440">
          <cell r="I440" t="str">
            <v>KC04E1008107</v>
          </cell>
          <cell r="J440" t="str">
            <v>X123YZ</v>
          </cell>
          <cell r="K440" t="str">
            <v>KPB1</v>
          </cell>
          <cell r="L440">
            <v>420</v>
          </cell>
          <cell r="M440" t="str">
            <v>2025-06-28</v>
          </cell>
          <cell r="N440" t="str">
            <v>2025-07-28</v>
          </cell>
          <cell r="O440" t="str">
            <v>https://fruitbasket.blob.core.windows.net/gk2o5k/avatar/213356878202507281641574VHVEO.jpg</v>
          </cell>
        </row>
        <row r="441">
          <cell r="I441" t="str">
            <v>KC04E1007367</v>
          </cell>
          <cell r="J441" t="str">
            <v>X123YZ</v>
          </cell>
          <cell r="K441" t="str">
            <v>KPB1</v>
          </cell>
          <cell r="L441">
            <v>307</v>
          </cell>
          <cell r="M441" t="str">
            <v>2025-06-16</v>
          </cell>
          <cell r="N441" t="str">
            <v>2025-07-28</v>
          </cell>
          <cell r="O441" t="str">
            <v>https://fruitbasket.blob.core.windows.net/gk2o5k/avatar/21337025920250728163926HPH4NZ.jpg</v>
          </cell>
        </row>
        <row r="442">
          <cell r="I442" t="str">
            <v>JMD1E1901176</v>
          </cell>
          <cell r="J442" t="str">
            <v>X123YZ</v>
          </cell>
          <cell r="K442" t="str">
            <v>KPB2</v>
          </cell>
          <cell r="L442">
            <v>1295</v>
          </cell>
          <cell r="M442" t="str">
            <v>2025-04-25</v>
          </cell>
          <cell r="N442" t="str">
            <v>2025-07-28</v>
          </cell>
          <cell r="O442" t="str">
            <v>https://fruitbasket.blob.core.windows.net/gk2o5k/avatar/21337025920250728163706AVOZAG.jpg</v>
          </cell>
        </row>
        <row r="443">
          <cell r="I443" t="str">
            <v>JMF1E1256623</v>
          </cell>
          <cell r="J443" t="str">
            <v>X123YZ</v>
          </cell>
          <cell r="K443" t="str">
            <v>KPB1</v>
          </cell>
          <cell r="L443">
            <v>549</v>
          </cell>
          <cell r="M443" t="str">
            <v>2025-06-17</v>
          </cell>
          <cell r="N443" t="str">
            <v>2025-07-28</v>
          </cell>
          <cell r="O443" t="str">
            <v>https://fruitbasket.blob.core.windows.net/gk2o5k/avatar/21337025920250728163415PMCKHJ.jpg</v>
          </cell>
        </row>
        <row r="444">
          <cell r="I444" t="str">
            <v>JMG1E1406916</v>
          </cell>
          <cell r="J444" t="str">
            <v>X123YZ</v>
          </cell>
          <cell r="K444" t="str">
            <v>KPB1</v>
          </cell>
          <cell r="L444">
            <v>433</v>
          </cell>
          <cell r="M444" t="str">
            <v>2025-06-14</v>
          </cell>
          <cell r="N444" t="str">
            <v>2025-07-28</v>
          </cell>
          <cell r="O444" t="str">
            <v>https://fruitbasket.blob.core.windows.net/gk2o5k/avatar/21335687820250728161445LLDANU.jpg</v>
          </cell>
        </row>
        <row r="445">
          <cell r="I445" t="str">
            <v>JBK1E2101201</v>
          </cell>
          <cell r="J445" t="str">
            <v>KB1201XY</v>
          </cell>
          <cell r="K445" t="str">
            <v>KPB1</v>
          </cell>
          <cell r="L445">
            <v>301</v>
          </cell>
          <cell r="M445" t="str">
            <v>2025-05-17</v>
          </cell>
          <cell r="N445" t="str">
            <v>2025-07-28</v>
          </cell>
          <cell r="O445" t="str">
            <v>https://fruitbasket.blob.core.windows.net/gk2o5k/avatar/2933677820250728161036NLGKHC.jpg</v>
          </cell>
        </row>
        <row r="446">
          <cell r="I446" t="str">
            <v>JBK3E1574288</v>
          </cell>
          <cell r="J446" t="str">
            <v>KB4288XY</v>
          </cell>
          <cell r="K446" t="str">
            <v>KPB1</v>
          </cell>
          <cell r="L446">
            <v>697</v>
          </cell>
          <cell r="M446" t="str">
            <v>1970-01-01</v>
          </cell>
          <cell r="N446" t="str">
            <v>2025-07-28</v>
          </cell>
          <cell r="O446" t="str">
            <v>https://fruitbasket.blob.core.windows.net/gk2o5k/avatar/21283216820250728133510EP7KWD.jpg</v>
          </cell>
        </row>
        <row r="447">
          <cell r="I447" t="str">
            <v>JBP1E2102404</v>
          </cell>
          <cell r="J447" t="str">
            <v>KB2385YX</v>
          </cell>
          <cell r="K447" t="str">
            <v>KPB2</v>
          </cell>
          <cell r="L447">
            <v>1048</v>
          </cell>
          <cell r="M447" t="str">
            <v>1970-01-01</v>
          </cell>
          <cell r="N447" t="str">
            <v>2025-07-28</v>
          </cell>
          <cell r="O447" t="str">
            <v>https://fruitbasket.blob.core.windows.net/gk2o5k/avatar/21283216820250728132420V5JU6H.jpg</v>
          </cell>
        </row>
        <row r="448">
          <cell r="I448" t="str">
            <v>KFE1E1063177</v>
          </cell>
          <cell r="J448" t="str">
            <v>KB6474VL</v>
          </cell>
          <cell r="K448" t="str">
            <v>KPB2</v>
          </cell>
          <cell r="L448">
            <v>2246</v>
          </cell>
          <cell r="M448" t="str">
            <v>2025-03-14</v>
          </cell>
          <cell r="N448" t="str">
            <v>2025-07-28</v>
          </cell>
          <cell r="O448" t="str">
            <v>https://fruitbasket.blob.core.windows.net/gk2o5k/avatar/21283216820250728131804I6JYLT.jpg</v>
          </cell>
        </row>
        <row r="449">
          <cell r="I449" t="str">
            <v>JMC1E1657722</v>
          </cell>
          <cell r="J449" t="str">
            <v>X123YZ</v>
          </cell>
          <cell r="K449" t="str">
            <v>KPB1</v>
          </cell>
          <cell r="L449">
            <v>874</v>
          </cell>
          <cell r="M449" t="str">
            <v>1970-01-01</v>
          </cell>
          <cell r="N449" t="str">
            <v>2025-07-28</v>
          </cell>
          <cell r="O449" t="str">
            <v>https://fruitbasket.blob.core.windows.net/gk2o5k/avatar/21343607220250728094325JYCRZR.jpg</v>
          </cell>
        </row>
        <row r="450">
          <cell r="I450" t="str">
            <v>KC02E1289021</v>
          </cell>
          <cell r="J450" t="str">
            <v>KB6458YX</v>
          </cell>
          <cell r="K450" t="str">
            <v>KPB3</v>
          </cell>
          <cell r="L450">
            <v>1266</v>
          </cell>
          <cell r="M450" t="str">
            <v>2025-03-04</v>
          </cell>
          <cell r="N450" t="str">
            <v>2025-07-27</v>
          </cell>
          <cell r="O450" t="str">
            <v>https://fruitbasket.blob.core.windows.net/gk2o5k/avatar/21261892820250727132543MMCGE3.jpg</v>
          </cell>
        </row>
        <row r="451">
          <cell r="I451" t="str">
            <v>KC02E1289026</v>
          </cell>
          <cell r="J451" t="str">
            <v>X123YZ</v>
          </cell>
          <cell r="K451" t="str">
            <v>KPB3</v>
          </cell>
          <cell r="L451">
            <v>5356</v>
          </cell>
          <cell r="M451" t="str">
            <v>2025-02-05</v>
          </cell>
          <cell r="N451" t="str">
            <v>2025-07-27</v>
          </cell>
          <cell r="O451" t="str">
            <v>https://fruitbasket.blob.core.windows.net/gk2o5k/avatar/21261892820250727114549J9M3MZ.jpg</v>
          </cell>
        </row>
        <row r="452">
          <cell r="I452" t="str">
            <v>KD11E1604749</v>
          </cell>
          <cell r="J452" t="str">
            <v>X123YZ</v>
          </cell>
          <cell r="K452" t="str">
            <v>KPB1</v>
          </cell>
          <cell r="L452">
            <v>821</v>
          </cell>
          <cell r="M452" t="str">
            <v>2025-05-19</v>
          </cell>
          <cell r="N452" t="str">
            <v>2025-07-27</v>
          </cell>
          <cell r="O452" t="str">
            <v>https://fruitbasket.blob.core.windows.net/gk2o5k/avatar/25558999202507271134372AM4LJ.jpg</v>
          </cell>
        </row>
        <row r="453">
          <cell r="I453" t="str">
            <v>JMH2E1229729</v>
          </cell>
          <cell r="J453" t="str">
            <v>X123YZ</v>
          </cell>
          <cell r="K453" t="str">
            <v>KPB2</v>
          </cell>
          <cell r="L453">
            <v>2673</v>
          </cell>
          <cell r="M453" t="str">
            <v>2025-03-24</v>
          </cell>
          <cell r="N453" t="str">
            <v>2025-07-27</v>
          </cell>
          <cell r="O453" t="str">
            <v>https://fruitbasket.blob.core.windows.net/gk2o5k/avatar/2555899920250727112621CBY1H7.jpg</v>
          </cell>
        </row>
        <row r="454">
          <cell r="I454" t="str">
            <v>JMC1E1602356</v>
          </cell>
          <cell r="J454" t="str">
            <v>KB4732DAI</v>
          </cell>
          <cell r="K454" t="str">
            <v>KPB2</v>
          </cell>
          <cell r="L454">
            <v>1824</v>
          </cell>
          <cell r="M454" t="str">
            <v>2025-04-12</v>
          </cell>
          <cell r="N454" t="str">
            <v>2025-07-26</v>
          </cell>
          <cell r="O454" t="str">
            <v>https://fruitbasket.blob.core.windows.net/gk2o5k/avatar/21312832020250726170853M8QATY.jpg</v>
          </cell>
        </row>
        <row r="455">
          <cell r="I455" t="str">
            <v>JMF1E1225785</v>
          </cell>
          <cell r="J455" t="str">
            <v>KB5785XY</v>
          </cell>
          <cell r="K455" t="str">
            <v>KPB2</v>
          </cell>
          <cell r="L455">
            <v>2825</v>
          </cell>
          <cell r="M455" t="str">
            <v>1970-01-01</v>
          </cell>
          <cell r="N455" t="str">
            <v>2025-07-26</v>
          </cell>
          <cell r="O455" t="str">
            <v>https://fruitbasket.blob.core.windows.net/gk2o5k/avatar/21311896620250726170515IGQERS.jpg</v>
          </cell>
        </row>
        <row r="456">
          <cell r="I456" t="str">
            <v>KC02E1287007</v>
          </cell>
          <cell r="J456" t="str">
            <v>KB2275XY</v>
          </cell>
          <cell r="K456" t="str">
            <v>KPB3</v>
          </cell>
          <cell r="L456">
            <v>3087</v>
          </cell>
          <cell r="M456" t="str">
            <v>2025-01-23</v>
          </cell>
          <cell r="N456" t="str">
            <v>2025-07-26</v>
          </cell>
          <cell r="O456" t="str">
            <v>https://fruitbasket.blob.core.windows.net/gk2o5k/avatar/21311896620250726165804SWMBND.jpg</v>
          </cell>
        </row>
        <row r="457">
          <cell r="I457" t="str">
            <v>JBP1E2102276</v>
          </cell>
          <cell r="J457" t="str">
            <v>X123YZ</v>
          </cell>
          <cell r="K457" t="str">
            <v>KPB1</v>
          </cell>
          <cell r="L457">
            <v>807</v>
          </cell>
          <cell r="M457" t="str">
            <v>2025-05-13</v>
          </cell>
          <cell r="N457" t="str">
            <v>2025-07-26</v>
          </cell>
          <cell r="O457" t="str">
            <v>https://fruitbasket.blob.core.windows.net/gk2o5k/avatar/21311321720250726164801NPIYLD.jpg</v>
          </cell>
        </row>
        <row r="458">
          <cell r="I458" t="str">
            <v>JBK3E1577073</v>
          </cell>
          <cell r="J458" t="str">
            <v>KB7073XY</v>
          </cell>
          <cell r="K458" t="str">
            <v>KPB1</v>
          </cell>
          <cell r="L458">
            <v>846</v>
          </cell>
          <cell r="M458" t="str">
            <v>1970-01-01</v>
          </cell>
          <cell r="N458" t="str">
            <v>2025-07-26</v>
          </cell>
          <cell r="O458" t="str">
            <v>https://fruitbasket.blob.core.windows.net/gk2o5k/avatar/213088930202507261643577A0ARP.jpg</v>
          </cell>
        </row>
        <row r="459">
          <cell r="I459" t="str">
            <v>JBK1E2090168</v>
          </cell>
          <cell r="J459" t="str">
            <v>X123YZ</v>
          </cell>
          <cell r="K459" t="str">
            <v>KPB2</v>
          </cell>
          <cell r="L459">
            <v>1225</v>
          </cell>
          <cell r="M459" t="str">
            <v>2025-03-24</v>
          </cell>
          <cell r="N459" t="str">
            <v>2025-07-26</v>
          </cell>
          <cell r="O459" t="str">
            <v>https://fruitbasket.blob.core.windows.net/gk2o5k/avatar/21308893020250726164206EMBPWX.jpg</v>
          </cell>
        </row>
        <row r="460">
          <cell r="I460" t="str">
            <v>KD11E1603356</v>
          </cell>
          <cell r="J460" t="str">
            <v>X123YZ</v>
          </cell>
          <cell r="K460" t="str">
            <v>KPB1</v>
          </cell>
          <cell r="L460">
            <v>433</v>
          </cell>
          <cell r="M460" t="str">
            <v>2025-05-17</v>
          </cell>
          <cell r="N460" t="str">
            <v>2025-07-26</v>
          </cell>
          <cell r="O460" t="str">
            <v>https://fruitbasket.blob.core.windows.net/gk2o5k/avatar/21309164220250726163210WCA1TJ.jpg</v>
          </cell>
        </row>
        <row r="461">
          <cell r="I461" t="str">
            <v>KC04E1002835</v>
          </cell>
          <cell r="J461" t="str">
            <v>KB2235XY</v>
          </cell>
          <cell r="K461" t="str">
            <v>KPB1</v>
          </cell>
          <cell r="L461">
            <v>219</v>
          </cell>
          <cell r="M461" t="str">
            <v>2025-05-16</v>
          </cell>
          <cell r="N461" t="str">
            <v>2025-07-26</v>
          </cell>
          <cell r="O461" t="str">
            <v>https://fruitbasket.blob.core.windows.net/gk2o5k/avatar/21309164220250726161646DMT7U1.jpg</v>
          </cell>
        </row>
        <row r="462">
          <cell r="I462" t="str">
            <v>JBK3E1568931</v>
          </cell>
          <cell r="J462" t="str">
            <v>KB8931XX</v>
          </cell>
          <cell r="K462" t="str">
            <v>KPB2</v>
          </cell>
          <cell r="L462">
            <v>1433</v>
          </cell>
          <cell r="M462" t="str">
            <v>2025-03-27</v>
          </cell>
          <cell r="N462" t="str">
            <v>2025-07-26</v>
          </cell>
          <cell r="O462" t="str">
            <v>https://fruitbasket.blob.core.windows.net/gk2o5k/avatar/21295164620250726161125DRAIQ9.jpg</v>
          </cell>
        </row>
        <row r="463">
          <cell r="I463" t="str">
            <v>JBK1E2074752</v>
          </cell>
          <cell r="J463" t="str">
            <v>X123YZ</v>
          </cell>
          <cell r="K463" t="str">
            <v>KPB3</v>
          </cell>
          <cell r="L463">
            <v>1955</v>
          </cell>
          <cell r="M463" t="str">
            <v>2025-01-16</v>
          </cell>
          <cell r="N463" t="str">
            <v>2025-07-26</v>
          </cell>
          <cell r="O463" t="str">
            <v>https://fruitbasket.blob.core.windows.net/gk2o5k/avatar/21307533420250726160749KX390B.jpg</v>
          </cell>
        </row>
        <row r="464">
          <cell r="I464" t="str">
            <v>JBK1E2082148</v>
          </cell>
          <cell r="J464" t="str">
            <v>X123YZ</v>
          </cell>
          <cell r="K464" t="str">
            <v>KPB3</v>
          </cell>
          <cell r="L464">
            <v>2866</v>
          </cell>
          <cell r="M464" t="str">
            <v>2025-02-04</v>
          </cell>
          <cell r="N464" t="str">
            <v>2025-07-26</v>
          </cell>
          <cell r="O464" t="str">
            <v>https://fruitbasket.blob.core.windows.net/gk2o5k/avatar/212455752202507261557506EFEKM.jpg</v>
          </cell>
        </row>
        <row r="465">
          <cell r="I465" t="str">
            <v>JBP1E2076767</v>
          </cell>
          <cell r="J465" t="str">
            <v>KB6767XY</v>
          </cell>
          <cell r="K465" t="str">
            <v>KPB3</v>
          </cell>
          <cell r="L465">
            <v>5535</v>
          </cell>
          <cell r="M465" t="str">
            <v>2025-01-07</v>
          </cell>
          <cell r="N465" t="str">
            <v>2025-07-26</v>
          </cell>
          <cell r="O465" t="str">
            <v>https://fruitbasket.blob.core.windows.net/gk2o5k/avatar/212455752202507261552491YJTFN.jpg</v>
          </cell>
        </row>
        <row r="466">
          <cell r="I466" t="str">
            <v>JME1E1545352</v>
          </cell>
          <cell r="J466" t="str">
            <v>KB5352DY</v>
          </cell>
          <cell r="K466" t="str">
            <v>KPB1</v>
          </cell>
          <cell r="L466">
            <v>805</v>
          </cell>
          <cell r="M466" t="str">
            <v>2025-07-02</v>
          </cell>
          <cell r="N466" t="str">
            <v>2025-07-26</v>
          </cell>
          <cell r="O466" t="str">
            <v>https://fruitbasket.blob.core.windows.net/gk2o5k/avatar/21039287020250726145316PETBAV.jpg</v>
          </cell>
        </row>
        <row r="467">
          <cell r="I467" t="str">
            <v>KD11E1611568</v>
          </cell>
          <cell r="J467" t="str">
            <v>X123YZ</v>
          </cell>
          <cell r="K467" t="str">
            <v>KPB1</v>
          </cell>
          <cell r="L467">
            <v>1050</v>
          </cell>
          <cell r="M467" t="str">
            <v>1970-01-01</v>
          </cell>
          <cell r="N467" t="str">
            <v>2025-07-26</v>
          </cell>
          <cell r="O467" t="str">
            <v>https://fruitbasket.blob.core.windows.net/gk2o5k/avatar/213458390202507261446239DLU5L.jpg</v>
          </cell>
        </row>
        <row r="468">
          <cell r="I468" t="str">
            <v>JMH2E1335348</v>
          </cell>
          <cell r="J468" t="str">
            <v>X123YZ</v>
          </cell>
          <cell r="K468" t="str">
            <v>KPB1</v>
          </cell>
          <cell r="L468">
            <v>784</v>
          </cell>
          <cell r="M468" t="str">
            <v>1970-01-01</v>
          </cell>
          <cell r="N468" t="str">
            <v>2025-07-26</v>
          </cell>
          <cell r="O468" t="str">
            <v>https://fruitbasket.blob.core.windows.net/gk2o5k/avatar/213068173202507261438124M7Q9I.jpg</v>
          </cell>
        </row>
        <row r="469">
          <cell r="I469" t="str">
            <v>JMC1E1618203</v>
          </cell>
          <cell r="J469" t="str">
            <v>X123YZ</v>
          </cell>
          <cell r="K469" t="str">
            <v>KPB1</v>
          </cell>
          <cell r="L469">
            <v>610</v>
          </cell>
          <cell r="M469" t="str">
            <v>1970-01-01</v>
          </cell>
          <cell r="N469" t="str">
            <v>2025-07-26</v>
          </cell>
          <cell r="O469" t="str">
            <v>https://fruitbasket.blob.core.windows.net/gk2o5k/avatar/21306103420250726143350XHTMUR.jpg</v>
          </cell>
        </row>
        <row r="470">
          <cell r="I470" t="str">
            <v>KC04E1010353</v>
          </cell>
          <cell r="J470" t="str">
            <v>X123YZ</v>
          </cell>
          <cell r="K470" t="str">
            <v>KPB1</v>
          </cell>
          <cell r="L470">
            <v>545</v>
          </cell>
          <cell r="M470" t="str">
            <v>2025-07-16</v>
          </cell>
          <cell r="N470" t="str">
            <v>2025-07-26</v>
          </cell>
          <cell r="O470" t="str">
            <v>https://fruitbasket.blob.core.windows.net/gk2o5k/avatar/21306103420250726132755ICK1AL.jpg</v>
          </cell>
        </row>
        <row r="471">
          <cell r="I471" t="str">
            <v>JMC1E1664070</v>
          </cell>
          <cell r="J471" t="str">
            <v>KB4070XY</v>
          </cell>
          <cell r="K471" t="str">
            <v>KPB1</v>
          </cell>
          <cell r="L471">
            <v>929</v>
          </cell>
          <cell r="M471" t="str">
            <v>1970-01-01</v>
          </cell>
          <cell r="N471" t="str">
            <v>2025-07-26</v>
          </cell>
          <cell r="O471" t="str">
            <v>https://fruitbasket.blob.core.windows.net/gk2o5k/avatar/21306103420250726132354REGSSU.jpg</v>
          </cell>
        </row>
        <row r="472">
          <cell r="I472" t="str">
            <v>JBK3E1584527</v>
          </cell>
          <cell r="J472" t="str">
            <v>KB4527XY</v>
          </cell>
          <cell r="K472" t="str">
            <v>KPB1</v>
          </cell>
          <cell r="L472">
            <v>506</v>
          </cell>
          <cell r="M472" t="str">
            <v>1970-01-01</v>
          </cell>
          <cell r="N472" t="str">
            <v>2025-07-26</v>
          </cell>
          <cell r="O472" t="str">
            <v>https://fruitbasket.blob.core.windows.net/gk2o5k/avatar/212957927202507261316256T533Y.jpg</v>
          </cell>
        </row>
        <row r="473">
          <cell r="I473" t="str">
            <v>JME1E1397593</v>
          </cell>
          <cell r="J473" t="str">
            <v>KB6732VL</v>
          </cell>
          <cell r="K473" t="str">
            <v>KPB2</v>
          </cell>
          <cell r="L473">
            <v>2145</v>
          </cell>
          <cell r="M473" t="str">
            <v>1970-01-01</v>
          </cell>
          <cell r="N473" t="str">
            <v>2025-07-26</v>
          </cell>
          <cell r="O473" t="str">
            <v>https://fruitbasket.blob.core.windows.net/gk2o5k/avatar/21295792720250726125730Q9E3LV.jpg</v>
          </cell>
        </row>
        <row r="474">
          <cell r="I474" t="str">
            <v>KC04E1003232</v>
          </cell>
          <cell r="J474" t="str">
            <v>X123YZ</v>
          </cell>
          <cell r="K474" t="str">
            <v>KPB1</v>
          </cell>
          <cell r="L474">
            <v>219</v>
          </cell>
          <cell r="M474" t="str">
            <v>2025-05-20</v>
          </cell>
          <cell r="N474" t="str">
            <v>2025-07-26</v>
          </cell>
          <cell r="O474" t="str">
            <v>https://fruitbasket.blob.core.windows.net/gk2o5k/avatar/2129579272025072612530959HPR2.jpg</v>
          </cell>
        </row>
        <row r="475">
          <cell r="I475" t="str">
            <v>JMH1E1107960</v>
          </cell>
          <cell r="J475" t="str">
            <v>KB2359YX</v>
          </cell>
          <cell r="K475" t="str">
            <v>KPB1</v>
          </cell>
          <cell r="L475">
            <v>467</v>
          </cell>
          <cell r="M475" t="str">
            <v>1970-01-01</v>
          </cell>
          <cell r="N475" t="str">
            <v>2025-07-26</v>
          </cell>
          <cell r="O475" t="str">
            <v>https://fruitbasket.blob.core.windows.net/gk2o5k/avatar/21296740520250726124917ANP0F9.jpg</v>
          </cell>
        </row>
        <row r="476">
          <cell r="I476" t="str">
            <v>JBK3E1584103</v>
          </cell>
          <cell r="J476" t="str">
            <v>KB4103XY</v>
          </cell>
          <cell r="K476" t="str">
            <v>KPB1</v>
          </cell>
          <cell r="L476">
            <v>277</v>
          </cell>
          <cell r="M476" t="str">
            <v>1970-01-01</v>
          </cell>
          <cell r="N476" t="str">
            <v>2025-07-26</v>
          </cell>
          <cell r="O476" t="str">
            <v>https://fruitbasket.blob.core.windows.net/gk2o5k/avatar/21296740520250726124620KB1YEZ.jpg</v>
          </cell>
        </row>
        <row r="477">
          <cell r="I477" t="str">
            <v>JBK1E2095183</v>
          </cell>
          <cell r="J477" t="str">
            <v>X123YZ</v>
          </cell>
          <cell r="K477" t="str">
            <v>KPB3</v>
          </cell>
          <cell r="L477">
            <v>5881</v>
          </cell>
          <cell r="M477" t="str">
            <v>2025-04-15</v>
          </cell>
          <cell r="N477" t="str">
            <v>2025-07-26</v>
          </cell>
          <cell r="O477" t="str">
            <v>https://fruitbasket.blob.core.windows.net/gk2o5k/avatar/21295900320250726092546N819AQ.jpg</v>
          </cell>
        </row>
        <row r="478">
          <cell r="I478" t="str">
            <v>JMC1E1606204</v>
          </cell>
          <cell r="J478" t="str">
            <v>KB3774V</v>
          </cell>
          <cell r="K478" t="str">
            <v>KPB4</v>
          </cell>
          <cell r="L478">
            <v>9728</v>
          </cell>
          <cell r="M478" t="str">
            <v>2025-04-22</v>
          </cell>
          <cell r="N478" t="str">
            <v>2025-07-26</v>
          </cell>
          <cell r="O478" t="str">
            <v>https://fruitbasket.blob.core.windows.net/gk2o5k/avatar/21295900320250726092206LNMUCG.jpg</v>
          </cell>
        </row>
        <row r="479">
          <cell r="I479" t="str">
            <v>JBK3E1553232</v>
          </cell>
          <cell r="J479" t="str">
            <v>KB3232XY</v>
          </cell>
          <cell r="K479" t="str">
            <v>KPB3</v>
          </cell>
          <cell r="L479">
            <v>1102</v>
          </cell>
          <cell r="M479" t="str">
            <v>2024-12-20</v>
          </cell>
          <cell r="N479" t="str">
            <v>2025-07-25</v>
          </cell>
          <cell r="O479" t="str">
            <v>https://fruitbasket.blob.core.windows.net/gk2o5k/avatar/21236196520250725163636BFDLYB.jpg</v>
          </cell>
        </row>
        <row r="480">
          <cell r="I480" t="str">
            <v>JBK3E1552799</v>
          </cell>
          <cell r="J480" t="str">
            <v>KB2799XY</v>
          </cell>
          <cell r="K480" t="str">
            <v>KPB3</v>
          </cell>
          <cell r="L480">
            <v>2227</v>
          </cell>
          <cell r="M480" t="str">
            <v>2024-12-16</v>
          </cell>
          <cell r="N480" t="str">
            <v>2025-07-25</v>
          </cell>
          <cell r="O480" t="str">
            <v>https://fruitbasket.blob.core.windows.net/gk2o5k/avatar/21233447220250725163301L1TMUA.jpg</v>
          </cell>
        </row>
        <row r="481">
          <cell r="I481" t="str">
            <v>JBK1E2060489</v>
          </cell>
          <cell r="J481" t="str">
            <v>KB2204XY</v>
          </cell>
          <cell r="K481" t="str">
            <v>KPB3</v>
          </cell>
          <cell r="L481">
            <v>1558</v>
          </cell>
          <cell r="M481" t="str">
            <v>2024-12-14</v>
          </cell>
          <cell r="N481" t="str">
            <v>2025-07-25</v>
          </cell>
          <cell r="O481" t="str">
            <v>https://fruitbasket.blob.core.windows.net/gk2o5k/avatar/212334472202507251628551YSPPR.jpg</v>
          </cell>
        </row>
        <row r="482">
          <cell r="I482" t="str">
            <v>KC02E1272391</v>
          </cell>
          <cell r="J482" t="str">
            <v>X123YZ</v>
          </cell>
          <cell r="K482" t="str">
            <v>KPB4</v>
          </cell>
          <cell r="L482">
            <v>4880</v>
          </cell>
          <cell r="M482" t="str">
            <v>2024-10-31</v>
          </cell>
          <cell r="N482" t="str">
            <v>2025-07-25</v>
          </cell>
          <cell r="O482" t="str">
            <v>https://fruitbasket.blob.core.windows.net/gk2o5k/avatar/212099408202507251623170KW4BA.jpg</v>
          </cell>
        </row>
        <row r="483">
          <cell r="I483" t="str">
            <v>JBK1E2047306</v>
          </cell>
          <cell r="J483" t="str">
            <v>KB2306XY</v>
          </cell>
          <cell r="K483" t="str">
            <v>KPB4</v>
          </cell>
          <cell r="L483">
            <v>6783</v>
          </cell>
          <cell r="M483" t="str">
            <v>2024-10-14</v>
          </cell>
          <cell r="N483" t="str">
            <v>2025-07-25</v>
          </cell>
          <cell r="O483" t="str">
            <v>https://fruitbasket.blob.core.windows.net/gk2o5k/avatar/21198809320250725161943CTAVQ4.jpg</v>
          </cell>
        </row>
        <row r="484">
          <cell r="I484" t="str">
            <v>JBK1E2040284</v>
          </cell>
          <cell r="J484" t="str">
            <v>B0284VY</v>
          </cell>
          <cell r="K484" t="str">
            <v>KPB4</v>
          </cell>
          <cell r="L484">
            <v>6685</v>
          </cell>
          <cell r="M484" t="str">
            <v>2024-10-05</v>
          </cell>
          <cell r="N484" t="str">
            <v>2025-07-25</v>
          </cell>
          <cell r="O484" t="str">
            <v>https://fruitbasket.blob.core.windows.net/gk2o5k/avatar/21194332220250725161503ZVMGLN.jpg</v>
          </cell>
        </row>
        <row r="485">
          <cell r="I485" t="str">
            <v>KC04E1003556</v>
          </cell>
          <cell r="J485" t="str">
            <v>KB3556XY</v>
          </cell>
          <cell r="K485" t="str">
            <v>KPB2</v>
          </cell>
          <cell r="L485">
            <v>1150</v>
          </cell>
          <cell r="M485" t="str">
            <v>1970-01-01</v>
          </cell>
          <cell r="N485" t="str">
            <v>2025-07-25</v>
          </cell>
          <cell r="O485" t="str">
            <v>https://fruitbasket.blob.core.windows.net/gk2o5k/avatar/213149522202507251605233PHBPQ.jpg</v>
          </cell>
        </row>
        <row r="486">
          <cell r="I486" t="str">
            <v>JBK1E2099040</v>
          </cell>
          <cell r="J486" t="str">
            <v>KB9040XX</v>
          </cell>
          <cell r="K486" t="str">
            <v>KPB2</v>
          </cell>
          <cell r="L486">
            <v>1663</v>
          </cell>
          <cell r="M486" t="str">
            <v>2025-05-07</v>
          </cell>
          <cell r="N486" t="str">
            <v>2025-07-25</v>
          </cell>
          <cell r="O486" t="str">
            <v>https://fruitbasket.blob.core.windows.net/gk2o5k/avatar/21314952220250725160037WAOMV5.jpg</v>
          </cell>
        </row>
        <row r="487">
          <cell r="I487" t="str">
            <v>JBP1E2102079</v>
          </cell>
          <cell r="J487" t="str">
            <v>KB2079XY</v>
          </cell>
          <cell r="K487" t="str">
            <v>KPB2</v>
          </cell>
          <cell r="L487">
            <v>1336</v>
          </cell>
          <cell r="M487" t="str">
            <v>1970-01-01</v>
          </cell>
          <cell r="N487" t="str">
            <v>2025-07-25</v>
          </cell>
          <cell r="O487" t="str">
            <v>https://fruitbasket.blob.core.windows.net/gk2o5k/avatar/21315888920250725155347DAP0AN.jpg</v>
          </cell>
        </row>
        <row r="488">
          <cell r="I488" t="str">
            <v>KD11E1607028</v>
          </cell>
          <cell r="J488" t="str">
            <v>KB7028XX</v>
          </cell>
          <cell r="K488" t="str">
            <v>KPB2</v>
          </cell>
          <cell r="L488">
            <v>1311</v>
          </cell>
          <cell r="M488" t="str">
            <v>2025-05-21</v>
          </cell>
          <cell r="N488" t="str">
            <v>2025-07-25</v>
          </cell>
          <cell r="O488" t="str">
            <v>https://fruitbasket.blob.core.windows.net/gk2o5k/avatar/21316405620250725155024EOCOUA.jpg</v>
          </cell>
        </row>
        <row r="489">
          <cell r="I489" t="str">
            <v>KC04E1001196</v>
          </cell>
          <cell r="J489" t="str">
            <v>X123YZ</v>
          </cell>
          <cell r="K489" t="str">
            <v>KPB2</v>
          </cell>
          <cell r="L489">
            <v>1235</v>
          </cell>
          <cell r="M489" t="str">
            <v>2025-05-10</v>
          </cell>
          <cell r="N489" t="str">
            <v>2025-07-25</v>
          </cell>
          <cell r="O489" t="str">
            <v>https://fruitbasket.blob.core.windows.net/gk2o5k/avatar/21316405620250725154612SYNTKO.jpg</v>
          </cell>
        </row>
        <row r="490">
          <cell r="I490" t="str">
            <v>JBK3E1574778</v>
          </cell>
          <cell r="J490" t="str">
            <v>X123YZ</v>
          </cell>
          <cell r="K490" t="str">
            <v>KPB2</v>
          </cell>
          <cell r="L490">
            <v>2903</v>
          </cell>
          <cell r="M490" t="str">
            <v>2025-05-17</v>
          </cell>
          <cell r="N490" t="str">
            <v>2025-07-25</v>
          </cell>
          <cell r="O490" t="str">
            <v>https://fruitbasket.blob.core.windows.net/gk2o5k/avatar/21314747920250725153641UAFSHK.jpg</v>
          </cell>
        </row>
        <row r="491">
          <cell r="I491" t="str">
            <v>JBK1E2100683</v>
          </cell>
          <cell r="J491" t="str">
            <v>KB0683XY</v>
          </cell>
          <cell r="K491" t="str">
            <v>KPB2</v>
          </cell>
          <cell r="L491">
            <v>1598</v>
          </cell>
          <cell r="M491" t="str">
            <v>2025-05-10</v>
          </cell>
          <cell r="N491" t="str">
            <v>2025-07-25</v>
          </cell>
          <cell r="O491" t="str">
            <v>https://fruitbasket.blob.core.windows.net/gk2o5k/avatar/213164056202507251528051F7LVP.jpg</v>
          </cell>
        </row>
        <row r="492">
          <cell r="I492" t="str">
            <v>JBK1E2099990</v>
          </cell>
          <cell r="J492" t="str">
            <v>KB9990XY</v>
          </cell>
          <cell r="K492" t="str">
            <v>KPB2</v>
          </cell>
          <cell r="L492">
            <v>1060</v>
          </cell>
          <cell r="M492" t="str">
            <v>2025-05-19</v>
          </cell>
          <cell r="N492" t="str">
            <v>2025-07-25</v>
          </cell>
          <cell r="O492" t="str">
            <v>https://fruitbasket.blob.core.windows.net/gk2o5k/avatar/21320246620250725152343QPTF4G.jpg</v>
          </cell>
        </row>
        <row r="493">
          <cell r="I493" t="str">
            <v>JMA1E1179632</v>
          </cell>
          <cell r="J493" t="str">
            <v>KB9632XY</v>
          </cell>
          <cell r="K493" t="str">
            <v>KPB3</v>
          </cell>
          <cell r="L493">
            <v>2932</v>
          </cell>
          <cell r="M493" t="str">
            <v>2025-03-18</v>
          </cell>
          <cell r="N493" t="str">
            <v>2025-07-25</v>
          </cell>
          <cell r="O493" t="str">
            <v>https://fruitbasket.blob.core.windows.net/gk2o5k/avatar/21285857720250725152015TO7TMD.jpg</v>
          </cell>
        </row>
        <row r="494">
          <cell r="I494" t="str">
            <v>JMA1E1177562</v>
          </cell>
          <cell r="J494" t="str">
            <v>X123YZ</v>
          </cell>
          <cell r="K494" t="str">
            <v>KPB1</v>
          </cell>
          <cell r="L494">
            <v>754</v>
          </cell>
          <cell r="M494" t="str">
            <v>2025-07-11</v>
          </cell>
          <cell r="N494" t="str">
            <v>2025-07-25</v>
          </cell>
          <cell r="O494" t="str">
            <v>https://fruitbasket.blob.core.windows.net/gk2o5k/avatar/21294546220250725122643JJVE1F.jpg</v>
          </cell>
        </row>
        <row r="495">
          <cell r="I495" t="str">
            <v>JBK3E1572960</v>
          </cell>
          <cell r="J495" t="str">
            <v>X123YZ</v>
          </cell>
          <cell r="K495" t="str">
            <v>KPB2</v>
          </cell>
          <cell r="L495">
            <v>512</v>
          </cell>
          <cell r="M495" t="str">
            <v>2025-05-08</v>
          </cell>
          <cell r="N495" t="str">
            <v>2025-07-25</v>
          </cell>
          <cell r="O495" t="str">
            <v>https://fruitbasket.blob.core.windows.net/gk2o5k/avatar/21294546220250725122032PZ25AB.jpg</v>
          </cell>
        </row>
        <row r="496">
          <cell r="I496" t="str">
            <v>KC04E1006021</v>
          </cell>
          <cell r="J496" t="str">
            <v>X123YZ</v>
          </cell>
          <cell r="K496" t="str">
            <v>KPB1</v>
          </cell>
          <cell r="L496">
            <v>834</v>
          </cell>
          <cell r="M496" t="str">
            <v>1970-01-01</v>
          </cell>
          <cell r="N496" t="str">
            <v>2025-07-25</v>
          </cell>
          <cell r="O496" t="str">
            <v>https://fruitbasket.blob.core.windows.net/gk2o5k/avatar/21295015320250725121356MLNZJK.jpg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topLeftCell="A2" workbookViewId="0">
      <selection activeCell="C23" sqref="C22:C23"/>
    </sheetView>
  </sheetViews>
  <sheetFormatPr defaultRowHeight="13.2" x14ac:dyDescent="0.25"/>
  <cols>
    <col min="1" max="1" width="6.109375" customWidth="1"/>
    <col min="2" max="3" width="26.5546875" customWidth="1"/>
    <col min="4" max="6" width="6.109375" customWidth="1"/>
    <col min="7" max="7" width="6.21875" customWidth="1"/>
    <col min="8" max="8" width="11.109375" customWidth="1"/>
    <col min="9" max="9" width="19.44140625" customWidth="1"/>
    <col min="10" max="10" width="19.33203125" customWidth="1"/>
    <col min="11" max="11" width="19.44140625" customWidth="1"/>
    <col min="12" max="12" width="15.33203125" customWidth="1"/>
  </cols>
  <sheetData>
    <row r="1" spans="1:12" ht="22.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40.6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6.649999999999999" customHeight="1" x14ac:dyDescent="0.25">
      <c r="A3" s="32" t="s">
        <v>2</v>
      </c>
      <c r="B3" s="32" t="s">
        <v>3</v>
      </c>
      <c r="C3" s="32" t="s">
        <v>4</v>
      </c>
      <c r="D3" s="32" t="s">
        <v>5</v>
      </c>
      <c r="E3" s="34"/>
      <c r="F3" s="34"/>
      <c r="G3" s="35"/>
      <c r="H3" s="32" t="s">
        <v>6</v>
      </c>
      <c r="I3" s="32" t="s">
        <v>7</v>
      </c>
      <c r="J3" s="32" t="s">
        <v>8</v>
      </c>
      <c r="K3" s="32" t="s">
        <v>9</v>
      </c>
      <c r="L3" s="32" t="s">
        <v>10</v>
      </c>
    </row>
    <row r="4" spans="1:12" ht="17.399999999999999" customHeight="1" x14ac:dyDescent="0.25">
      <c r="A4" s="33"/>
      <c r="B4" s="33"/>
      <c r="C4" s="33"/>
      <c r="D4" s="1" t="s">
        <v>11</v>
      </c>
      <c r="E4" s="1" t="s">
        <v>12</v>
      </c>
      <c r="F4" s="1" t="s">
        <v>13</v>
      </c>
      <c r="G4" s="1" t="s">
        <v>14</v>
      </c>
      <c r="H4" s="33"/>
      <c r="I4" s="33"/>
      <c r="J4" s="33"/>
      <c r="K4" s="33"/>
      <c r="L4" s="33"/>
    </row>
    <row r="5" spans="1:12" ht="16.649999999999999" customHeight="1" x14ac:dyDescent="0.25">
      <c r="A5" s="2" t="s">
        <v>15</v>
      </c>
      <c r="B5" s="3" t="s">
        <v>16</v>
      </c>
      <c r="C5" s="2" t="s">
        <v>17</v>
      </c>
      <c r="D5" s="2" t="s">
        <v>18</v>
      </c>
      <c r="E5" s="2" t="s">
        <v>15</v>
      </c>
      <c r="F5" s="2" t="s">
        <v>18</v>
      </c>
      <c r="G5" s="2" t="s">
        <v>18</v>
      </c>
      <c r="H5" s="2" t="s">
        <v>15</v>
      </c>
      <c r="I5" s="4" t="s">
        <v>19</v>
      </c>
      <c r="J5" s="4" t="s">
        <v>18</v>
      </c>
      <c r="K5" s="4" t="s">
        <v>19</v>
      </c>
      <c r="L5" s="4" t="s">
        <v>20</v>
      </c>
    </row>
    <row r="6" spans="1:12" ht="17.399999999999999" customHeight="1" x14ac:dyDescent="0.25">
      <c r="A6" s="2" t="s">
        <v>21</v>
      </c>
      <c r="B6" s="3" t="s">
        <v>16</v>
      </c>
      <c r="C6" s="2" t="s">
        <v>17</v>
      </c>
      <c r="D6" s="2" t="s">
        <v>22</v>
      </c>
      <c r="E6" s="2" t="s">
        <v>23</v>
      </c>
      <c r="F6" s="2" t="s">
        <v>21</v>
      </c>
      <c r="G6" s="2" t="s">
        <v>15</v>
      </c>
      <c r="H6" s="2" t="s">
        <v>24</v>
      </c>
      <c r="I6" s="4" t="s">
        <v>25</v>
      </c>
      <c r="J6" s="4" t="s">
        <v>26</v>
      </c>
      <c r="K6" s="4" t="s">
        <v>27</v>
      </c>
      <c r="L6" s="4" t="s">
        <v>20</v>
      </c>
    </row>
    <row r="7" spans="1:12" ht="17.399999999999999" customHeight="1" x14ac:dyDescent="0.25">
      <c r="A7" s="2" t="s">
        <v>28</v>
      </c>
      <c r="B7" s="3" t="s">
        <v>29</v>
      </c>
      <c r="C7" s="2" t="s">
        <v>17</v>
      </c>
      <c r="D7" s="2" t="s">
        <v>21</v>
      </c>
      <c r="E7" s="2" t="s">
        <v>15</v>
      </c>
      <c r="F7" s="2" t="s">
        <v>18</v>
      </c>
      <c r="G7" s="2" t="s">
        <v>18</v>
      </c>
      <c r="H7" s="2" t="s">
        <v>28</v>
      </c>
      <c r="I7" s="4" t="s">
        <v>30</v>
      </c>
      <c r="J7" s="4" t="s">
        <v>31</v>
      </c>
      <c r="K7" s="4" t="s">
        <v>32</v>
      </c>
      <c r="L7" s="4" t="s">
        <v>20</v>
      </c>
    </row>
    <row r="8" spans="1:12" ht="16.649999999999999" customHeight="1" x14ac:dyDescent="0.25">
      <c r="A8" s="2" t="s">
        <v>23</v>
      </c>
      <c r="B8" s="3" t="s">
        <v>33</v>
      </c>
      <c r="C8" s="2" t="s">
        <v>17</v>
      </c>
      <c r="D8" s="2" t="s">
        <v>34</v>
      </c>
      <c r="E8" s="2" t="s">
        <v>18</v>
      </c>
      <c r="F8" s="2" t="s">
        <v>21</v>
      </c>
      <c r="G8" s="2" t="s">
        <v>18</v>
      </c>
      <c r="H8" s="2" t="s">
        <v>35</v>
      </c>
      <c r="I8" s="4" t="s">
        <v>36</v>
      </c>
      <c r="J8" s="4" t="s">
        <v>37</v>
      </c>
      <c r="K8" s="4" t="s">
        <v>38</v>
      </c>
      <c r="L8" s="4" t="s">
        <v>20</v>
      </c>
    </row>
    <row r="9" spans="1:12" ht="17.399999999999999" customHeight="1" x14ac:dyDescent="0.25">
      <c r="A9" s="2" t="s">
        <v>39</v>
      </c>
      <c r="B9" s="3" t="s">
        <v>40</v>
      </c>
      <c r="C9" s="2" t="s">
        <v>17</v>
      </c>
      <c r="D9" s="2" t="s">
        <v>15</v>
      </c>
      <c r="E9" s="2" t="s">
        <v>21</v>
      </c>
      <c r="F9" s="2" t="s">
        <v>15</v>
      </c>
      <c r="G9" s="2" t="s">
        <v>15</v>
      </c>
      <c r="H9" s="2" t="s">
        <v>39</v>
      </c>
      <c r="I9" s="4" t="s">
        <v>41</v>
      </c>
      <c r="J9" s="4" t="s">
        <v>42</v>
      </c>
      <c r="K9" s="4" t="s">
        <v>43</v>
      </c>
      <c r="L9" s="4" t="s">
        <v>20</v>
      </c>
    </row>
    <row r="10" spans="1:12" ht="17.399999999999999" customHeight="1" x14ac:dyDescent="0.25">
      <c r="A10" s="2" t="s">
        <v>44</v>
      </c>
      <c r="B10" s="3" t="s">
        <v>45</v>
      </c>
      <c r="C10" s="2" t="s">
        <v>17</v>
      </c>
      <c r="D10" s="2" t="s">
        <v>18</v>
      </c>
      <c r="E10" s="2" t="s">
        <v>21</v>
      </c>
      <c r="F10" s="2" t="s">
        <v>18</v>
      </c>
      <c r="G10" s="2" t="s">
        <v>18</v>
      </c>
      <c r="H10" s="2" t="s">
        <v>21</v>
      </c>
      <c r="I10" s="4" t="s">
        <v>46</v>
      </c>
      <c r="J10" s="4" t="s">
        <v>18</v>
      </c>
      <c r="K10" s="4" t="s">
        <v>46</v>
      </c>
      <c r="L10" s="4" t="s">
        <v>20</v>
      </c>
    </row>
    <row r="11" spans="1:12" ht="16.649999999999999" customHeight="1" x14ac:dyDescent="0.25">
      <c r="A11" s="2" t="s">
        <v>47</v>
      </c>
      <c r="B11" s="3" t="s">
        <v>48</v>
      </c>
      <c r="C11" s="2" t="s">
        <v>17</v>
      </c>
      <c r="D11" s="2" t="s">
        <v>15</v>
      </c>
      <c r="E11" s="2" t="s">
        <v>18</v>
      </c>
      <c r="F11" s="2" t="s">
        <v>18</v>
      </c>
      <c r="G11" s="2" t="s">
        <v>18</v>
      </c>
      <c r="H11" s="2" t="s">
        <v>15</v>
      </c>
      <c r="I11" s="4" t="s">
        <v>19</v>
      </c>
      <c r="J11" s="4" t="s">
        <v>49</v>
      </c>
      <c r="K11" s="4" t="s">
        <v>50</v>
      </c>
      <c r="L11" s="4" t="s">
        <v>20</v>
      </c>
    </row>
    <row r="12" spans="1:12" ht="17.399999999999999" customHeight="1" x14ac:dyDescent="0.25">
      <c r="A12" s="2" t="s">
        <v>51</v>
      </c>
      <c r="B12" s="3" t="s">
        <v>48</v>
      </c>
      <c r="C12" s="2" t="s">
        <v>17</v>
      </c>
      <c r="D12" s="2" t="s">
        <v>52</v>
      </c>
      <c r="E12" s="2" t="s">
        <v>53</v>
      </c>
      <c r="F12" s="2" t="s">
        <v>54</v>
      </c>
      <c r="G12" s="2" t="s">
        <v>28</v>
      </c>
      <c r="H12" s="2" t="s">
        <v>55</v>
      </c>
      <c r="I12" s="4" t="s">
        <v>56</v>
      </c>
      <c r="J12" s="4" t="s">
        <v>57</v>
      </c>
      <c r="K12" s="4" t="s">
        <v>58</v>
      </c>
      <c r="L12" s="4" t="s">
        <v>20</v>
      </c>
    </row>
    <row r="13" spans="1:12" ht="16.649999999999999" customHeight="1" x14ac:dyDescent="0.25">
      <c r="A13" s="2" t="s">
        <v>59</v>
      </c>
      <c r="B13" s="3" t="s">
        <v>60</v>
      </c>
      <c r="C13" s="2" t="s">
        <v>17</v>
      </c>
      <c r="D13" s="2" t="s">
        <v>24</v>
      </c>
      <c r="E13" s="2" t="s">
        <v>23</v>
      </c>
      <c r="F13" s="2" t="s">
        <v>28</v>
      </c>
      <c r="G13" s="2" t="s">
        <v>21</v>
      </c>
      <c r="H13" s="2" t="s">
        <v>61</v>
      </c>
      <c r="I13" s="4" t="s">
        <v>62</v>
      </c>
      <c r="J13" s="4" t="s">
        <v>63</v>
      </c>
      <c r="K13" s="4" t="s">
        <v>64</v>
      </c>
      <c r="L13" s="4" t="s">
        <v>20</v>
      </c>
    </row>
    <row r="14" spans="1:12" ht="17.399999999999999" customHeight="1" x14ac:dyDescent="0.25">
      <c r="A14" s="2" t="s">
        <v>65</v>
      </c>
      <c r="B14" s="3" t="s">
        <v>66</v>
      </c>
      <c r="C14" s="2" t="s">
        <v>17</v>
      </c>
      <c r="D14" s="2" t="s">
        <v>23</v>
      </c>
      <c r="E14" s="2" t="s">
        <v>18</v>
      </c>
      <c r="F14" s="2" t="s">
        <v>15</v>
      </c>
      <c r="G14" s="2" t="s">
        <v>18</v>
      </c>
      <c r="H14" s="2" t="s">
        <v>39</v>
      </c>
      <c r="I14" s="4" t="s">
        <v>67</v>
      </c>
      <c r="J14" s="4" t="s">
        <v>68</v>
      </c>
      <c r="K14" s="4" t="s">
        <v>69</v>
      </c>
      <c r="L14" s="4" t="s">
        <v>20</v>
      </c>
    </row>
    <row r="15" spans="1:12" ht="17.399999999999999" customHeight="1" x14ac:dyDescent="0.25">
      <c r="A15" s="2" t="s">
        <v>34</v>
      </c>
      <c r="B15" s="3" t="s">
        <v>70</v>
      </c>
      <c r="C15" s="2" t="s">
        <v>17</v>
      </c>
      <c r="D15" s="2" t="s">
        <v>15</v>
      </c>
      <c r="E15" s="2" t="s">
        <v>18</v>
      </c>
      <c r="F15" s="2" t="s">
        <v>15</v>
      </c>
      <c r="G15" s="2" t="s">
        <v>18</v>
      </c>
      <c r="H15" s="2" t="s">
        <v>21</v>
      </c>
      <c r="I15" s="4" t="s">
        <v>71</v>
      </c>
      <c r="J15" s="4" t="s">
        <v>72</v>
      </c>
      <c r="K15" s="4" t="s">
        <v>73</v>
      </c>
      <c r="L15" s="4" t="s">
        <v>20</v>
      </c>
    </row>
    <row r="16" spans="1:12" ht="16.649999999999999" customHeight="1" x14ac:dyDescent="0.25">
      <c r="A16" s="2" t="s">
        <v>74</v>
      </c>
      <c r="B16" s="3" t="s">
        <v>75</v>
      </c>
      <c r="C16" s="2" t="s">
        <v>17</v>
      </c>
      <c r="D16" s="2" t="s">
        <v>51</v>
      </c>
      <c r="E16" s="2" t="s">
        <v>15</v>
      </c>
      <c r="F16" s="2" t="s">
        <v>21</v>
      </c>
      <c r="G16" s="2" t="s">
        <v>18</v>
      </c>
      <c r="H16" s="2" t="s">
        <v>34</v>
      </c>
      <c r="I16" s="4" t="s">
        <v>76</v>
      </c>
      <c r="J16" s="4" t="s">
        <v>77</v>
      </c>
      <c r="K16" s="4" t="s">
        <v>78</v>
      </c>
      <c r="L16" s="4" t="s">
        <v>20</v>
      </c>
    </row>
    <row r="17" spans="1:12" ht="17.399999999999999" customHeight="1" x14ac:dyDescent="0.25">
      <c r="A17" s="2" t="s">
        <v>35</v>
      </c>
      <c r="B17" s="3" t="s">
        <v>79</v>
      </c>
      <c r="C17" s="2" t="s">
        <v>17</v>
      </c>
      <c r="D17" s="2" t="s">
        <v>18</v>
      </c>
      <c r="E17" s="2" t="s">
        <v>15</v>
      </c>
      <c r="F17" s="2" t="s">
        <v>15</v>
      </c>
      <c r="G17" s="2" t="s">
        <v>18</v>
      </c>
      <c r="H17" s="2" t="s">
        <v>21</v>
      </c>
      <c r="I17" s="4" t="s">
        <v>80</v>
      </c>
      <c r="J17" s="4" t="s">
        <v>18</v>
      </c>
      <c r="K17" s="4" t="s">
        <v>80</v>
      </c>
      <c r="L17" s="4" t="s">
        <v>20</v>
      </c>
    </row>
    <row r="18" spans="1:12" ht="17.399999999999999" customHeight="1" x14ac:dyDescent="0.25">
      <c r="A18" s="2" t="s">
        <v>81</v>
      </c>
      <c r="B18" s="3" t="s">
        <v>82</v>
      </c>
      <c r="C18" s="2" t="s">
        <v>17</v>
      </c>
      <c r="D18" s="2" t="s">
        <v>83</v>
      </c>
      <c r="E18" s="2" t="s">
        <v>39</v>
      </c>
      <c r="F18" s="2" t="s">
        <v>23</v>
      </c>
      <c r="G18" s="2" t="s">
        <v>28</v>
      </c>
      <c r="H18" s="2" t="s">
        <v>84</v>
      </c>
      <c r="I18" s="4" t="s">
        <v>85</v>
      </c>
      <c r="J18" s="4" t="s">
        <v>86</v>
      </c>
      <c r="K18" s="4" t="s">
        <v>87</v>
      </c>
      <c r="L18" s="4" t="s">
        <v>20</v>
      </c>
    </row>
    <row r="19" spans="1:12" ht="16.649999999999999" customHeight="1" x14ac:dyDescent="0.25">
      <c r="A19" s="2" t="s">
        <v>54</v>
      </c>
      <c r="B19" s="3" t="s">
        <v>88</v>
      </c>
      <c r="C19" s="2" t="s">
        <v>17</v>
      </c>
      <c r="D19" s="2" t="s">
        <v>47</v>
      </c>
      <c r="E19" s="2" t="s">
        <v>21</v>
      </c>
      <c r="F19" s="2" t="s">
        <v>18</v>
      </c>
      <c r="G19" s="2" t="s">
        <v>18</v>
      </c>
      <c r="H19" s="2" t="s">
        <v>59</v>
      </c>
      <c r="I19" s="4" t="s">
        <v>89</v>
      </c>
      <c r="J19" s="4" t="s">
        <v>90</v>
      </c>
      <c r="K19" s="4" t="s">
        <v>91</v>
      </c>
      <c r="L19" s="4" t="s">
        <v>20</v>
      </c>
    </row>
    <row r="20" spans="1:12" ht="17.399999999999999" customHeight="1" x14ac:dyDescent="0.25">
      <c r="A20" s="2" t="s">
        <v>92</v>
      </c>
      <c r="B20" s="3" t="s">
        <v>93</v>
      </c>
      <c r="C20" s="2" t="s">
        <v>17</v>
      </c>
      <c r="D20" s="2" t="s">
        <v>81</v>
      </c>
      <c r="E20" s="2" t="s">
        <v>18</v>
      </c>
      <c r="F20" s="2" t="s">
        <v>39</v>
      </c>
      <c r="G20" s="2" t="s">
        <v>18</v>
      </c>
      <c r="H20" s="2" t="s">
        <v>83</v>
      </c>
      <c r="I20" s="4" t="s">
        <v>94</v>
      </c>
      <c r="J20" s="4" t="s">
        <v>95</v>
      </c>
      <c r="K20" s="4" t="s">
        <v>96</v>
      </c>
      <c r="L20" s="4" t="s">
        <v>20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Q280"/>
  <sheetViews>
    <sheetView tabSelected="1" topLeftCell="E1" zoomScale="145" zoomScaleNormal="145" workbookViewId="0">
      <selection activeCell="E29" sqref="E29"/>
    </sheetView>
  </sheetViews>
  <sheetFormatPr defaultRowHeight="13.2" x14ac:dyDescent="0.25"/>
  <cols>
    <col min="1" max="1" width="13.44140625" bestFit="1" customWidth="1"/>
    <col min="2" max="2" width="10.5546875" bestFit="1" customWidth="1"/>
    <col min="3" max="3" width="10.21875" bestFit="1" customWidth="1"/>
    <col min="4" max="4" width="5" bestFit="1" customWidth="1"/>
    <col min="5" max="5" width="10.6640625" bestFit="1" customWidth="1"/>
    <col min="7" max="7" width="7.21875" bestFit="1" customWidth="1"/>
    <col min="8" max="9" width="3" bestFit="1" customWidth="1"/>
    <col min="10" max="10" width="5" bestFit="1" customWidth="1"/>
    <col min="11" max="11" width="10.109375" bestFit="1" customWidth="1"/>
    <col min="12" max="13" width="3" bestFit="1" customWidth="1"/>
    <col min="14" max="14" width="5" bestFit="1" customWidth="1"/>
    <col min="15" max="15" width="10.109375" bestFit="1" customWidth="1"/>
  </cols>
  <sheetData>
    <row r="1" spans="1:17" ht="15.6" x14ac:dyDescent="0.25">
      <c r="A1" s="5" t="s">
        <v>97</v>
      </c>
      <c r="B1" s="6" t="s">
        <v>99</v>
      </c>
      <c r="C1" s="6" t="s">
        <v>98</v>
      </c>
      <c r="D1" s="5" t="s">
        <v>101</v>
      </c>
      <c r="E1" s="6" t="s">
        <v>100</v>
      </c>
      <c r="F1" t="s">
        <v>774</v>
      </c>
      <c r="G1" s="22" t="s">
        <v>836</v>
      </c>
      <c r="H1" s="23" t="s">
        <v>99</v>
      </c>
      <c r="I1" s="24" t="s">
        <v>837</v>
      </c>
      <c r="J1" s="25" t="s">
        <v>838</v>
      </c>
    </row>
    <row r="2" spans="1:17" ht="13.8" hidden="1" x14ac:dyDescent="0.25">
      <c r="A2" s="11" t="s">
        <v>280</v>
      </c>
      <c r="B2" s="7" t="s">
        <v>111</v>
      </c>
      <c r="C2" s="7" t="s">
        <v>15</v>
      </c>
      <c r="D2" s="7" t="s">
        <v>281</v>
      </c>
      <c r="E2" s="7" t="s">
        <v>112</v>
      </c>
      <c r="F2" s="8"/>
      <c r="G2" s="9" t="str">
        <f t="shared" ref="G2:G65" si="0">LEFT(A2,5)</f>
        <v>JBK1E</v>
      </c>
      <c r="H2" s="9" t="str">
        <f t="shared" ref="H2:H65" si="1">LEFT(B2,2)</f>
        <v>28</v>
      </c>
      <c r="I2" s="9" t="str">
        <f t="shared" ref="I2:I65" si="2">MID(B2,4,2)</f>
        <v>06</v>
      </c>
      <c r="J2" s="9" t="str">
        <f t="shared" ref="J2:J65" si="3">RIGHT(B2,4)</f>
        <v>2025</v>
      </c>
      <c r="K2" s="10" t="str">
        <f t="shared" ref="K2:K65" si="4">H2&amp;"/"&amp;I2&amp;"/"&amp;J2</f>
        <v>28/06/2025</v>
      </c>
      <c r="L2" s="9" t="str">
        <f t="shared" ref="L2:L65" si="5">LEFT(E2,2)</f>
        <v>05</v>
      </c>
      <c r="M2" s="9" t="str">
        <f t="shared" ref="M2:M65" si="6">MID(E2,4,2)</f>
        <v>07</v>
      </c>
      <c r="N2" s="9" t="str">
        <f t="shared" ref="N2:N65" si="7">RIGHT(E2,4)</f>
        <v>2025</v>
      </c>
      <c r="O2" s="10" t="str">
        <f t="shared" ref="O2:O65" si="8">L2&amp;"/"&amp;M2&amp;"/"&amp;N2</f>
        <v>05/07/2025</v>
      </c>
      <c r="P2" s="9">
        <f t="shared" ref="P2:P65" si="9">O2-K2</f>
        <v>7</v>
      </c>
      <c r="Q2" t="str">
        <f>VLOOKUP(A2,[1]Sheet2!$I$2:$O$496,7,FALSE())</f>
        <v>https://fruitbasket.blob.core.windows.net/gk2o5k/avatar/21231867220250705152015NEM0LN.jpg</v>
      </c>
    </row>
    <row r="3" spans="1:17" ht="13.8" hidden="1" x14ac:dyDescent="0.25">
      <c r="A3" s="11" t="s">
        <v>633</v>
      </c>
      <c r="B3" s="7" t="s">
        <v>111</v>
      </c>
      <c r="C3" s="7" t="s">
        <v>15</v>
      </c>
      <c r="D3" s="7" t="s">
        <v>634</v>
      </c>
      <c r="E3" s="7" t="s">
        <v>140</v>
      </c>
      <c r="F3" s="8"/>
      <c r="G3" s="9" t="str">
        <f t="shared" si="0"/>
        <v>JBP1E</v>
      </c>
      <c r="H3" s="9" t="str">
        <f t="shared" si="1"/>
        <v>28</v>
      </c>
      <c r="I3" s="9" t="str">
        <f t="shared" si="2"/>
        <v>06</v>
      </c>
      <c r="J3" s="9" t="str">
        <f t="shared" si="3"/>
        <v>2025</v>
      </c>
      <c r="K3" s="10" t="str">
        <f t="shared" si="4"/>
        <v>28/06/2025</v>
      </c>
      <c r="L3" s="9" t="str">
        <f t="shared" si="5"/>
        <v>11</v>
      </c>
      <c r="M3" s="9" t="str">
        <f t="shared" si="6"/>
        <v>07</v>
      </c>
      <c r="N3" s="9" t="str">
        <f t="shared" si="7"/>
        <v>2025</v>
      </c>
      <c r="O3" s="10" t="str">
        <f t="shared" si="8"/>
        <v>11/07/2025</v>
      </c>
      <c r="P3" s="9">
        <f t="shared" si="9"/>
        <v>13</v>
      </c>
      <c r="Q3" t="str">
        <f>VLOOKUP(A3,[1]Sheet2!$I$2:$O$496,7,FALSE())</f>
        <v>https://fruitbasket.blob.core.windows.net/gk2o5k/avatar/21192879420250711144029TUDLKK.jpg</v>
      </c>
    </row>
    <row r="4" spans="1:17" ht="13.8" hidden="1" x14ac:dyDescent="0.25">
      <c r="A4" s="11" t="s">
        <v>266</v>
      </c>
      <c r="B4" s="7" t="s">
        <v>267</v>
      </c>
      <c r="C4" s="7" t="s">
        <v>15</v>
      </c>
      <c r="D4" s="7" t="s">
        <v>268</v>
      </c>
      <c r="E4" s="7" t="s">
        <v>108</v>
      </c>
      <c r="F4" s="8"/>
      <c r="G4" s="9" t="str">
        <f t="shared" si="0"/>
        <v>JBK1E</v>
      </c>
      <c r="H4" s="9" t="str">
        <f t="shared" si="1"/>
        <v>12</v>
      </c>
      <c r="I4" s="9" t="str">
        <f t="shared" si="2"/>
        <v>06</v>
      </c>
      <c r="J4" s="9" t="str">
        <f t="shared" si="3"/>
        <v>2025</v>
      </c>
      <c r="K4" s="10" t="str">
        <f t="shared" si="4"/>
        <v>12/06/2025</v>
      </c>
      <c r="L4" s="9" t="str">
        <f t="shared" si="5"/>
        <v>04</v>
      </c>
      <c r="M4" s="9" t="str">
        <f t="shared" si="6"/>
        <v>07</v>
      </c>
      <c r="N4" s="9" t="str">
        <f t="shared" si="7"/>
        <v>2025</v>
      </c>
      <c r="O4" s="10" t="str">
        <f t="shared" si="8"/>
        <v>04/07/2025</v>
      </c>
      <c r="P4" s="9">
        <f t="shared" si="9"/>
        <v>22</v>
      </c>
      <c r="Q4" t="str">
        <f>VLOOKUP(A4,[1]Sheet2!$I$2:$O$496,7,FALSE())</f>
        <v>https://fruitbasket.blob.core.windows.net/gk2o5k/avatar/21106217720250704093328WSYU71.jpg</v>
      </c>
    </row>
    <row r="5" spans="1:17" ht="13.8" x14ac:dyDescent="0.25">
      <c r="A5" s="21" t="s">
        <v>164</v>
      </c>
      <c r="B5" s="7" t="s">
        <v>165</v>
      </c>
      <c r="C5" s="7" t="s">
        <v>21</v>
      </c>
      <c r="D5" s="7" t="s">
        <v>166</v>
      </c>
      <c r="E5" s="7" t="s">
        <v>104</v>
      </c>
      <c r="F5" s="12" t="s">
        <v>834</v>
      </c>
      <c r="G5" s="9" t="str">
        <f t="shared" si="0"/>
        <v>JMF1E</v>
      </c>
      <c r="H5" s="9" t="str">
        <f t="shared" si="1"/>
        <v>20</v>
      </c>
      <c r="I5" s="9" t="str">
        <f t="shared" si="2"/>
        <v>03</v>
      </c>
      <c r="J5" s="9" t="str">
        <f t="shared" si="3"/>
        <v>2025</v>
      </c>
      <c r="K5" s="10" t="str">
        <f t="shared" si="4"/>
        <v>20/03/2025</v>
      </c>
      <c r="L5" s="9" t="str">
        <f t="shared" si="5"/>
        <v>02</v>
      </c>
      <c r="M5" s="9" t="str">
        <f t="shared" si="6"/>
        <v>07</v>
      </c>
      <c r="N5" s="9" t="str">
        <f t="shared" si="7"/>
        <v>2025</v>
      </c>
      <c r="O5" s="10" t="str">
        <f t="shared" si="8"/>
        <v>02/07/2025</v>
      </c>
      <c r="P5" s="9">
        <f t="shared" si="9"/>
        <v>104</v>
      </c>
      <c r="Q5" t="str">
        <f>VLOOKUP(A5,[1]Sheet2!$I$2:$O$496,7,FALSE())</f>
        <v>https://fruitbasket.blob.core.windows.net/gk2o5k/avatar/21287366620250702141803OHGSWX.jpg</v>
      </c>
    </row>
    <row r="6" spans="1:17" ht="13.8" hidden="1" x14ac:dyDescent="0.25">
      <c r="A6" s="11" t="s">
        <v>194</v>
      </c>
      <c r="B6" s="7" t="s">
        <v>118</v>
      </c>
      <c r="C6" s="7" t="s">
        <v>15</v>
      </c>
      <c r="D6" s="7" t="s">
        <v>166</v>
      </c>
      <c r="E6" s="7" t="s">
        <v>195</v>
      </c>
      <c r="F6" s="8"/>
      <c r="G6" s="9" t="str">
        <f t="shared" si="0"/>
        <v>KD11E</v>
      </c>
      <c r="H6" s="9" t="str">
        <f t="shared" si="1"/>
        <v>05</v>
      </c>
      <c r="I6" s="9" t="str">
        <f t="shared" si="2"/>
        <v>06</v>
      </c>
      <c r="J6" s="9" t="str">
        <f t="shared" si="3"/>
        <v>2025</v>
      </c>
      <c r="K6" s="10" t="str">
        <f t="shared" si="4"/>
        <v>05/06/2025</v>
      </c>
      <c r="L6" s="9" t="str">
        <f t="shared" si="5"/>
        <v>03</v>
      </c>
      <c r="M6" s="9" t="str">
        <f t="shared" si="6"/>
        <v>07</v>
      </c>
      <c r="N6" s="9" t="str">
        <f t="shared" si="7"/>
        <v>2025</v>
      </c>
      <c r="O6" s="10" t="str">
        <f t="shared" si="8"/>
        <v>03/07/2025</v>
      </c>
      <c r="P6" s="9">
        <f t="shared" si="9"/>
        <v>28</v>
      </c>
      <c r="Q6" t="str">
        <f>VLOOKUP(A6,[1]Sheet2!$I$2:$O$496,7,FALSE())</f>
        <v>https://fruitbasket.blob.core.windows.net/gk2o5k/avatar/21188874820250703140359JHKR0O.jpg</v>
      </c>
    </row>
    <row r="7" spans="1:17" ht="13.8" hidden="1" x14ac:dyDescent="0.25">
      <c r="A7" s="11" t="s">
        <v>447</v>
      </c>
      <c r="B7" s="7" t="s">
        <v>448</v>
      </c>
      <c r="C7" s="7" t="s">
        <v>21</v>
      </c>
      <c r="D7" s="7" t="s">
        <v>449</v>
      </c>
      <c r="E7" s="7" t="s">
        <v>131</v>
      </c>
      <c r="F7" s="8"/>
      <c r="G7" s="9" t="str">
        <f t="shared" si="0"/>
        <v>JBK1E</v>
      </c>
      <c r="H7" s="9" t="str">
        <f t="shared" si="1"/>
        <v>30</v>
      </c>
      <c r="I7" s="9" t="str">
        <f t="shared" si="2"/>
        <v>04</v>
      </c>
      <c r="J7" s="9" t="str">
        <f t="shared" si="3"/>
        <v>2025</v>
      </c>
      <c r="K7" s="10" t="str">
        <f t="shared" si="4"/>
        <v>30/04/2025</v>
      </c>
      <c r="L7" s="9" t="str">
        <f t="shared" si="5"/>
        <v>09</v>
      </c>
      <c r="M7" s="9" t="str">
        <f t="shared" si="6"/>
        <v>07</v>
      </c>
      <c r="N7" s="9" t="str">
        <f t="shared" si="7"/>
        <v>2025</v>
      </c>
      <c r="O7" s="10" t="str">
        <f t="shared" si="8"/>
        <v>09/07/2025</v>
      </c>
      <c r="P7" s="9">
        <f t="shared" si="9"/>
        <v>70</v>
      </c>
      <c r="Q7" t="str">
        <f>VLOOKUP(A7,[1]Sheet2!$I$2:$O$496,7,FALSE())</f>
        <v>https://fruitbasket.blob.core.windows.net/gk2o5k/avatar/21311398520250709133530EQCQMB.jpg</v>
      </c>
    </row>
    <row r="8" spans="1:17" ht="13.8" x14ac:dyDescent="0.25">
      <c r="A8" s="21" t="s">
        <v>133</v>
      </c>
      <c r="B8" s="7" t="s">
        <v>130</v>
      </c>
      <c r="C8" s="7" t="s">
        <v>15</v>
      </c>
      <c r="D8" s="7" t="s">
        <v>134</v>
      </c>
      <c r="E8" s="7" t="s">
        <v>131</v>
      </c>
      <c r="F8" s="9" t="s">
        <v>814</v>
      </c>
      <c r="G8" s="9" t="str">
        <f t="shared" si="0"/>
        <v>JMF1E</v>
      </c>
      <c r="H8" s="9" t="str">
        <f t="shared" si="1"/>
        <v>10</v>
      </c>
      <c r="I8" s="9" t="str">
        <f t="shared" si="2"/>
        <v>06</v>
      </c>
      <c r="J8" s="9" t="str">
        <f t="shared" si="3"/>
        <v>2025</v>
      </c>
      <c r="K8" s="10" t="str">
        <f t="shared" si="4"/>
        <v>10/06/2025</v>
      </c>
      <c r="L8" s="9" t="str">
        <f t="shared" si="5"/>
        <v>09</v>
      </c>
      <c r="M8" s="9" t="str">
        <f t="shared" si="6"/>
        <v>07</v>
      </c>
      <c r="N8" s="9" t="str">
        <f t="shared" si="7"/>
        <v>2025</v>
      </c>
      <c r="O8" s="10" t="str">
        <f t="shared" si="8"/>
        <v>09/07/2025</v>
      </c>
      <c r="P8" s="9">
        <f t="shared" si="9"/>
        <v>29</v>
      </c>
      <c r="Q8" t="str">
        <f>VLOOKUP(A8,[1]Sheet2!$I$2:$O$496,7,FALSE())</f>
        <v>https://fruitbasket.blob.core.windows.net/gk2o5k/avatar/21332285320250709142927W53HMZ.jpg</v>
      </c>
    </row>
    <row r="9" spans="1:17" ht="13.8" hidden="1" x14ac:dyDescent="0.25">
      <c r="A9" s="11" t="s">
        <v>152</v>
      </c>
      <c r="B9" s="7" t="s">
        <v>153</v>
      </c>
      <c r="C9" s="7" t="s">
        <v>15</v>
      </c>
      <c r="D9" s="7" t="s">
        <v>155</v>
      </c>
      <c r="E9" s="7" t="s">
        <v>154</v>
      </c>
      <c r="F9" s="8"/>
      <c r="G9" s="9" t="str">
        <f t="shared" si="0"/>
        <v>JME1E</v>
      </c>
      <c r="H9" s="9" t="str">
        <f t="shared" si="1"/>
        <v>13</v>
      </c>
      <c r="I9" s="9" t="str">
        <f t="shared" si="2"/>
        <v>06</v>
      </c>
      <c r="J9" s="9" t="str">
        <f t="shared" si="3"/>
        <v>2025</v>
      </c>
      <c r="K9" s="10" t="str">
        <f t="shared" si="4"/>
        <v>13/06/2025</v>
      </c>
      <c r="L9" s="9" t="str">
        <f t="shared" si="5"/>
        <v>18</v>
      </c>
      <c r="M9" s="9" t="str">
        <f t="shared" si="6"/>
        <v>07</v>
      </c>
      <c r="N9" s="9" t="str">
        <f t="shared" si="7"/>
        <v>2025</v>
      </c>
      <c r="O9" s="10" t="str">
        <f t="shared" si="8"/>
        <v>18/07/2025</v>
      </c>
      <c r="P9" s="9">
        <f t="shared" si="9"/>
        <v>35</v>
      </c>
      <c r="Q9" t="str">
        <f>VLOOKUP(A9,[1]Sheet2!$I$2:$O$496,7,FALSE())</f>
        <v>https://fruitbasket.blob.core.windows.net/gk2o5k/avatar/21277485320250718162557QDAALM.jpg</v>
      </c>
    </row>
    <row r="10" spans="1:17" ht="13.8" hidden="1" x14ac:dyDescent="0.25">
      <c r="A10" s="11" t="s">
        <v>217</v>
      </c>
      <c r="B10" s="7" t="s">
        <v>112</v>
      </c>
      <c r="C10" s="7" t="s">
        <v>15</v>
      </c>
      <c r="D10" s="7" t="s">
        <v>219</v>
      </c>
      <c r="E10" s="7" t="s">
        <v>218</v>
      </c>
      <c r="F10" s="8"/>
      <c r="G10" s="9" t="str">
        <f t="shared" si="0"/>
        <v>KD11E</v>
      </c>
      <c r="H10" s="9" t="str">
        <f t="shared" si="1"/>
        <v>05</v>
      </c>
      <c r="I10" s="9" t="str">
        <f t="shared" si="2"/>
        <v>07</v>
      </c>
      <c r="J10" s="9" t="str">
        <f t="shared" si="3"/>
        <v>2025</v>
      </c>
      <c r="K10" s="10" t="str">
        <f t="shared" si="4"/>
        <v>05/07/2025</v>
      </c>
      <c r="L10" s="9" t="str">
        <f t="shared" si="5"/>
        <v>30</v>
      </c>
      <c r="M10" s="9" t="str">
        <f t="shared" si="6"/>
        <v>07</v>
      </c>
      <c r="N10" s="9" t="str">
        <f t="shared" si="7"/>
        <v>2025</v>
      </c>
      <c r="O10" s="10" t="str">
        <f t="shared" si="8"/>
        <v>30/07/2025</v>
      </c>
      <c r="P10" s="9">
        <f t="shared" si="9"/>
        <v>25</v>
      </c>
      <c r="Q10" t="str">
        <f>VLOOKUP(A10,[1]Sheet2!$I$2:$O$496,7,FALSE())</f>
        <v>https://fruitbasket.blob.core.windows.net/gk2o5k/avatar/213302723202507301453076FCYNH.jpg</v>
      </c>
    </row>
    <row r="11" spans="1:17" ht="13.8" hidden="1" x14ac:dyDescent="0.25">
      <c r="A11" s="11" t="s">
        <v>638</v>
      </c>
      <c r="B11" s="7" t="s">
        <v>286</v>
      </c>
      <c r="C11" s="7" t="s">
        <v>21</v>
      </c>
      <c r="D11" s="7" t="s">
        <v>639</v>
      </c>
      <c r="E11" s="7" t="s">
        <v>179</v>
      </c>
      <c r="F11" s="8"/>
      <c r="G11" s="9" t="str">
        <f t="shared" si="0"/>
        <v>JBP1E</v>
      </c>
      <c r="H11" s="9" t="str">
        <f t="shared" si="1"/>
        <v>10</v>
      </c>
      <c r="I11" s="9" t="str">
        <f t="shared" si="2"/>
        <v>05</v>
      </c>
      <c r="J11" s="9" t="str">
        <f t="shared" si="3"/>
        <v>2025</v>
      </c>
      <c r="K11" s="10" t="str">
        <f t="shared" si="4"/>
        <v>10/05/2025</v>
      </c>
      <c r="L11" s="9" t="str">
        <f t="shared" si="5"/>
        <v>28</v>
      </c>
      <c r="M11" s="9" t="str">
        <f t="shared" si="6"/>
        <v>07</v>
      </c>
      <c r="N11" s="9" t="str">
        <f t="shared" si="7"/>
        <v>2025</v>
      </c>
      <c r="O11" s="10" t="str">
        <f t="shared" si="8"/>
        <v>28/07/2025</v>
      </c>
      <c r="P11" s="9">
        <f t="shared" si="9"/>
        <v>79</v>
      </c>
      <c r="Q11" t="str">
        <f>VLOOKUP(A11,[1]Sheet2!$I$2:$O$496,7,FALSE())</f>
        <v>https://fruitbasket.blob.core.windows.net/gk2o5k/avatar/21283216820250728132420V5JU6H.jpg</v>
      </c>
    </row>
    <row r="12" spans="1:17" ht="13.8" hidden="1" x14ac:dyDescent="0.25">
      <c r="A12" s="11" t="s">
        <v>214</v>
      </c>
      <c r="B12" s="7" t="s">
        <v>215</v>
      </c>
      <c r="C12" s="7" t="s">
        <v>15</v>
      </c>
      <c r="D12" s="7" t="s">
        <v>216</v>
      </c>
      <c r="E12" s="7" t="s">
        <v>157</v>
      </c>
      <c r="F12" s="8"/>
      <c r="G12" s="9" t="str">
        <f t="shared" si="0"/>
        <v>KD11E</v>
      </c>
      <c r="H12" s="9" t="str">
        <f t="shared" si="1"/>
        <v>30</v>
      </c>
      <c r="I12" s="9" t="str">
        <f t="shared" si="2"/>
        <v>06</v>
      </c>
      <c r="J12" s="9" t="str">
        <f t="shared" si="3"/>
        <v>2025</v>
      </c>
      <c r="K12" s="10" t="str">
        <f t="shared" si="4"/>
        <v>30/06/2025</v>
      </c>
      <c r="L12" s="9" t="str">
        <f t="shared" si="5"/>
        <v>26</v>
      </c>
      <c r="M12" s="9" t="str">
        <f t="shared" si="6"/>
        <v>07</v>
      </c>
      <c r="N12" s="9" t="str">
        <f t="shared" si="7"/>
        <v>2025</v>
      </c>
      <c r="O12" s="10" t="str">
        <f t="shared" si="8"/>
        <v>26/07/2025</v>
      </c>
      <c r="P12" s="9">
        <f t="shared" si="9"/>
        <v>26</v>
      </c>
      <c r="Q12" t="str">
        <f>VLOOKUP(A12,[1]Sheet2!$I$2:$O$496,7,FALSE())</f>
        <v>https://fruitbasket.blob.core.windows.net/gk2o5k/avatar/213458390202507261446239DLU5L.jpg</v>
      </c>
    </row>
    <row r="13" spans="1:17" ht="13.8" hidden="1" x14ac:dyDescent="0.25">
      <c r="A13" s="11" t="s">
        <v>551</v>
      </c>
      <c r="B13" s="7" t="s">
        <v>552</v>
      </c>
      <c r="C13" s="7" t="s">
        <v>15</v>
      </c>
      <c r="D13" s="7" t="s">
        <v>553</v>
      </c>
      <c r="E13" s="7" t="s">
        <v>140</v>
      </c>
      <c r="F13" s="8"/>
      <c r="G13" s="9" t="str">
        <f t="shared" si="0"/>
        <v>JMH2E</v>
      </c>
      <c r="H13" s="9" t="str">
        <f t="shared" si="1"/>
        <v>22</v>
      </c>
      <c r="I13" s="9" t="str">
        <f t="shared" si="2"/>
        <v>06</v>
      </c>
      <c r="J13" s="9" t="str">
        <f t="shared" si="3"/>
        <v>2025</v>
      </c>
      <c r="K13" s="10" t="str">
        <f t="shared" si="4"/>
        <v>22/06/2025</v>
      </c>
      <c r="L13" s="9" t="str">
        <f t="shared" si="5"/>
        <v>11</v>
      </c>
      <c r="M13" s="9" t="str">
        <f t="shared" si="6"/>
        <v>07</v>
      </c>
      <c r="N13" s="9" t="str">
        <f t="shared" si="7"/>
        <v>2025</v>
      </c>
      <c r="O13" s="10" t="str">
        <f t="shared" si="8"/>
        <v>11/07/2025</v>
      </c>
      <c r="P13" s="9">
        <f t="shared" si="9"/>
        <v>19</v>
      </c>
      <c r="Q13" t="str">
        <f>VLOOKUP(A13,[1]Sheet2!$I$2:$O$496,7,FALSE())</f>
        <v>https://fruitbasket.blob.core.windows.net/gk2o5k/avatar/21192313420250711154246D1JP3D.jpg</v>
      </c>
    </row>
    <row r="14" spans="1:17" ht="13.8" x14ac:dyDescent="0.25">
      <c r="A14" s="21" t="s">
        <v>343</v>
      </c>
      <c r="B14" s="7" t="s">
        <v>115</v>
      </c>
      <c r="C14" s="7" t="s">
        <v>15</v>
      </c>
      <c r="D14" s="7" t="s">
        <v>344</v>
      </c>
      <c r="E14" s="7" t="s">
        <v>144</v>
      </c>
      <c r="F14" s="9" t="s">
        <v>781</v>
      </c>
      <c r="G14" s="9" t="str">
        <f t="shared" si="0"/>
        <v>JBK1E</v>
      </c>
      <c r="H14" s="9" t="str">
        <f t="shared" si="1"/>
        <v>17</v>
      </c>
      <c r="I14" s="9" t="str">
        <f t="shared" si="2"/>
        <v>06</v>
      </c>
      <c r="J14" s="9" t="str">
        <f t="shared" si="3"/>
        <v>2025</v>
      </c>
      <c r="K14" s="10" t="str">
        <f t="shared" si="4"/>
        <v>17/06/2025</v>
      </c>
      <c r="L14" s="9" t="str">
        <f t="shared" si="5"/>
        <v>12</v>
      </c>
      <c r="M14" s="9" t="str">
        <f t="shared" si="6"/>
        <v>07</v>
      </c>
      <c r="N14" s="9" t="str">
        <f t="shared" si="7"/>
        <v>2025</v>
      </c>
      <c r="O14" s="10" t="str">
        <f t="shared" si="8"/>
        <v>12/07/2025</v>
      </c>
      <c r="P14" s="9">
        <f t="shared" si="9"/>
        <v>25</v>
      </c>
      <c r="Q14" t="str">
        <f>VLOOKUP(A14,[1]Sheet2!$I$2:$O$496,7,FALSE())</f>
        <v>https://fruitbasket.blob.core.windows.net/gk2o5k/avatar/21338973320250712154518PRFXRG.jpg</v>
      </c>
    </row>
    <row r="15" spans="1:17" ht="13.8" hidden="1" x14ac:dyDescent="0.25">
      <c r="A15" s="11" t="s">
        <v>138</v>
      </c>
      <c r="B15" s="7" t="s">
        <v>139</v>
      </c>
      <c r="C15" s="7" t="s">
        <v>15</v>
      </c>
      <c r="D15" s="7" t="s">
        <v>141</v>
      </c>
      <c r="E15" s="7" t="s">
        <v>140</v>
      </c>
      <c r="F15" s="8"/>
      <c r="G15" s="9" t="str">
        <f t="shared" si="0"/>
        <v>JMF1E</v>
      </c>
      <c r="H15" s="9" t="str">
        <f t="shared" si="1"/>
        <v>11</v>
      </c>
      <c r="I15" s="9" t="str">
        <f t="shared" si="2"/>
        <v>06</v>
      </c>
      <c r="J15" s="9" t="str">
        <f t="shared" si="3"/>
        <v>2025</v>
      </c>
      <c r="K15" s="10" t="str">
        <f t="shared" si="4"/>
        <v>11/06/2025</v>
      </c>
      <c r="L15" s="9" t="str">
        <f t="shared" si="5"/>
        <v>11</v>
      </c>
      <c r="M15" s="9" t="str">
        <f t="shared" si="6"/>
        <v>07</v>
      </c>
      <c r="N15" s="9" t="str">
        <f t="shared" si="7"/>
        <v>2025</v>
      </c>
      <c r="O15" s="10" t="str">
        <f t="shared" si="8"/>
        <v>11/07/2025</v>
      </c>
      <c r="P15" s="9">
        <f t="shared" si="9"/>
        <v>30</v>
      </c>
      <c r="Q15" t="str">
        <f>VLOOKUP(A15,[1]Sheet2!$I$2:$O$496,7,FALSE())</f>
        <v>https://fruitbasket.blob.core.windows.net/gk2o5k/avatar/21193984320250711135903WJGU6I.jpg</v>
      </c>
    </row>
    <row r="16" spans="1:17" ht="13.8" hidden="1" x14ac:dyDescent="0.25">
      <c r="A16" s="11" t="s">
        <v>611</v>
      </c>
      <c r="B16" s="7" t="s">
        <v>118</v>
      </c>
      <c r="C16" s="7" t="s">
        <v>15</v>
      </c>
      <c r="D16" s="7" t="s">
        <v>612</v>
      </c>
      <c r="E16" s="7" t="s">
        <v>108</v>
      </c>
      <c r="F16" s="8"/>
      <c r="G16" s="9" t="str">
        <f t="shared" si="0"/>
        <v>KFD1E</v>
      </c>
      <c r="H16" s="9" t="str">
        <f t="shared" si="1"/>
        <v>05</v>
      </c>
      <c r="I16" s="9" t="str">
        <f t="shared" si="2"/>
        <v>06</v>
      </c>
      <c r="J16" s="9" t="str">
        <f t="shared" si="3"/>
        <v>2025</v>
      </c>
      <c r="K16" s="10" t="str">
        <f t="shared" si="4"/>
        <v>05/06/2025</v>
      </c>
      <c r="L16" s="9" t="str">
        <f t="shared" si="5"/>
        <v>04</v>
      </c>
      <c r="M16" s="9" t="str">
        <f t="shared" si="6"/>
        <v>07</v>
      </c>
      <c r="N16" s="9" t="str">
        <f t="shared" si="7"/>
        <v>2025</v>
      </c>
      <c r="O16" s="10" t="str">
        <f t="shared" si="8"/>
        <v>04/07/2025</v>
      </c>
      <c r="P16" s="9">
        <f t="shared" si="9"/>
        <v>29</v>
      </c>
      <c r="Q16" t="str">
        <f>VLOOKUP(A16,[1]Sheet2!$I$2:$O$496,7,FALSE())</f>
        <v>https://fruitbasket.blob.core.windows.net/gk2o5k/avatar/213308344202507041307056ALQAA.jpg</v>
      </c>
    </row>
    <row r="17" spans="1:17" ht="13.8" x14ac:dyDescent="0.25">
      <c r="A17" s="21" t="s">
        <v>146</v>
      </c>
      <c r="B17" s="7" t="s">
        <v>147</v>
      </c>
      <c r="C17" s="7" t="s">
        <v>15</v>
      </c>
      <c r="D17" s="7" t="s">
        <v>148</v>
      </c>
      <c r="E17" s="7" t="s">
        <v>144</v>
      </c>
      <c r="F17" s="9" t="s">
        <v>812</v>
      </c>
      <c r="G17" s="9" t="str">
        <f t="shared" si="0"/>
        <v>JME1E</v>
      </c>
      <c r="H17" s="9" t="str">
        <f t="shared" si="1"/>
        <v>22</v>
      </c>
      <c r="I17" s="9" t="str">
        <f t="shared" si="2"/>
        <v>05</v>
      </c>
      <c r="J17" s="9" t="str">
        <f t="shared" si="3"/>
        <v>2025</v>
      </c>
      <c r="K17" s="10" t="str">
        <f t="shared" si="4"/>
        <v>22/05/2025</v>
      </c>
      <c r="L17" s="9" t="str">
        <f t="shared" si="5"/>
        <v>12</v>
      </c>
      <c r="M17" s="9" t="str">
        <f t="shared" si="6"/>
        <v>07</v>
      </c>
      <c r="N17" s="9" t="str">
        <f t="shared" si="7"/>
        <v>2025</v>
      </c>
      <c r="O17" s="10" t="str">
        <f t="shared" si="8"/>
        <v>12/07/2025</v>
      </c>
      <c r="P17" s="9">
        <f t="shared" si="9"/>
        <v>51</v>
      </c>
      <c r="Q17" t="str">
        <f>VLOOKUP(A17,[1]Sheet2!$I$2:$O$496,7,FALSE())</f>
        <v>https://fruitbasket.blob.core.windows.net/gk2o5k/avatar/21322163220250712134127V7AQ7U.jpg</v>
      </c>
    </row>
    <row r="18" spans="1:17" ht="13.8" hidden="1" x14ac:dyDescent="0.25">
      <c r="A18" s="11" t="s">
        <v>564</v>
      </c>
      <c r="B18" s="7" t="s">
        <v>139</v>
      </c>
      <c r="C18" s="7" t="s">
        <v>15</v>
      </c>
      <c r="D18" s="7" t="s">
        <v>565</v>
      </c>
      <c r="E18" s="7" t="s">
        <v>175</v>
      </c>
      <c r="F18" s="8"/>
      <c r="G18" s="9" t="str">
        <f t="shared" si="0"/>
        <v>JMH1E</v>
      </c>
      <c r="H18" s="9" t="str">
        <f t="shared" si="1"/>
        <v>11</v>
      </c>
      <c r="I18" s="9" t="str">
        <f t="shared" si="2"/>
        <v>06</v>
      </c>
      <c r="J18" s="9" t="str">
        <f t="shared" si="3"/>
        <v>2025</v>
      </c>
      <c r="K18" s="10" t="str">
        <f t="shared" si="4"/>
        <v>11/06/2025</v>
      </c>
      <c r="L18" s="9" t="str">
        <f t="shared" si="5"/>
        <v>21</v>
      </c>
      <c r="M18" s="9" t="str">
        <f t="shared" si="6"/>
        <v>07</v>
      </c>
      <c r="N18" s="9" t="str">
        <f t="shared" si="7"/>
        <v>2025</v>
      </c>
      <c r="O18" s="10" t="str">
        <f t="shared" si="8"/>
        <v>21/07/2025</v>
      </c>
      <c r="P18" s="9">
        <f t="shared" si="9"/>
        <v>40</v>
      </c>
      <c r="Q18" t="str">
        <f>VLOOKUP(A18,[1]Sheet2!$I$2:$O$496,7,FALSE())</f>
        <v>https://fruitbasket.blob.core.windows.net/gk2o5k/avatar/21279713620250721113744WDWWSE.jpg</v>
      </c>
    </row>
    <row r="19" spans="1:17" ht="13.8" hidden="1" x14ac:dyDescent="0.25">
      <c r="A19" s="11" t="s">
        <v>750</v>
      </c>
      <c r="B19" s="7" t="s">
        <v>663</v>
      </c>
      <c r="C19" s="7" t="s">
        <v>15</v>
      </c>
      <c r="D19" s="7" t="s">
        <v>751</v>
      </c>
      <c r="E19" s="7" t="s">
        <v>352</v>
      </c>
      <c r="F19" s="8"/>
      <c r="G19" s="9" t="str">
        <f t="shared" si="0"/>
        <v>KC04E</v>
      </c>
      <c r="H19" s="9" t="str">
        <f t="shared" si="1"/>
        <v>26</v>
      </c>
      <c r="I19" s="9" t="str">
        <f t="shared" si="2"/>
        <v>05</v>
      </c>
      <c r="J19" s="9" t="str">
        <f t="shared" si="3"/>
        <v>2025</v>
      </c>
      <c r="K19" s="10" t="str">
        <f t="shared" si="4"/>
        <v>26/05/2025</v>
      </c>
      <c r="L19" s="9" t="str">
        <f t="shared" si="5"/>
        <v>13</v>
      </c>
      <c r="M19" s="9" t="str">
        <f t="shared" si="6"/>
        <v>07</v>
      </c>
      <c r="N19" s="9" t="str">
        <f t="shared" si="7"/>
        <v>2025</v>
      </c>
      <c r="O19" s="10" t="str">
        <f t="shared" si="8"/>
        <v>13/07/2025</v>
      </c>
      <c r="P19" s="9">
        <f t="shared" si="9"/>
        <v>48</v>
      </c>
      <c r="Q19" t="str">
        <f>VLOOKUP(A19,[1]Sheet2!$I$2:$O$496,7,FALSE())</f>
        <v>https://fruitbasket.blob.core.windows.net/gk2o5k/avatar/2120174512025071311511130O6QT.jpg</v>
      </c>
    </row>
    <row r="20" spans="1:17" ht="13.8" hidden="1" x14ac:dyDescent="0.25">
      <c r="A20" s="11" t="s">
        <v>159</v>
      </c>
      <c r="B20" s="7" t="s">
        <v>143</v>
      </c>
      <c r="C20" s="7" t="s">
        <v>21</v>
      </c>
      <c r="D20" s="7" t="s">
        <v>160</v>
      </c>
      <c r="E20" s="7" t="s">
        <v>121</v>
      </c>
      <c r="F20" s="8"/>
      <c r="G20" s="9" t="str">
        <f t="shared" si="0"/>
        <v>JME1E</v>
      </c>
      <c r="H20" s="9" t="str">
        <f t="shared" si="1"/>
        <v>09</v>
      </c>
      <c r="I20" s="9" t="str">
        <f t="shared" si="2"/>
        <v>05</v>
      </c>
      <c r="J20" s="9" t="str">
        <f t="shared" si="3"/>
        <v>2025</v>
      </c>
      <c r="K20" s="10" t="str">
        <f t="shared" si="4"/>
        <v>09/05/2025</v>
      </c>
      <c r="L20" s="9" t="str">
        <f t="shared" si="5"/>
        <v>20</v>
      </c>
      <c r="M20" s="9" t="str">
        <f t="shared" si="6"/>
        <v>06</v>
      </c>
      <c r="N20" s="9" t="str">
        <f t="shared" si="7"/>
        <v>2025</v>
      </c>
      <c r="O20" s="10" t="str">
        <f t="shared" si="8"/>
        <v>20/06/2025</v>
      </c>
      <c r="P20" s="9">
        <f t="shared" si="9"/>
        <v>42</v>
      </c>
      <c r="Q20" s="9" t="s">
        <v>824</v>
      </c>
    </row>
    <row r="21" spans="1:17" ht="13.8" hidden="1" x14ac:dyDescent="0.25">
      <c r="A21" s="11" t="s">
        <v>730</v>
      </c>
      <c r="B21" s="7" t="s">
        <v>606</v>
      </c>
      <c r="C21" s="7" t="s">
        <v>21</v>
      </c>
      <c r="D21" s="7" t="s">
        <v>731</v>
      </c>
      <c r="E21" s="7" t="s">
        <v>144</v>
      </c>
      <c r="F21" s="8"/>
      <c r="G21" s="9" t="str">
        <f t="shared" si="0"/>
        <v>KF01E</v>
      </c>
      <c r="H21" s="9" t="str">
        <f t="shared" si="1"/>
        <v>03</v>
      </c>
      <c r="I21" s="9" t="str">
        <f t="shared" si="2"/>
        <v>06</v>
      </c>
      <c r="J21" s="9" t="str">
        <f t="shared" si="3"/>
        <v>2025</v>
      </c>
      <c r="K21" s="10" t="str">
        <f t="shared" si="4"/>
        <v>03/06/2025</v>
      </c>
      <c r="L21" s="9" t="str">
        <f t="shared" si="5"/>
        <v>12</v>
      </c>
      <c r="M21" s="9" t="str">
        <f t="shared" si="6"/>
        <v>07</v>
      </c>
      <c r="N21" s="9" t="str">
        <f t="shared" si="7"/>
        <v>2025</v>
      </c>
      <c r="O21" s="10" t="str">
        <f t="shared" si="8"/>
        <v>12/07/2025</v>
      </c>
      <c r="P21" s="9">
        <f t="shared" si="9"/>
        <v>39</v>
      </c>
      <c r="Q21" t="str">
        <f>VLOOKUP(A21,[1]Sheet2!$I$2:$O$496,7,FALSE())</f>
        <v>https://fruitbasket.blob.core.windows.net/gk2o5k/avatar/21204493620250712151022RFJBPT.jpg</v>
      </c>
    </row>
    <row r="22" spans="1:17" ht="13.8" hidden="1" x14ac:dyDescent="0.25">
      <c r="A22" s="11" t="s">
        <v>430</v>
      </c>
      <c r="B22" s="7" t="s">
        <v>431</v>
      </c>
      <c r="C22" s="7" t="s">
        <v>21</v>
      </c>
      <c r="D22" s="7" t="s">
        <v>432</v>
      </c>
      <c r="E22" s="7" t="s">
        <v>104</v>
      </c>
      <c r="F22" s="8"/>
      <c r="G22" s="9" t="str">
        <f t="shared" si="0"/>
        <v>JBK1E</v>
      </c>
      <c r="H22" s="9" t="str">
        <f t="shared" si="1"/>
        <v>07</v>
      </c>
      <c r="I22" s="9" t="str">
        <f t="shared" si="2"/>
        <v>03</v>
      </c>
      <c r="J22" s="9" t="str">
        <f t="shared" si="3"/>
        <v>2025</v>
      </c>
      <c r="K22" s="10" t="str">
        <f t="shared" si="4"/>
        <v>07/03/2025</v>
      </c>
      <c r="L22" s="9" t="str">
        <f t="shared" si="5"/>
        <v>02</v>
      </c>
      <c r="M22" s="9" t="str">
        <f t="shared" si="6"/>
        <v>07</v>
      </c>
      <c r="N22" s="9" t="str">
        <f t="shared" si="7"/>
        <v>2025</v>
      </c>
      <c r="O22" s="10" t="str">
        <f t="shared" si="8"/>
        <v>02/07/2025</v>
      </c>
      <c r="P22" s="9">
        <f t="shared" si="9"/>
        <v>117</v>
      </c>
      <c r="Q22" t="str">
        <f>VLOOKUP(A22,[1]Sheet2!$I$2:$O$496,7,FALSE())</f>
        <v>https://fruitbasket.blob.core.windows.net/gk2o5k/avatar/21184741720250702124658RD3NLT.jpg</v>
      </c>
    </row>
    <row r="23" spans="1:17" ht="13.8" hidden="1" x14ac:dyDescent="0.25">
      <c r="A23" s="11" t="s">
        <v>466</v>
      </c>
      <c r="B23" s="7" t="s">
        <v>107</v>
      </c>
      <c r="C23" s="7" t="s">
        <v>21</v>
      </c>
      <c r="D23" s="7" t="s">
        <v>467</v>
      </c>
      <c r="E23" s="7" t="s">
        <v>183</v>
      </c>
      <c r="F23" s="8"/>
      <c r="G23" s="9" t="str">
        <f t="shared" si="0"/>
        <v>JBK1E</v>
      </c>
      <c r="H23" s="9" t="str">
        <f t="shared" si="1"/>
        <v>03</v>
      </c>
      <c r="I23" s="9" t="str">
        <f t="shared" si="2"/>
        <v>05</v>
      </c>
      <c r="J23" s="9" t="str">
        <f t="shared" si="3"/>
        <v>2025</v>
      </c>
      <c r="K23" s="10" t="str">
        <f t="shared" si="4"/>
        <v>03/05/2025</v>
      </c>
      <c r="L23" s="9" t="str">
        <f t="shared" si="5"/>
        <v>23</v>
      </c>
      <c r="M23" s="9" t="str">
        <f t="shared" si="6"/>
        <v>07</v>
      </c>
      <c r="N23" s="9" t="str">
        <f t="shared" si="7"/>
        <v>2025</v>
      </c>
      <c r="O23" s="10" t="str">
        <f t="shared" si="8"/>
        <v>23/07/2025</v>
      </c>
      <c r="P23" s="9">
        <f t="shared" si="9"/>
        <v>81</v>
      </c>
      <c r="Q23" t="str">
        <f>VLOOKUP(A23,[1]Sheet2!$I$2:$O$496,7,FALSE())</f>
        <v>https://fruitbasket.blob.core.windows.net/gk2o5k/avatar/21287410220250723152613WM5ASR.jpg</v>
      </c>
    </row>
    <row r="24" spans="1:17" ht="13.8" hidden="1" x14ac:dyDescent="0.25">
      <c r="A24" s="11" t="s">
        <v>442</v>
      </c>
      <c r="B24" s="7" t="s">
        <v>443</v>
      </c>
      <c r="C24" s="7" t="s">
        <v>21</v>
      </c>
      <c r="D24" s="7" t="s">
        <v>444</v>
      </c>
      <c r="E24" s="7" t="s">
        <v>112</v>
      </c>
      <c r="F24" s="8"/>
      <c r="G24" s="9" t="str">
        <f t="shared" si="0"/>
        <v>JBK1E</v>
      </c>
      <c r="H24" s="9" t="str">
        <f t="shared" si="1"/>
        <v>12</v>
      </c>
      <c r="I24" s="9" t="str">
        <f t="shared" si="2"/>
        <v>03</v>
      </c>
      <c r="J24" s="9" t="str">
        <f t="shared" si="3"/>
        <v>2025</v>
      </c>
      <c r="K24" s="10" t="str">
        <f t="shared" si="4"/>
        <v>12/03/2025</v>
      </c>
      <c r="L24" s="9" t="str">
        <f t="shared" si="5"/>
        <v>05</v>
      </c>
      <c r="M24" s="9" t="str">
        <f t="shared" si="6"/>
        <v>07</v>
      </c>
      <c r="N24" s="9" t="str">
        <f t="shared" si="7"/>
        <v>2025</v>
      </c>
      <c r="O24" s="10" t="str">
        <f t="shared" si="8"/>
        <v>05/07/2025</v>
      </c>
      <c r="P24" s="9">
        <f t="shared" si="9"/>
        <v>115</v>
      </c>
      <c r="Q24" t="str">
        <f>VLOOKUP(A24,[1]Sheet2!$I$2:$O$496,7,FALSE())</f>
        <v>https://fruitbasket.blob.core.windows.net/gk2o5k/avatar/21282208120250705150712XGR75X.jpg</v>
      </c>
    </row>
    <row r="25" spans="1:17" ht="13.8" hidden="1" x14ac:dyDescent="0.25">
      <c r="A25" s="11" t="s">
        <v>772</v>
      </c>
      <c r="B25" s="7" t="s">
        <v>685</v>
      </c>
      <c r="C25" s="7" t="s">
        <v>28</v>
      </c>
      <c r="D25" s="7" t="s">
        <v>773</v>
      </c>
      <c r="E25" s="7" t="s">
        <v>588</v>
      </c>
      <c r="F25" s="8"/>
      <c r="G25" s="9" t="str">
        <f t="shared" si="0"/>
        <v>KC02E</v>
      </c>
      <c r="H25" s="9" t="str">
        <f t="shared" si="1"/>
        <v>05</v>
      </c>
      <c r="I25" s="9" t="str">
        <f t="shared" si="2"/>
        <v>03</v>
      </c>
      <c r="J25" s="9" t="str">
        <f t="shared" si="3"/>
        <v>2025</v>
      </c>
      <c r="K25" s="10" t="str">
        <f t="shared" si="4"/>
        <v>05/03/2025</v>
      </c>
      <c r="L25" s="9" t="str">
        <f t="shared" si="5"/>
        <v>27</v>
      </c>
      <c r="M25" s="9" t="str">
        <f t="shared" si="6"/>
        <v>07</v>
      </c>
      <c r="N25" s="9" t="str">
        <f t="shared" si="7"/>
        <v>2025</v>
      </c>
      <c r="O25" s="10" t="str">
        <f t="shared" si="8"/>
        <v>27/07/2025</v>
      </c>
      <c r="P25" s="9">
        <f t="shared" si="9"/>
        <v>144</v>
      </c>
      <c r="Q25" t="str">
        <f>VLOOKUP(A25,[1]Sheet2!$I$2:$O$496,7,FALSE())</f>
        <v>https://fruitbasket.blob.core.windows.net/gk2o5k/avatar/21261892820250727132543MMCGE3.jpg</v>
      </c>
    </row>
    <row r="26" spans="1:17" ht="13.8" hidden="1" x14ac:dyDescent="0.25">
      <c r="A26" s="11" t="s">
        <v>401</v>
      </c>
      <c r="B26" s="7" t="s">
        <v>140</v>
      </c>
      <c r="C26" s="7" t="s">
        <v>15</v>
      </c>
      <c r="D26" s="7" t="s">
        <v>402</v>
      </c>
      <c r="E26" s="7" t="s">
        <v>393</v>
      </c>
      <c r="F26" s="8"/>
      <c r="G26" s="9" t="str">
        <f t="shared" si="0"/>
        <v>JBK1E</v>
      </c>
      <c r="H26" s="9" t="str">
        <f t="shared" si="1"/>
        <v>11</v>
      </c>
      <c r="I26" s="9" t="str">
        <f t="shared" si="2"/>
        <v>07</v>
      </c>
      <c r="J26" s="9" t="str">
        <f t="shared" si="3"/>
        <v>2025</v>
      </c>
      <c r="K26" s="10" t="str">
        <f t="shared" si="4"/>
        <v>11/07/2025</v>
      </c>
      <c r="L26" s="9" t="str">
        <f t="shared" si="5"/>
        <v>22</v>
      </c>
      <c r="M26" s="9" t="str">
        <f t="shared" si="6"/>
        <v>07</v>
      </c>
      <c r="N26" s="9" t="str">
        <f t="shared" si="7"/>
        <v>2025</v>
      </c>
      <c r="O26" s="10" t="str">
        <f t="shared" si="8"/>
        <v>22/07/2025</v>
      </c>
      <c r="P26" s="9">
        <f t="shared" si="9"/>
        <v>11</v>
      </c>
      <c r="Q26" t="str">
        <f>VLOOKUP(A26,[1]Sheet2!$I$2:$O$496,7,FALSE())</f>
        <v>https://fruitbasket.blob.core.windows.net/gk2o5k/avatar/212898203202507221705252ZRB9U.jpg</v>
      </c>
    </row>
    <row r="27" spans="1:17" ht="13.8" x14ac:dyDescent="0.25">
      <c r="A27" s="21" t="s">
        <v>231</v>
      </c>
      <c r="B27" s="7" t="s">
        <v>232</v>
      </c>
      <c r="C27" s="7" t="s">
        <v>21</v>
      </c>
      <c r="D27" s="20" t="s">
        <v>233</v>
      </c>
      <c r="E27" s="7" t="s">
        <v>175</v>
      </c>
      <c r="F27" s="12" t="s">
        <v>829</v>
      </c>
      <c r="G27" s="9" t="str">
        <f t="shared" si="0"/>
        <v>JMA1E</v>
      </c>
      <c r="H27" s="9" t="str">
        <f t="shared" si="1"/>
        <v>19</v>
      </c>
      <c r="I27" s="9" t="str">
        <f t="shared" si="2"/>
        <v>05</v>
      </c>
      <c r="J27" s="9" t="str">
        <f t="shared" si="3"/>
        <v>2025</v>
      </c>
      <c r="K27" s="10" t="str">
        <f t="shared" si="4"/>
        <v>19/05/2025</v>
      </c>
      <c r="L27" s="9" t="str">
        <f t="shared" si="5"/>
        <v>21</v>
      </c>
      <c r="M27" s="9" t="str">
        <f t="shared" si="6"/>
        <v>07</v>
      </c>
      <c r="N27" s="9" t="str">
        <f t="shared" si="7"/>
        <v>2025</v>
      </c>
      <c r="O27" s="10" t="str">
        <f t="shared" si="8"/>
        <v>21/07/2025</v>
      </c>
      <c r="P27" s="9">
        <f t="shared" si="9"/>
        <v>63</v>
      </c>
      <c r="Q27" t="str">
        <f>VLOOKUP(A27,[1]Sheet2!$I$2:$O$496,7,FALSE())</f>
        <v>https://fruitbasket.blob.core.windows.net/gk2o5k/avatar/21279898220250721131304LCIM8L.jpg</v>
      </c>
    </row>
    <row r="28" spans="1:17" ht="13.8" hidden="1" x14ac:dyDescent="0.25">
      <c r="A28" s="11" t="s">
        <v>726</v>
      </c>
      <c r="B28" s="7" t="s">
        <v>147</v>
      </c>
      <c r="C28" s="7" t="s">
        <v>15</v>
      </c>
      <c r="D28" s="7" t="s">
        <v>471</v>
      </c>
      <c r="E28" s="7" t="s">
        <v>125</v>
      </c>
      <c r="F28" s="8"/>
      <c r="G28" s="9" t="str">
        <f t="shared" si="0"/>
        <v>KFA1E</v>
      </c>
      <c r="H28" s="9" t="str">
        <f t="shared" si="1"/>
        <v>22</v>
      </c>
      <c r="I28" s="9" t="str">
        <f t="shared" si="2"/>
        <v>05</v>
      </c>
      <c r="J28" s="9" t="str">
        <f t="shared" si="3"/>
        <v>2025</v>
      </c>
      <c r="K28" s="10" t="str">
        <f t="shared" si="4"/>
        <v>22/05/2025</v>
      </c>
      <c r="L28" s="9" t="str">
        <f t="shared" si="5"/>
        <v>08</v>
      </c>
      <c r="M28" s="9" t="str">
        <f t="shared" si="6"/>
        <v>07</v>
      </c>
      <c r="N28" s="9" t="str">
        <f t="shared" si="7"/>
        <v>2025</v>
      </c>
      <c r="O28" s="10" t="str">
        <f t="shared" si="8"/>
        <v>08/07/2025</v>
      </c>
      <c r="P28" s="9">
        <f t="shared" si="9"/>
        <v>47</v>
      </c>
      <c r="Q28" t="str">
        <f>VLOOKUP(A28,[1]Sheet2!$I$2:$O$496,7,FALSE())</f>
        <v>https://fruitbasket.blob.core.windows.net/gk2o5k/avatar/21330228720250708150741ULSZ45.jpg</v>
      </c>
    </row>
    <row r="29" spans="1:17" ht="13.8" x14ac:dyDescent="0.25">
      <c r="A29" s="21" t="s">
        <v>450</v>
      </c>
      <c r="B29" s="7" t="s">
        <v>451</v>
      </c>
      <c r="C29" s="7" t="s">
        <v>21</v>
      </c>
      <c r="D29" s="7" t="s">
        <v>452</v>
      </c>
      <c r="E29" s="7" t="s">
        <v>131</v>
      </c>
      <c r="F29" s="9" t="s">
        <v>782</v>
      </c>
      <c r="G29" s="9" t="str">
        <f t="shared" si="0"/>
        <v>JBK1E</v>
      </c>
      <c r="H29" s="9" t="str">
        <f t="shared" si="1"/>
        <v>23</v>
      </c>
      <c r="I29" s="9" t="str">
        <f t="shared" si="2"/>
        <v>04</v>
      </c>
      <c r="J29" s="9" t="str">
        <f t="shared" si="3"/>
        <v>2025</v>
      </c>
      <c r="K29" s="10" t="str">
        <f t="shared" si="4"/>
        <v>23/04/2025</v>
      </c>
      <c r="L29" s="9" t="str">
        <f t="shared" si="5"/>
        <v>09</v>
      </c>
      <c r="M29" s="9" t="str">
        <f t="shared" si="6"/>
        <v>07</v>
      </c>
      <c r="N29" s="9" t="str">
        <f t="shared" si="7"/>
        <v>2025</v>
      </c>
      <c r="O29" s="10" t="str">
        <f t="shared" si="8"/>
        <v>09/07/2025</v>
      </c>
      <c r="P29" s="9">
        <f t="shared" si="9"/>
        <v>77</v>
      </c>
      <c r="Q29" t="str">
        <f>VLOOKUP(A29,[1]Sheet2!$I$2:$O$496,7,FALSE())</f>
        <v>https://fruitbasket.blob.core.windows.net/gk2o5k/avatar/21193937020250709134252DO9NTU.jpg</v>
      </c>
    </row>
    <row r="30" spans="1:17" ht="13.8" hidden="1" x14ac:dyDescent="0.25">
      <c r="A30" s="11" t="s">
        <v>436</v>
      </c>
      <c r="B30" s="7" t="s">
        <v>437</v>
      </c>
      <c r="C30" s="7" t="s">
        <v>21</v>
      </c>
      <c r="D30" s="7" t="s">
        <v>438</v>
      </c>
      <c r="E30" s="7" t="s">
        <v>195</v>
      </c>
      <c r="F30" s="8"/>
      <c r="G30" s="9" t="str">
        <f t="shared" si="0"/>
        <v>JBK3E</v>
      </c>
      <c r="H30" s="9" t="str">
        <f t="shared" si="1"/>
        <v>25</v>
      </c>
      <c r="I30" s="9" t="str">
        <f t="shared" si="2"/>
        <v>04</v>
      </c>
      <c r="J30" s="9" t="str">
        <f t="shared" si="3"/>
        <v>2025</v>
      </c>
      <c r="K30" s="10" t="str">
        <f t="shared" si="4"/>
        <v>25/04/2025</v>
      </c>
      <c r="L30" s="9" t="str">
        <f t="shared" si="5"/>
        <v>03</v>
      </c>
      <c r="M30" s="9" t="str">
        <f t="shared" si="6"/>
        <v>07</v>
      </c>
      <c r="N30" s="9" t="str">
        <f t="shared" si="7"/>
        <v>2025</v>
      </c>
      <c r="O30" s="10" t="str">
        <f t="shared" si="8"/>
        <v>03/07/2025</v>
      </c>
      <c r="P30" s="9">
        <f t="shared" si="9"/>
        <v>69</v>
      </c>
      <c r="Q30" t="str">
        <f>VLOOKUP(A30,[1]Sheet2!$I$2:$O$496,7,FALSE())</f>
        <v>https://fruitbasket.blob.core.windows.net/gk2o5k/avatar/21308243020250703163457MHXYYF.jpg</v>
      </c>
    </row>
    <row r="31" spans="1:17" ht="13.8" x14ac:dyDescent="0.25">
      <c r="A31" s="21" t="s">
        <v>338</v>
      </c>
      <c r="B31" s="7" t="s">
        <v>308</v>
      </c>
      <c r="C31" s="7" t="s">
        <v>15</v>
      </c>
      <c r="D31" s="7" t="s">
        <v>339</v>
      </c>
      <c r="E31" s="7" t="s">
        <v>144</v>
      </c>
      <c r="F31" s="9" t="s">
        <v>795</v>
      </c>
      <c r="G31" s="9" t="str">
        <f t="shared" si="0"/>
        <v>JBK3E</v>
      </c>
      <c r="H31" s="9" t="str">
        <f t="shared" si="1"/>
        <v>14</v>
      </c>
      <c r="I31" s="9" t="str">
        <f t="shared" si="2"/>
        <v>06</v>
      </c>
      <c r="J31" s="9" t="str">
        <f t="shared" si="3"/>
        <v>2025</v>
      </c>
      <c r="K31" s="10" t="str">
        <f t="shared" si="4"/>
        <v>14/06/2025</v>
      </c>
      <c r="L31" s="9" t="str">
        <f t="shared" si="5"/>
        <v>12</v>
      </c>
      <c r="M31" s="9" t="str">
        <f t="shared" si="6"/>
        <v>07</v>
      </c>
      <c r="N31" s="9" t="str">
        <f t="shared" si="7"/>
        <v>2025</v>
      </c>
      <c r="O31" s="10" t="str">
        <f t="shared" si="8"/>
        <v>12/07/2025</v>
      </c>
      <c r="P31" s="9">
        <f t="shared" si="9"/>
        <v>28</v>
      </c>
      <c r="Q31" t="str">
        <f>VLOOKUP(A31,[1]Sheet2!$I$2:$O$496,7,FALSE())</f>
        <v>https://fruitbasket.blob.core.windows.net/gk2o5k/avatar/212045202202507121450548KZRDO.jpg</v>
      </c>
    </row>
    <row r="32" spans="1:17" ht="13.8" hidden="1" x14ac:dyDescent="0.25">
      <c r="A32" s="11" t="s">
        <v>161</v>
      </c>
      <c r="B32" s="7" t="s">
        <v>162</v>
      </c>
      <c r="C32" s="7" t="s">
        <v>21</v>
      </c>
      <c r="D32" s="7" t="s">
        <v>163</v>
      </c>
      <c r="E32" s="7" t="s">
        <v>104</v>
      </c>
      <c r="F32" s="8"/>
      <c r="G32" s="9" t="str">
        <f t="shared" si="0"/>
        <v>JMF2E</v>
      </c>
      <c r="H32" s="9" t="str">
        <f t="shared" si="1"/>
        <v>19</v>
      </c>
      <c r="I32" s="9" t="str">
        <f t="shared" si="2"/>
        <v>03</v>
      </c>
      <c r="J32" s="9" t="str">
        <f t="shared" si="3"/>
        <v>2025</v>
      </c>
      <c r="K32" s="10" t="str">
        <f t="shared" si="4"/>
        <v>19/03/2025</v>
      </c>
      <c r="L32" s="9" t="str">
        <f t="shared" si="5"/>
        <v>02</v>
      </c>
      <c r="M32" s="9" t="str">
        <f t="shared" si="6"/>
        <v>07</v>
      </c>
      <c r="N32" s="9" t="str">
        <f t="shared" si="7"/>
        <v>2025</v>
      </c>
      <c r="O32" s="10" t="str">
        <f t="shared" si="8"/>
        <v>02/07/2025</v>
      </c>
      <c r="P32" s="9">
        <f t="shared" si="9"/>
        <v>105</v>
      </c>
      <c r="Q32" t="str">
        <f>VLOOKUP(A32,[1]Sheet2!$I$2:$O$496,7,FALSE())</f>
        <v>https://fruitbasket.blob.core.windows.net/gk2o5k/avatar/21286275220250702124112TEPFSU.jpg</v>
      </c>
    </row>
    <row r="33" spans="1:17" ht="13.8" x14ac:dyDescent="0.25">
      <c r="A33" s="21" t="s">
        <v>727</v>
      </c>
      <c r="B33" s="7" t="s">
        <v>197</v>
      </c>
      <c r="C33" s="7" t="s">
        <v>15</v>
      </c>
      <c r="D33" s="20" t="s">
        <v>518</v>
      </c>
      <c r="E33" s="7" t="s">
        <v>125</v>
      </c>
      <c r="F33" s="12" t="s">
        <v>829</v>
      </c>
      <c r="G33" s="9" t="str">
        <f t="shared" si="0"/>
        <v>KF01E</v>
      </c>
      <c r="H33" s="9" t="str">
        <f t="shared" si="1"/>
        <v>04</v>
      </c>
      <c r="I33" s="9" t="str">
        <f t="shared" si="2"/>
        <v>06</v>
      </c>
      <c r="J33" s="9" t="str">
        <f t="shared" si="3"/>
        <v>2025</v>
      </c>
      <c r="K33" s="10" t="str">
        <f t="shared" si="4"/>
        <v>04/06/2025</v>
      </c>
      <c r="L33" s="9" t="str">
        <f t="shared" si="5"/>
        <v>08</v>
      </c>
      <c r="M33" s="9" t="str">
        <f t="shared" si="6"/>
        <v>07</v>
      </c>
      <c r="N33" s="9" t="str">
        <f t="shared" si="7"/>
        <v>2025</v>
      </c>
      <c r="O33" s="10" t="str">
        <f t="shared" si="8"/>
        <v>08/07/2025</v>
      </c>
      <c r="P33" s="9">
        <f t="shared" si="9"/>
        <v>34</v>
      </c>
      <c r="Q33" t="str">
        <f>VLOOKUP(A33,[1]Sheet2!$I$2:$O$496,7,FALSE())</f>
        <v>https://fruitbasket.blob.core.windows.net/gk2o5k/avatar/21330228720250708150101XSIWRC.jpg</v>
      </c>
    </row>
    <row r="34" spans="1:17" ht="13.8" x14ac:dyDescent="0.25">
      <c r="A34" s="21" t="s">
        <v>345</v>
      </c>
      <c r="B34" s="7" t="s">
        <v>108</v>
      </c>
      <c r="C34" s="7" t="s">
        <v>15</v>
      </c>
      <c r="D34" s="7" t="s">
        <v>346</v>
      </c>
      <c r="E34" s="7" t="s">
        <v>144</v>
      </c>
      <c r="F34" s="9" t="s">
        <v>796</v>
      </c>
      <c r="G34" s="9" t="str">
        <f t="shared" si="0"/>
        <v>JBK3E</v>
      </c>
      <c r="H34" s="9" t="str">
        <f t="shared" si="1"/>
        <v>04</v>
      </c>
      <c r="I34" s="9" t="str">
        <f t="shared" si="2"/>
        <v>07</v>
      </c>
      <c r="J34" s="9" t="str">
        <f t="shared" si="3"/>
        <v>2025</v>
      </c>
      <c r="K34" s="10" t="str">
        <f t="shared" si="4"/>
        <v>04/07/2025</v>
      </c>
      <c r="L34" s="9" t="str">
        <f t="shared" si="5"/>
        <v>12</v>
      </c>
      <c r="M34" s="9" t="str">
        <f t="shared" si="6"/>
        <v>07</v>
      </c>
      <c r="N34" s="9" t="str">
        <f t="shared" si="7"/>
        <v>2025</v>
      </c>
      <c r="O34" s="10" t="str">
        <f t="shared" si="8"/>
        <v>12/07/2025</v>
      </c>
      <c r="P34" s="9">
        <f t="shared" si="9"/>
        <v>8</v>
      </c>
      <c r="Q34" t="str">
        <f>VLOOKUP(A34,[1]Sheet2!$I$2:$O$496,7,FALSE())</f>
        <v>https://fruitbasket.blob.core.windows.net/gk2o5k/avatar/211990567202507121557463H7PRC.jpg</v>
      </c>
    </row>
    <row r="35" spans="1:17" ht="13.8" x14ac:dyDescent="0.25">
      <c r="A35" s="21" t="s">
        <v>559</v>
      </c>
      <c r="B35" s="7" t="s">
        <v>195</v>
      </c>
      <c r="C35" s="7" t="s">
        <v>15</v>
      </c>
      <c r="D35" s="7" t="s">
        <v>528</v>
      </c>
      <c r="E35" s="7" t="s">
        <v>144</v>
      </c>
      <c r="F35" s="9" t="s">
        <v>818</v>
      </c>
      <c r="G35" s="9" t="str">
        <f t="shared" si="0"/>
        <v>JMH2E</v>
      </c>
      <c r="H35" s="9" t="str">
        <f t="shared" si="1"/>
        <v>03</v>
      </c>
      <c r="I35" s="9" t="str">
        <f t="shared" si="2"/>
        <v>07</v>
      </c>
      <c r="J35" s="9" t="str">
        <f t="shared" si="3"/>
        <v>2025</v>
      </c>
      <c r="K35" s="10" t="str">
        <f t="shared" si="4"/>
        <v>03/07/2025</v>
      </c>
      <c r="L35" s="9" t="str">
        <f t="shared" si="5"/>
        <v>12</v>
      </c>
      <c r="M35" s="9" t="str">
        <f t="shared" si="6"/>
        <v>07</v>
      </c>
      <c r="N35" s="9" t="str">
        <f t="shared" si="7"/>
        <v>2025</v>
      </c>
      <c r="O35" s="10" t="str">
        <f t="shared" si="8"/>
        <v>12/07/2025</v>
      </c>
      <c r="P35" s="9">
        <f t="shared" si="9"/>
        <v>9</v>
      </c>
      <c r="Q35" t="str">
        <f>VLOOKUP(A35,[1]Sheet2!$I$2:$O$496,7,FALSE())</f>
        <v>https://fruitbasket.blob.core.windows.net/gk2o5k/avatar/2670108120250712140008WFU43H.jpg</v>
      </c>
    </row>
    <row r="36" spans="1:17" ht="13.8" hidden="1" x14ac:dyDescent="0.25">
      <c r="A36" s="11" t="s">
        <v>460</v>
      </c>
      <c r="B36" s="7" t="s">
        <v>461</v>
      </c>
      <c r="C36" s="7" t="s">
        <v>21</v>
      </c>
      <c r="D36" s="7" t="s">
        <v>462</v>
      </c>
      <c r="E36" s="7" t="s">
        <v>183</v>
      </c>
      <c r="F36" s="8"/>
      <c r="G36" s="9" t="str">
        <f t="shared" si="0"/>
        <v>JBK3E</v>
      </c>
      <c r="H36" s="9" t="str">
        <f t="shared" si="1"/>
        <v>16</v>
      </c>
      <c r="I36" s="9" t="str">
        <f t="shared" si="2"/>
        <v>05</v>
      </c>
      <c r="J36" s="9" t="str">
        <f t="shared" si="3"/>
        <v>2025</v>
      </c>
      <c r="K36" s="10" t="str">
        <f t="shared" si="4"/>
        <v>16/05/2025</v>
      </c>
      <c r="L36" s="9" t="str">
        <f t="shared" si="5"/>
        <v>23</v>
      </c>
      <c r="M36" s="9" t="str">
        <f t="shared" si="6"/>
        <v>07</v>
      </c>
      <c r="N36" s="9" t="str">
        <f t="shared" si="7"/>
        <v>2025</v>
      </c>
      <c r="O36" s="10" t="str">
        <f t="shared" si="8"/>
        <v>23/07/2025</v>
      </c>
      <c r="P36" s="9">
        <f t="shared" si="9"/>
        <v>68</v>
      </c>
      <c r="Q36" t="str">
        <f>VLOOKUP(A36,[1]Sheet2!$I$2:$O$496,7,FALSE())</f>
        <v>https://fruitbasket.blob.core.windows.net/gk2o5k/avatar/21287198020250723151201K5SL9R.jpg</v>
      </c>
    </row>
    <row r="37" spans="1:17" ht="13.8" hidden="1" x14ac:dyDescent="0.25">
      <c r="A37" s="11" t="s">
        <v>474</v>
      </c>
      <c r="B37" s="7" t="s">
        <v>475</v>
      </c>
      <c r="C37" s="7" t="s">
        <v>21</v>
      </c>
      <c r="D37" s="7" t="s">
        <v>476</v>
      </c>
      <c r="E37" s="7" t="s">
        <v>420</v>
      </c>
      <c r="F37" s="8"/>
      <c r="G37" s="9" t="str">
        <f t="shared" si="0"/>
        <v>JBK3E</v>
      </c>
      <c r="H37" s="9" t="str">
        <f t="shared" si="1"/>
        <v>29</v>
      </c>
      <c r="I37" s="9" t="str">
        <f t="shared" si="2"/>
        <v>03</v>
      </c>
      <c r="J37" s="9" t="str">
        <f t="shared" si="3"/>
        <v>2025</v>
      </c>
      <c r="K37" s="10" t="str">
        <f t="shared" si="4"/>
        <v>29/03/2025</v>
      </c>
      <c r="L37" s="9" t="str">
        <f t="shared" si="5"/>
        <v>29</v>
      </c>
      <c r="M37" s="9" t="str">
        <f t="shared" si="6"/>
        <v>07</v>
      </c>
      <c r="N37" s="9" t="str">
        <f t="shared" si="7"/>
        <v>2025</v>
      </c>
      <c r="O37" s="10" t="str">
        <f t="shared" si="8"/>
        <v>29/07/2025</v>
      </c>
      <c r="P37" s="9">
        <f t="shared" si="9"/>
        <v>122</v>
      </c>
      <c r="Q37" t="str">
        <f>VLOOKUP(A37,[1]Sheet2!$I$2:$O$496,7,FALSE())</f>
        <v>https://fruitbasket.blob.core.windows.net/gk2o5k/avatar/21328668120250729160038WOCVXT.jpg</v>
      </c>
    </row>
    <row r="38" spans="1:17" ht="13.8" hidden="1" x14ac:dyDescent="0.25">
      <c r="A38" s="11" t="s">
        <v>704</v>
      </c>
      <c r="B38" s="7" t="s">
        <v>705</v>
      </c>
      <c r="C38" s="7" t="s">
        <v>28</v>
      </c>
      <c r="D38" s="7" t="s">
        <v>706</v>
      </c>
      <c r="E38" s="7" t="s">
        <v>137</v>
      </c>
      <c r="F38" s="8"/>
      <c r="G38" s="9" t="str">
        <f t="shared" si="0"/>
        <v>JMC1E</v>
      </c>
      <c r="H38" s="9" t="str">
        <f t="shared" si="1"/>
        <v>08</v>
      </c>
      <c r="I38" s="9" t="str">
        <f t="shared" si="2"/>
        <v>02</v>
      </c>
      <c r="J38" s="9" t="str">
        <f t="shared" si="3"/>
        <v>2025</v>
      </c>
      <c r="K38" s="10" t="str">
        <f t="shared" si="4"/>
        <v>08/02/2025</v>
      </c>
      <c r="L38" s="9" t="str">
        <f t="shared" si="5"/>
        <v>10</v>
      </c>
      <c r="M38" s="9" t="str">
        <f t="shared" si="6"/>
        <v>07</v>
      </c>
      <c r="N38" s="9" t="str">
        <f t="shared" si="7"/>
        <v>2025</v>
      </c>
      <c r="O38" s="10" t="str">
        <f t="shared" si="8"/>
        <v>10/07/2025</v>
      </c>
      <c r="P38" s="9">
        <f t="shared" si="9"/>
        <v>152</v>
      </c>
      <c r="Q38" t="str">
        <f>VLOOKUP(A38,[1]Sheet2!$I$2:$O$496,7,FALSE())</f>
        <v>https://fruitbasket.blob.core.windows.net/gk2o5k/avatar/212632878202507101605455OPO8O.jpg</v>
      </c>
    </row>
    <row r="39" spans="1:17" ht="13.8" hidden="1" x14ac:dyDescent="0.25">
      <c r="A39" s="11" t="s">
        <v>545</v>
      </c>
      <c r="B39" s="7" t="s">
        <v>215</v>
      </c>
      <c r="C39" s="7" t="s">
        <v>15</v>
      </c>
      <c r="D39" s="7" t="s">
        <v>546</v>
      </c>
      <c r="E39" s="7" t="s">
        <v>125</v>
      </c>
      <c r="F39" s="8"/>
      <c r="G39" s="9" t="str">
        <f t="shared" si="0"/>
        <v>JMH1E</v>
      </c>
      <c r="H39" s="9" t="str">
        <f t="shared" si="1"/>
        <v>30</v>
      </c>
      <c r="I39" s="9" t="str">
        <f t="shared" si="2"/>
        <v>06</v>
      </c>
      <c r="J39" s="9" t="str">
        <f t="shared" si="3"/>
        <v>2025</v>
      </c>
      <c r="K39" s="10" t="str">
        <f t="shared" si="4"/>
        <v>30/06/2025</v>
      </c>
      <c r="L39" s="9" t="str">
        <f t="shared" si="5"/>
        <v>08</v>
      </c>
      <c r="M39" s="9" t="str">
        <f t="shared" si="6"/>
        <v>07</v>
      </c>
      <c r="N39" s="9" t="str">
        <f t="shared" si="7"/>
        <v>2025</v>
      </c>
      <c r="O39" s="10" t="str">
        <f t="shared" si="8"/>
        <v>08/07/2025</v>
      </c>
      <c r="P39" s="9">
        <f t="shared" si="9"/>
        <v>8</v>
      </c>
      <c r="Q39" t="str">
        <f>VLOOKUP(A39,[1]Sheet2!$I$2:$O$496,7,FALSE())</f>
        <v>https://fruitbasket.blob.core.windows.net/gk2o5k/avatar/21225401720250708140516UKLONJ.jpg</v>
      </c>
    </row>
    <row r="40" spans="1:17" ht="13.8" hidden="1" x14ac:dyDescent="0.25">
      <c r="A40" s="11" t="s">
        <v>692</v>
      </c>
      <c r="B40" s="7" t="s">
        <v>693</v>
      </c>
      <c r="C40" s="7" t="s">
        <v>21</v>
      </c>
      <c r="D40" s="7" t="s">
        <v>694</v>
      </c>
      <c r="E40" s="7" t="s">
        <v>157</v>
      </c>
      <c r="F40" s="8"/>
      <c r="G40" s="9" t="str">
        <f t="shared" si="0"/>
        <v>JMC1E</v>
      </c>
      <c r="H40" s="9" t="str">
        <f t="shared" si="1"/>
        <v>12</v>
      </c>
      <c r="I40" s="9" t="str">
        <f t="shared" si="2"/>
        <v>04</v>
      </c>
      <c r="J40" s="9" t="str">
        <f t="shared" si="3"/>
        <v>2025</v>
      </c>
      <c r="K40" s="10" t="str">
        <f t="shared" si="4"/>
        <v>12/04/2025</v>
      </c>
      <c r="L40" s="9" t="str">
        <f t="shared" si="5"/>
        <v>26</v>
      </c>
      <c r="M40" s="9" t="str">
        <f t="shared" si="6"/>
        <v>07</v>
      </c>
      <c r="N40" s="9" t="str">
        <f t="shared" si="7"/>
        <v>2025</v>
      </c>
      <c r="O40" s="10" t="str">
        <f t="shared" si="8"/>
        <v>26/07/2025</v>
      </c>
      <c r="P40" s="9">
        <f t="shared" si="9"/>
        <v>105</v>
      </c>
      <c r="Q40" t="str">
        <f>VLOOKUP(A40,[1]Sheet2!$I$2:$O$496,7,FALSE())</f>
        <v>https://fruitbasket.blob.core.windows.net/gk2o5k/avatar/21312832020250726170853M8QATY.jpg</v>
      </c>
    </row>
    <row r="41" spans="1:17" ht="13.8" hidden="1" x14ac:dyDescent="0.25">
      <c r="A41" s="11" t="s">
        <v>525</v>
      </c>
      <c r="B41" s="7" t="s">
        <v>526</v>
      </c>
      <c r="C41" s="7" t="s">
        <v>23</v>
      </c>
      <c r="D41" s="7" t="s">
        <v>527</v>
      </c>
      <c r="E41" s="7" t="s">
        <v>140</v>
      </c>
      <c r="F41" s="8"/>
      <c r="G41" s="9" t="str">
        <f t="shared" si="0"/>
        <v>JBK1E</v>
      </c>
      <c r="H41" s="9" t="str">
        <f t="shared" si="1"/>
        <v>24</v>
      </c>
      <c r="I41" s="9" t="str">
        <f t="shared" si="2"/>
        <v>03</v>
      </c>
      <c r="J41" s="9" t="str">
        <f t="shared" si="3"/>
        <v>2025</v>
      </c>
      <c r="K41" s="10" t="str">
        <f t="shared" si="4"/>
        <v>24/03/2025</v>
      </c>
      <c r="L41" s="9" t="str">
        <f t="shared" si="5"/>
        <v>11</v>
      </c>
      <c r="M41" s="9" t="str">
        <f t="shared" si="6"/>
        <v>07</v>
      </c>
      <c r="N41" s="9" t="str">
        <f t="shared" si="7"/>
        <v>2025</v>
      </c>
      <c r="O41" s="10" t="str">
        <f t="shared" si="8"/>
        <v>11/07/2025</v>
      </c>
      <c r="P41" s="9">
        <f t="shared" si="9"/>
        <v>109</v>
      </c>
      <c r="Q41" t="str">
        <f>VLOOKUP(A41,[1]Sheet2!$I$2:$O$496,7,FALSE())</f>
        <v>https://fruitbasket.blob.core.windows.net/gk2o5k/avatar/21289034320250711141900EHWA8O.jpg</v>
      </c>
    </row>
    <row r="42" spans="1:17" ht="13.8" x14ac:dyDescent="0.25">
      <c r="A42" s="21" t="s">
        <v>324</v>
      </c>
      <c r="B42" s="7" t="s">
        <v>121</v>
      </c>
      <c r="C42" s="7" t="s">
        <v>15</v>
      </c>
      <c r="D42" s="7" t="s">
        <v>325</v>
      </c>
      <c r="E42" s="7" t="s">
        <v>140</v>
      </c>
      <c r="F42" s="8" t="s">
        <v>780</v>
      </c>
      <c r="G42" s="9" t="str">
        <f t="shared" si="0"/>
        <v>JBK1E</v>
      </c>
      <c r="H42" s="9" t="str">
        <f t="shared" si="1"/>
        <v>20</v>
      </c>
      <c r="I42" s="9" t="str">
        <f t="shared" si="2"/>
        <v>06</v>
      </c>
      <c r="J42" s="9" t="str">
        <f t="shared" si="3"/>
        <v>2025</v>
      </c>
      <c r="K42" s="10" t="str">
        <f t="shared" si="4"/>
        <v>20/06/2025</v>
      </c>
      <c r="L42" s="9" t="str">
        <f t="shared" si="5"/>
        <v>11</v>
      </c>
      <c r="M42" s="9" t="str">
        <f t="shared" si="6"/>
        <v>07</v>
      </c>
      <c r="N42" s="9" t="str">
        <f t="shared" si="7"/>
        <v>2025</v>
      </c>
      <c r="O42" s="10" t="str">
        <f t="shared" si="8"/>
        <v>11/07/2025</v>
      </c>
      <c r="P42" s="9">
        <f t="shared" si="9"/>
        <v>21</v>
      </c>
      <c r="Q42" t="str">
        <f>VLOOKUP(A42,[1]Sheet2!$I$2:$O$496,7,FALSE())</f>
        <v>https://fruitbasket.blob.core.windows.net/gk2o5k/avatar/21192556320250711151416XABVKO.jpg</v>
      </c>
    </row>
    <row r="43" spans="1:17" ht="13.8" hidden="1" x14ac:dyDescent="0.25">
      <c r="A43" s="11" t="s">
        <v>351</v>
      </c>
      <c r="B43" s="7" t="s">
        <v>153</v>
      </c>
      <c r="C43" s="7" t="s">
        <v>15</v>
      </c>
      <c r="D43" s="7" t="s">
        <v>353</v>
      </c>
      <c r="E43" s="7" t="s">
        <v>352</v>
      </c>
      <c r="F43" s="8"/>
      <c r="G43" s="9" t="str">
        <f t="shared" si="0"/>
        <v>JBK1E</v>
      </c>
      <c r="H43" s="9" t="str">
        <f t="shared" si="1"/>
        <v>13</v>
      </c>
      <c r="I43" s="9" t="str">
        <f t="shared" si="2"/>
        <v>06</v>
      </c>
      <c r="J43" s="9" t="str">
        <f t="shared" si="3"/>
        <v>2025</v>
      </c>
      <c r="K43" s="10" t="str">
        <f t="shared" si="4"/>
        <v>13/06/2025</v>
      </c>
      <c r="L43" s="9" t="str">
        <f t="shared" si="5"/>
        <v>13</v>
      </c>
      <c r="M43" s="9" t="str">
        <f t="shared" si="6"/>
        <v>07</v>
      </c>
      <c r="N43" s="9" t="str">
        <f t="shared" si="7"/>
        <v>2025</v>
      </c>
      <c r="O43" s="10" t="str">
        <f t="shared" si="8"/>
        <v>13/07/2025</v>
      </c>
      <c r="P43" s="9">
        <f t="shared" si="9"/>
        <v>30</v>
      </c>
      <c r="Q43" t="str">
        <f>VLOOKUP(A43,[1]Sheet2!$I$2:$O$496,7,FALSE())</f>
        <v>https://fruitbasket.blob.core.windows.net/gk2o5k/avatar/21201745120250713114601SP6BNI.jpg</v>
      </c>
    </row>
    <row r="44" spans="1:17" ht="13.8" hidden="1" x14ac:dyDescent="0.25">
      <c r="A44" s="11" t="s">
        <v>458</v>
      </c>
      <c r="B44" s="7" t="s">
        <v>437</v>
      </c>
      <c r="C44" s="7" t="s">
        <v>21</v>
      </c>
      <c r="D44" s="7" t="s">
        <v>459</v>
      </c>
      <c r="E44" s="7" t="s">
        <v>245</v>
      </c>
      <c r="F44" s="8"/>
      <c r="G44" s="9" t="str">
        <f t="shared" si="0"/>
        <v>JBK3E</v>
      </c>
      <c r="H44" s="9" t="str">
        <f t="shared" si="1"/>
        <v>25</v>
      </c>
      <c r="I44" s="9" t="str">
        <f t="shared" si="2"/>
        <v>04</v>
      </c>
      <c r="J44" s="9" t="str">
        <f t="shared" si="3"/>
        <v>2025</v>
      </c>
      <c r="K44" s="10" t="str">
        <f t="shared" si="4"/>
        <v>25/04/2025</v>
      </c>
      <c r="L44" s="9" t="str">
        <f t="shared" si="5"/>
        <v>19</v>
      </c>
      <c r="M44" s="9" t="str">
        <f t="shared" si="6"/>
        <v>07</v>
      </c>
      <c r="N44" s="9" t="str">
        <f t="shared" si="7"/>
        <v>2025</v>
      </c>
      <c r="O44" s="10" t="str">
        <f t="shared" si="8"/>
        <v>19/07/2025</v>
      </c>
      <c r="P44" s="9">
        <f t="shared" si="9"/>
        <v>85</v>
      </c>
      <c r="Q44" t="str">
        <f>VLOOKUP(A44,[1]Sheet2!$I$2:$O$496,7,FALSE())</f>
        <v>https://fruitbasket.blob.core.windows.net/gk2o5k/avatar/21277965620250719151710QSK69Q.jpg</v>
      </c>
    </row>
    <row r="45" spans="1:17" ht="13.8" hidden="1" x14ac:dyDescent="0.25">
      <c r="A45" s="11" t="s">
        <v>637</v>
      </c>
      <c r="B45" s="7" t="s">
        <v>215</v>
      </c>
      <c r="C45" s="7" t="s">
        <v>15</v>
      </c>
      <c r="D45" s="7" t="s">
        <v>586</v>
      </c>
      <c r="E45" s="7" t="s">
        <v>183</v>
      </c>
      <c r="F45" s="8"/>
      <c r="G45" s="9" t="str">
        <f t="shared" si="0"/>
        <v>JBP1E</v>
      </c>
      <c r="H45" s="9" t="str">
        <f t="shared" si="1"/>
        <v>30</v>
      </c>
      <c r="I45" s="9" t="str">
        <f t="shared" si="2"/>
        <v>06</v>
      </c>
      <c r="J45" s="9" t="str">
        <f t="shared" si="3"/>
        <v>2025</v>
      </c>
      <c r="K45" s="10" t="str">
        <f t="shared" si="4"/>
        <v>30/06/2025</v>
      </c>
      <c r="L45" s="9" t="str">
        <f t="shared" si="5"/>
        <v>23</v>
      </c>
      <c r="M45" s="9" t="str">
        <f t="shared" si="6"/>
        <v>07</v>
      </c>
      <c r="N45" s="9" t="str">
        <f t="shared" si="7"/>
        <v>2025</v>
      </c>
      <c r="O45" s="10" t="str">
        <f t="shared" si="8"/>
        <v>23/07/2025</v>
      </c>
      <c r="P45" s="9">
        <f t="shared" si="9"/>
        <v>23</v>
      </c>
      <c r="Q45" t="str">
        <f>VLOOKUP(A45,[1]Sheet2!$I$2:$O$496,7,FALSE())</f>
        <v>https://fruitbasket.blob.core.windows.net/gk2o5k/avatar/21285670620250723112448NH5ZGP.jpg</v>
      </c>
    </row>
    <row r="46" spans="1:17" ht="13.8" hidden="1" x14ac:dyDescent="0.25">
      <c r="A46" s="11" t="s">
        <v>581</v>
      </c>
      <c r="B46" s="7" t="s">
        <v>475</v>
      </c>
      <c r="C46" s="7" t="s">
        <v>21</v>
      </c>
      <c r="D46" s="7" t="s">
        <v>582</v>
      </c>
      <c r="E46" s="7" t="s">
        <v>144</v>
      </c>
      <c r="F46" s="8"/>
      <c r="G46" s="9" t="str">
        <f t="shared" si="0"/>
        <v>JMH2E</v>
      </c>
      <c r="H46" s="9" t="str">
        <f t="shared" si="1"/>
        <v>29</v>
      </c>
      <c r="I46" s="9" t="str">
        <f t="shared" si="2"/>
        <v>03</v>
      </c>
      <c r="J46" s="9" t="str">
        <f t="shared" si="3"/>
        <v>2025</v>
      </c>
      <c r="K46" s="10" t="str">
        <f t="shared" si="4"/>
        <v>29/03/2025</v>
      </c>
      <c r="L46" s="9" t="str">
        <f t="shared" si="5"/>
        <v>12</v>
      </c>
      <c r="M46" s="9" t="str">
        <f t="shared" si="6"/>
        <v>07</v>
      </c>
      <c r="N46" s="9" t="str">
        <f t="shared" si="7"/>
        <v>2025</v>
      </c>
      <c r="O46" s="10" t="str">
        <f t="shared" si="8"/>
        <v>12/07/2025</v>
      </c>
      <c r="P46" s="9">
        <f t="shared" si="9"/>
        <v>105</v>
      </c>
      <c r="Q46" t="str">
        <f>VLOOKUP(A46,[1]Sheet2!$I$2:$O$496,7,FALSE())</f>
        <v>https://fruitbasket.blob.core.windows.net/gk2o5k/avatar/21201510520250712164639VWNFQZ.jpg</v>
      </c>
    </row>
    <row r="47" spans="1:17" ht="13.8" hidden="1" x14ac:dyDescent="0.25">
      <c r="A47" s="11" t="s">
        <v>127</v>
      </c>
      <c r="B47" s="7" t="s">
        <v>115</v>
      </c>
      <c r="C47" s="7" t="s">
        <v>15</v>
      </c>
      <c r="D47" s="7" t="s">
        <v>128</v>
      </c>
      <c r="E47" s="7" t="s">
        <v>125</v>
      </c>
      <c r="F47" s="8"/>
      <c r="G47" s="9" t="str">
        <f t="shared" si="0"/>
        <v>JMF1E</v>
      </c>
      <c r="H47" s="9" t="str">
        <f t="shared" si="1"/>
        <v>17</v>
      </c>
      <c r="I47" s="9" t="str">
        <f t="shared" si="2"/>
        <v>06</v>
      </c>
      <c r="J47" s="9" t="str">
        <f t="shared" si="3"/>
        <v>2025</v>
      </c>
      <c r="K47" s="10" t="str">
        <f t="shared" si="4"/>
        <v>17/06/2025</v>
      </c>
      <c r="L47" s="9" t="str">
        <f t="shared" si="5"/>
        <v>08</v>
      </c>
      <c r="M47" s="9" t="str">
        <f t="shared" si="6"/>
        <v>07</v>
      </c>
      <c r="N47" s="9" t="str">
        <f t="shared" si="7"/>
        <v>2025</v>
      </c>
      <c r="O47" s="10" t="str">
        <f t="shared" si="8"/>
        <v>08/07/2025</v>
      </c>
      <c r="P47" s="9">
        <f t="shared" si="9"/>
        <v>21</v>
      </c>
      <c r="Q47" t="str">
        <f>VLOOKUP(A47,[1]Sheet2!$I$2:$O$496,7,FALSE())</f>
        <v>https://fruitbasket.blob.core.windows.net/gk2o5k/avatar/21225735020250708144226DI11TK.jpg</v>
      </c>
    </row>
    <row r="48" spans="1:17" ht="13.8" hidden="1" x14ac:dyDescent="0.25">
      <c r="A48" s="11" t="s">
        <v>433</v>
      </c>
      <c r="B48" s="7" t="s">
        <v>434</v>
      </c>
      <c r="C48" s="7" t="s">
        <v>21</v>
      </c>
      <c r="D48" s="7" t="s">
        <v>435</v>
      </c>
      <c r="E48" s="7" t="s">
        <v>104</v>
      </c>
      <c r="F48" s="8"/>
      <c r="G48" s="9" t="str">
        <f t="shared" si="0"/>
        <v>JBK1E</v>
      </c>
      <c r="H48" s="9" t="str">
        <f t="shared" si="1"/>
        <v>29</v>
      </c>
      <c r="I48" s="9" t="str">
        <f t="shared" si="2"/>
        <v>04</v>
      </c>
      <c r="J48" s="9" t="str">
        <f t="shared" si="3"/>
        <v>2025</v>
      </c>
      <c r="K48" s="10" t="str">
        <f t="shared" si="4"/>
        <v>29/04/2025</v>
      </c>
      <c r="L48" s="9" t="str">
        <f t="shared" si="5"/>
        <v>02</v>
      </c>
      <c r="M48" s="9" t="str">
        <f t="shared" si="6"/>
        <v>07</v>
      </c>
      <c r="N48" s="9" t="str">
        <f t="shared" si="7"/>
        <v>2025</v>
      </c>
      <c r="O48" s="10" t="str">
        <f t="shared" si="8"/>
        <v>02/07/2025</v>
      </c>
      <c r="P48" s="9">
        <f t="shared" si="9"/>
        <v>64</v>
      </c>
      <c r="Q48" t="str">
        <f>VLOOKUP(A48,[1]Sheet2!$I$2:$O$496,7,FALSE())</f>
        <v>https://fruitbasket.blob.core.windows.net/gk2o5k/avatar/21183811320250702142826AHCSYS.jpg</v>
      </c>
    </row>
    <row r="49" spans="1:17" ht="13.8" hidden="1" x14ac:dyDescent="0.25">
      <c r="A49" s="11" t="s">
        <v>477</v>
      </c>
      <c r="B49" s="7" t="s">
        <v>103</v>
      </c>
      <c r="C49" s="7" t="s">
        <v>21</v>
      </c>
      <c r="D49" s="7" t="s">
        <v>478</v>
      </c>
      <c r="E49" s="7" t="s">
        <v>221</v>
      </c>
      <c r="F49" s="8"/>
      <c r="G49" s="9" t="str">
        <f t="shared" si="0"/>
        <v>JBK3E</v>
      </c>
      <c r="H49" s="9" t="str">
        <f t="shared" si="1"/>
        <v>24</v>
      </c>
      <c r="I49" s="9" t="str">
        <f t="shared" si="2"/>
        <v>05</v>
      </c>
      <c r="J49" s="9" t="str">
        <f t="shared" si="3"/>
        <v>2025</v>
      </c>
      <c r="K49" s="10" t="str">
        <f t="shared" si="4"/>
        <v>24/05/2025</v>
      </c>
      <c r="L49" s="9" t="str">
        <f t="shared" si="5"/>
        <v>31</v>
      </c>
      <c r="M49" s="9" t="str">
        <f t="shared" si="6"/>
        <v>07</v>
      </c>
      <c r="N49" s="9" t="str">
        <f t="shared" si="7"/>
        <v>2025</v>
      </c>
      <c r="O49" s="10" t="str">
        <f t="shared" si="8"/>
        <v>31/07/2025</v>
      </c>
      <c r="P49" s="9">
        <f t="shared" si="9"/>
        <v>68</v>
      </c>
      <c r="Q49" t="str">
        <f>VLOOKUP(A49,[1]Sheet2!$I$2:$O$496,7,FALSE())</f>
        <v>https://fruitbasket.blob.core.windows.net/gk2o5k/avatar/21323779620250731111313T63OMG.jpg</v>
      </c>
    </row>
    <row r="50" spans="1:17" ht="13.8" hidden="1" x14ac:dyDescent="0.25">
      <c r="A50" s="11" t="s">
        <v>562</v>
      </c>
      <c r="B50" s="7" t="s">
        <v>425</v>
      </c>
      <c r="C50" s="7" t="s">
        <v>15</v>
      </c>
      <c r="D50" s="7" t="s">
        <v>563</v>
      </c>
      <c r="E50" s="7" t="s">
        <v>175</v>
      </c>
      <c r="F50" s="8"/>
      <c r="G50" s="9" t="str">
        <f t="shared" si="0"/>
        <v>JMH1E</v>
      </c>
      <c r="H50" s="9" t="str">
        <f t="shared" si="1"/>
        <v>27</v>
      </c>
      <c r="I50" s="9" t="str">
        <f t="shared" si="2"/>
        <v>06</v>
      </c>
      <c r="J50" s="9" t="str">
        <f t="shared" si="3"/>
        <v>2025</v>
      </c>
      <c r="K50" s="10" t="str">
        <f t="shared" si="4"/>
        <v>27/06/2025</v>
      </c>
      <c r="L50" s="9" t="str">
        <f t="shared" si="5"/>
        <v>21</v>
      </c>
      <c r="M50" s="9" t="str">
        <f t="shared" si="6"/>
        <v>07</v>
      </c>
      <c r="N50" s="9" t="str">
        <f t="shared" si="7"/>
        <v>2025</v>
      </c>
      <c r="O50" s="10" t="str">
        <f t="shared" si="8"/>
        <v>21/07/2025</v>
      </c>
      <c r="P50" s="9">
        <f t="shared" si="9"/>
        <v>24</v>
      </c>
      <c r="Q50" t="str">
        <f>VLOOKUP(A50,[1]Sheet2!$I$2:$O$496,7,FALSE())</f>
        <v>https://fruitbasket.blob.core.windows.net/gk2o5k/avatar/21235929220250721105833V1MQGK.jpg</v>
      </c>
    </row>
    <row r="51" spans="1:17" ht="13.8" hidden="1" x14ac:dyDescent="0.25">
      <c r="A51" s="11" t="s">
        <v>659</v>
      </c>
      <c r="B51" s="7" t="s">
        <v>292</v>
      </c>
      <c r="C51" s="7" t="s">
        <v>15</v>
      </c>
      <c r="D51" s="7" t="s">
        <v>619</v>
      </c>
      <c r="E51" s="7" t="s">
        <v>192</v>
      </c>
      <c r="F51" s="8"/>
      <c r="G51" s="9" t="str">
        <f t="shared" si="0"/>
        <v>JMC1E</v>
      </c>
      <c r="H51" s="9" t="str">
        <f t="shared" si="1"/>
        <v>18</v>
      </c>
      <c r="I51" s="9" t="str">
        <f t="shared" si="2"/>
        <v>06</v>
      </c>
      <c r="J51" s="9" t="str">
        <f t="shared" si="3"/>
        <v>2025</v>
      </c>
      <c r="K51" s="10" t="str">
        <f t="shared" si="4"/>
        <v>18/06/2025</v>
      </c>
      <c r="L51" s="9" t="str">
        <f t="shared" si="5"/>
        <v>07</v>
      </c>
      <c r="M51" s="9" t="str">
        <f t="shared" si="6"/>
        <v>07</v>
      </c>
      <c r="N51" s="9" t="str">
        <f t="shared" si="7"/>
        <v>2025</v>
      </c>
      <c r="O51" s="10" t="str">
        <f t="shared" si="8"/>
        <v>07/07/2025</v>
      </c>
      <c r="P51" s="9">
        <f t="shared" si="9"/>
        <v>19</v>
      </c>
      <c r="Q51" t="str">
        <f>VLOOKUP(A51,[1]Sheet2!$I$2:$O$496,7,FALSE())</f>
        <v>https://fruitbasket.blob.core.windows.net/gk2o5k/avatar/21197843420250707144006UUOW5D.jpg</v>
      </c>
    </row>
    <row r="52" spans="1:17" ht="13.8" hidden="1" x14ac:dyDescent="0.25">
      <c r="A52" s="11" t="s">
        <v>167</v>
      </c>
      <c r="B52" s="7" t="s">
        <v>168</v>
      </c>
      <c r="C52" s="7" t="s">
        <v>21</v>
      </c>
      <c r="D52" s="7" t="s">
        <v>169</v>
      </c>
      <c r="E52" s="7" t="s">
        <v>157</v>
      </c>
      <c r="F52" s="8"/>
      <c r="G52" s="9" t="str">
        <f t="shared" si="0"/>
        <v>JME1E</v>
      </c>
      <c r="H52" s="9" t="str">
        <f t="shared" si="1"/>
        <v>28</v>
      </c>
      <c r="I52" s="9" t="str">
        <f t="shared" si="2"/>
        <v>03</v>
      </c>
      <c r="J52" s="9" t="str">
        <f t="shared" si="3"/>
        <v>2025</v>
      </c>
      <c r="K52" s="10" t="str">
        <f t="shared" si="4"/>
        <v>28/03/2025</v>
      </c>
      <c r="L52" s="9" t="str">
        <f t="shared" si="5"/>
        <v>26</v>
      </c>
      <c r="M52" s="9" t="str">
        <f t="shared" si="6"/>
        <v>07</v>
      </c>
      <c r="N52" s="9" t="str">
        <f t="shared" si="7"/>
        <v>2025</v>
      </c>
      <c r="O52" s="10" t="str">
        <f t="shared" si="8"/>
        <v>26/07/2025</v>
      </c>
      <c r="P52" s="9">
        <f t="shared" si="9"/>
        <v>120</v>
      </c>
      <c r="Q52" t="str">
        <f>VLOOKUP(A52,[1]Sheet2!$I$2:$O$496,7,FALSE())</f>
        <v>https://fruitbasket.blob.core.windows.net/gk2o5k/avatar/21295792720250726125730Q9E3LV.jpg</v>
      </c>
    </row>
    <row r="53" spans="1:17" ht="13.8" hidden="1" x14ac:dyDescent="0.25">
      <c r="A53" s="11" t="s">
        <v>264</v>
      </c>
      <c r="B53" s="7" t="s">
        <v>260</v>
      </c>
      <c r="C53" s="7" t="s">
        <v>15</v>
      </c>
      <c r="D53" s="7" t="s">
        <v>265</v>
      </c>
      <c r="E53" s="7" t="s">
        <v>195</v>
      </c>
      <c r="F53" s="8"/>
      <c r="G53" s="9" t="str">
        <f t="shared" si="0"/>
        <v>JBK3E</v>
      </c>
      <c r="H53" s="9" t="str">
        <f t="shared" si="1"/>
        <v>24</v>
      </c>
      <c r="I53" s="9" t="str">
        <f t="shared" si="2"/>
        <v>06</v>
      </c>
      <c r="J53" s="9" t="str">
        <f t="shared" si="3"/>
        <v>2025</v>
      </c>
      <c r="K53" s="10" t="str">
        <f t="shared" si="4"/>
        <v>24/06/2025</v>
      </c>
      <c r="L53" s="9" t="str">
        <f t="shared" si="5"/>
        <v>03</v>
      </c>
      <c r="M53" s="9" t="str">
        <f t="shared" si="6"/>
        <v>07</v>
      </c>
      <c r="N53" s="9" t="str">
        <f t="shared" si="7"/>
        <v>2025</v>
      </c>
      <c r="O53" s="10" t="str">
        <f t="shared" si="8"/>
        <v>03/07/2025</v>
      </c>
      <c r="P53" s="9">
        <f t="shared" si="9"/>
        <v>9</v>
      </c>
      <c r="Q53" t="str">
        <f>VLOOKUP(A53,[1]Sheet2!$I$2:$O$496,7,FALSE())</f>
        <v>https://fruitbasket.blob.core.windows.net/gk2o5k/avatar/21106217720250703105859MRMQZE.jpg</v>
      </c>
    </row>
    <row r="54" spans="1:17" ht="13.8" hidden="1" x14ac:dyDescent="0.25">
      <c r="A54" s="11" t="s">
        <v>758</v>
      </c>
      <c r="B54" s="7" t="s">
        <v>289</v>
      </c>
      <c r="C54" s="7" t="s">
        <v>15</v>
      </c>
      <c r="D54" s="7" t="s">
        <v>265</v>
      </c>
      <c r="E54" s="7" t="s">
        <v>157</v>
      </c>
      <c r="F54" s="8"/>
      <c r="G54" s="9" t="str">
        <f t="shared" si="0"/>
        <v>KC04E</v>
      </c>
      <c r="H54" s="9" t="str">
        <f t="shared" si="1"/>
        <v>20</v>
      </c>
      <c r="I54" s="9" t="str">
        <f t="shared" si="2"/>
        <v>05</v>
      </c>
      <c r="J54" s="9" t="str">
        <f t="shared" si="3"/>
        <v>2025</v>
      </c>
      <c r="K54" s="10" t="str">
        <f t="shared" si="4"/>
        <v>20/05/2025</v>
      </c>
      <c r="L54" s="9" t="str">
        <f t="shared" si="5"/>
        <v>26</v>
      </c>
      <c r="M54" s="9" t="str">
        <f t="shared" si="6"/>
        <v>07</v>
      </c>
      <c r="N54" s="9" t="str">
        <f t="shared" si="7"/>
        <v>2025</v>
      </c>
      <c r="O54" s="10" t="str">
        <f t="shared" si="8"/>
        <v>26/07/2025</v>
      </c>
      <c r="P54" s="9">
        <f t="shared" si="9"/>
        <v>67</v>
      </c>
      <c r="Q54" t="str">
        <f>VLOOKUP(A54,[1]Sheet2!$I$2:$O$496,7,FALSE())</f>
        <v>https://fruitbasket.blob.core.windows.net/gk2o5k/avatar/2129579272025072612530959HPR2.jpg</v>
      </c>
    </row>
    <row r="55" spans="1:17" ht="13.8" hidden="1" x14ac:dyDescent="0.25">
      <c r="A55" s="11" t="s">
        <v>463</v>
      </c>
      <c r="B55" s="7" t="s">
        <v>464</v>
      </c>
      <c r="C55" s="7" t="s">
        <v>21</v>
      </c>
      <c r="D55" s="7" t="s">
        <v>465</v>
      </c>
      <c r="E55" s="7" t="s">
        <v>183</v>
      </c>
      <c r="F55" s="8"/>
      <c r="G55" s="9" t="str">
        <f t="shared" si="0"/>
        <v>JBK3E</v>
      </c>
      <c r="H55" s="9" t="str">
        <f t="shared" si="1"/>
        <v>08</v>
      </c>
      <c r="I55" s="9" t="str">
        <f t="shared" si="2"/>
        <v>05</v>
      </c>
      <c r="J55" s="9" t="str">
        <f t="shared" si="3"/>
        <v>2025</v>
      </c>
      <c r="K55" s="10" t="str">
        <f t="shared" si="4"/>
        <v>08/05/2025</v>
      </c>
      <c r="L55" s="9" t="str">
        <f t="shared" si="5"/>
        <v>23</v>
      </c>
      <c r="M55" s="9" t="str">
        <f t="shared" si="6"/>
        <v>07</v>
      </c>
      <c r="N55" s="9" t="str">
        <f t="shared" si="7"/>
        <v>2025</v>
      </c>
      <c r="O55" s="10" t="str">
        <f t="shared" si="8"/>
        <v>23/07/2025</v>
      </c>
      <c r="P55" s="9">
        <f t="shared" si="9"/>
        <v>76</v>
      </c>
      <c r="Q55" t="str">
        <f>VLOOKUP(A55,[1]Sheet2!$I$2:$O$496,7,FALSE())</f>
        <v>https://fruitbasket.blob.core.windows.net/gk2o5k/avatar/21287198020250723151819BFVBKN.jpg</v>
      </c>
    </row>
    <row r="56" spans="1:17" ht="13.8" x14ac:dyDescent="0.25">
      <c r="A56" s="21" t="s">
        <v>515</v>
      </c>
      <c r="B56" s="7" t="s">
        <v>516</v>
      </c>
      <c r="C56" s="7" t="s">
        <v>28</v>
      </c>
      <c r="D56" s="7" t="s">
        <v>517</v>
      </c>
      <c r="E56" s="7" t="s">
        <v>245</v>
      </c>
      <c r="F56" s="9" t="s">
        <v>783</v>
      </c>
      <c r="G56" s="9" t="str">
        <f t="shared" si="0"/>
        <v>JBK1E</v>
      </c>
      <c r="H56" s="9" t="str">
        <f t="shared" si="1"/>
        <v>12</v>
      </c>
      <c r="I56" s="9" t="str">
        <f t="shared" si="2"/>
        <v>02</v>
      </c>
      <c r="J56" s="9" t="str">
        <f t="shared" si="3"/>
        <v>2025</v>
      </c>
      <c r="K56" s="10" t="str">
        <f t="shared" si="4"/>
        <v>12/02/2025</v>
      </c>
      <c r="L56" s="9" t="str">
        <f t="shared" si="5"/>
        <v>19</v>
      </c>
      <c r="M56" s="9" t="str">
        <f t="shared" si="6"/>
        <v>07</v>
      </c>
      <c r="N56" s="9" t="str">
        <f t="shared" si="7"/>
        <v>2025</v>
      </c>
      <c r="O56" s="10" t="str">
        <f t="shared" si="8"/>
        <v>19/07/2025</v>
      </c>
      <c r="P56" s="9">
        <f t="shared" si="9"/>
        <v>157</v>
      </c>
      <c r="Q56" t="str">
        <f>VLOOKUP(A56,[1]Sheet2!$I$2:$O$496,7,FALSE())</f>
        <v>https://fruitbasket.blob.core.windows.net/gk2o5k/avatar/212650007202507191448027RLGKL.jpg</v>
      </c>
    </row>
    <row r="57" spans="1:17" ht="13.8" hidden="1" x14ac:dyDescent="0.25">
      <c r="A57" s="11" t="s">
        <v>247</v>
      </c>
      <c r="B57" s="7" t="s">
        <v>248</v>
      </c>
      <c r="C57" s="7" t="s">
        <v>21</v>
      </c>
      <c r="D57" s="7" t="s">
        <v>249</v>
      </c>
      <c r="E57" s="7" t="s">
        <v>179</v>
      </c>
      <c r="F57" s="8"/>
      <c r="G57" s="9" t="str">
        <f t="shared" si="0"/>
        <v>KFE1E</v>
      </c>
      <c r="H57" s="9" t="str">
        <f t="shared" si="1"/>
        <v>14</v>
      </c>
      <c r="I57" s="9" t="str">
        <f t="shared" si="2"/>
        <v>03</v>
      </c>
      <c r="J57" s="9" t="str">
        <f t="shared" si="3"/>
        <v>2025</v>
      </c>
      <c r="K57" s="10" t="str">
        <f t="shared" si="4"/>
        <v>14/03/2025</v>
      </c>
      <c r="L57" s="9" t="str">
        <f t="shared" si="5"/>
        <v>28</v>
      </c>
      <c r="M57" s="9" t="str">
        <f t="shared" si="6"/>
        <v>07</v>
      </c>
      <c r="N57" s="9" t="str">
        <f t="shared" si="7"/>
        <v>2025</v>
      </c>
      <c r="O57" s="10" t="str">
        <f t="shared" si="8"/>
        <v>28/07/2025</v>
      </c>
      <c r="P57" s="9">
        <f t="shared" si="9"/>
        <v>136</v>
      </c>
      <c r="Q57" t="str">
        <f>VLOOKUP(A57,[1]Sheet2!$I$2:$O$496,7,FALSE())</f>
        <v>https://fruitbasket.blob.core.windows.net/gk2o5k/avatar/21283216820250728131804I6JYLT.jpg</v>
      </c>
    </row>
    <row r="58" spans="1:17" ht="13.8" hidden="1" x14ac:dyDescent="0.25">
      <c r="A58" s="11" t="s">
        <v>687</v>
      </c>
      <c r="B58" s="7" t="s">
        <v>688</v>
      </c>
      <c r="C58" s="7" t="s">
        <v>21</v>
      </c>
      <c r="D58" s="7" t="s">
        <v>689</v>
      </c>
      <c r="E58" s="7" t="s">
        <v>125</v>
      </c>
      <c r="F58" s="8"/>
      <c r="G58" s="9" t="str">
        <f t="shared" si="0"/>
        <v>JMD1E</v>
      </c>
      <c r="H58" s="9" t="str">
        <f t="shared" si="1"/>
        <v>16</v>
      </c>
      <c r="I58" s="9" t="str">
        <f t="shared" si="2"/>
        <v>04</v>
      </c>
      <c r="J58" s="9" t="str">
        <f t="shared" si="3"/>
        <v>2025</v>
      </c>
      <c r="K58" s="10" t="str">
        <f t="shared" si="4"/>
        <v>16/04/2025</v>
      </c>
      <c r="L58" s="9" t="str">
        <f t="shared" si="5"/>
        <v>08</v>
      </c>
      <c r="M58" s="9" t="str">
        <f t="shared" si="6"/>
        <v>07</v>
      </c>
      <c r="N58" s="9" t="str">
        <f t="shared" si="7"/>
        <v>2025</v>
      </c>
      <c r="O58" s="10" t="str">
        <f t="shared" si="8"/>
        <v>08/07/2025</v>
      </c>
      <c r="P58" s="9">
        <f t="shared" si="9"/>
        <v>83</v>
      </c>
      <c r="Q58" t="str">
        <f>VLOOKUP(A58,[1]Sheet2!$I$2:$O$496,7,FALSE())</f>
        <v>https://fruitbasket.blob.core.windows.net/gk2o5k/avatar/213025582202507081247071BCAOQ.jpg</v>
      </c>
    </row>
    <row r="59" spans="1:17" ht="13.8" hidden="1" x14ac:dyDescent="0.25">
      <c r="A59" s="11" t="s">
        <v>291</v>
      </c>
      <c r="B59" s="7" t="s">
        <v>292</v>
      </c>
      <c r="C59" s="7" t="s">
        <v>15</v>
      </c>
      <c r="D59" s="7" t="s">
        <v>293</v>
      </c>
      <c r="E59" s="7" t="s">
        <v>192</v>
      </c>
      <c r="F59" s="8"/>
      <c r="G59" s="9" t="str">
        <f t="shared" si="0"/>
        <v>JBK1E</v>
      </c>
      <c r="H59" s="9" t="str">
        <f t="shared" si="1"/>
        <v>18</v>
      </c>
      <c r="I59" s="9" t="str">
        <f t="shared" si="2"/>
        <v>06</v>
      </c>
      <c r="J59" s="9" t="str">
        <f t="shared" si="3"/>
        <v>2025</v>
      </c>
      <c r="K59" s="10" t="str">
        <f t="shared" si="4"/>
        <v>18/06/2025</v>
      </c>
      <c r="L59" s="9" t="str">
        <f t="shared" si="5"/>
        <v>07</v>
      </c>
      <c r="M59" s="9" t="str">
        <f t="shared" si="6"/>
        <v>07</v>
      </c>
      <c r="N59" s="9" t="str">
        <f t="shared" si="7"/>
        <v>2025</v>
      </c>
      <c r="O59" s="10" t="str">
        <f t="shared" si="8"/>
        <v>07/07/2025</v>
      </c>
      <c r="P59" s="9">
        <f t="shared" si="9"/>
        <v>19</v>
      </c>
      <c r="Q59" t="str">
        <f>VLOOKUP(A59,[1]Sheet2!$I$2:$O$496,7,FALSE())</f>
        <v>https://fruitbasket.blob.core.windows.net/gk2o5k/avatar/21196653820250707110829ZKHWWT.jpg</v>
      </c>
    </row>
    <row r="60" spans="1:17" ht="13.8" hidden="1" x14ac:dyDescent="0.25">
      <c r="A60" s="11" t="s">
        <v>698</v>
      </c>
      <c r="B60" s="7" t="s">
        <v>699</v>
      </c>
      <c r="C60" s="7" t="s">
        <v>28</v>
      </c>
      <c r="D60" s="7" t="s">
        <v>700</v>
      </c>
      <c r="E60" s="7" t="s">
        <v>104</v>
      </c>
      <c r="F60" s="8"/>
      <c r="G60" s="9" t="str">
        <f t="shared" si="0"/>
        <v>JMC1E</v>
      </c>
      <c r="H60" s="9" t="str">
        <f t="shared" si="1"/>
        <v>01</v>
      </c>
      <c r="I60" s="9" t="str">
        <f t="shared" si="2"/>
        <v>02</v>
      </c>
      <c r="J60" s="9" t="str">
        <f t="shared" si="3"/>
        <v>2025</v>
      </c>
      <c r="K60" s="10" t="str">
        <f t="shared" si="4"/>
        <v>01/02/2025</v>
      </c>
      <c r="L60" s="9" t="str">
        <f t="shared" si="5"/>
        <v>02</v>
      </c>
      <c r="M60" s="9" t="str">
        <f t="shared" si="6"/>
        <v>07</v>
      </c>
      <c r="N60" s="9" t="str">
        <f t="shared" si="7"/>
        <v>2025</v>
      </c>
      <c r="O60" s="10" t="str">
        <f t="shared" si="8"/>
        <v>02/07/2025</v>
      </c>
      <c r="P60" s="9">
        <f t="shared" si="9"/>
        <v>151</v>
      </c>
      <c r="Q60" t="str">
        <f>VLOOKUP(A60,[1]Sheet2!$I$2:$O$496,7,FALSE())</f>
        <v>https://fruitbasket.blob.core.windows.net/gk2o5k/avatar/21184505320250702125926UOJMEF.jpg</v>
      </c>
    </row>
    <row r="61" spans="1:17" ht="13.8" hidden="1" x14ac:dyDescent="0.25">
      <c r="A61" s="11" t="s">
        <v>354</v>
      </c>
      <c r="B61" s="7" t="s">
        <v>104</v>
      </c>
      <c r="C61" s="7" t="s">
        <v>15</v>
      </c>
      <c r="D61" s="7" t="s">
        <v>355</v>
      </c>
      <c r="E61" s="7" t="s">
        <v>352</v>
      </c>
      <c r="F61" s="8"/>
      <c r="G61" s="9" t="str">
        <f t="shared" si="0"/>
        <v>JBK1E</v>
      </c>
      <c r="H61" s="9" t="str">
        <f t="shared" si="1"/>
        <v>02</v>
      </c>
      <c r="I61" s="9" t="str">
        <f t="shared" si="2"/>
        <v>07</v>
      </c>
      <c r="J61" s="9" t="str">
        <f t="shared" si="3"/>
        <v>2025</v>
      </c>
      <c r="K61" s="10" t="str">
        <f t="shared" si="4"/>
        <v>02/07/2025</v>
      </c>
      <c r="L61" s="9" t="str">
        <f t="shared" si="5"/>
        <v>13</v>
      </c>
      <c r="M61" s="9" t="str">
        <f t="shared" si="6"/>
        <v>07</v>
      </c>
      <c r="N61" s="9" t="str">
        <f t="shared" si="7"/>
        <v>2025</v>
      </c>
      <c r="O61" s="10" t="str">
        <f t="shared" si="8"/>
        <v>13/07/2025</v>
      </c>
      <c r="P61" s="9">
        <f t="shared" si="9"/>
        <v>11</v>
      </c>
      <c r="Q61" t="str">
        <f>VLOOKUP(A61,[1]Sheet2!$I$2:$O$496,7,FALSE())</f>
        <v>https://fruitbasket.blob.core.windows.net/gk2o5k/avatar/21333591020250713130121WPRULH.jpg</v>
      </c>
    </row>
    <row r="62" spans="1:17" ht="13.8" hidden="1" x14ac:dyDescent="0.25">
      <c r="A62" s="11" t="s">
        <v>613</v>
      </c>
      <c r="B62" s="7" t="s">
        <v>289</v>
      </c>
      <c r="C62" s="7" t="s">
        <v>15</v>
      </c>
      <c r="D62" s="7" t="s">
        <v>355</v>
      </c>
      <c r="E62" s="7" t="s">
        <v>218</v>
      </c>
      <c r="F62" s="8"/>
      <c r="G62" s="9" t="str">
        <f t="shared" si="0"/>
        <v>KFD1E</v>
      </c>
      <c r="H62" s="9" t="str">
        <f t="shared" si="1"/>
        <v>20</v>
      </c>
      <c r="I62" s="9" t="str">
        <f t="shared" si="2"/>
        <v>05</v>
      </c>
      <c r="J62" s="9" t="str">
        <f t="shared" si="3"/>
        <v>2025</v>
      </c>
      <c r="K62" s="10" t="str">
        <f t="shared" si="4"/>
        <v>20/05/2025</v>
      </c>
      <c r="L62" s="9" t="str">
        <f t="shared" si="5"/>
        <v>30</v>
      </c>
      <c r="M62" s="9" t="str">
        <f t="shared" si="6"/>
        <v>07</v>
      </c>
      <c r="N62" s="9" t="str">
        <f t="shared" si="7"/>
        <v>2025</v>
      </c>
      <c r="O62" s="10" t="str">
        <f t="shared" si="8"/>
        <v>30/07/2025</v>
      </c>
      <c r="P62" s="9">
        <f t="shared" si="9"/>
        <v>71</v>
      </c>
      <c r="Q62" t="str">
        <f>VLOOKUP(A62,[1]Sheet2!$I$2:$O$496,7,FALSE())</f>
        <v>https://fruitbasket.blob.core.windows.net/gk2o5k/avatar/21330398620250730151624V4OTHI.jpg</v>
      </c>
    </row>
    <row r="63" spans="1:17" ht="13.8" hidden="1" x14ac:dyDescent="0.25">
      <c r="A63" s="11" t="s">
        <v>315</v>
      </c>
      <c r="B63" s="7" t="s">
        <v>195</v>
      </c>
      <c r="C63" s="7" t="s">
        <v>15</v>
      </c>
      <c r="D63" s="7" t="s">
        <v>316</v>
      </c>
      <c r="E63" s="7" t="s">
        <v>137</v>
      </c>
      <c r="F63" s="8"/>
      <c r="G63" s="9" t="str">
        <f t="shared" si="0"/>
        <v>JBK3E</v>
      </c>
      <c r="H63" s="9" t="str">
        <f t="shared" si="1"/>
        <v>03</v>
      </c>
      <c r="I63" s="9" t="str">
        <f t="shared" si="2"/>
        <v>07</v>
      </c>
      <c r="J63" s="9" t="str">
        <f t="shared" si="3"/>
        <v>2025</v>
      </c>
      <c r="K63" s="10" t="str">
        <f t="shared" si="4"/>
        <v>03/07/2025</v>
      </c>
      <c r="L63" s="9" t="str">
        <f t="shared" si="5"/>
        <v>10</v>
      </c>
      <c r="M63" s="9" t="str">
        <f t="shared" si="6"/>
        <v>07</v>
      </c>
      <c r="N63" s="9" t="str">
        <f t="shared" si="7"/>
        <v>2025</v>
      </c>
      <c r="O63" s="10" t="str">
        <f t="shared" si="8"/>
        <v>10/07/2025</v>
      </c>
      <c r="P63" s="9">
        <f t="shared" si="9"/>
        <v>7</v>
      </c>
      <c r="Q63" t="str">
        <f>VLOOKUP(A63,[1]Sheet2!$I$2:$O$496,7,FALSE())</f>
        <v>https://fruitbasket.blob.core.windows.net/gk2o5k/avatar/21094802720250710135509MDTTB3.jpg</v>
      </c>
    </row>
    <row r="64" spans="1:17" ht="13.8" hidden="1" x14ac:dyDescent="0.25">
      <c r="A64" s="11" t="s">
        <v>225</v>
      </c>
      <c r="B64" s="7" t="s">
        <v>226</v>
      </c>
      <c r="C64" s="7" t="s">
        <v>28</v>
      </c>
      <c r="D64" s="7" t="s">
        <v>227</v>
      </c>
      <c r="E64" s="7" t="s">
        <v>175</v>
      </c>
      <c r="F64" s="8"/>
      <c r="G64" s="9" t="str">
        <f t="shared" si="0"/>
        <v>KD11E</v>
      </c>
      <c r="H64" s="9" t="str">
        <f t="shared" si="1"/>
        <v>19</v>
      </c>
      <c r="I64" s="9" t="str">
        <f t="shared" si="2"/>
        <v>12</v>
      </c>
      <c r="J64" s="9" t="str">
        <f t="shared" si="3"/>
        <v>2024</v>
      </c>
      <c r="K64" s="10" t="str">
        <f t="shared" si="4"/>
        <v>19/12/2024</v>
      </c>
      <c r="L64" s="9" t="str">
        <f t="shared" si="5"/>
        <v>21</v>
      </c>
      <c r="M64" s="9" t="str">
        <f t="shared" si="6"/>
        <v>07</v>
      </c>
      <c r="N64" s="9" t="str">
        <f t="shared" si="7"/>
        <v>2025</v>
      </c>
      <c r="O64" s="10" t="str">
        <f t="shared" si="8"/>
        <v>21/07/2025</v>
      </c>
      <c r="P64" s="9">
        <f t="shared" si="9"/>
        <v>214</v>
      </c>
      <c r="Q64" t="str">
        <f>VLOOKUP(A64,[1]Sheet2!$I$2:$O$496,7,FALSE())</f>
        <v>https://fruitbasket.blob.core.windows.net/gk2o5k/avatar/21235929220250721104032ERTEMH.jpg</v>
      </c>
    </row>
    <row r="65" spans="1:17" ht="13.8" hidden="1" x14ac:dyDescent="0.25">
      <c r="A65" s="11" t="s">
        <v>541</v>
      </c>
      <c r="B65" s="7" t="s">
        <v>254</v>
      </c>
      <c r="C65" s="7" t="s">
        <v>15</v>
      </c>
      <c r="D65" s="7" t="s">
        <v>542</v>
      </c>
      <c r="E65" s="7" t="s">
        <v>192</v>
      </c>
      <c r="F65" s="8"/>
      <c r="G65" s="9" t="str">
        <f t="shared" si="0"/>
        <v>JMH1E</v>
      </c>
      <c r="H65" s="9" t="str">
        <f t="shared" si="1"/>
        <v>02</v>
      </c>
      <c r="I65" s="9" t="str">
        <f t="shared" si="2"/>
        <v>06</v>
      </c>
      <c r="J65" s="9" t="str">
        <f t="shared" si="3"/>
        <v>2025</v>
      </c>
      <c r="K65" s="10" t="str">
        <f t="shared" si="4"/>
        <v>02/06/2025</v>
      </c>
      <c r="L65" s="9" t="str">
        <f t="shared" si="5"/>
        <v>07</v>
      </c>
      <c r="M65" s="9" t="str">
        <f t="shared" si="6"/>
        <v>07</v>
      </c>
      <c r="N65" s="9" t="str">
        <f t="shared" si="7"/>
        <v>2025</v>
      </c>
      <c r="O65" s="10" t="str">
        <f t="shared" si="8"/>
        <v>07/07/2025</v>
      </c>
      <c r="P65" s="9">
        <f t="shared" si="9"/>
        <v>35</v>
      </c>
      <c r="Q65" t="str">
        <f>VLOOKUP(A65,[1]Sheet2!$I$2:$O$496,7,FALSE())</f>
        <v>https://fruitbasket.blob.core.windows.net/gk2o5k/avatar/2132981222025070709203699JQN2.jpg</v>
      </c>
    </row>
    <row r="66" spans="1:17" ht="13.8" hidden="1" x14ac:dyDescent="0.25">
      <c r="A66" s="11" t="s">
        <v>271</v>
      </c>
      <c r="B66" s="7" t="s">
        <v>202</v>
      </c>
      <c r="C66" s="7" t="s">
        <v>15</v>
      </c>
      <c r="D66" s="7" t="s">
        <v>272</v>
      </c>
      <c r="E66" s="7" t="s">
        <v>108</v>
      </c>
      <c r="F66" s="8"/>
      <c r="G66" s="9" t="str">
        <f t="shared" ref="G66:G129" si="10">LEFT(A66,5)</f>
        <v>JBK3E</v>
      </c>
      <c r="H66" s="9" t="str">
        <f t="shared" ref="H66:H129" si="11">LEFT(B66,2)</f>
        <v>31</v>
      </c>
      <c r="I66" s="9" t="str">
        <f t="shared" ref="I66:I129" si="12">MID(B66,4,2)</f>
        <v>05</v>
      </c>
      <c r="J66" s="9" t="str">
        <f t="shared" ref="J66:J129" si="13">RIGHT(B66,4)</f>
        <v>2025</v>
      </c>
      <c r="K66" s="10" t="str">
        <f t="shared" ref="K66:K129" si="14">H66&amp;"/"&amp;I66&amp;"/"&amp;J66</f>
        <v>31/05/2025</v>
      </c>
      <c r="L66" s="9" t="str">
        <f t="shared" ref="L66:L129" si="15">LEFT(E66,2)</f>
        <v>04</v>
      </c>
      <c r="M66" s="9" t="str">
        <f t="shared" ref="M66:M129" si="16">MID(E66,4,2)</f>
        <v>07</v>
      </c>
      <c r="N66" s="9" t="str">
        <f t="shared" ref="N66:N129" si="17">RIGHT(E66,4)</f>
        <v>2025</v>
      </c>
      <c r="O66" s="10" t="str">
        <f t="shared" ref="O66:O129" si="18">L66&amp;"/"&amp;M66&amp;"/"&amp;N66</f>
        <v>04/07/2025</v>
      </c>
      <c r="P66" s="9">
        <f t="shared" ref="P66:P129" si="19">O66-K66</f>
        <v>34</v>
      </c>
      <c r="Q66" t="str">
        <f>VLOOKUP(A66,[1]Sheet2!$I$2:$O$496,7,FALSE())</f>
        <v>https://fruitbasket.blob.core.windows.net/gk2o5k/avatar/21328750820250704132104XAQ7IH.jpg</v>
      </c>
    </row>
    <row r="67" spans="1:17" ht="13.8" hidden="1" x14ac:dyDescent="0.25">
      <c r="A67" s="11" t="s">
        <v>190</v>
      </c>
      <c r="B67" s="7" t="s">
        <v>191</v>
      </c>
      <c r="C67" s="7" t="s">
        <v>21</v>
      </c>
      <c r="D67" s="7" t="s">
        <v>193</v>
      </c>
      <c r="E67" s="7" t="s">
        <v>192</v>
      </c>
      <c r="F67" s="8"/>
      <c r="G67" s="9" t="str">
        <f t="shared" si="10"/>
        <v>KCE1E</v>
      </c>
      <c r="H67" s="9" t="str">
        <f t="shared" si="11"/>
        <v>14</v>
      </c>
      <c r="I67" s="9" t="str">
        <f t="shared" si="12"/>
        <v>04</v>
      </c>
      <c r="J67" s="9" t="str">
        <f t="shared" si="13"/>
        <v>2025</v>
      </c>
      <c r="K67" s="10" t="str">
        <f t="shared" si="14"/>
        <v>14/04/2025</v>
      </c>
      <c r="L67" s="9" t="str">
        <f t="shared" si="15"/>
        <v>07</v>
      </c>
      <c r="M67" s="9" t="str">
        <f t="shared" si="16"/>
        <v>07</v>
      </c>
      <c r="N67" s="9" t="str">
        <f t="shared" si="17"/>
        <v>2025</v>
      </c>
      <c r="O67" s="10" t="str">
        <f t="shared" si="18"/>
        <v>07/07/2025</v>
      </c>
      <c r="P67" s="9">
        <f t="shared" si="19"/>
        <v>84</v>
      </c>
      <c r="Q67" t="str">
        <f>VLOOKUP(A67,[1]Sheet2!$I$2:$O$496,7,FALSE())</f>
        <v>https://fruitbasket.blob.core.windows.net/gk2o5k/avatar/21211495220250707150340T5OH0T.jpg</v>
      </c>
    </row>
    <row r="68" spans="1:17" ht="13.8" hidden="1" x14ac:dyDescent="0.25">
      <c r="A68" s="11" t="s">
        <v>679</v>
      </c>
      <c r="B68" s="7" t="s">
        <v>130</v>
      </c>
      <c r="C68" s="7" t="s">
        <v>15</v>
      </c>
      <c r="D68" s="7" t="s">
        <v>680</v>
      </c>
      <c r="E68" s="7" t="s">
        <v>420</v>
      </c>
      <c r="F68" s="8"/>
      <c r="G68" s="9" t="str">
        <f t="shared" si="10"/>
        <v>JMC1E</v>
      </c>
      <c r="H68" s="9" t="str">
        <f t="shared" si="11"/>
        <v>10</v>
      </c>
      <c r="I68" s="9" t="str">
        <f t="shared" si="12"/>
        <v>06</v>
      </c>
      <c r="J68" s="9" t="str">
        <f t="shared" si="13"/>
        <v>2025</v>
      </c>
      <c r="K68" s="10" t="str">
        <f t="shared" si="14"/>
        <v>10/06/2025</v>
      </c>
      <c r="L68" s="9" t="str">
        <f t="shared" si="15"/>
        <v>29</v>
      </c>
      <c r="M68" s="9" t="str">
        <f t="shared" si="16"/>
        <v>07</v>
      </c>
      <c r="N68" s="9" t="str">
        <f t="shared" si="17"/>
        <v>2025</v>
      </c>
      <c r="O68" s="10" t="str">
        <f t="shared" si="18"/>
        <v>29/07/2025</v>
      </c>
      <c r="P68" s="9">
        <f t="shared" si="19"/>
        <v>49</v>
      </c>
      <c r="Q68" t="str">
        <f>VLOOKUP(A68,[1]Sheet2!$I$2:$O$496,7,FALSE())</f>
        <v>https://fruitbasket.blob.core.windows.net/gk2o5k/avatar/21317222720250729121441EIL2W5.jpg</v>
      </c>
    </row>
    <row r="69" spans="1:17" ht="13.8" hidden="1" x14ac:dyDescent="0.25">
      <c r="A69" s="11" t="s">
        <v>648</v>
      </c>
      <c r="B69" s="7" t="s">
        <v>615</v>
      </c>
      <c r="C69" s="7" t="s">
        <v>28</v>
      </c>
      <c r="D69" s="7" t="s">
        <v>649</v>
      </c>
      <c r="E69" s="7" t="s">
        <v>131</v>
      </c>
      <c r="F69" s="8"/>
      <c r="G69" s="9" t="str">
        <f t="shared" si="10"/>
        <v>KB22E</v>
      </c>
      <c r="H69" s="9" t="str">
        <f t="shared" si="11"/>
        <v>14</v>
      </c>
      <c r="I69" s="9" t="str">
        <f t="shared" si="12"/>
        <v>11</v>
      </c>
      <c r="J69" s="9" t="str">
        <f t="shared" si="13"/>
        <v>2024</v>
      </c>
      <c r="K69" s="10" t="str">
        <f t="shared" si="14"/>
        <v>14/11/2024</v>
      </c>
      <c r="L69" s="9" t="str">
        <f t="shared" si="15"/>
        <v>09</v>
      </c>
      <c r="M69" s="9" t="str">
        <f t="shared" si="16"/>
        <v>07</v>
      </c>
      <c r="N69" s="9" t="str">
        <f t="shared" si="17"/>
        <v>2025</v>
      </c>
      <c r="O69" s="10" t="str">
        <f t="shared" si="18"/>
        <v>09/07/2025</v>
      </c>
      <c r="P69" s="9">
        <f t="shared" si="19"/>
        <v>237</v>
      </c>
      <c r="Q69" t="str">
        <f>VLOOKUP(A69,[1]Sheet2!$I$2:$O$496,7,FALSE())</f>
        <v>https://fruitbasket.blob.core.windows.net/gk2o5k/avatar/21194980920250709131552PZK3AG.jpg</v>
      </c>
    </row>
    <row r="70" spans="1:17" ht="13.8" hidden="1" x14ac:dyDescent="0.25">
      <c r="A70" s="11" t="s">
        <v>187</v>
      </c>
      <c r="B70" s="7" t="s">
        <v>188</v>
      </c>
      <c r="C70" s="7" t="s">
        <v>15</v>
      </c>
      <c r="D70" s="7" t="s">
        <v>189</v>
      </c>
      <c r="E70" s="7" t="s">
        <v>112</v>
      </c>
      <c r="F70" s="8"/>
      <c r="G70" s="9" t="str">
        <f t="shared" si="10"/>
        <v>KC04E</v>
      </c>
      <c r="H70" s="9" t="str">
        <f t="shared" si="11"/>
        <v>25</v>
      </c>
      <c r="I70" s="9" t="str">
        <f t="shared" si="12"/>
        <v>06</v>
      </c>
      <c r="J70" s="9" t="str">
        <f t="shared" si="13"/>
        <v>2025</v>
      </c>
      <c r="K70" s="10" t="str">
        <f t="shared" si="14"/>
        <v>25/06/2025</v>
      </c>
      <c r="L70" s="9" t="str">
        <f t="shared" si="15"/>
        <v>05</v>
      </c>
      <c r="M70" s="9" t="str">
        <f t="shared" si="16"/>
        <v>07</v>
      </c>
      <c r="N70" s="9" t="str">
        <f t="shared" si="17"/>
        <v>2025</v>
      </c>
      <c r="O70" s="10" t="str">
        <f t="shared" si="18"/>
        <v>05/07/2025</v>
      </c>
      <c r="P70" s="9">
        <f t="shared" si="19"/>
        <v>10</v>
      </c>
      <c r="Q70" t="str">
        <f>VLOOKUP(A70,[1]Sheet2!$I$2:$O$496,7,FALSE())</f>
        <v>https://fruitbasket.blob.core.windows.net/gk2o5k/avatar/21341731220250705122741J0TNQU.jpg</v>
      </c>
    </row>
    <row r="71" spans="1:17" ht="13.8" hidden="1" x14ac:dyDescent="0.25">
      <c r="A71" s="11" t="s">
        <v>690</v>
      </c>
      <c r="B71" s="7" t="s">
        <v>464</v>
      </c>
      <c r="C71" s="7" t="s">
        <v>21</v>
      </c>
      <c r="D71" s="7" t="s">
        <v>691</v>
      </c>
      <c r="E71" s="7" t="s">
        <v>137</v>
      </c>
      <c r="F71" s="8"/>
      <c r="G71" s="9" t="str">
        <f t="shared" si="10"/>
        <v>JMC1E</v>
      </c>
      <c r="H71" s="9" t="str">
        <f t="shared" si="11"/>
        <v>08</v>
      </c>
      <c r="I71" s="9" t="str">
        <f t="shared" si="12"/>
        <v>05</v>
      </c>
      <c r="J71" s="9" t="str">
        <f t="shared" si="13"/>
        <v>2025</v>
      </c>
      <c r="K71" s="10" t="str">
        <f t="shared" si="14"/>
        <v>08/05/2025</v>
      </c>
      <c r="L71" s="9" t="str">
        <f t="shared" si="15"/>
        <v>10</v>
      </c>
      <c r="M71" s="9" t="str">
        <f t="shared" si="16"/>
        <v>07</v>
      </c>
      <c r="N71" s="9" t="str">
        <f t="shared" si="17"/>
        <v>2025</v>
      </c>
      <c r="O71" s="10" t="str">
        <f t="shared" si="18"/>
        <v>10/07/2025</v>
      </c>
      <c r="P71" s="9">
        <f t="shared" si="19"/>
        <v>63</v>
      </c>
      <c r="Q71" t="str">
        <f>VLOOKUP(A71,[1]Sheet2!$I$2:$O$496,7,FALSE())</f>
        <v>https://fruitbasket.blob.core.windows.net/gk2o5k/avatar/21195161620250710101042TI1TKO.jpg</v>
      </c>
    </row>
    <row r="72" spans="1:17" ht="13.8" x14ac:dyDescent="0.25">
      <c r="A72" s="21" t="s">
        <v>487</v>
      </c>
      <c r="B72" s="7" t="s">
        <v>488</v>
      </c>
      <c r="C72" s="7" t="s">
        <v>28</v>
      </c>
      <c r="D72" s="7" t="s">
        <v>489</v>
      </c>
      <c r="E72" s="7" t="s">
        <v>112</v>
      </c>
      <c r="F72" s="9" t="s">
        <v>784</v>
      </c>
      <c r="G72" s="9" t="str">
        <f t="shared" si="10"/>
        <v>JBK1E</v>
      </c>
      <c r="H72" s="9" t="str">
        <f t="shared" si="11"/>
        <v>09</v>
      </c>
      <c r="I72" s="9" t="str">
        <f t="shared" si="12"/>
        <v>12</v>
      </c>
      <c r="J72" s="9" t="str">
        <f t="shared" si="13"/>
        <v>2024</v>
      </c>
      <c r="K72" s="10" t="str">
        <f t="shared" si="14"/>
        <v>09/12/2024</v>
      </c>
      <c r="L72" s="9" t="str">
        <f t="shared" si="15"/>
        <v>05</v>
      </c>
      <c r="M72" s="9" t="str">
        <f t="shared" si="16"/>
        <v>07</v>
      </c>
      <c r="N72" s="9" t="str">
        <f t="shared" si="17"/>
        <v>2025</v>
      </c>
      <c r="O72" s="10" t="str">
        <f t="shared" si="18"/>
        <v>05/07/2025</v>
      </c>
      <c r="P72" s="9">
        <f t="shared" si="19"/>
        <v>208</v>
      </c>
      <c r="Q72" t="str">
        <f>VLOOKUP(A72,[1]Sheet2!$I$2:$O$496,7,FALSE())</f>
        <v>https://fruitbasket.blob.core.windows.net/gk2o5k/avatar/21230609020250705142746J124GX.jpg</v>
      </c>
    </row>
    <row r="73" spans="1:17" ht="13.8" hidden="1" x14ac:dyDescent="0.25">
      <c r="A73" s="11" t="s">
        <v>587</v>
      </c>
      <c r="B73" s="7" t="s">
        <v>526</v>
      </c>
      <c r="C73" s="7" t="s">
        <v>21</v>
      </c>
      <c r="D73" s="7" t="s">
        <v>589</v>
      </c>
      <c r="E73" s="7" t="s">
        <v>588</v>
      </c>
      <c r="F73" s="8"/>
      <c r="G73" s="9" t="str">
        <f t="shared" si="10"/>
        <v>JMH2E</v>
      </c>
      <c r="H73" s="9" t="str">
        <f t="shared" si="11"/>
        <v>24</v>
      </c>
      <c r="I73" s="9" t="str">
        <f t="shared" si="12"/>
        <v>03</v>
      </c>
      <c r="J73" s="9" t="str">
        <f t="shared" si="13"/>
        <v>2025</v>
      </c>
      <c r="K73" s="10" t="str">
        <f t="shared" si="14"/>
        <v>24/03/2025</v>
      </c>
      <c r="L73" s="9" t="str">
        <f t="shared" si="15"/>
        <v>27</v>
      </c>
      <c r="M73" s="9" t="str">
        <f t="shared" si="16"/>
        <v>07</v>
      </c>
      <c r="N73" s="9" t="str">
        <f t="shared" si="17"/>
        <v>2025</v>
      </c>
      <c r="O73" s="10" t="str">
        <f t="shared" si="18"/>
        <v>27/07/2025</v>
      </c>
      <c r="P73" s="9">
        <f t="shared" si="19"/>
        <v>125</v>
      </c>
      <c r="Q73" t="str">
        <f>VLOOKUP(A73,[1]Sheet2!$I$2:$O$496,7,FALSE())</f>
        <v>https://fruitbasket.blob.core.windows.net/gk2o5k/avatar/2555899920250727112621CBY1H7.jpg</v>
      </c>
    </row>
    <row r="74" spans="1:17" ht="13.8" hidden="1" x14ac:dyDescent="0.25">
      <c r="A74" s="11" t="s">
        <v>596</v>
      </c>
      <c r="B74" s="7" t="s">
        <v>516</v>
      </c>
      <c r="C74" s="7" t="s">
        <v>28</v>
      </c>
      <c r="D74" s="7" t="s">
        <v>597</v>
      </c>
      <c r="E74" s="7" t="s">
        <v>218</v>
      </c>
      <c r="F74" s="8"/>
      <c r="G74" s="9" t="str">
        <f t="shared" si="10"/>
        <v>JMH2E</v>
      </c>
      <c r="H74" s="9" t="str">
        <f t="shared" si="11"/>
        <v>12</v>
      </c>
      <c r="I74" s="9" t="str">
        <f t="shared" si="12"/>
        <v>02</v>
      </c>
      <c r="J74" s="9" t="str">
        <f t="shared" si="13"/>
        <v>2025</v>
      </c>
      <c r="K74" s="10" t="str">
        <f t="shared" si="14"/>
        <v>12/02/2025</v>
      </c>
      <c r="L74" s="9" t="str">
        <f t="shared" si="15"/>
        <v>30</v>
      </c>
      <c r="M74" s="9" t="str">
        <f t="shared" si="16"/>
        <v>07</v>
      </c>
      <c r="N74" s="9" t="str">
        <f t="shared" si="17"/>
        <v>2025</v>
      </c>
      <c r="O74" s="10" t="str">
        <f t="shared" si="18"/>
        <v>30/07/2025</v>
      </c>
      <c r="P74" s="9">
        <f t="shared" si="19"/>
        <v>168</v>
      </c>
      <c r="Q74" t="str">
        <f>VLOOKUP(A74,[1]Sheet2!$I$2:$O$496,7,FALSE())</f>
        <v>https://fruitbasket.blob.core.windows.net/gk2o5k/avatar/21330000320250730140130AODTK5.jpg</v>
      </c>
    </row>
    <row r="75" spans="1:17" ht="13.8" hidden="1" x14ac:dyDescent="0.25">
      <c r="A75" s="11" t="s">
        <v>669</v>
      </c>
      <c r="B75" s="7" t="s">
        <v>112</v>
      </c>
      <c r="C75" s="7" t="s">
        <v>15</v>
      </c>
      <c r="D75" s="7" t="s">
        <v>670</v>
      </c>
      <c r="E75" s="7" t="s">
        <v>245</v>
      </c>
      <c r="F75" s="8"/>
      <c r="G75" s="9" t="str">
        <f t="shared" si="10"/>
        <v>JMD1E</v>
      </c>
      <c r="H75" s="9" t="str">
        <f t="shared" si="11"/>
        <v>05</v>
      </c>
      <c r="I75" s="9" t="str">
        <f t="shared" si="12"/>
        <v>07</v>
      </c>
      <c r="J75" s="9" t="str">
        <f t="shared" si="13"/>
        <v>2025</v>
      </c>
      <c r="K75" s="10" t="str">
        <f t="shared" si="14"/>
        <v>05/07/2025</v>
      </c>
      <c r="L75" s="9" t="str">
        <f t="shared" si="15"/>
        <v>19</v>
      </c>
      <c r="M75" s="9" t="str">
        <f t="shared" si="16"/>
        <v>07</v>
      </c>
      <c r="N75" s="9" t="str">
        <f t="shared" si="17"/>
        <v>2025</v>
      </c>
      <c r="O75" s="10" t="str">
        <f t="shared" si="18"/>
        <v>19/07/2025</v>
      </c>
      <c r="P75" s="9">
        <f t="shared" si="19"/>
        <v>14</v>
      </c>
      <c r="Q75" t="str">
        <f>VLOOKUP(A75,[1]Sheet2!$I$2:$O$496,7,FALSE())</f>
        <v>https://fruitbasket.blob.core.windows.net/gk2o5k/avatar/21277637120250719103647HQII7Z.jpg</v>
      </c>
    </row>
    <row r="76" spans="1:17" ht="13.8" x14ac:dyDescent="0.25">
      <c r="A76" s="21" t="s">
        <v>493</v>
      </c>
      <c r="B76" s="7" t="s">
        <v>494</v>
      </c>
      <c r="C76" s="7" t="s">
        <v>28</v>
      </c>
      <c r="D76" s="7" t="s">
        <v>495</v>
      </c>
      <c r="E76" s="7" t="s">
        <v>112</v>
      </c>
      <c r="F76" s="9" t="s">
        <v>797</v>
      </c>
      <c r="G76" s="9" t="str">
        <f t="shared" si="10"/>
        <v>JBK3E</v>
      </c>
      <c r="H76" s="9" t="str">
        <f t="shared" si="11"/>
        <v>10</v>
      </c>
      <c r="I76" s="9" t="str">
        <f t="shared" si="12"/>
        <v>12</v>
      </c>
      <c r="J76" s="9" t="str">
        <f t="shared" si="13"/>
        <v>2024</v>
      </c>
      <c r="K76" s="10" t="str">
        <f t="shared" si="14"/>
        <v>10/12/2024</v>
      </c>
      <c r="L76" s="9" t="str">
        <f t="shared" si="15"/>
        <v>05</v>
      </c>
      <c r="M76" s="9" t="str">
        <f t="shared" si="16"/>
        <v>07</v>
      </c>
      <c r="N76" s="9" t="str">
        <f t="shared" si="17"/>
        <v>2025</v>
      </c>
      <c r="O76" s="10" t="str">
        <f t="shared" si="18"/>
        <v>05/07/2025</v>
      </c>
      <c r="P76" s="9">
        <f t="shared" si="19"/>
        <v>207</v>
      </c>
      <c r="Q76" t="str">
        <f>VLOOKUP(A76,[1]Sheet2!$I$2:$O$496,7,FALSE())</f>
        <v>https://fruitbasket.blob.core.windows.net/gk2o5k/avatar/21231250120250705141924WMFZYC.jpg</v>
      </c>
    </row>
    <row r="77" spans="1:17" ht="13.8" x14ac:dyDescent="0.25">
      <c r="A77" s="21" t="s">
        <v>415</v>
      </c>
      <c r="B77" s="7" t="s">
        <v>245</v>
      </c>
      <c r="C77" s="7" t="s">
        <v>15</v>
      </c>
      <c r="D77" s="7" t="s">
        <v>416</v>
      </c>
      <c r="E77" s="7" t="s">
        <v>157</v>
      </c>
      <c r="F77" s="12" t="s">
        <v>830</v>
      </c>
      <c r="G77" s="9" t="str">
        <f t="shared" si="10"/>
        <v>JBK3E</v>
      </c>
      <c r="H77" s="9" t="str">
        <f t="shared" si="11"/>
        <v>19</v>
      </c>
      <c r="I77" s="9" t="str">
        <f t="shared" si="12"/>
        <v>07</v>
      </c>
      <c r="J77" s="9" t="str">
        <f t="shared" si="13"/>
        <v>2025</v>
      </c>
      <c r="K77" s="10" t="str">
        <f t="shared" si="14"/>
        <v>19/07/2025</v>
      </c>
      <c r="L77" s="9" t="str">
        <f t="shared" si="15"/>
        <v>26</v>
      </c>
      <c r="M77" s="9" t="str">
        <f t="shared" si="16"/>
        <v>07</v>
      </c>
      <c r="N77" s="9" t="str">
        <f t="shared" si="17"/>
        <v>2025</v>
      </c>
      <c r="O77" s="10" t="str">
        <f t="shared" si="18"/>
        <v>26/07/2025</v>
      </c>
      <c r="P77" s="9">
        <f t="shared" si="19"/>
        <v>7</v>
      </c>
      <c r="Q77" t="str">
        <f>VLOOKUP(A77,[1]Sheet2!$I$2:$O$496,7,FALSE())</f>
        <v>https://fruitbasket.blob.core.windows.net/gk2o5k/avatar/21296740520250726124620KB1YEZ.jpg</v>
      </c>
    </row>
    <row r="78" spans="1:17" ht="13.8" hidden="1" x14ac:dyDescent="0.25">
      <c r="A78" s="11" t="s">
        <v>170</v>
      </c>
      <c r="B78" s="7" t="s">
        <v>171</v>
      </c>
      <c r="C78" s="7" t="s">
        <v>21</v>
      </c>
      <c r="D78" s="7" t="s">
        <v>172</v>
      </c>
      <c r="E78" s="7" t="s">
        <v>157</v>
      </c>
      <c r="F78" s="8"/>
      <c r="G78" s="9" t="str">
        <f t="shared" si="10"/>
        <v>JMF1E</v>
      </c>
      <c r="H78" s="9" t="str">
        <f t="shared" si="11"/>
        <v>08</v>
      </c>
      <c r="I78" s="9" t="str">
        <f t="shared" si="12"/>
        <v>04</v>
      </c>
      <c r="J78" s="9" t="str">
        <f t="shared" si="13"/>
        <v>2025</v>
      </c>
      <c r="K78" s="10" t="str">
        <f t="shared" si="14"/>
        <v>08/04/2025</v>
      </c>
      <c r="L78" s="9" t="str">
        <f t="shared" si="15"/>
        <v>26</v>
      </c>
      <c r="M78" s="9" t="str">
        <f t="shared" si="16"/>
        <v>07</v>
      </c>
      <c r="N78" s="9" t="str">
        <f t="shared" si="17"/>
        <v>2025</v>
      </c>
      <c r="O78" s="10" t="str">
        <f t="shared" si="18"/>
        <v>26/07/2025</v>
      </c>
      <c r="P78" s="9">
        <f t="shared" si="19"/>
        <v>109</v>
      </c>
      <c r="Q78" t="str">
        <f>VLOOKUP(A78,[1]Sheet2!$I$2:$O$496,7,FALSE())</f>
        <v>https://fruitbasket.blob.core.windows.net/gk2o5k/avatar/21311896620250726170515IGQERS.jpg</v>
      </c>
    </row>
    <row r="79" spans="1:17" ht="13.8" x14ac:dyDescent="0.25">
      <c r="A79" s="21" t="s">
        <v>496</v>
      </c>
      <c r="B79" s="7" t="s">
        <v>497</v>
      </c>
      <c r="C79" s="7" t="s">
        <v>28</v>
      </c>
      <c r="D79" s="7" t="s">
        <v>498</v>
      </c>
      <c r="E79" s="7" t="s">
        <v>112</v>
      </c>
      <c r="F79" s="12" t="s">
        <v>830</v>
      </c>
      <c r="G79" s="9" t="str">
        <f t="shared" si="10"/>
        <v>JBK3E</v>
      </c>
      <c r="H79" s="9" t="str">
        <f t="shared" si="11"/>
        <v>11</v>
      </c>
      <c r="I79" s="9" t="str">
        <f t="shared" si="12"/>
        <v>12</v>
      </c>
      <c r="J79" s="9" t="str">
        <f t="shared" si="13"/>
        <v>2024</v>
      </c>
      <c r="K79" s="10" t="str">
        <f t="shared" si="14"/>
        <v>11/12/2024</v>
      </c>
      <c r="L79" s="9" t="str">
        <f t="shared" si="15"/>
        <v>05</v>
      </c>
      <c r="M79" s="9" t="str">
        <f t="shared" si="16"/>
        <v>07</v>
      </c>
      <c r="N79" s="9" t="str">
        <f t="shared" si="17"/>
        <v>2025</v>
      </c>
      <c r="O79" s="10" t="str">
        <f t="shared" si="18"/>
        <v>05/07/2025</v>
      </c>
      <c r="P79" s="9">
        <f t="shared" si="19"/>
        <v>206</v>
      </c>
      <c r="Q79" t="str">
        <f>VLOOKUP(A79,[1]Sheet2!$I$2:$O$496,7,FALSE())</f>
        <v>https://fruitbasket.blob.core.windows.net/gk2o5k/avatar/21231762720250705161302E0N2WL.jpg</v>
      </c>
    </row>
    <row r="80" spans="1:17" ht="13.8" hidden="1" x14ac:dyDescent="0.25">
      <c r="A80" s="11" t="s">
        <v>684</v>
      </c>
      <c r="B80" s="7" t="s">
        <v>685</v>
      </c>
      <c r="C80" s="7" t="s">
        <v>21</v>
      </c>
      <c r="D80" s="7" t="s">
        <v>686</v>
      </c>
      <c r="E80" s="7" t="s">
        <v>192</v>
      </c>
      <c r="F80" s="8"/>
      <c r="G80" s="9" t="str">
        <f t="shared" si="10"/>
        <v>JMD1E</v>
      </c>
      <c r="H80" s="9" t="str">
        <f t="shared" si="11"/>
        <v>05</v>
      </c>
      <c r="I80" s="9" t="str">
        <f t="shared" si="12"/>
        <v>03</v>
      </c>
      <c r="J80" s="9" t="str">
        <f t="shared" si="13"/>
        <v>2025</v>
      </c>
      <c r="K80" s="10" t="str">
        <f t="shared" si="14"/>
        <v>05/03/2025</v>
      </c>
      <c r="L80" s="9" t="str">
        <f t="shared" si="15"/>
        <v>07</v>
      </c>
      <c r="M80" s="9" t="str">
        <f t="shared" si="16"/>
        <v>07</v>
      </c>
      <c r="N80" s="9" t="str">
        <f t="shared" si="17"/>
        <v>2025</v>
      </c>
      <c r="O80" s="10" t="str">
        <f t="shared" si="18"/>
        <v>07/07/2025</v>
      </c>
      <c r="P80" s="9">
        <f t="shared" si="19"/>
        <v>124</v>
      </c>
      <c r="Q80" t="str">
        <f>VLOOKUP(A80,[1]Sheet2!$I$2:$O$496,7,FALSE())</f>
        <v>https://fruitbasket.blob.core.windows.net/gk2o5k/avatar/21278652320250707143437IG9YPD.jpg</v>
      </c>
    </row>
    <row r="81" spans="1:17" ht="13.8" hidden="1" x14ac:dyDescent="0.25">
      <c r="A81" s="11" t="s">
        <v>381</v>
      </c>
      <c r="B81" s="7" t="s">
        <v>111</v>
      </c>
      <c r="C81" s="7" t="s">
        <v>15</v>
      </c>
      <c r="D81" s="7" t="s">
        <v>382</v>
      </c>
      <c r="E81" s="7" t="s">
        <v>245</v>
      </c>
      <c r="F81" s="8"/>
      <c r="G81" s="9" t="str">
        <f t="shared" si="10"/>
        <v>JBK3E</v>
      </c>
      <c r="H81" s="9" t="str">
        <f t="shared" si="11"/>
        <v>28</v>
      </c>
      <c r="I81" s="9" t="str">
        <f t="shared" si="12"/>
        <v>06</v>
      </c>
      <c r="J81" s="9" t="str">
        <f t="shared" si="13"/>
        <v>2025</v>
      </c>
      <c r="K81" s="10" t="str">
        <f t="shared" si="14"/>
        <v>28/06/2025</v>
      </c>
      <c r="L81" s="9" t="str">
        <f t="shared" si="15"/>
        <v>19</v>
      </c>
      <c r="M81" s="9" t="str">
        <f t="shared" si="16"/>
        <v>07</v>
      </c>
      <c r="N81" s="9" t="str">
        <f t="shared" si="17"/>
        <v>2025</v>
      </c>
      <c r="O81" s="10" t="str">
        <f t="shared" si="18"/>
        <v>19/07/2025</v>
      </c>
      <c r="P81" s="9">
        <f t="shared" si="19"/>
        <v>21</v>
      </c>
      <c r="Q81" t="str">
        <f>VLOOKUP(A81,[1]Sheet2!$I$2:$O$496,7,FALSE())</f>
        <v>https://fruitbasket.blob.core.windows.net/gk2o5k/avatar/21346998420250719150240KUML2M.jpg</v>
      </c>
    </row>
    <row r="82" spans="1:17" ht="13.8" hidden="1" x14ac:dyDescent="0.25">
      <c r="A82" s="11" t="s">
        <v>237</v>
      </c>
      <c r="B82" s="7" t="s">
        <v>238</v>
      </c>
      <c r="C82" s="7" t="s">
        <v>28</v>
      </c>
      <c r="D82" s="7" t="s">
        <v>239</v>
      </c>
      <c r="E82" s="7" t="s">
        <v>229</v>
      </c>
      <c r="F82" s="8"/>
      <c r="G82" s="9" t="str">
        <f t="shared" si="10"/>
        <v>JMA1E</v>
      </c>
      <c r="H82" s="9" t="str">
        <f t="shared" si="11"/>
        <v>18</v>
      </c>
      <c r="I82" s="9" t="str">
        <f t="shared" si="12"/>
        <v>03</v>
      </c>
      <c r="J82" s="9" t="str">
        <f t="shared" si="13"/>
        <v>2025</v>
      </c>
      <c r="K82" s="10" t="str">
        <f t="shared" si="14"/>
        <v>18/03/2025</v>
      </c>
      <c r="L82" s="9" t="str">
        <f t="shared" si="15"/>
        <v>25</v>
      </c>
      <c r="M82" s="9" t="str">
        <f t="shared" si="16"/>
        <v>07</v>
      </c>
      <c r="N82" s="9" t="str">
        <f t="shared" si="17"/>
        <v>2025</v>
      </c>
      <c r="O82" s="10" t="str">
        <f t="shared" si="18"/>
        <v>25/07/2025</v>
      </c>
      <c r="P82" s="9">
        <f t="shared" si="19"/>
        <v>129</v>
      </c>
      <c r="Q82" t="str">
        <f>VLOOKUP(A82,[1]Sheet2!$I$2:$O$496,7,FALSE())</f>
        <v>https://fruitbasket.blob.core.windows.net/gk2o5k/avatar/21285857720250725152015TO7TMD.jpg</v>
      </c>
    </row>
    <row r="83" spans="1:17" ht="13.8" x14ac:dyDescent="0.25">
      <c r="A83" s="11" t="s">
        <v>234</v>
      </c>
      <c r="B83" s="13" t="s">
        <v>235</v>
      </c>
      <c r="C83" s="7" t="s">
        <v>21</v>
      </c>
      <c r="D83" s="7" t="s">
        <v>236</v>
      </c>
      <c r="E83" s="7" t="s">
        <v>179</v>
      </c>
      <c r="F83" s="8" t="s">
        <v>777</v>
      </c>
      <c r="G83" s="9" t="str">
        <f t="shared" si="10"/>
        <v>JMB1E</v>
      </c>
      <c r="H83" s="9" t="str">
        <f t="shared" si="11"/>
        <v>25</v>
      </c>
      <c r="I83" s="9" t="str">
        <f t="shared" si="12"/>
        <v>05</v>
      </c>
      <c r="J83" s="9" t="str">
        <f t="shared" si="13"/>
        <v>2025</v>
      </c>
      <c r="K83" s="10" t="str">
        <f t="shared" si="14"/>
        <v>25/05/2025</v>
      </c>
      <c r="L83" s="9" t="str">
        <f t="shared" si="15"/>
        <v>28</v>
      </c>
      <c r="M83" s="9" t="str">
        <f t="shared" si="16"/>
        <v>07</v>
      </c>
      <c r="N83" s="9" t="str">
        <f t="shared" si="17"/>
        <v>2025</v>
      </c>
      <c r="O83" s="10" t="str">
        <f t="shared" si="18"/>
        <v>28/07/2025</v>
      </c>
      <c r="P83" s="9">
        <f t="shared" si="19"/>
        <v>64</v>
      </c>
      <c r="Q83" t="str">
        <f>VLOOKUP(A83,[1]Sheet2!$I$2:$O$496,7,FALSE())</f>
        <v>https://fruitbasket.blob.core.windows.net/gk2o5k/avatar/21319236420250728165312VX12DF.jpg</v>
      </c>
    </row>
    <row r="84" spans="1:17" ht="13.8" hidden="1" x14ac:dyDescent="0.25">
      <c r="A84" s="11" t="s">
        <v>405</v>
      </c>
      <c r="B84" s="7" t="s">
        <v>206</v>
      </c>
      <c r="C84" s="7" t="s">
        <v>15</v>
      </c>
      <c r="D84" s="7" t="s">
        <v>406</v>
      </c>
      <c r="E84" s="7" t="s">
        <v>183</v>
      </c>
      <c r="F84" s="8"/>
      <c r="G84" s="9" t="str">
        <f t="shared" si="10"/>
        <v>JBK1E</v>
      </c>
      <c r="H84" s="9" t="str">
        <f t="shared" si="11"/>
        <v>21</v>
      </c>
      <c r="I84" s="9" t="str">
        <f t="shared" si="12"/>
        <v>06</v>
      </c>
      <c r="J84" s="9" t="str">
        <f t="shared" si="13"/>
        <v>2025</v>
      </c>
      <c r="K84" s="10" t="str">
        <f t="shared" si="14"/>
        <v>21/06/2025</v>
      </c>
      <c r="L84" s="9" t="str">
        <f t="shared" si="15"/>
        <v>23</v>
      </c>
      <c r="M84" s="9" t="str">
        <f t="shared" si="16"/>
        <v>07</v>
      </c>
      <c r="N84" s="9" t="str">
        <f t="shared" si="17"/>
        <v>2025</v>
      </c>
      <c r="O84" s="10" t="str">
        <f t="shared" si="18"/>
        <v>23/07/2025</v>
      </c>
      <c r="P84" s="9">
        <f t="shared" si="19"/>
        <v>32</v>
      </c>
      <c r="Q84" t="str">
        <f>VLOOKUP(A84,[1]Sheet2!$I$2:$O$496,7,FALSE())</f>
        <v>https://fruitbasket.blob.core.windows.net/gk2o5k/avatar/21285266720250723113438GJW42L.jpg</v>
      </c>
    </row>
    <row r="85" spans="1:17" ht="13.8" hidden="1" x14ac:dyDescent="0.25">
      <c r="A85" s="11" t="s">
        <v>357</v>
      </c>
      <c r="B85" s="7" t="s">
        <v>121</v>
      </c>
      <c r="C85" s="7" t="s">
        <v>15</v>
      </c>
      <c r="D85" s="7" t="s">
        <v>358</v>
      </c>
      <c r="E85" s="7" t="s">
        <v>212</v>
      </c>
      <c r="F85" s="8"/>
      <c r="G85" s="9" t="str">
        <f t="shared" si="10"/>
        <v>JBK3E</v>
      </c>
      <c r="H85" s="9" t="str">
        <f t="shared" si="11"/>
        <v>20</v>
      </c>
      <c r="I85" s="9" t="str">
        <f t="shared" si="12"/>
        <v>06</v>
      </c>
      <c r="J85" s="9" t="str">
        <f t="shared" si="13"/>
        <v>2025</v>
      </c>
      <c r="K85" s="10" t="str">
        <f t="shared" si="14"/>
        <v>20/06/2025</v>
      </c>
      <c r="L85" s="9" t="str">
        <f t="shared" si="15"/>
        <v>15</v>
      </c>
      <c r="M85" s="9" t="str">
        <f t="shared" si="16"/>
        <v>07</v>
      </c>
      <c r="N85" s="9" t="str">
        <f t="shared" si="17"/>
        <v>2025</v>
      </c>
      <c r="O85" s="10" t="str">
        <f t="shared" si="18"/>
        <v>15/07/2025</v>
      </c>
      <c r="P85" s="9">
        <f t="shared" si="19"/>
        <v>25</v>
      </c>
      <c r="Q85" t="str">
        <f>VLOOKUP(A85,[1]Sheet2!$I$2:$O$496,7,FALSE())</f>
        <v>https://fruitbasket.blob.core.windows.net/gk2o5k/avatar/21341258420250715095152VJKSTE.jpg</v>
      </c>
    </row>
    <row r="86" spans="1:17" ht="13.8" hidden="1" x14ac:dyDescent="0.25">
      <c r="A86" s="11" t="s">
        <v>617</v>
      </c>
      <c r="B86" s="7" t="s">
        <v>609</v>
      </c>
      <c r="C86" s="7" t="s">
        <v>15</v>
      </c>
      <c r="D86" s="7" t="s">
        <v>618</v>
      </c>
      <c r="E86" s="7" t="s">
        <v>112</v>
      </c>
      <c r="F86" s="8"/>
      <c r="G86" s="9" t="str">
        <f t="shared" si="10"/>
        <v>KFC1E</v>
      </c>
      <c r="H86" s="9" t="str">
        <f t="shared" si="11"/>
        <v>28</v>
      </c>
      <c r="I86" s="9" t="str">
        <f t="shared" si="12"/>
        <v>05</v>
      </c>
      <c r="J86" s="9" t="str">
        <f t="shared" si="13"/>
        <v>2025</v>
      </c>
      <c r="K86" s="10" t="str">
        <f t="shared" si="14"/>
        <v>28/05/2025</v>
      </c>
      <c r="L86" s="9" t="str">
        <f t="shared" si="15"/>
        <v>05</v>
      </c>
      <c r="M86" s="9" t="str">
        <f t="shared" si="16"/>
        <v>07</v>
      </c>
      <c r="N86" s="9" t="str">
        <f t="shared" si="17"/>
        <v>2025</v>
      </c>
      <c r="O86" s="10" t="str">
        <f t="shared" si="18"/>
        <v>05/07/2025</v>
      </c>
      <c r="P86" s="9">
        <f t="shared" si="19"/>
        <v>38</v>
      </c>
      <c r="Q86" t="str">
        <f>VLOOKUP(A86,[1]Sheet2!$I$2:$O$496,7,FALSE())</f>
        <v>https://fruitbasket.blob.core.windows.net/gk2o5k/avatar/21330706320250705123252FK05SJ.jpg</v>
      </c>
    </row>
    <row r="87" spans="1:17" ht="13.8" x14ac:dyDescent="0.25">
      <c r="A87" s="21" t="s">
        <v>208</v>
      </c>
      <c r="B87" s="7" t="s">
        <v>108</v>
      </c>
      <c r="C87" s="7" t="s">
        <v>15</v>
      </c>
      <c r="D87" s="7" t="s">
        <v>209</v>
      </c>
      <c r="E87" s="7" t="s">
        <v>144</v>
      </c>
      <c r="F87" s="9" t="s">
        <v>821</v>
      </c>
      <c r="G87" s="9" t="str">
        <f t="shared" si="10"/>
        <v>KD11E</v>
      </c>
      <c r="H87" s="9" t="str">
        <f t="shared" si="11"/>
        <v>04</v>
      </c>
      <c r="I87" s="9" t="str">
        <f t="shared" si="12"/>
        <v>07</v>
      </c>
      <c r="J87" s="9" t="str">
        <f t="shared" si="13"/>
        <v>2025</v>
      </c>
      <c r="K87" s="10" t="str">
        <f t="shared" si="14"/>
        <v>04/07/2025</v>
      </c>
      <c r="L87" s="9" t="str">
        <f t="shared" si="15"/>
        <v>12</v>
      </c>
      <c r="M87" s="9" t="str">
        <f t="shared" si="16"/>
        <v>07</v>
      </c>
      <c r="N87" s="9" t="str">
        <f t="shared" si="17"/>
        <v>2025</v>
      </c>
      <c r="O87" s="10" t="str">
        <f t="shared" si="18"/>
        <v>12/07/2025</v>
      </c>
      <c r="P87" s="9">
        <f t="shared" si="19"/>
        <v>8</v>
      </c>
      <c r="Q87" t="str">
        <f>VLOOKUP(A87,[1]Sheet2!$I$2:$O$496,7,FALSE())</f>
        <v>https://fruitbasket.blob.core.windows.net/gk2o5k/avatar/211981446202507121325277DYXUG.jpg</v>
      </c>
    </row>
    <row r="88" spans="1:17" ht="13.8" hidden="1" x14ac:dyDescent="0.25">
      <c r="A88" s="11" t="s">
        <v>445</v>
      </c>
      <c r="B88" s="7" t="s">
        <v>248</v>
      </c>
      <c r="C88" s="7" t="s">
        <v>21</v>
      </c>
      <c r="D88" s="7" t="s">
        <v>446</v>
      </c>
      <c r="E88" s="7" t="s">
        <v>192</v>
      </c>
      <c r="F88" s="8"/>
      <c r="G88" s="9" t="str">
        <f t="shared" si="10"/>
        <v>JBK1E</v>
      </c>
      <c r="H88" s="9" t="str">
        <f t="shared" si="11"/>
        <v>14</v>
      </c>
      <c r="I88" s="9" t="str">
        <f t="shared" si="12"/>
        <v>03</v>
      </c>
      <c r="J88" s="9" t="str">
        <f t="shared" si="13"/>
        <v>2025</v>
      </c>
      <c r="K88" s="10" t="str">
        <f t="shared" si="14"/>
        <v>14/03/2025</v>
      </c>
      <c r="L88" s="9" t="str">
        <f t="shared" si="15"/>
        <v>07</v>
      </c>
      <c r="M88" s="9" t="str">
        <f t="shared" si="16"/>
        <v>07</v>
      </c>
      <c r="N88" s="9" t="str">
        <f t="shared" si="17"/>
        <v>2025</v>
      </c>
      <c r="O88" s="10" t="str">
        <f t="shared" si="18"/>
        <v>07/07/2025</v>
      </c>
      <c r="P88" s="9">
        <f t="shared" si="19"/>
        <v>115</v>
      </c>
      <c r="Q88" t="str">
        <f>VLOOKUP(A88,[1]Sheet2!$I$2:$O$496,7,FALSE())</f>
        <v>https://fruitbasket.blob.core.windows.net/gk2o5k/avatar/21211402420250707144910WP5YPC.jpg</v>
      </c>
    </row>
    <row r="89" spans="1:17" ht="13.8" x14ac:dyDescent="0.25">
      <c r="A89" s="21" t="s">
        <v>395</v>
      </c>
      <c r="B89" s="7" t="s">
        <v>140</v>
      </c>
      <c r="C89" s="7" t="s">
        <v>15</v>
      </c>
      <c r="D89" s="7" t="s">
        <v>396</v>
      </c>
      <c r="E89" s="7" t="s">
        <v>393</v>
      </c>
      <c r="F89" s="9" t="s">
        <v>798</v>
      </c>
      <c r="G89" s="9" t="str">
        <f t="shared" si="10"/>
        <v>JBK3E</v>
      </c>
      <c r="H89" s="9" t="str">
        <f t="shared" si="11"/>
        <v>11</v>
      </c>
      <c r="I89" s="9" t="str">
        <f t="shared" si="12"/>
        <v>07</v>
      </c>
      <c r="J89" s="9" t="str">
        <f t="shared" si="13"/>
        <v>2025</v>
      </c>
      <c r="K89" s="10" t="str">
        <f t="shared" si="14"/>
        <v>11/07/2025</v>
      </c>
      <c r="L89" s="9" t="str">
        <f t="shared" si="15"/>
        <v>22</v>
      </c>
      <c r="M89" s="9" t="str">
        <f t="shared" si="16"/>
        <v>07</v>
      </c>
      <c r="N89" s="9" t="str">
        <f t="shared" si="17"/>
        <v>2025</v>
      </c>
      <c r="O89" s="10" t="str">
        <f t="shared" si="18"/>
        <v>22/07/2025</v>
      </c>
      <c r="P89" s="9">
        <f t="shared" si="19"/>
        <v>11</v>
      </c>
      <c r="Q89" t="str">
        <f>VLOOKUP(A89,[1]Sheet2!$I$2:$O$496,7,FALSE())</f>
        <v>https://fruitbasket.blob.core.windows.net/gk2o5k/avatar/21284747520250722145122FQLEL3.jpg</v>
      </c>
    </row>
    <row r="90" spans="1:17" ht="13.8" hidden="1" x14ac:dyDescent="0.25">
      <c r="A90" s="11" t="s">
        <v>203</v>
      </c>
      <c r="B90" s="7" t="s">
        <v>111</v>
      </c>
      <c r="C90" s="7" t="s">
        <v>15</v>
      </c>
      <c r="D90" s="7" t="s">
        <v>204</v>
      </c>
      <c r="E90" s="7" t="s">
        <v>192</v>
      </c>
      <c r="F90" s="8"/>
      <c r="G90" s="9" t="str">
        <f t="shared" si="10"/>
        <v>KD11E</v>
      </c>
      <c r="H90" s="9" t="str">
        <f t="shared" si="11"/>
        <v>28</v>
      </c>
      <c r="I90" s="9" t="str">
        <f t="shared" si="12"/>
        <v>06</v>
      </c>
      <c r="J90" s="9" t="str">
        <f t="shared" si="13"/>
        <v>2025</v>
      </c>
      <c r="K90" s="10" t="str">
        <f t="shared" si="14"/>
        <v>28/06/2025</v>
      </c>
      <c r="L90" s="9" t="str">
        <f t="shared" si="15"/>
        <v>07</v>
      </c>
      <c r="M90" s="9" t="str">
        <f t="shared" si="16"/>
        <v>07</v>
      </c>
      <c r="N90" s="9" t="str">
        <f t="shared" si="17"/>
        <v>2025</v>
      </c>
      <c r="O90" s="10" t="str">
        <f t="shared" si="18"/>
        <v>07/07/2025</v>
      </c>
      <c r="P90" s="9">
        <f t="shared" si="19"/>
        <v>9</v>
      </c>
      <c r="Q90" t="str">
        <f>VLOOKUP(A90,[1]Sheet2!$I$2:$O$496,7,FALSE())</f>
        <v>https://fruitbasket.blob.core.windows.net/gk2o5k/avatar/21197791720250707125930BZLJOW.jpg</v>
      </c>
    </row>
    <row r="91" spans="1:17" ht="13.8" hidden="1" x14ac:dyDescent="0.25">
      <c r="A91" s="11" t="s">
        <v>738</v>
      </c>
      <c r="B91" s="7" t="s">
        <v>153</v>
      </c>
      <c r="C91" s="7" t="s">
        <v>15</v>
      </c>
      <c r="D91" s="7" t="s">
        <v>739</v>
      </c>
      <c r="E91" s="7" t="s">
        <v>125</v>
      </c>
      <c r="F91" s="8"/>
      <c r="G91" s="9" t="str">
        <f t="shared" si="10"/>
        <v>KC04E</v>
      </c>
      <c r="H91" s="9" t="str">
        <f t="shared" si="11"/>
        <v>13</v>
      </c>
      <c r="I91" s="9" t="str">
        <f t="shared" si="12"/>
        <v>06</v>
      </c>
      <c r="J91" s="9" t="str">
        <f t="shared" si="13"/>
        <v>2025</v>
      </c>
      <c r="K91" s="10" t="str">
        <f t="shared" si="14"/>
        <v>13/06/2025</v>
      </c>
      <c r="L91" s="9" t="str">
        <f t="shared" si="15"/>
        <v>08</v>
      </c>
      <c r="M91" s="9" t="str">
        <f t="shared" si="16"/>
        <v>07</v>
      </c>
      <c r="N91" s="9" t="str">
        <f t="shared" si="17"/>
        <v>2025</v>
      </c>
      <c r="O91" s="10" t="str">
        <f t="shared" si="18"/>
        <v>08/07/2025</v>
      </c>
      <c r="P91" s="9">
        <f t="shared" si="19"/>
        <v>25</v>
      </c>
      <c r="Q91" t="str">
        <f>VLOOKUP(A91,[1]Sheet2!$I$2:$O$496,7,FALSE())</f>
        <v>https://fruitbasket.blob.core.windows.net/gk2o5k/avatar/21197737420250708100457PNISWE.jpg</v>
      </c>
    </row>
    <row r="92" spans="1:17" ht="13.8" hidden="1" x14ac:dyDescent="0.25">
      <c r="A92" s="11" t="s">
        <v>326</v>
      </c>
      <c r="B92" s="7" t="s">
        <v>206</v>
      </c>
      <c r="C92" s="7" t="s">
        <v>15</v>
      </c>
      <c r="D92" s="7" t="s">
        <v>327</v>
      </c>
      <c r="E92" s="7" t="s">
        <v>140</v>
      </c>
      <c r="F92" s="8"/>
      <c r="G92" s="9" t="str">
        <f t="shared" si="10"/>
        <v>JBK1E</v>
      </c>
      <c r="H92" s="9" t="str">
        <f t="shared" si="11"/>
        <v>21</v>
      </c>
      <c r="I92" s="9" t="str">
        <f t="shared" si="12"/>
        <v>06</v>
      </c>
      <c r="J92" s="9" t="str">
        <f t="shared" si="13"/>
        <v>2025</v>
      </c>
      <c r="K92" s="10" t="str">
        <f t="shared" si="14"/>
        <v>21/06/2025</v>
      </c>
      <c r="L92" s="9" t="str">
        <f t="shared" si="15"/>
        <v>11</v>
      </c>
      <c r="M92" s="9" t="str">
        <f t="shared" si="16"/>
        <v>07</v>
      </c>
      <c r="N92" s="9" t="str">
        <f t="shared" si="17"/>
        <v>2025</v>
      </c>
      <c r="O92" s="10" t="str">
        <f t="shared" si="18"/>
        <v>11/07/2025</v>
      </c>
      <c r="P92" s="9">
        <f t="shared" si="19"/>
        <v>20</v>
      </c>
      <c r="Q92" t="str">
        <f>VLOOKUP(A92,[1]Sheet2!$I$2:$O$496,7,FALSE())</f>
        <v>https://fruitbasket.blob.core.windows.net/gk2o5k/avatar/21198570720250711165343ADTKA7.jpg</v>
      </c>
    </row>
    <row r="93" spans="1:17" ht="13.8" hidden="1" x14ac:dyDescent="0.25">
      <c r="A93" s="11" t="s">
        <v>123</v>
      </c>
      <c r="B93" s="7" t="s">
        <v>124</v>
      </c>
      <c r="C93" s="7" t="s">
        <v>15</v>
      </c>
      <c r="D93" s="7" t="s">
        <v>126</v>
      </c>
      <c r="E93" s="7" t="s">
        <v>125</v>
      </c>
      <c r="F93" s="8"/>
      <c r="G93" s="9" t="str">
        <f t="shared" si="10"/>
        <v>JMF1E</v>
      </c>
      <c r="H93" s="9" t="str">
        <f t="shared" si="11"/>
        <v>16</v>
      </c>
      <c r="I93" s="9" t="str">
        <f t="shared" si="12"/>
        <v>06</v>
      </c>
      <c r="J93" s="9" t="str">
        <f t="shared" si="13"/>
        <v>2025</v>
      </c>
      <c r="K93" s="10" t="str">
        <f t="shared" si="14"/>
        <v>16/06/2025</v>
      </c>
      <c r="L93" s="9" t="str">
        <f t="shared" si="15"/>
        <v>08</v>
      </c>
      <c r="M93" s="9" t="str">
        <f t="shared" si="16"/>
        <v>07</v>
      </c>
      <c r="N93" s="9" t="str">
        <f t="shared" si="17"/>
        <v>2025</v>
      </c>
      <c r="O93" s="10" t="str">
        <f t="shared" si="18"/>
        <v>08/07/2025</v>
      </c>
      <c r="P93" s="9">
        <f t="shared" si="19"/>
        <v>22</v>
      </c>
      <c r="Q93" t="str">
        <f>VLOOKUP(A93,[1]Sheet2!$I$2:$O$496,7,FALSE())</f>
        <v>https://fruitbasket.blob.core.windows.net/gk2o5k/avatar/21197737420250708100938PMEHNG.jpg</v>
      </c>
    </row>
    <row r="94" spans="1:17" ht="13.8" hidden="1" x14ac:dyDescent="0.25">
      <c r="A94" s="11" t="s">
        <v>574</v>
      </c>
      <c r="B94" s="7" t="s">
        <v>575</v>
      </c>
      <c r="C94" s="7" t="s">
        <v>15</v>
      </c>
      <c r="D94" s="7" t="s">
        <v>576</v>
      </c>
      <c r="E94" s="7" t="s">
        <v>420</v>
      </c>
      <c r="F94" s="8"/>
      <c r="G94" s="9" t="str">
        <f t="shared" si="10"/>
        <v>JMH1E</v>
      </c>
      <c r="H94" s="9" t="str">
        <f t="shared" si="11"/>
        <v>26</v>
      </c>
      <c r="I94" s="9" t="str">
        <f t="shared" si="12"/>
        <v>06</v>
      </c>
      <c r="J94" s="9" t="str">
        <f t="shared" si="13"/>
        <v>2025</v>
      </c>
      <c r="K94" s="10" t="str">
        <f t="shared" si="14"/>
        <v>26/06/2025</v>
      </c>
      <c r="L94" s="9" t="str">
        <f t="shared" si="15"/>
        <v>29</v>
      </c>
      <c r="M94" s="9" t="str">
        <f t="shared" si="16"/>
        <v>07</v>
      </c>
      <c r="N94" s="9" t="str">
        <f t="shared" si="17"/>
        <v>2025</v>
      </c>
      <c r="O94" s="10" t="str">
        <f t="shared" si="18"/>
        <v>29/07/2025</v>
      </c>
      <c r="P94" s="9">
        <f t="shared" si="19"/>
        <v>33</v>
      </c>
      <c r="Q94" t="str">
        <f>VLOOKUP(A94,[1]Sheet2!$I$2:$O$496,7,FALSE())</f>
        <v>https://fruitbasket.blob.core.windows.net/gk2o5k/avatar/213179849202507291232539YHLHG.jpg</v>
      </c>
    </row>
    <row r="95" spans="1:17" ht="13.8" hidden="1" x14ac:dyDescent="0.25">
      <c r="A95" s="11" t="s">
        <v>732</v>
      </c>
      <c r="B95" s="7" t="s">
        <v>584</v>
      </c>
      <c r="C95" s="7" t="s">
        <v>21</v>
      </c>
      <c r="D95" s="7" t="s">
        <v>733</v>
      </c>
      <c r="E95" s="7" t="s">
        <v>420</v>
      </c>
      <c r="F95" s="8"/>
      <c r="G95" s="9" t="str">
        <f t="shared" si="10"/>
        <v>KF01E</v>
      </c>
      <c r="H95" s="9" t="str">
        <f t="shared" si="11"/>
        <v>25</v>
      </c>
      <c r="I95" s="9" t="str">
        <f t="shared" si="12"/>
        <v>03</v>
      </c>
      <c r="J95" s="9" t="str">
        <f t="shared" si="13"/>
        <v>2025</v>
      </c>
      <c r="K95" s="10" t="str">
        <f t="shared" si="14"/>
        <v>25/03/2025</v>
      </c>
      <c r="L95" s="9" t="str">
        <f t="shared" si="15"/>
        <v>29</v>
      </c>
      <c r="M95" s="9" t="str">
        <f t="shared" si="16"/>
        <v>07</v>
      </c>
      <c r="N95" s="9" t="str">
        <f t="shared" si="17"/>
        <v>2025</v>
      </c>
      <c r="O95" s="10" t="str">
        <f t="shared" si="18"/>
        <v>29/07/2025</v>
      </c>
      <c r="P95" s="9">
        <f t="shared" si="19"/>
        <v>126</v>
      </c>
      <c r="Q95" t="str">
        <f>VLOOKUP(A95,[1]Sheet2!$I$2:$O$496,7,FALSE())</f>
        <v>https://fruitbasket.blob.core.windows.net/gk2o5k/avatar/21318063020250729134648BGW96Q.jpg</v>
      </c>
    </row>
    <row r="96" spans="1:17" ht="13.8" hidden="1" x14ac:dyDescent="0.25">
      <c r="A96" s="11" t="s">
        <v>598</v>
      </c>
      <c r="B96" s="7" t="s">
        <v>599</v>
      </c>
      <c r="C96" s="7" t="s">
        <v>23</v>
      </c>
      <c r="D96" s="7" t="s">
        <v>600</v>
      </c>
      <c r="E96" s="7" t="s">
        <v>125</v>
      </c>
      <c r="F96" s="8"/>
      <c r="G96" s="9" t="str">
        <f t="shared" si="10"/>
        <v>JM04E</v>
      </c>
      <c r="H96" s="9" t="str">
        <f t="shared" si="11"/>
        <v>26</v>
      </c>
      <c r="I96" s="9" t="str">
        <f t="shared" si="12"/>
        <v>09</v>
      </c>
      <c r="J96" s="9" t="str">
        <f t="shared" si="13"/>
        <v>2024</v>
      </c>
      <c r="K96" s="10" t="str">
        <f t="shared" si="14"/>
        <v>26/09/2024</v>
      </c>
      <c r="L96" s="9" t="str">
        <f t="shared" si="15"/>
        <v>08</v>
      </c>
      <c r="M96" s="9" t="str">
        <f t="shared" si="16"/>
        <v>07</v>
      </c>
      <c r="N96" s="9" t="str">
        <f t="shared" si="17"/>
        <v>2025</v>
      </c>
      <c r="O96" s="10" t="str">
        <f t="shared" si="18"/>
        <v>08/07/2025</v>
      </c>
      <c r="P96" s="9">
        <f t="shared" si="19"/>
        <v>285</v>
      </c>
      <c r="Q96" t="str">
        <f>VLOOKUP(A96,[1]Sheet2!$I$2:$O$496,7,FALSE())</f>
        <v>https://fruitbasket.blob.core.windows.net/gk2o5k/avatar/21188975320250708095948NIHABS.jpg</v>
      </c>
    </row>
    <row r="97" spans="1:17" ht="13.8" hidden="1" x14ac:dyDescent="0.25">
      <c r="A97" s="11" t="s">
        <v>529</v>
      </c>
      <c r="B97" s="7" t="s">
        <v>226</v>
      </c>
      <c r="C97" s="7" t="s">
        <v>23</v>
      </c>
      <c r="D97" s="7" t="s">
        <v>530</v>
      </c>
      <c r="E97" s="7" t="s">
        <v>175</v>
      </c>
      <c r="F97" s="8"/>
      <c r="G97" s="9" t="str">
        <f t="shared" si="10"/>
        <v>JBK3E</v>
      </c>
      <c r="H97" s="9" t="str">
        <f t="shared" si="11"/>
        <v>19</v>
      </c>
      <c r="I97" s="9" t="str">
        <f t="shared" si="12"/>
        <v>12</v>
      </c>
      <c r="J97" s="9" t="str">
        <f t="shared" si="13"/>
        <v>2024</v>
      </c>
      <c r="K97" s="10" t="str">
        <f t="shared" si="14"/>
        <v>19/12/2024</v>
      </c>
      <c r="L97" s="9" t="str">
        <f t="shared" si="15"/>
        <v>21</v>
      </c>
      <c r="M97" s="9" t="str">
        <f t="shared" si="16"/>
        <v>07</v>
      </c>
      <c r="N97" s="9" t="str">
        <f t="shared" si="17"/>
        <v>2025</v>
      </c>
      <c r="O97" s="10" t="str">
        <f t="shared" si="18"/>
        <v>21/07/2025</v>
      </c>
      <c r="P97" s="9">
        <f t="shared" si="19"/>
        <v>214</v>
      </c>
      <c r="Q97" t="str">
        <f>VLOOKUP(A97,[1]Sheet2!$I$2:$O$496,7,FALSE())</f>
        <v>https://fruitbasket.blob.core.windows.net/gk2o5k/avatar/212359292202507211038122LHDFB.jpg</v>
      </c>
    </row>
    <row r="98" spans="1:17" ht="13.8" x14ac:dyDescent="0.25">
      <c r="A98" s="21" t="s">
        <v>110</v>
      </c>
      <c r="B98" s="7" t="s">
        <v>111</v>
      </c>
      <c r="C98" s="7" t="s">
        <v>15</v>
      </c>
      <c r="D98" s="7" t="s">
        <v>113</v>
      </c>
      <c r="E98" s="7" t="s">
        <v>112</v>
      </c>
      <c r="F98" s="12" t="s">
        <v>831</v>
      </c>
      <c r="G98" s="9" t="str">
        <f t="shared" si="10"/>
        <v>JMF2E</v>
      </c>
      <c r="H98" s="9" t="str">
        <f t="shared" si="11"/>
        <v>28</v>
      </c>
      <c r="I98" s="9" t="str">
        <f t="shared" si="12"/>
        <v>06</v>
      </c>
      <c r="J98" s="9" t="str">
        <f t="shared" si="13"/>
        <v>2025</v>
      </c>
      <c r="K98" s="10" t="str">
        <f t="shared" si="14"/>
        <v>28/06/2025</v>
      </c>
      <c r="L98" s="9" t="str">
        <f t="shared" si="15"/>
        <v>05</v>
      </c>
      <c r="M98" s="9" t="str">
        <f t="shared" si="16"/>
        <v>07</v>
      </c>
      <c r="N98" s="9" t="str">
        <f t="shared" si="17"/>
        <v>2025</v>
      </c>
      <c r="O98" s="10" t="str">
        <f t="shared" si="18"/>
        <v>05/07/2025</v>
      </c>
      <c r="P98" s="9">
        <f t="shared" si="19"/>
        <v>7</v>
      </c>
      <c r="Q98" t="str">
        <f>VLOOKUP(A98,[1]Sheet2!$I$2:$O$496,7,FALSE())</f>
        <v>https://fruitbasket.blob.core.windows.net/gk2o5k/avatar/21343474820250705092915WMN3DK.jpg</v>
      </c>
    </row>
    <row r="99" spans="1:17" ht="13.8" x14ac:dyDescent="0.25">
      <c r="A99" s="21" t="s">
        <v>490</v>
      </c>
      <c r="B99" s="7" t="s">
        <v>491</v>
      </c>
      <c r="C99" s="7" t="s">
        <v>28</v>
      </c>
      <c r="D99" s="7" t="s">
        <v>492</v>
      </c>
      <c r="E99" s="7" t="s">
        <v>112</v>
      </c>
      <c r="F99" s="9" t="s">
        <v>799</v>
      </c>
      <c r="G99" s="9" t="str">
        <f t="shared" si="10"/>
        <v>JBK3E</v>
      </c>
      <c r="H99" s="9" t="str">
        <f t="shared" si="11"/>
        <v>13</v>
      </c>
      <c r="I99" s="9" t="str">
        <f t="shared" si="12"/>
        <v>12</v>
      </c>
      <c r="J99" s="9" t="str">
        <f t="shared" si="13"/>
        <v>2024</v>
      </c>
      <c r="K99" s="10" t="str">
        <f t="shared" si="14"/>
        <v>13/12/2024</v>
      </c>
      <c r="L99" s="9" t="str">
        <f t="shared" si="15"/>
        <v>05</v>
      </c>
      <c r="M99" s="9" t="str">
        <f t="shared" si="16"/>
        <v>07</v>
      </c>
      <c r="N99" s="9" t="str">
        <f t="shared" si="17"/>
        <v>2025</v>
      </c>
      <c r="O99" s="10" t="str">
        <f t="shared" si="18"/>
        <v>05/07/2025</v>
      </c>
      <c r="P99" s="9">
        <f t="shared" si="19"/>
        <v>204</v>
      </c>
      <c r="Q99" t="str">
        <f>VLOOKUP(A99,[1]Sheet2!$I$2:$O$496,7,FALSE())</f>
        <v>https://fruitbasket.blob.core.windows.net/gk2o5k/avatar/21232968920250705142415L2QZMC.jpg</v>
      </c>
    </row>
    <row r="100" spans="1:17" ht="13.8" hidden="1" x14ac:dyDescent="0.25">
      <c r="A100" s="11" t="s">
        <v>710</v>
      </c>
      <c r="B100" s="7" t="s">
        <v>711</v>
      </c>
      <c r="C100" s="7" t="s">
        <v>23</v>
      </c>
      <c r="D100" s="7" t="s">
        <v>712</v>
      </c>
      <c r="E100" s="7" t="s">
        <v>104</v>
      </c>
      <c r="F100" s="8"/>
      <c r="G100" s="9" t="str">
        <f t="shared" si="10"/>
        <v>JMD1E</v>
      </c>
      <c r="H100" s="9" t="str">
        <f t="shared" si="11"/>
        <v>06</v>
      </c>
      <c r="I100" s="9" t="str">
        <f t="shared" si="12"/>
        <v>09</v>
      </c>
      <c r="J100" s="9" t="str">
        <f t="shared" si="13"/>
        <v>2024</v>
      </c>
      <c r="K100" s="10" t="str">
        <f t="shared" si="14"/>
        <v>06/09/2024</v>
      </c>
      <c r="L100" s="9" t="str">
        <f t="shared" si="15"/>
        <v>02</v>
      </c>
      <c r="M100" s="9" t="str">
        <f t="shared" si="16"/>
        <v>07</v>
      </c>
      <c r="N100" s="9" t="str">
        <f t="shared" si="17"/>
        <v>2025</v>
      </c>
      <c r="O100" s="10" t="str">
        <f t="shared" si="18"/>
        <v>02/07/2025</v>
      </c>
      <c r="P100" s="9">
        <f t="shared" si="19"/>
        <v>299</v>
      </c>
      <c r="Q100" t="str">
        <f>VLOOKUP(A100,[1]Sheet2!$I$2:$O$496,7,FALSE())</f>
        <v>https://fruitbasket.blob.core.windows.net/gk2o5k/avatar/211840319202507021305380WOPDX.jpg</v>
      </c>
    </row>
    <row r="101" spans="1:17" ht="13.8" hidden="1" x14ac:dyDescent="0.25">
      <c r="A101" s="11" t="s">
        <v>728</v>
      </c>
      <c r="B101" s="7" t="s">
        <v>215</v>
      </c>
      <c r="C101" s="7" t="s">
        <v>15</v>
      </c>
      <c r="D101" s="7" t="s">
        <v>729</v>
      </c>
      <c r="E101" s="7" t="s">
        <v>420</v>
      </c>
      <c r="F101" s="8"/>
      <c r="G101" s="9" t="str">
        <f t="shared" si="10"/>
        <v>KFA1E</v>
      </c>
      <c r="H101" s="9" t="str">
        <f t="shared" si="11"/>
        <v>30</v>
      </c>
      <c r="I101" s="9" t="str">
        <f t="shared" si="12"/>
        <v>06</v>
      </c>
      <c r="J101" s="9" t="str">
        <f t="shared" si="13"/>
        <v>2025</v>
      </c>
      <c r="K101" s="10" t="str">
        <f t="shared" si="14"/>
        <v>30/06/2025</v>
      </c>
      <c r="L101" s="9" t="str">
        <f t="shared" si="15"/>
        <v>29</v>
      </c>
      <c r="M101" s="9" t="str">
        <f t="shared" si="16"/>
        <v>07</v>
      </c>
      <c r="N101" s="9" t="str">
        <f t="shared" si="17"/>
        <v>2025</v>
      </c>
      <c r="O101" s="10" t="str">
        <f t="shared" si="18"/>
        <v>29/07/2025</v>
      </c>
      <c r="P101" s="9">
        <f t="shared" si="19"/>
        <v>29</v>
      </c>
      <c r="Q101" t="str">
        <f>VLOOKUP(A101,[1]Sheet2!$I$2:$O$496,7,FALSE())</f>
        <v>https://fruitbasket.blob.core.windows.net/gk2o5k/avatar/21328668120250729160310RAJ6TW.jpg</v>
      </c>
    </row>
    <row r="102" spans="1:17" ht="13.8" hidden="1" x14ac:dyDescent="0.25">
      <c r="A102" s="11" t="s">
        <v>484</v>
      </c>
      <c r="B102" s="7" t="s">
        <v>485</v>
      </c>
      <c r="C102" s="7" t="s">
        <v>28</v>
      </c>
      <c r="D102" s="7" t="s">
        <v>486</v>
      </c>
      <c r="E102" s="7" t="s">
        <v>112</v>
      </c>
      <c r="F102" s="8"/>
      <c r="G102" s="9" t="str">
        <f t="shared" si="10"/>
        <v>JBK1E</v>
      </c>
      <c r="H102" s="9" t="str">
        <f t="shared" si="11"/>
        <v>21</v>
      </c>
      <c r="I102" s="9" t="str">
        <f t="shared" si="12"/>
        <v>12</v>
      </c>
      <c r="J102" s="9" t="str">
        <f t="shared" si="13"/>
        <v>2024</v>
      </c>
      <c r="K102" s="10" t="str">
        <f t="shared" si="14"/>
        <v>21/12/2024</v>
      </c>
      <c r="L102" s="9" t="str">
        <f t="shared" si="15"/>
        <v>05</v>
      </c>
      <c r="M102" s="9" t="str">
        <f t="shared" si="16"/>
        <v>07</v>
      </c>
      <c r="N102" s="9" t="str">
        <f t="shared" si="17"/>
        <v>2025</v>
      </c>
      <c r="O102" s="10" t="str">
        <f t="shared" si="18"/>
        <v>05/07/2025</v>
      </c>
      <c r="P102" s="9">
        <f t="shared" si="19"/>
        <v>196</v>
      </c>
      <c r="Q102" t="str">
        <f>VLOOKUP(A102,[1]Sheet2!$I$2:$O$496,7,FALSE())</f>
        <v>https://fruitbasket.blob.core.windows.net/gk2o5k/avatar/21237385920250705143025TOOYFH.jpg</v>
      </c>
    </row>
    <row r="103" spans="1:17" ht="13.8" x14ac:dyDescent="0.25">
      <c r="A103" s="21" t="s">
        <v>601</v>
      </c>
      <c r="B103" s="7" t="s">
        <v>602</v>
      </c>
      <c r="C103" s="7" t="s">
        <v>23</v>
      </c>
      <c r="D103" s="7" t="s">
        <v>604</v>
      </c>
      <c r="E103" s="7" t="s">
        <v>603</v>
      </c>
      <c r="F103" s="12" t="s">
        <v>776</v>
      </c>
      <c r="G103" s="9" t="str">
        <f t="shared" si="10"/>
        <v>JM04E</v>
      </c>
      <c r="H103" s="9" t="str">
        <f t="shared" si="11"/>
        <v>14</v>
      </c>
      <c r="I103" s="9" t="str">
        <f t="shared" si="12"/>
        <v>08</v>
      </c>
      <c r="J103" s="9" t="str">
        <f t="shared" si="13"/>
        <v>2024</v>
      </c>
      <c r="K103" s="10" t="str">
        <f t="shared" si="14"/>
        <v>14/08/2024</v>
      </c>
      <c r="L103" s="9" t="str">
        <f t="shared" si="15"/>
        <v>14</v>
      </c>
      <c r="M103" s="9" t="str">
        <f t="shared" si="16"/>
        <v>07</v>
      </c>
      <c r="N103" s="9" t="str">
        <f t="shared" si="17"/>
        <v>2025</v>
      </c>
      <c r="O103" s="10" t="str">
        <f t="shared" si="18"/>
        <v>14/07/2025</v>
      </c>
      <c r="P103" s="9">
        <f t="shared" si="19"/>
        <v>334</v>
      </c>
      <c r="Q103" t="str">
        <f>VLOOKUP(A103,[1]Sheet2!$I$2:$O$496,7,FALSE())</f>
        <v>https://fruitbasket.blob.core.windows.net/gk2o5k/avatar/21162425820250714121708UJIJ48.jpg</v>
      </c>
    </row>
    <row r="104" spans="1:17" ht="13.8" x14ac:dyDescent="0.25">
      <c r="A104" s="21" t="s">
        <v>502</v>
      </c>
      <c r="B104" s="7" t="s">
        <v>480</v>
      </c>
      <c r="C104" s="7" t="s">
        <v>28</v>
      </c>
      <c r="D104" s="7" t="s">
        <v>503</v>
      </c>
      <c r="E104" s="7" t="s">
        <v>112</v>
      </c>
      <c r="F104" s="9" t="s">
        <v>800</v>
      </c>
      <c r="G104" s="9" t="str">
        <f t="shared" si="10"/>
        <v>JBK3E</v>
      </c>
      <c r="H104" s="9" t="str">
        <f t="shared" si="11"/>
        <v>18</v>
      </c>
      <c r="I104" s="9" t="str">
        <f t="shared" si="12"/>
        <v>12</v>
      </c>
      <c r="J104" s="9" t="str">
        <f t="shared" si="13"/>
        <v>2024</v>
      </c>
      <c r="K104" s="10" t="str">
        <f t="shared" si="14"/>
        <v>18/12/2024</v>
      </c>
      <c r="L104" s="9" t="str">
        <f t="shared" si="15"/>
        <v>05</v>
      </c>
      <c r="M104" s="9" t="str">
        <f t="shared" si="16"/>
        <v>07</v>
      </c>
      <c r="N104" s="9" t="str">
        <f t="shared" si="17"/>
        <v>2025</v>
      </c>
      <c r="O104" s="10" t="str">
        <f t="shared" si="18"/>
        <v>05/07/2025</v>
      </c>
      <c r="P104" s="9">
        <f t="shared" si="19"/>
        <v>199</v>
      </c>
      <c r="Q104" t="str">
        <f>VLOOKUP(A104,[1]Sheet2!$I$2:$O$496,7,FALSE())</f>
        <v>https://fruitbasket.blob.core.windows.net/gk2o5k/avatar/212353973202507051601536QSZNY.jpg</v>
      </c>
    </row>
    <row r="105" spans="1:17" ht="13.8" x14ac:dyDescent="0.25">
      <c r="A105" s="21" t="s">
        <v>259</v>
      </c>
      <c r="B105" s="7" t="s">
        <v>260</v>
      </c>
      <c r="C105" s="7" t="s">
        <v>15</v>
      </c>
      <c r="D105" s="7" t="s">
        <v>261</v>
      </c>
      <c r="E105" s="7" t="s">
        <v>104</v>
      </c>
      <c r="F105" s="9" t="s">
        <v>801</v>
      </c>
      <c r="G105" s="9" t="str">
        <f t="shared" si="10"/>
        <v>JBK3E</v>
      </c>
      <c r="H105" s="9" t="str">
        <f t="shared" si="11"/>
        <v>24</v>
      </c>
      <c r="I105" s="9" t="str">
        <f t="shared" si="12"/>
        <v>06</v>
      </c>
      <c r="J105" s="9" t="str">
        <f t="shared" si="13"/>
        <v>2025</v>
      </c>
      <c r="K105" s="10" t="str">
        <f t="shared" si="14"/>
        <v>24/06/2025</v>
      </c>
      <c r="L105" s="9" t="str">
        <f t="shared" si="15"/>
        <v>02</v>
      </c>
      <c r="M105" s="9" t="str">
        <f t="shared" si="16"/>
        <v>07</v>
      </c>
      <c r="N105" s="9" t="str">
        <f t="shared" si="17"/>
        <v>2025</v>
      </c>
      <c r="O105" s="10" t="str">
        <f t="shared" si="18"/>
        <v>02/07/2025</v>
      </c>
      <c r="P105" s="9">
        <f t="shared" si="19"/>
        <v>8</v>
      </c>
      <c r="Q105" t="str">
        <f>VLOOKUP(A105,[1]Sheet2!$I$2:$O$496,7,FALSE())</f>
        <v>https://fruitbasket.blob.core.windows.net/gk2o5k/avatar/21341548120250702152839THZG7F.jpg</v>
      </c>
    </row>
    <row r="106" spans="1:17" ht="13.8" hidden="1" x14ac:dyDescent="0.25">
      <c r="A106" s="11" t="s">
        <v>439</v>
      </c>
      <c r="B106" s="7" t="s">
        <v>440</v>
      </c>
      <c r="C106" s="7" t="s">
        <v>21</v>
      </c>
      <c r="D106" s="7" t="s">
        <v>441</v>
      </c>
      <c r="E106" s="7" t="s">
        <v>112</v>
      </c>
      <c r="F106" s="8"/>
      <c r="G106" s="9" t="str">
        <f t="shared" si="10"/>
        <v>JBK3E</v>
      </c>
      <c r="H106" s="9" t="str">
        <f t="shared" si="11"/>
        <v>06</v>
      </c>
      <c r="I106" s="9" t="str">
        <f t="shared" si="12"/>
        <v>05</v>
      </c>
      <c r="J106" s="9" t="str">
        <f t="shared" si="13"/>
        <v>2025</v>
      </c>
      <c r="K106" s="10" t="str">
        <f t="shared" si="14"/>
        <v>06/05/2025</v>
      </c>
      <c r="L106" s="9" t="str">
        <f t="shared" si="15"/>
        <v>05</v>
      </c>
      <c r="M106" s="9" t="str">
        <f t="shared" si="16"/>
        <v>07</v>
      </c>
      <c r="N106" s="9" t="str">
        <f t="shared" si="17"/>
        <v>2025</v>
      </c>
      <c r="O106" s="10" t="str">
        <f t="shared" si="18"/>
        <v>05/07/2025</v>
      </c>
      <c r="P106" s="9">
        <f t="shared" si="19"/>
        <v>60</v>
      </c>
      <c r="Q106" t="str">
        <f>VLOOKUP(A106,[1]Sheet2!$I$2:$O$496,7,FALSE())</f>
        <v>https://fruitbasket.blob.core.windows.net/gk2o5k/avatar/2131451132025070511151419LX5Y.jpg</v>
      </c>
    </row>
    <row r="107" spans="1:17" ht="13.8" x14ac:dyDescent="0.25">
      <c r="A107" s="21" t="s">
        <v>334</v>
      </c>
      <c r="B107" s="7" t="s">
        <v>254</v>
      </c>
      <c r="C107" s="7" t="s">
        <v>15</v>
      </c>
      <c r="D107" s="7" t="s">
        <v>335</v>
      </c>
      <c r="E107" s="7" t="s">
        <v>144</v>
      </c>
      <c r="F107" s="9" t="s">
        <v>785</v>
      </c>
      <c r="G107" s="9" t="str">
        <f t="shared" si="10"/>
        <v>JBK1E</v>
      </c>
      <c r="H107" s="9" t="str">
        <f t="shared" si="11"/>
        <v>02</v>
      </c>
      <c r="I107" s="9" t="str">
        <f t="shared" si="12"/>
        <v>06</v>
      </c>
      <c r="J107" s="9" t="str">
        <f t="shared" si="13"/>
        <v>2025</v>
      </c>
      <c r="K107" s="10" t="str">
        <f t="shared" si="14"/>
        <v>02/06/2025</v>
      </c>
      <c r="L107" s="9" t="str">
        <f t="shared" si="15"/>
        <v>12</v>
      </c>
      <c r="M107" s="9" t="str">
        <f t="shared" si="16"/>
        <v>07</v>
      </c>
      <c r="N107" s="9" t="str">
        <f t="shared" si="17"/>
        <v>2025</v>
      </c>
      <c r="O107" s="10" t="str">
        <f t="shared" si="18"/>
        <v>12/07/2025</v>
      </c>
      <c r="P107" s="9">
        <f t="shared" si="19"/>
        <v>40</v>
      </c>
      <c r="Q107" t="str">
        <f>VLOOKUP(A107,[1]Sheet2!$I$2:$O$496,7,FALSE())</f>
        <v>https://fruitbasket.blob.core.windows.net/gk2o5k/avatar/21199880120250712162537GAU9D0.jpg</v>
      </c>
    </row>
    <row r="108" spans="1:17" ht="13.8" x14ac:dyDescent="0.25">
      <c r="A108" s="21" t="s">
        <v>365</v>
      </c>
      <c r="B108" s="7" t="s">
        <v>125</v>
      </c>
      <c r="C108" s="7" t="s">
        <v>15</v>
      </c>
      <c r="D108" s="7" t="s">
        <v>366</v>
      </c>
      <c r="E108" s="7" t="s">
        <v>212</v>
      </c>
      <c r="F108" s="9" t="s">
        <v>802</v>
      </c>
      <c r="G108" s="9" t="str">
        <f t="shared" si="10"/>
        <v>JBK3E</v>
      </c>
      <c r="H108" s="9" t="str">
        <f t="shared" si="11"/>
        <v>08</v>
      </c>
      <c r="I108" s="9" t="str">
        <f t="shared" si="12"/>
        <v>07</v>
      </c>
      <c r="J108" s="9" t="str">
        <f t="shared" si="13"/>
        <v>2025</v>
      </c>
      <c r="K108" s="10" t="str">
        <f t="shared" si="14"/>
        <v>08/07/2025</v>
      </c>
      <c r="L108" s="9" t="str">
        <f t="shared" si="15"/>
        <v>15</v>
      </c>
      <c r="M108" s="9" t="str">
        <f t="shared" si="16"/>
        <v>07</v>
      </c>
      <c r="N108" s="9" t="str">
        <f t="shared" si="17"/>
        <v>2025</v>
      </c>
      <c r="O108" s="10" t="str">
        <f t="shared" si="18"/>
        <v>15/07/2025</v>
      </c>
      <c r="P108" s="9">
        <f t="shared" si="19"/>
        <v>7</v>
      </c>
      <c r="Q108" t="str">
        <f>VLOOKUP(A108,[1]Sheet2!$I$2:$O$496,7,FALSE())</f>
        <v>https://fruitbasket.blob.core.windows.net/gk2o5k/avatar/212407454202507151451499YWJDL.jpg</v>
      </c>
    </row>
    <row r="109" spans="1:17" ht="13.8" x14ac:dyDescent="0.25">
      <c r="A109" s="21" t="s">
        <v>748</v>
      </c>
      <c r="B109" s="7" t="s">
        <v>115</v>
      </c>
      <c r="C109" s="7" t="s">
        <v>15</v>
      </c>
      <c r="D109" s="7" t="s">
        <v>749</v>
      </c>
      <c r="E109" s="7" t="s">
        <v>140</v>
      </c>
      <c r="F109" s="9" t="s">
        <v>786</v>
      </c>
      <c r="G109" s="9" t="str">
        <f t="shared" si="10"/>
        <v>KC04E</v>
      </c>
      <c r="H109" s="9" t="str">
        <f t="shared" si="11"/>
        <v>17</v>
      </c>
      <c r="I109" s="9" t="str">
        <f t="shared" si="12"/>
        <v>06</v>
      </c>
      <c r="J109" s="9" t="str">
        <f t="shared" si="13"/>
        <v>2025</v>
      </c>
      <c r="K109" s="10" t="str">
        <f t="shared" si="14"/>
        <v>17/06/2025</v>
      </c>
      <c r="L109" s="9" t="str">
        <f t="shared" si="15"/>
        <v>11</v>
      </c>
      <c r="M109" s="9" t="str">
        <f t="shared" si="16"/>
        <v>07</v>
      </c>
      <c r="N109" s="9" t="str">
        <f t="shared" si="17"/>
        <v>2025</v>
      </c>
      <c r="O109" s="10" t="str">
        <f t="shared" si="18"/>
        <v>11/07/2025</v>
      </c>
      <c r="P109" s="9">
        <f t="shared" si="19"/>
        <v>24</v>
      </c>
      <c r="Q109" t="str">
        <f>VLOOKUP(A109,[1]Sheet2!$I$2:$O$496,7,FALSE())</f>
        <v>https://fruitbasket.blob.core.windows.net/gk2o5k/avatar/211923134202507111547551PSLF3.jpg</v>
      </c>
    </row>
    <row r="110" spans="1:17" ht="13.8" hidden="1" x14ac:dyDescent="0.25">
      <c r="A110" s="11" t="s">
        <v>288</v>
      </c>
      <c r="B110" s="7" t="s">
        <v>289</v>
      </c>
      <c r="C110" s="7" t="s">
        <v>15</v>
      </c>
      <c r="D110" s="7" t="s">
        <v>290</v>
      </c>
      <c r="E110" s="7" t="s">
        <v>192</v>
      </c>
      <c r="F110" s="8"/>
      <c r="G110" s="9" t="str">
        <f t="shared" si="10"/>
        <v>JBK1E</v>
      </c>
      <c r="H110" s="9" t="str">
        <f t="shared" si="11"/>
        <v>20</v>
      </c>
      <c r="I110" s="9" t="str">
        <f t="shared" si="12"/>
        <v>05</v>
      </c>
      <c r="J110" s="9" t="str">
        <f t="shared" si="13"/>
        <v>2025</v>
      </c>
      <c r="K110" s="10" t="str">
        <f t="shared" si="14"/>
        <v>20/05/2025</v>
      </c>
      <c r="L110" s="9" t="str">
        <f t="shared" si="15"/>
        <v>07</v>
      </c>
      <c r="M110" s="9" t="str">
        <f t="shared" si="16"/>
        <v>07</v>
      </c>
      <c r="N110" s="9" t="str">
        <f t="shared" si="17"/>
        <v>2025</v>
      </c>
      <c r="O110" s="10" t="str">
        <f t="shared" si="18"/>
        <v>07/07/2025</v>
      </c>
      <c r="P110" s="9">
        <f t="shared" si="19"/>
        <v>48</v>
      </c>
      <c r="Q110" t="str">
        <f>VLOOKUP(A110,[1]Sheet2!$I$2:$O$496,7,FALSE())</f>
        <v>https://fruitbasket.blob.core.windows.net/gk2o5k/avatar/21196338320250707105841XXOR2C.jpg</v>
      </c>
    </row>
    <row r="111" spans="1:17" ht="13.8" hidden="1" x14ac:dyDescent="0.25">
      <c r="A111" s="11" t="s">
        <v>579</v>
      </c>
      <c r="B111" s="7" t="s">
        <v>111</v>
      </c>
      <c r="C111" s="7" t="s">
        <v>15</v>
      </c>
      <c r="D111" s="7" t="s">
        <v>290</v>
      </c>
      <c r="E111" s="7" t="s">
        <v>218</v>
      </c>
      <c r="F111" s="8"/>
      <c r="G111" s="9" t="str">
        <f t="shared" si="10"/>
        <v>JMH2E</v>
      </c>
      <c r="H111" s="9" t="str">
        <f t="shared" si="11"/>
        <v>28</v>
      </c>
      <c r="I111" s="9" t="str">
        <f t="shared" si="12"/>
        <v>06</v>
      </c>
      <c r="J111" s="9" t="str">
        <f t="shared" si="13"/>
        <v>2025</v>
      </c>
      <c r="K111" s="10" t="str">
        <f t="shared" si="14"/>
        <v>28/06/2025</v>
      </c>
      <c r="L111" s="9" t="str">
        <f t="shared" si="15"/>
        <v>30</v>
      </c>
      <c r="M111" s="9" t="str">
        <f t="shared" si="16"/>
        <v>07</v>
      </c>
      <c r="N111" s="9" t="str">
        <f t="shared" si="17"/>
        <v>2025</v>
      </c>
      <c r="O111" s="10" t="str">
        <f t="shared" si="18"/>
        <v>30/07/2025</v>
      </c>
      <c r="P111" s="9">
        <f t="shared" si="19"/>
        <v>32</v>
      </c>
      <c r="Q111" t="str">
        <f>VLOOKUP(A111,[1]Sheet2!$I$2:$O$496,7,FALSE())</f>
        <v>https://fruitbasket.blob.core.windows.net/gk2o5k/avatar/2133000032025073014074081I5D7.jpg</v>
      </c>
    </row>
    <row r="112" spans="1:17" ht="13.8" hidden="1" x14ac:dyDescent="0.25">
      <c r="A112" s="11" t="s">
        <v>642</v>
      </c>
      <c r="B112" s="7" t="s">
        <v>643</v>
      </c>
      <c r="C112" s="7" t="s">
        <v>28</v>
      </c>
      <c r="D112" s="7" t="s">
        <v>644</v>
      </c>
      <c r="E112" s="7" t="s">
        <v>175</v>
      </c>
      <c r="F112" s="8"/>
      <c r="G112" s="9" t="str">
        <f t="shared" si="10"/>
        <v>JBP1E</v>
      </c>
      <c r="H112" s="9" t="str">
        <f t="shared" si="11"/>
        <v>21</v>
      </c>
      <c r="I112" s="9" t="str">
        <f t="shared" si="12"/>
        <v>02</v>
      </c>
      <c r="J112" s="9" t="str">
        <f t="shared" si="13"/>
        <v>2025</v>
      </c>
      <c r="K112" s="10" t="str">
        <f t="shared" si="14"/>
        <v>21/02/2025</v>
      </c>
      <c r="L112" s="9" t="str">
        <f t="shared" si="15"/>
        <v>21</v>
      </c>
      <c r="M112" s="9" t="str">
        <f t="shared" si="16"/>
        <v>07</v>
      </c>
      <c r="N112" s="9" t="str">
        <f t="shared" si="17"/>
        <v>2025</v>
      </c>
      <c r="O112" s="10" t="str">
        <f t="shared" si="18"/>
        <v>21/07/2025</v>
      </c>
      <c r="P112" s="9">
        <f t="shared" si="19"/>
        <v>150</v>
      </c>
      <c r="Q112" t="str">
        <f>VLOOKUP(A112,[1]Sheet2!$I$2:$O$496,7,FALSE())</f>
        <v>https://fruitbasket.blob.core.windows.net/gk2o5k/avatar/21271404420250721094232JCEVYY.jpg</v>
      </c>
    </row>
    <row r="113" spans="1:17" ht="13.8" hidden="1" x14ac:dyDescent="0.25">
      <c r="A113" s="11" t="s">
        <v>399</v>
      </c>
      <c r="B113" s="7" t="s">
        <v>254</v>
      </c>
      <c r="C113" s="7" t="s">
        <v>15</v>
      </c>
      <c r="D113" s="7" t="s">
        <v>400</v>
      </c>
      <c r="E113" s="7" t="s">
        <v>393</v>
      </c>
      <c r="F113" s="8"/>
      <c r="G113" s="9" t="str">
        <f t="shared" si="10"/>
        <v>JBK1E</v>
      </c>
      <c r="H113" s="9" t="str">
        <f t="shared" si="11"/>
        <v>02</v>
      </c>
      <c r="I113" s="9" t="str">
        <f t="shared" si="12"/>
        <v>06</v>
      </c>
      <c r="J113" s="9" t="str">
        <f t="shared" si="13"/>
        <v>2025</v>
      </c>
      <c r="K113" s="10" t="str">
        <f t="shared" si="14"/>
        <v>02/06/2025</v>
      </c>
      <c r="L113" s="9" t="str">
        <f t="shared" si="15"/>
        <v>22</v>
      </c>
      <c r="M113" s="9" t="str">
        <f t="shared" si="16"/>
        <v>07</v>
      </c>
      <c r="N113" s="9" t="str">
        <f t="shared" si="17"/>
        <v>2025</v>
      </c>
      <c r="O113" s="10" t="str">
        <f t="shared" si="18"/>
        <v>22/07/2025</v>
      </c>
      <c r="P113" s="9">
        <f t="shared" si="19"/>
        <v>50</v>
      </c>
      <c r="Q113" t="str">
        <f>VLOOKUP(A113,[1]Sheet2!$I$2:$O$496,7,FALSE())</f>
        <v>https://fruitbasket.blob.core.windows.net/gk2o5k/avatar/2128474752025072214471608CXSL.jpg</v>
      </c>
    </row>
    <row r="114" spans="1:17" ht="13.8" hidden="1" x14ac:dyDescent="0.25">
      <c r="A114" s="11" t="s">
        <v>707</v>
      </c>
      <c r="B114" s="7" t="s">
        <v>708</v>
      </c>
      <c r="C114" s="7" t="s">
        <v>28</v>
      </c>
      <c r="D114" s="7" t="s">
        <v>709</v>
      </c>
      <c r="E114" s="7" t="s">
        <v>183</v>
      </c>
      <c r="F114" s="8"/>
      <c r="G114" s="9" t="str">
        <f t="shared" si="10"/>
        <v>JMD1E</v>
      </c>
      <c r="H114" s="9" t="str">
        <f t="shared" si="11"/>
        <v>03</v>
      </c>
      <c r="I114" s="9" t="str">
        <f t="shared" si="12"/>
        <v>02</v>
      </c>
      <c r="J114" s="9" t="str">
        <f t="shared" si="13"/>
        <v>2025</v>
      </c>
      <c r="K114" s="10" t="str">
        <f t="shared" si="14"/>
        <v>03/02/2025</v>
      </c>
      <c r="L114" s="9" t="str">
        <f t="shared" si="15"/>
        <v>23</v>
      </c>
      <c r="M114" s="9" t="str">
        <f t="shared" si="16"/>
        <v>07</v>
      </c>
      <c r="N114" s="9" t="str">
        <f t="shared" si="17"/>
        <v>2025</v>
      </c>
      <c r="O114" s="10" t="str">
        <f t="shared" si="18"/>
        <v>23/07/2025</v>
      </c>
      <c r="P114" s="9">
        <f t="shared" si="19"/>
        <v>170</v>
      </c>
      <c r="Q114" t="str">
        <f>VLOOKUP(A114,[1]Sheet2!$I$2:$O$496,7,FALSE())</f>
        <v>https://fruitbasket.blob.core.windows.net/gk2o5k/avatar/29654888202507231401583MLDSF.jpg</v>
      </c>
    </row>
    <row r="115" spans="1:17" ht="13.8" hidden="1" x14ac:dyDescent="0.25">
      <c r="A115" s="11" t="s">
        <v>724</v>
      </c>
      <c r="B115" s="7" t="s">
        <v>313</v>
      </c>
      <c r="C115" s="7" t="s">
        <v>15</v>
      </c>
      <c r="D115" s="7" t="s">
        <v>725</v>
      </c>
      <c r="E115" s="7" t="s">
        <v>192</v>
      </c>
      <c r="F115" s="8"/>
      <c r="G115" s="9" t="str">
        <f t="shared" si="10"/>
        <v>KF01E</v>
      </c>
      <c r="H115" s="9" t="str">
        <f t="shared" si="11"/>
        <v>19</v>
      </c>
      <c r="I115" s="9" t="str">
        <f t="shared" si="12"/>
        <v>06</v>
      </c>
      <c r="J115" s="9" t="str">
        <f t="shared" si="13"/>
        <v>2025</v>
      </c>
      <c r="K115" s="10" t="str">
        <f t="shared" si="14"/>
        <v>19/06/2025</v>
      </c>
      <c r="L115" s="9" t="str">
        <f t="shared" si="15"/>
        <v>07</v>
      </c>
      <c r="M115" s="9" t="str">
        <f t="shared" si="16"/>
        <v>07</v>
      </c>
      <c r="N115" s="9" t="str">
        <f t="shared" si="17"/>
        <v>2025</v>
      </c>
      <c r="O115" s="10" t="str">
        <f t="shared" si="18"/>
        <v>07/07/2025</v>
      </c>
      <c r="P115" s="9">
        <f t="shared" si="19"/>
        <v>18</v>
      </c>
      <c r="Q115" t="str">
        <f>VLOOKUP(A115,[1]Sheet2!$I$2:$O$496,7,FALSE())</f>
        <v>https://fruitbasket.blob.core.windows.net/gk2o5k/avatar/21211495220250707145754X0GUTF.jpg</v>
      </c>
    </row>
    <row r="116" spans="1:17" ht="13.8" hidden="1" x14ac:dyDescent="0.25">
      <c r="A116" s="11" t="s">
        <v>389</v>
      </c>
      <c r="B116" s="7" t="s">
        <v>206</v>
      </c>
      <c r="C116" s="7" t="s">
        <v>15</v>
      </c>
      <c r="D116" s="7" t="s">
        <v>390</v>
      </c>
      <c r="E116" s="7" t="s">
        <v>175</v>
      </c>
      <c r="F116" s="8"/>
      <c r="G116" s="9" t="str">
        <f t="shared" si="10"/>
        <v>JBK3E</v>
      </c>
      <c r="H116" s="9" t="str">
        <f t="shared" si="11"/>
        <v>21</v>
      </c>
      <c r="I116" s="9" t="str">
        <f t="shared" si="12"/>
        <v>06</v>
      </c>
      <c r="J116" s="9" t="str">
        <f t="shared" si="13"/>
        <v>2025</v>
      </c>
      <c r="K116" s="10" t="str">
        <f t="shared" si="14"/>
        <v>21/06/2025</v>
      </c>
      <c r="L116" s="9" t="str">
        <f t="shared" si="15"/>
        <v>21</v>
      </c>
      <c r="M116" s="9" t="str">
        <f t="shared" si="16"/>
        <v>07</v>
      </c>
      <c r="N116" s="9" t="str">
        <f t="shared" si="17"/>
        <v>2025</v>
      </c>
      <c r="O116" s="10" t="str">
        <f t="shared" si="18"/>
        <v>21/07/2025</v>
      </c>
      <c r="P116" s="9">
        <f t="shared" si="19"/>
        <v>30</v>
      </c>
      <c r="Q116" t="str">
        <f>VLOOKUP(A116,[1]Sheet2!$I$2:$O$496,7,FALSE())</f>
        <v>https://fruitbasket.blob.core.windows.net/gk2o5k/avatar/21279898220250721131819AVLRYN.jpg</v>
      </c>
    </row>
    <row r="117" spans="1:17" ht="13.8" hidden="1" x14ac:dyDescent="0.25">
      <c r="A117" s="11" t="s">
        <v>129</v>
      </c>
      <c r="B117" s="7" t="s">
        <v>130</v>
      </c>
      <c r="C117" s="7" t="s">
        <v>15</v>
      </c>
      <c r="D117" s="7" t="s">
        <v>132</v>
      </c>
      <c r="E117" s="7" t="s">
        <v>131</v>
      </c>
      <c r="F117" s="8"/>
      <c r="G117" s="9" t="str">
        <f t="shared" si="10"/>
        <v>JMF1E</v>
      </c>
      <c r="H117" s="9" t="str">
        <f t="shared" si="11"/>
        <v>10</v>
      </c>
      <c r="I117" s="9" t="str">
        <f t="shared" si="12"/>
        <v>06</v>
      </c>
      <c r="J117" s="9" t="str">
        <f t="shared" si="13"/>
        <v>2025</v>
      </c>
      <c r="K117" s="10" t="str">
        <f t="shared" si="14"/>
        <v>10/06/2025</v>
      </c>
      <c r="L117" s="9" t="str">
        <f t="shared" si="15"/>
        <v>09</v>
      </c>
      <c r="M117" s="9" t="str">
        <f t="shared" si="16"/>
        <v>07</v>
      </c>
      <c r="N117" s="9" t="str">
        <f t="shared" si="17"/>
        <v>2025</v>
      </c>
      <c r="O117" s="10" t="str">
        <f t="shared" si="18"/>
        <v>09/07/2025</v>
      </c>
      <c r="P117" s="9">
        <f t="shared" si="19"/>
        <v>29</v>
      </c>
      <c r="Q117" t="str">
        <f>VLOOKUP(A117,[1]Sheet2!$I$2:$O$496,7,FALSE())</f>
        <v>https://fruitbasket.blob.core.windows.net/gk2o5k/avatar/21332467420250709132407BQG3QG.jpg</v>
      </c>
    </row>
    <row r="118" spans="1:17" ht="13.8" hidden="1" x14ac:dyDescent="0.25">
      <c r="A118" s="11" t="s">
        <v>135</v>
      </c>
      <c r="B118" s="7" t="s">
        <v>136</v>
      </c>
      <c r="C118" s="7" t="s">
        <v>15</v>
      </c>
      <c r="D118" s="7" t="s">
        <v>132</v>
      </c>
      <c r="E118" s="7" t="s">
        <v>137</v>
      </c>
      <c r="F118" s="8"/>
      <c r="G118" s="9" t="str">
        <f t="shared" si="10"/>
        <v>JME1E</v>
      </c>
      <c r="H118" s="9" t="str">
        <f t="shared" si="11"/>
        <v>14</v>
      </c>
      <c r="I118" s="9" t="str">
        <f t="shared" si="12"/>
        <v>05</v>
      </c>
      <c r="J118" s="9" t="str">
        <f t="shared" si="13"/>
        <v>2025</v>
      </c>
      <c r="K118" s="10" t="str">
        <f t="shared" si="14"/>
        <v>14/05/2025</v>
      </c>
      <c r="L118" s="9" t="str">
        <f t="shared" si="15"/>
        <v>10</v>
      </c>
      <c r="M118" s="9" t="str">
        <f t="shared" si="16"/>
        <v>07</v>
      </c>
      <c r="N118" s="9" t="str">
        <f t="shared" si="17"/>
        <v>2025</v>
      </c>
      <c r="O118" s="10" t="str">
        <f t="shared" si="18"/>
        <v>10/07/2025</v>
      </c>
      <c r="P118" s="9">
        <f t="shared" si="19"/>
        <v>57</v>
      </c>
      <c r="Q118" t="str">
        <f>VLOOKUP(A118,[1]Sheet2!$I$2:$O$496,7,FALSE())</f>
        <v>https://fruitbasket.blob.core.windows.net/gk2o5k/avatar/21199116920250710103536TOWXA5.jpg</v>
      </c>
    </row>
    <row r="119" spans="1:17" ht="13.8" hidden="1" x14ac:dyDescent="0.25">
      <c r="A119" s="11" t="s">
        <v>455</v>
      </c>
      <c r="B119" s="7" t="s">
        <v>456</v>
      </c>
      <c r="C119" s="7" t="s">
        <v>21</v>
      </c>
      <c r="D119" s="7" t="s">
        <v>457</v>
      </c>
      <c r="E119" s="7" t="s">
        <v>352</v>
      </c>
      <c r="F119" s="8"/>
      <c r="G119" s="9" t="str">
        <f t="shared" si="10"/>
        <v>JBK3E</v>
      </c>
      <c r="H119" s="9" t="str">
        <f t="shared" si="11"/>
        <v>10</v>
      </c>
      <c r="I119" s="9" t="str">
        <f t="shared" si="12"/>
        <v>03</v>
      </c>
      <c r="J119" s="9" t="str">
        <f t="shared" si="13"/>
        <v>2025</v>
      </c>
      <c r="K119" s="10" t="str">
        <f t="shared" si="14"/>
        <v>10/03/2025</v>
      </c>
      <c r="L119" s="9" t="str">
        <f t="shared" si="15"/>
        <v>13</v>
      </c>
      <c r="M119" s="9" t="str">
        <f t="shared" si="16"/>
        <v>07</v>
      </c>
      <c r="N119" s="9" t="str">
        <f t="shared" si="17"/>
        <v>2025</v>
      </c>
      <c r="O119" s="10" t="str">
        <f t="shared" si="18"/>
        <v>13/07/2025</v>
      </c>
      <c r="P119" s="9">
        <f t="shared" si="19"/>
        <v>125</v>
      </c>
      <c r="Q119" t="str">
        <f>VLOOKUP(A119,[1]Sheet2!$I$2:$O$496,7,FALSE())</f>
        <v>https://fruitbasket.blob.core.windows.net/gk2o5k/avatar/21281006920250713124326BX8JW5.jpg</v>
      </c>
    </row>
    <row r="120" spans="1:17" ht="13.8" hidden="1" x14ac:dyDescent="0.25">
      <c r="A120" s="11" t="s">
        <v>645</v>
      </c>
      <c r="B120" s="7" t="s">
        <v>646</v>
      </c>
      <c r="C120" s="7" t="s">
        <v>21</v>
      </c>
      <c r="D120" s="7" t="s">
        <v>647</v>
      </c>
      <c r="E120" s="7" t="s">
        <v>420</v>
      </c>
      <c r="F120" s="8"/>
      <c r="G120" s="9" t="str">
        <f t="shared" si="10"/>
        <v>KB22E</v>
      </c>
      <c r="H120" s="9" t="str">
        <f t="shared" si="11"/>
        <v>26</v>
      </c>
      <c r="I120" s="9" t="str">
        <f t="shared" si="12"/>
        <v>03</v>
      </c>
      <c r="J120" s="9" t="str">
        <f t="shared" si="13"/>
        <v>2025</v>
      </c>
      <c r="K120" s="10" t="str">
        <f t="shared" si="14"/>
        <v>26/03/2025</v>
      </c>
      <c r="L120" s="9" t="str">
        <f t="shared" si="15"/>
        <v>29</v>
      </c>
      <c r="M120" s="9" t="str">
        <f t="shared" si="16"/>
        <v>07</v>
      </c>
      <c r="N120" s="9" t="str">
        <f t="shared" si="17"/>
        <v>2025</v>
      </c>
      <c r="O120" s="10" t="str">
        <f t="shared" si="18"/>
        <v>29/07/2025</v>
      </c>
      <c r="P120" s="9">
        <f t="shared" si="19"/>
        <v>125</v>
      </c>
      <c r="Q120" t="str">
        <f>VLOOKUP(A120,[1]Sheet2!$I$2:$O$496,7,FALSE())</f>
        <v>https://fruitbasket.blob.core.windows.net/gk2o5k/avatar/21317222720250729121918DYIWAX.jpg</v>
      </c>
    </row>
    <row r="121" spans="1:17" ht="13.8" hidden="1" x14ac:dyDescent="0.25">
      <c r="A121" s="11" t="s">
        <v>273</v>
      </c>
      <c r="B121" s="7" t="s">
        <v>118</v>
      </c>
      <c r="C121" s="7" t="s">
        <v>15</v>
      </c>
      <c r="D121" s="7" t="s">
        <v>274</v>
      </c>
      <c r="E121" s="7" t="s">
        <v>108</v>
      </c>
      <c r="F121" s="8"/>
      <c r="G121" s="9" t="str">
        <f t="shared" si="10"/>
        <v>JBK1E</v>
      </c>
      <c r="H121" s="9" t="str">
        <f t="shared" si="11"/>
        <v>05</v>
      </c>
      <c r="I121" s="9" t="str">
        <f t="shared" si="12"/>
        <v>06</v>
      </c>
      <c r="J121" s="9" t="str">
        <f t="shared" si="13"/>
        <v>2025</v>
      </c>
      <c r="K121" s="10" t="str">
        <f t="shared" si="14"/>
        <v>05/06/2025</v>
      </c>
      <c r="L121" s="9" t="str">
        <f t="shared" si="15"/>
        <v>04</v>
      </c>
      <c r="M121" s="9" t="str">
        <f t="shared" si="16"/>
        <v>07</v>
      </c>
      <c r="N121" s="9" t="str">
        <f t="shared" si="17"/>
        <v>2025</v>
      </c>
      <c r="O121" s="10" t="str">
        <f t="shared" si="18"/>
        <v>04/07/2025</v>
      </c>
      <c r="P121" s="9">
        <f t="shared" si="19"/>
        <v>29</v>
      </c>
      <c r="Q121" t="str">
        <f>VLOOKUP(A121,[1]Sheet2!$I$2:$O$496,7,FALSE())</f>
        <v>https://fruitbasket.blob.core.windows.net/gk2o5k/avatar/21181708820250704150657MV1PBZ.jpg</v>
      </c>
    </row>
    <row r="122" spans="1:17" ht="13.8" hidden="1" x14ac:dyDescent="0.25">
      <c r="A122" s="11" t="s">
        <v>479</v>
      </c>
      <c r="B122" s="7" t="s">
        <v>480</v>
      </c>
      <c r="C122" s="7" t="s">
        <v>28</v>
      </c>
      <c r="D122" s="7" t="s">
        <v>481</v>
      </c>
      <c r="E122" s="7" t="s">
        <v>112</v>
      </c>
      <c r="F122" s="8"/>
      <c r="G122" s="9" t="str">
        <f t="shared" si="10"/>
        <v>JBK1E</v>
      </c>
      <c r="H122" s="9" t="str">
        <f t="shared" si="11"/>
        <v>18</v>
      </c>
      <c r="I122" s="9" t="str">
        <f t="shared" si="12"/>
        <v>12</v>
      </c>
      <c r="J122" s="9" t="str">
        <f t="shared" si="13"/>
        <v>2024</v>
      </c>
      <c r="K122" s="10" t="str">
        <f t="shared" si="14"/>
        <v>18/12/2024</v>
      </c>
      <c r="L122" s="9" t="str">
        <f t="shared" si="15"/>
        <v>05</v>
      </c>
      <c r="M122" s="9" t="str">
        <f t="shared" si="16"/>
        <v>07</v>
      </c>
      <c r="N122" s="9" t="str">
        <f t="shared" si="17"/>
        <v>2025</v>
      </c>
      <c r="O122" s="10" t="str">
        <f t="shared" si="18"/>
        <v>05/07/2025</v>
      </c>
      <c r="P122" s="9">
        <f t="shared" si="19"/>
        <v>199</v>
      </c>
      <c r="Q122" t="str">
        <f>VLOOKUP(A122,[1]Sheet2!$I$2:$O$496,7,FALSE())</f>
        <v>https://fruitbasket.blob.core.windows.net/gk2o5k/avatar/21236510820250705155242MHSTMR.jpg</v>
      </c>
    </row>
    <row r="123" spans="1:17" ht="13.8" x14ac:dyDescent="0.25">
      <c r="A123" s="21" t="s">
        <v>199</v>
      </c>
      <c r="B123" s="7" t="s">
        <v>118</v>
      </c>
      <c r="C123" s="7" t="s">
        <v>15</v>
      </c>
      <c r="D123" s="7" t="s">
        <v>200</v>
      </c>
      <c r="E123" s="7" t="s">
        <v>108</v>
      </c>
      <c r="F123" s="9" t="s">
        <v>822</v>
      </c>
      <c r="G123" s="9" t="str">
        <f t="shared" si="10"/>
        <v>KD11E</v>
      </c>
      <c r="H123" s="9" t="str">
        <f t="shared" si="11"/>
        <v>05</v>
      </c>
      <c r="I123" s="9" t="str">
        <f t="shared" si="12"/>
        <v>06</v>
      </c>
      <c r="J123" s="9" t="str">
        <f t="shared" si="13"/>
        <v>2025</v>
      </c>
      <c r="K123" s="10" t="str">
        <f t="shared" si="14"/>
        <v>05/06/2025</v>
      </c>
      <c r="L123" s="9" t="str">
        <f t="shared" si="15"/>
        <v>04</v>
      </c>
      <c r="M123" s="9" t="str">
        <f t="shared" si="16"/>
        <v>07</v>
      </c>
      <c r="N123" s="9" t="str">
        <f t="shared" si="17"/>
        <v>2025</v>
      </c>
      <c r="O123" s="10" t="str">
        <f t="shared" si="18"/>
        <v>04/07/2025</v>
      </c>
      <c r="P123" s="9">
        <f t="shared" si="19"/>
        <v>29</v>
      </c>
      <c r="Q123" t="str">
        <f>VLOOKUP(A123,[1]Sheet2!$I$2:$O$496,7,FALSE())</f>
        <v>https://fruitbasket.blob.core.windows.net/gk2o5k/avatar/21188266120250704154824G5ORZC.jpg</v>
      </c>
    </row>
    <row r="124" spans="1:17" ht="13.8" x14ac:dyDescent="0.25">
      <c r="A124" s="21" t="s">
        <v>408</v>
      </c>
      <c r="B124" s="7" t="s">
        <v>260</v>
      </c>
      <c r="C124" s="7" t="s">
        <v>15</v>
      </c>
      <c r="D124" s="7" t="s">
        <v>409</v>
      </c>
      <c r="E124" s="7" t="s">
        <v>183</v>
      </c>
      <c r="F124" s="9" t="s">
        <v>787</v>
      </c>
      <c r="G124" s="9" t="str">
        <f t="shared" si="10"/>
        <v>JBK1E</v>
      </c>
      <c r="H124" s="9" t="str">
        <f t="shared" si="11"/>
        <v>24</v>
      </c>
      <c r="I124" s="9" t="str">
        <f t="shared" si="12"/>
        <v>06</v>
      </c>
      <c r="J124" s="9" t="str">
        <f t="shared" si="13"/>
        <v>2025</v>
      </c>
      <c r="K124" s="10" t="str">
        <f t="shared" si="14"/>
        <v>24/06/2025</v>
      </c>
      <c r="L124" s="9" t="str">
        <f t="shared" si="15"/>
        <v>23</v>
      </c>
      <c r="M124" s="9" t="str">
        <f t="shared" si="16"/>
        <v>07</v>
      </c>
      <c r="N124" s="9" t="str">
        <f t="shared" si="17"/>
        <v>2025</v>
      </c>
      <c r="O124" s="10" t="str">
        <f t="shared" si="18"/>
        <v>23/07/2025</v>
      </c>
      <c r="P124" s="9">
        <f t="shared" si="19"/>
        <v>29</v>
      </c>
      <c r="Q124" t="str">
        <f>VLOOKUP(A124,[1]Sheet2!$I$2:$O$496,7,FALSE())</f>
        <v>https://fruitbasket.blob.core.windows.net/gk2o5k/avatar/21287410220250723153035DR0UZC.jpg</v>
      </c>
    </row>
    <row r="125" spans="1:17" ht="13.8" hidden="1" x14ac:dyDescent="0.25">
      <c r="A125" s="11" t="s">
        <v>620</v>
      </c>
      <c r="B125" s="7" t="s">
        <v>621</v>
      </c>
      <c r="C125" s="7" t="s">
        <v>28</v>
      </c>
      <c r="D125" s="7" t="s">
        <v>622</v>
      </c>
      <c r="E125" s="7" t="s">
        <v>154</v>
      </c>
      <c r="F125" s="8"/>
      <c r="G125" s="9" t="str">
        <f t="shared" si="10"/>
        <v>KFC1E</v>
      </c>
      <c r="H125" s="9" t="str">
        <f t="shared" si="11"/>
        <v>10</v>
      </c>
      <c r="I125" s="9" t="str">
        <f t="shared" si="12"/>
        <v>01</v>
      </c>
      <c r="J125" s="9" t="str">
        <f t="shared" si="13"/>
        <v>2025</v>
      </c>
      <c r="K125" s="10" t="str">
        <f t="shared" si="14"/>
        <v>10/01/2025</v>
      </c>
      <c r="L125" s="9" t="str">
        <f t="shared" si="15"/>
        <v>18</v>
      </c>
      <c r="M125" s="9" t="str">
        <f t="shared" si="16"/>
        <v>07</v>
      </c>
      <c r="N125" s="9" t="str">
        <f t="shared" si="17"/>
        <v>2025</v>
      </c>
      <c r="O125" s="10" t="str">
        <f t="shared" si="18"/>
        <v>18/07/2025</v>
      </c>
      <c r="P125" s="9">
        <f t="shared" si="19"/>
        <v>189</v>
      </c>
      <c r="Q125" t="str">
        <f>VLOOKUP(A125,[1]Sheet2!$I$2:$O$496,7,FALSE())</f>
        <v>https://fruitbasket.blob.core.windows.net/gk2o5k/avatar/21247136920250718160728TVFLBK.jpg</v>
      </c>
    </row>
    <row r="126" spans="1:17" ht="13.8" hidden="1" x14ac:dyDescent="0.25">
      <c r="A126" s="11" t="s">
        <v>761</v>
      </c>
      <c r="B126" s="7" t="s">
        <v>497</v>
      </c>
      <c r="C126" s="7" t="s">
        <v>28</v>
      </c>
      <c r="D126" s="7" t="s">
        <v>762</v>
      </c>
      <c r="E126" s="7" t="s">
        <v>112</v>
      </c>
      <c r="F126" s="8"/>
      <c r="G126" s="9" t="str">
        <f t="shared" si="10"/>
        <v>KC02E</v>
      </c>
      <c r="H126" s="9" t="str">
        <f t="shared" si="11"/>
        <v>11</v>
      </c>
      <c r="I126" s="9" t="str">
        <f t="shared" si="12"/>
        <v>12</v>
      </c>
      <c r="J126" s="9" t="str">
        <f t="shared" si="13"/>
        <v>2024</v>
      </c>
      <c r="K126" s="10" t="str">
        <f t="shared" si="14"/>
        <v>11/12/2024</v>
      </c>
      <c r="L126" s="9" t="str">
        <f t="shared" si="15"/>
        <v>05</v>
      </c>
      <c r="M126" s="9" t="str">
        <f t="shared" si="16"/>
        <v>07</v>
      </c>
      <c r="N126" s="9" t="str">
        <f t="shared" si="17"/>
        <v>2025</v>
      </c>
      <c r="O126" s="10" t="str">
        <f t="shared" si="18"/>
        <v>05/07/2025</v>
      </c>
      <c r="P126" s="9">
        <f t="shared" si="19"/>
        <v>206</v>
      </c>
      <c r="Q126" t="str">
        <f>VLOOKUP(A126,[1]Sheet2!$I$2:$O$496,7,FALSE())</f>
        <v>https://fruitbasket.blob.core.windows.net/gk2o5k/avatar/212320130202507051435572VXGRK.jpg</v>
      </c>
    </row>
    <row r="127" spans="1:17" ht="13.8" hidden="1" x14ac:dyDescent="0.25">
      <c r="A127" s="11" t="s">
        <v>583</v>
      </c>
      <c r="B127" s="7" t="s">
        <v>584</v>
      </c>
      <c r="C127" s="7" t="s">
        <v>21</v>
      </c>
      <c r="D127" s="7" t="s">
        <v>585</v>
      </c>
      <c r="E127" s="7" t="s">
        <v>175</v>
      </c>
      <c r="F127" s="8"/>
      <c r="G127" s="9" t="str">
        <f t="shared" si="10"/>
        <v>JMH2E</v>
      </c>
      <c r="H127" s="9" t="str">
        <f t="shared" si="11"/>
        <v>25</v>
      </c>
      <c r="I127" s="9" t="str">
        <f t="shared" si="12"/>
        <v>03</v>
      </c>
      <c r="J127" s="9" t="str">
        <f t="shared" si="13"/>
        <v>2025</v>
      </c>
      <c r="K127" s="10" t="str">
        <f t="shared" si="14"/>
        <v>25/03/2025</v>
      </c>
      <c r="L127" s="9" t="str">
        <f t="shared" si="15"/>
        <v>21</v>
      </c>
      <c r="M127" s="9" t="str">
        <f t="shared" si="16"/>
        <v>07</v>
      </c>
      <c r="N127" s="9" t="str">
        <f t="shared" si="17"/>
        <v>2025</v>
      </c>
      <c r="O127" s="10" t="str">
        <f t="shared" si="18"/>
        <v>21/07/2025</v>
      </c>
      <c r="P127" s="9">
        <f t="shared" si="19"/>
        <v>118</v>
      </c>
      <c r="Q127" t="str">
        <f>VLOOKUP(A127,[1]Sheet2!$I$2:$O$496,7,FALSE())</f>
        <v>https://fruitbasket.blob.core.windows.net/gk2o5k/avatar/21279932320250721132617HIMNKO.jpg</v>
      </c>
    </row>
    <row r="128" spans="1:17" ht="13.8" hidden="1" x14ac:dyDescent="0.25">
      <c r="A128" s="11" t="s">
        <v>695</v>
      </c>
      <c r="B128" s="7" t="s">
        <v>696</v>
      </c>
      <c r="C128" s="7" t="s">
        <v>21</v>
      </c>
      <c r="D128" s="7" t="s">
        <v>697</v>
      </c>
      <c r="E128" s="7" t="s">
        <v>420</v>
      </c>
      <c r="F128" s="8"/>
      <c r="G128" s="9" t="str">
        <f t="shared" si="10"/>
        <v>JMC1E</v>
      </c>
      <c r="H128" s="9" t="str">
        <f t="shared" si="11"/>
        <v>21</v>
      </c>
      <c r="I128" s="9" t="str">
        <f t="shared" si="12"/>
        <v>03</v>
      </c>
      <c r="J128" s="9" t="str">
        <f t="shared" si="13"/>
        <v>2025</v>
      </c>
      <c r="K128" s="10" t="str">
        <f t="shared" si="14"/>
        <v>21/03/2025</v>
      </c>
      <c r="L128" s="9" t="str">
        <f t="shared" si="15"/>
        <v>29</v>
      </c>
      <c r="M128" s="9" t="str">
        <f t="shared" si="16"/>
        <v>07</v>
      </c>
      <c r="N128" s="9" t="str">
        <f t="shared" si="17"/>
        <v>2025</v>
      </c>
      <c r="O128" s="10" t="str">
        <f t="shared" si="18"/>
        <v>29/07/2025</v>
      </c>
      <c r="P128" s="9">
        <f t="shared" si="19"/>
        <v>130</v>
      </c>
      <c r="Q128" t="str">
        <f>VLOOKUP(A128,[1]Sheet2!$I$2:$O$496,7,FALSE())</f>
        <v>https://fruitbasket.blob.core.windows.net/gk2o5k/avatar/213179849202507291237242HG0FX.jpg</v>
      </c>
    </row>
    <row r="129" spans="1:17" ht="13.8" hidden="1" x14ac:dyDescent="0.25">
      <c r="A129" s="11" t="s">
        <v>303</v>
      </c>
      <c r="B129" s="7" t="s">
        <v>267</v>
      </c>
      <c r="C129" s="7" t="s">
        <v>15</v>
      </c>
      <c r="D129" s="7" t="s">
        <v>304</v>
      </c>
      <c r="E129" s="7" t="s">
        <v>125</v>
      </c>
      <c r="F129" s="8"/>
      <c r="G129" s="9" t="str">
        <f t="shared" si="10"/>
        <v>JBK3E</v>
      </c>
      <c r="H129" s="9" t="str">
        <f t="shared" si="11"/>
        <v>12</v>
      </c>
      <c r="I129" s="9" t="str">
        <f t="shared" si="12"/>
        <v>06</v>
      </c>
      <c r="J129" s="9" t="str">
        <f t="shared" si="13"/>
        <v>2025</v>
      </c>
      <c r="K129" s="10" t="str">
        <f t="shared" si="14"/>
        <v>12/06/2025</v>
      </c>
      <c r="L129" s="9" t="str">
        <f t="shared" si="15"/>
        <v>08</v>
      </c>
      <c r="M129" s="9" t="str">
        <f t="shared" si="16"/>
        <v>07</v>
      </c>
      <c r="N129" s="9" t="str">
        <f t="shared" si="17"/>
        <v>2025</v>
      </c>
      <c r="O129" s="10" t="str">
        <f t="shared" si="18"/>
        <v>08/07/2025</v>
      </c>
      <c r="P129" s="9">
        <f t="shared" si="19"/>
        <v>26</v>
      </c>
      <c r="Q129" t="str">
        <f>VLOOKUP(A129,[1]Sheet2!$I$2:$O$496,7,FALSE())</f>
        <v>https://fruitbasket.blob.core.windows.net/gk2o5k/avatar/21227242120250708121827NYQS3D.jpg</v>
      </c>
    </row>
    <row r="130" spans="1:17" ht="13.8" hidden="1" x14ac:dyDescent="0.25">
      <c r="A130" s="11" t="s">
        <v>482</v>
      </c>
      <c r="B130" s="7" t="s">
        <v>226</v>
      </c>
      <c r="C130" s="7" t="s">
        <v>28</v>
      </c>
      <c r="D130" s="7" t="s">
        <v>483</v>
      </c>
      <c r="E130" s="7" t="s">
        <v>112</v>
      </c>
      <c r="F130" s="8"/>
      <c r="G130" s="9" t="str">
        <f t="shared" ref="G130:G193" si="20">LEFT(A130,5)</f>
        <v>JBK1E</v>
      </c>
      <c r="H130" s="9" t="str">
        <f t="shared" ref="H130:H193" si="21">LEFT(B130,2)</f>
        <v>19</v>
      </c>
      <c r="I130" s="9" t="str">
        <f t="shared" ref="I130:I193" si="22">MID(B130,4,2)</f>
        <v>12</v>
      </c>
      <c r="J130" s="9" t="str">
        <f t="shared" ref="J130:J193" si="23">RIGHT(B130,4)</f>
        <v>2024</v>
      </c>
      <c r="K130" s="10" t="str">
        <f t="shared" ref="K130:K193" si="24">H130&amp;"/"&amp;I130&amp;"/"&amp;J130</f>
        <v>19/12/2024</v>
      </c>
      <c r="L130" s="9" t="str">
        <f t="shared" ref="L130:L193" si="25">LEFT(E130,2)</f>
        <v>05</v>
      </c>
      <c r="M130" s="9" t="str">
        <f t="shared" ref="M130:M193" si="26">MID(E130,4,2)</f>
        <v>07</v>
      </c>
      <c r="N130" s="9" t="str">
        <f t="shared" ref="N130:N193" si="27">RIGHT(E130,4)</f>
        <v>2025</v>
      </c>
      <c r="O130" s="10" t="str">
        <f t="shared" ref="O130:O193" si="28">L130&amp;"/"&amp;M130&amp;"/"&amp;N130</f>
        <v>05/07/2025</v>
      </c>
      <c r="P130" s="9">
        <f t="shared" ref="P130:P193" si="29">O130-K130</f>
        <v>198</v>
      </c>
      <c r="Q130" t="str">
        <f>VLOOKUP(A130,[1]Sheet2!$I$2:$O$496,7,FALSE())</f>
        <v>https://fruitbasket.blob.core.windows.net/gk2o5k/avatar/21232013020250705144020VIKV1I.jpg</v>
      </c>
    </row>
    <row r="131" spans="1:17" ht="13.8" hidden="1" x14ac:dyDescent="0.25">
      <c r="A131" s="11" t="s">
        <v>250</v>
      </c>
      <c r="B131" s="7" t="s">
        <v>121</v>
      </c>
      <c r="C131" s="7" t="s">
        <v>15</v>
      </c>
      <c r="D131" s="7" t="s">
        <v>252</v>
      </c>
      <c r="E131" s="7" t="s">
        <v>251</v>
      </c>
      <c r="F131" s="8"/>
      <c r="G131" s="9" t="str">
        <f t="shared" si="20"/>
        <v>JBK1E</v>
      </c>
      <c r="H131" s="9" t="str">
        <f t="shared" si="21"/>
        <v>20</v>
      </c>
      <c r="I131" s="9" t="str">
        <f t="shared" si="22"/>
        <v>06</v>
      </c>
      <c r="J131" s="9" t="str">
        <f t="shared" si="23"/>
        <v>2025</v>
      </c>
      <c r="K131" s="10" t="str">
        <f t="shared" si="24"/>
        <v>20/06/2025</v>
      </c>
      <c r="L131" s="9" t="str">
        <f t="shared" si="25"/>
        <v>01</v>
      </c>
      <c r="M131" s="9" t="str">
        <f t="shared" si="26"/>
        <v>07</v>
      </c>
      <c r="N131" s="9" t="str">
        <f t="shared" si="27"/>
        <v>2025</v>
      </c>
      <c r="O131" s="10" t="str">
        <f t="shared" si="28"/>
        <v>01/07/2025</v>
      </c>
      <c r="P131" s="9">
        <f t="shared" si="29"/>
        <v>11</v>
      </c>
      <c r="Q131" t="str">
        <f>VLOOKUP(A131,[1]Sheet2!$I$2:$O$496,7,FALSE())</f>
        <v>https://fruitbasket.blob.core.windows.net/gk2o5k/avatar/213404434202507011419506EWIZG.jpg</v>
      </c>
    </row>
    <row r="132" spans="1:17" ht="13.8" hidden="1" x14ac:dyDescent="0.25">
      <c r="A132" s="11" t="s">
        <v>608</v>
      </c>
      <c r="B132" s="7" t="s">
        <v>609</v>
      </c>
      <c r="C132" s="7" t="s">
        <v>15</v>
      </c>
      <c r="D132" s="7" t="s">
        <v>610</v>
      </c>
      <c r="E132" s="7" t="s">
        <v>195</v>
      </c>
      <c r="F132" s="8"/>
      <c r="G132" s="9" t="str">
        <f t="shared" si="20"/>
        <v>KFC1E</v>
      </c>
      <c r="H132" s="9" t="str">
        <f t="shared" si="21"/>
        <v>28</v>
      </c>
      <c r="I132" s="9" t="str">
        <f t="shared" si="22"/>
        <v>05</v>
      </c>
      <c r="J132" s="9" t="str">
        <f t="shared" si="23"/>
        <v>2025</v>
      </c>
      <c r="K132" s="10" t="str">
        <f t="shared" si="24"/>
        <v>28/05/2025</v>
      </c>
      <c r="L132" s="9" t="str">
        <f t="shared" si="25"/>
        <v>03</v>
      </c>
      <c r="M132" s="9" t="str">
        <f t="shared" si="26"/>
        <v>07</v>
      </c>
      <c r="N132" s="9" t="str">
        <f t="shared" si="27"/>
        <v>2025</v>
      </c>
      <c r="O132" s="10" t="str">
        <f t="shared" si="28"/>
        <v>03/07/2025</v>
      </c>
      <c r="P132" s="9">
        <f t="shared" si="29"/>
        <v>36</v>
      </c>
      <c r="Q132" t="str">
        <f>VLOOKUP(A132,[1]Sheet2!$I$2:$O$496,7,FALSE())</f>
        <v>https://fruitbasket.blob.core.windows.net/gk2o5k/avatar/2480197920250703162350ZRGPCD.jpg</v>
      </c>
    </row>
    <row r="133" spans="1:17" ht="13.8" x14ac:dyDescent="0.25">
      <c r="A133" s="21" t="s">
        <v>547</v>
      </c>
      <c r="B133" s="7" t="s">
        <v>308</v>
      </c>
      <c r="C133" s="7" t="s">
        <v>15</v>
      </c>
      <c r="D133" s="7" t="s">
        <v>548</v>
      </c>
      <c r="E133" s="7" t="s">
        <v>140</v>
      </c>
      <c r="F133" s="9" t="s">
        <v>815</v>
      </c>
      <c r="G133" s="9" t="str">
        <f t="shared" si="20"/>
        <v>JMH1E</v>
      </c>
      <c r="H133" s="9" t="str">
        <f t="shared" si="21"/>
        <v>14</v>
      </c>
      <c r="I133" s="9" t="str">
        <f t="shared" si="22"/>
        <v>06</v>
      </c>
      <c r="J133" s="9" t="str">
        <f t="shared" si="23"/>
        <v>2025</v>
      </c>
      <c r="K133" s="10" t="str">
        <f t="shared" si="24"/>
        <v>14/06/2025</v>
      </c>
      <c r="L133" s="9" t="str">
        <f t="shared" si="25"/>
        <v>11</v>
      </c>
      <c r="M133" s="9" t="str">
        <f t="shared" si="26"/>
        <v>07</v>
      </c>
      <c r="N133" s="9" t="str">
        <f t="shared" si="27"/>
        <v>2025</v>
      </c>
      <c r="O133" s="10" t="str">
        <f t="shared" si="28"/>
        <v>11/07/2025</v>
      </c>
      <c r="P133" s="9">
        <f t="shared" si="29"/>
        <v>27</v>
      </c>
      <c r="Q133" t="str">
        <f>VLOOKUP(A133,[1]Sheet2!$I$2:$O$496,7,FALSE())</f>
        <v>https://fruitbasket.blob.core.windows.net/gk2o5k/avatar/21335509220250711155856B7PTIC.jpg</v>
      </c>
    </row>
    <row r="134" spans="1:17" ht="13.8" hidden="1" x14ac:dyDescent="0.25">
      <c r="A134" s="11" t="s">
        <v>177</v>
      </c>
      <c r="B134" s="7" t="s">
        <v>178</v>
      </c>
      <c r="C134" s="7" t="s">
        <v>28</v>
      </c>
      <c r="D134" s="7" t="s">
        <v>180</v>
      </c>
      <c r="E134" s="7" t="s">
        <v>179</v>
      </c>
      <c r="F134" s="8"/>
      <c r="G134" s="9" t="str">
        <f t="shared" si="20"/>
        <v>JMF2E</v>
      </c>
      <c r="H134" s="9" t="str">
        <f t="shared" si="21"/>
        <v>26</v>
      </c>
      <c r="I134" s="9" t="str">
        <f t="shared" si="22"/>
        <v>04</v>
      </c>
      <c r="J134" s="9" t="str">
        <f t="shared" si="23"/>
        <v>2025</v>
      </c>
      <c r="K134" s="10" t="str">
        <f t="shared" si="24"/>
        <v>26/04/2025</v>
      </c>
      <c r="L134" s="9" t="str">
        <f t="shared" si="25"/>
        <v>28</v>
      </c>
      <c r="M134" s="9" t="str">
        <f t="shared" si="26"/>
        <v>07</v>
      </c>
      <c r="N134" s="9" t="str">
        <f t="shared" si="27"/>
        <v>2025</v>
      </c>
      <c r="O134" s="10" t="str">
        <f t="shared" si="28"/>
        <v>28/07/2025</v>
      </c>
      <c r="P134" s="9">
        <f t="shared" si="29"/>
        <v>93</v>
      </c>
      <c r="Q134" t="str">
        <f>VLOOKUP(A134,[1]Sheet2!$I$2:$O$496,7,FALSE())</f>
        <v>https://fruitbasket.blob.core.windows.net/gk2o5k/avatar/21308857920250728164505I8WBUO.jpg</v>
      </c>
    </row>
    <row r="135" spans="1:17" ht="13.8" x14ac:dyDescent="0.25">
      <c r="A135" s="21" t="s">
        <v>320</v>
      </c>
      <c r="B135" s="7" t="s">
        <v>136</v>
      </c>
      <c r="C135" s="7" t="s">
        <v>15</v>
      </c>
      <c r="D135" s="7" t="s">
        <v>321</v>
      </c>
      <c r="E135" s="7" t="s">
        <v>140</v>
      </c>
      <c r="F135" s="9" t="s">
        <v>788</v>
      </c>
      <c r="G135" s="9" t="str">
        <f t="shared" si="20"/>
        <v>JBK1E</v>
      </c>
      <c r="H135" s="9" t="str">
        <f t="shared" si="21"/>
        <v>14</v>
      </c>
      <c r="I135" s="9" t="str">
        <f t="shared" si="22"/>
        <v>05</v>
      </c>
      <c r="J135" s="9" t="str">
        <f t="shared" si="23"/>
        <v>2025</v>
      </c>
      <c r="K135" s="10" t="str">
        <f t="shared" si="24"/>
        <v>14/05/2025</v>
      </c>
      <c r="L135" s="9" t="str">
        <f t="shared" si="25"/>
        <v>11</v>
      </c>
      <c r="M135" s="9" t="str">
        <f t="shared" si="26"/>
        <v>07</v>
      </c>
      <c r="N135" s="9" t="str">
        <f t="shared" si="27"/>
        <v>2025</v>
      </c>
      <c r="O135" s="10" t="str">
        <f t="shared" si="28"/>
        <v>11/07/2025</v>
      </c>
      <c r="P135" s="9">
        <f t="shared" si="29"/>
        <v>58</v>
      </c>
      <c r="Q135" t="str">
        <f>VLOOKUP(A135,[1]Sheet2!$I$2:$O$496,7,FALSE())</f>
        <v>https://fruitbasket.blob.core.windows.net/gk2o5k/avatar/21195503820250711160940EUGCEV.jpg</v>
      </c>
    </row>
    <row r="136" spans="1:17" ht="13.8" hidden="1" x14ac:dyDescent="0.25">
      <c r="A136" s="11" t="s">
        <v>149</v>
      </c>
      <c r="B136" s="7" t="s">
        <v>115</v>
      </c>
      <c r="C136" s="7" t="s">
        <v>15</v>
      </c>
      <c r="D136" s="7" t="s">
        <v>151</v>
      </c>
      <c r="E136" s="7" t="s">
        <v>150</v>
      </c>
      <c r="F136" s="8"/>
      <c r="G136" s="9" t="str">
        <f t="shared" si="20"/>
        <v>JME1E</v>
      </c>
      <c r="H136" s="9" t="str">
        <f t="shared" si="21"/>
        <v>17</v>
      </c>
      <c r="I136" s="9" t="str">
        <f t="shared" si="22"/>
        <v>06</v>
      </c>
      <c r="J136" s="9" t="str">
        <f t="shared" si="23"/>
        <v>2025</v>
      </c>
      <c r="K136" s="10" t="str">
        <f t="shared" si="24"/>
        <v>17/06/2025</v>
      </c>
      <c r="L136" s="9" t="str">
        <f t="shared" si="25"/>
        <v>17</v>
      </c>
      <c r="M136" s="9" t="str">
        <f t="shared" si="26"/>
        <v>07</v>
      </c>
      <c r="N136" s="9" t="str">
        <f t="shared" si="27"/>
        <v>2025</v>
      </c>
      <c r="O136" s="10" t="str">
        <f t="shared" si="28"/>
        <v>17/07/2025</v>
      </c>
      <c r="P136" s="9">
        <f t="shared" si="29"/>
        <v>30</v>
      </c>
      <c r="Q136" t="str">
        <f>VLOOKUP(A136,[1]Sheet2!$I$2:$O$496,7,FALSE())</f>
        <v>https://fruitbasket.blob.core.windows.net/gk2o5k/avatar/21276857220250717123734LENOOM.jpg</v>
      </c>
    </row>
    <row r="137" spans="1:17" ht="13.8" hidden="1" x14ac:dyDescent="0.25">
      <c r="A137" s="11" t="s">
        <v>577</v>
      </c>
      <c r="B137" s="7" t="s">
        <v>111</v>
      </c>
      <c r="C137" s="7" t="s">
        <v>15</v>
      </c>
      <c r="D137" s="7" t="s">
        <v>578</v>
      </c>
      <c r="E137" s="7" t="s">
        <v>218</v>
      </c>
      <c r="F137" s="8"/>
      <c r="G137" s="9" t="str">
        <f t="shared" si="20"/>
        <v>JMH1E</v>
      </c>
      <c r="H137" s="9" t="str">
        <f t="shared" si="21"/>
        <v>28</v>
      </c>
      <c r="I137" s="9" t="str">
        <f t="shared" si="22"/>
        <v>06</v>
      </c>
      <c r="J137" s="9" t="str">
        <f t="shared" si="23"/>
        <v>2025</v>
      </c>
      <c r="K137" s="10" t="str">
        <f t="shared" si="24"/>
        <v>28/06/2025</v>
      </c>
      <c r="L137" s="9" t="str">
        <f t="shared" si="25"/>
        <v>30</v>
      </c>
      <c r="M137" s="9" t="str">
        <f t="shared" si="26"/>
        <v>07</v>
      </c>
      <c r="N137" s="9" t="str">
        <f t="shared" si="27"/>
        <v>2025</v>
      </c>
      <c r="O137" s="10" t="str">
        <f t="shared" si="28"/>
        <v>30/07/2025</v>
      </c>
      <c r="P137" s="9">
        <f t="shared" si="29"/>
        <v>32</v>
      </c>
      <c r="Q137" t="str">
        <f>VLOOKUP(A137,[1]Sheet2!$I$2:$O$496,7,FALSE())</f>
        <v>https://fruitbasket.blob.core.windows.net/gk2o5k/avatar/21330272320250730144354FJSQUL.jpg</v>
      </c>
    </row>
    <row r="138" spans="1:17" ht="13.8" hidden="1" x14ac:dyDescent="0.25">
      <c r="A138" s="11" t="s">
        <v>294</v>
      </c>
      <c r="B138" s="7" t="s">
        <v>115</v>
      </c>
      <c r="C138" s="7" t="s">
        <v>15</v>
      </c>
      <c r="D138" s="7" t="s">
        <v>295</v>
      </c>
      <c r="E138" s="7" t="s">
        <v>192</v>
      </c>
      <c r="F138" s="8"/>
      <c r="G138" s="9" t="str">
        <f t="shared" si="20"/>
        <v>JBK1E</v>
      </c>
      <c r="H138" s="9" t="str">
        <f t="shared" si="21"/>
        <v>17</v>
      </c>
      <c r="I138" s="9" t="str">
        <f t="shared" si="22"/>
        <v>06</v>
      </c>
      <c r="J138" s="9" t="str">
        <f t="shared" si="23"/>
        <v>2025</v>
      </c>
      <c r="K138" s="10" t="str">
        <f t="shared" si="24"/>
        <v>17/06/2025</v>
      </c>
      <c r="L138" s="9" t="str">
        <f t="shared" si="25"/>
        <v>07</v>
      </c>
      <c r="M138" s="9" t="str">
        <f t="shared" si="26"/>
        <v>07</v>
      </c>
      <c r="N138" s="9" t="str">
        <f t="shared" si="27"/>
        <v>2025</v>
      </c>
      <c r="O138" s="10" t="str">
        <f t="shared" si="28"/>
        <v>07/07/2025</v>
      </c>
      <c r="P138" s="9">
        <f t="shared" si="29"/>
        <v>20</v>
      </c>
      <c r="Q138" t="str">
        <f>VLOOKUP(A138,[1]Sheet2!$I$2:$O$496,7,FALSE())</f>
        <v>https://fruitbasket.blob.core.windows.net/gk2o5k/avatar/21196663620250707111559FW9Z83.jpg</v>
      </c>
    </row>
    <row r="139" spans="1:17" ht="13.8" x14ac:dyDescent="0.25">
      <c r="A139" s="21" t="s">
        <v>243</v>
      </c>
      <c r="B139" s="7" t="s">
        <v>244</v>
      </c>
      <c r="C139" s="7" t="s">
        <v>21</v>
      </c>
      <c r="D139" s="20" t="s">
        <v>246</v>
      </c>
      <c r="E139" s="7" t="s">
        <v>245</v>
      </c>
      <c r="F139" s="12" t="s">
        <v>829</v>
      </c>
      <c r="G139" s="9" t="str">
        <f t="shared" si="20"/>
        <v>KF81E</v>
      </c>
      <c r="H139" s="9" t="str">
        <f t="shared" si="21"/>
        <v>28</v>
      </c>
      <c r="I139" s="9" t="str">
        <f t="shared" si="22"/>
        <v>02</v>
      </c>
      <c r="J139" s="9" t="str">
        <f t="shared" si="23"/>
        <v>2025</v>
      </c>
      <c r="K139" s="10" t="str">
        <f t="shared" si="24"/>
        <v>28/02/2025</v>
      </c>
      <c r="L139" s="9" t="str">
        <f t="shared" si="25"/>
        <v>19</v>
      </c>
      <c r="M139" s="9" t="str">
        <f t="shared" si="26"/>
        <v>07</v>
      </c>
      <c r="N139" s="9" t="str">
        <f t="shared" si="27"/>
        <v>2025</v>
      </c>
      <c r="O139" s="10" t="str">
        <f t="shared" si="28"/>
        <v>19/07/2025</v>
      </c>
      <c r="P139" s="9">
        <f t="shared" si="29"/>
        <v>141</v>
      </c>
      <c r="Q139" t="str">
        <f>VLOOKUP(A139,[1]Sheet2!$I$2:$O$496,7,FALSE())</f>
        <v>https://fruitbasket.blob.core.windows.net/gk2o5k/avatar/21277965620250719152329AVUSFU.jpg</v>
      </c>
    </row>
    <row r="140" spans="1:17" ht="13.8" x14ac:dyDescent="0.25">
      <c r="A140" s="21" t="s">
        <v>499</v>
      </c>
      <c r="B140" s="7" t="s">
        <v>500</v>
      </c>
      <c r="C140" s="7" t="s">
        <v>28</v>
      </c>
      <c r="D140" s="7" t="s">
        <v>501</v>
      </c>
      <c r="E140" s="7" t="s">
        <v>112</v>
      </c>
      <c r="F140" s="9" t="s">
        <v>803</v>
      </c>
      <c r="G140" s="9" t="str">
        <f t="shared" si="20"/>
        <v>JBK3E</v>
      </c>
      <c r="H140" s="9" t="str">
        <f t="shared" si="21"/>
        <v>16</v>
      </c>
      <c r="I140" s="9" t="str">
        <f t="shared" si="22"/>
        <v>12</v>
      </c>
      <c r="J140" s="9" t="str">
        <f t="shared" si="23"/>
        <v>2024</v>
      </c>
      <c r="K140" s="10" t="str">
        <f t="shared" si="24"/>
        <v>16/12/2024</v>
      </c>
      <c r="L140" s="9" t="str">
        <f t="shared" si="25"/>
        <v>05</v>
      </c>
      <c r="M140" s="9" t="str">
        <f t="shared" si="26"/>
        <v>07</v>
      </c>
      <c r="N140" s="9" t="str">
        <f t="shared" si="27"/>
        <v>2025</v>
      </c>
      <c r="O140" s="10" t="str">
        <f t="shared" si="28"/>
        <v>05/07/2025</v>
      </c>
      <c r="P140" s="9">
        <f t="shared" si="29"/>
        <v>201</v>
      </c>
      <c r="Q140" t="str">
        <f>VLOOKUP(A140,[1]Sheet2!$I$2:$O$496,7,FALSE())</f>
        <v>https://fruitbasket.blob.core.windows.net/gk2o5k/avatar/21176909020250705161051MU2YE8.jpg</v>
      </c>
    </row>
    <row r="141" spans="1:17" ht="13.8" hidden="1" x14ac:dyDescent="0.25">
      <c r="A141" s="11" t="s">
        <v>522</v>
      </c>
      <c r="B141" s="7" t="s">
        <v>523</v>
      </c>
      <c r="C141" s="7" t="s">
        <v>23</v>
      </c>
      <c r="D141" s="7" t="s">
        <v>524</v>
      </c>
      <c r="E141" s="7" t="s">
        <v>112</v>
      </c>
      <c r="F141" s="8"/>
      <c r="G141" s="9" t="str">
        <f t="shared" si="20"/>
        <v>JBK1E</v>
      </c>
      <c r="H141" s="9" t="str">
        <f t="shared" si="21"/>
        <v>04</v>
      </c>
      <c r="I141" s="9" t="str">
        <f t="shared" si="22"/>
        <v>09</v>
      </c>
      <c r="J141" s="9" t="str">
        <f t="shared" si="23"/>
        <v>2024</v>
      </c>
      <c r="K141" s="10" t="str">
        <f t="shared" si="24"/>
        <v>04/09/2024</v>
      </c>
      <c r="L141" s="9" t="str">
        <f t="shared" si="25"/>
        <v>05</v>
      </c>
      <c r="M141" s="9" t="str">
        <f t="shared" si="26"/>
        <v>07</v>
      </c>
      <c r="N141" s="9" t="str">
        <f t="shared" si="27"/>
        <v>2025</v>
      </c>
      <c r="O141" s="10" t="str">
        <f t="shared" si="28"/>
        <v>05/07/2025</v>
      </c>
      <c r="P141" s="9">
        <f t="shared" si="29"/>
        <v>304</v>
      </c>
      <c r="Q141" t="str">
        <f>VLOOKUP(A141,[1]Sheet2!$I$2:$O$496,7,FALSE())</f>
        <v>https://fruitbasket.blob.core.windows.net/gk2o5k/avatar/21176909020250705160458FJZYQW.jpg</v>
      </c>
    </row>
    <row r="142" spans="1:17" ht="13.8" hidden="1" x14ac:dyDescent="0.25">
      <c r="A142" s="11" t="s">
        <v>173</v>
      </c>
      <c r="B142" s="7" t="s">
        <v>174</v>
      </c>
      <c r="C142" s="7" t="s">
        <v>28</v>
      </c>
      <c r="D142" s="7" t="s">
        <v>176</v>
      </c>
      <c r="E142" s="7" t="s">
        <v>175</v>
      </c>
      <c r="F142" s="8"/>
      <c r="G142" s="9" t="str">
        <f t="shared" si="20"/>
        <v>JME1E</v>
      </c>
      <c r="H142" s="9" t="str">
        <f t="shared" si="21"/>
        <v>21</v>
      </c>
      <c r="I142" s="9" t="str">
        <f t="shared" si="22"/>
        <v>04</v>
      </c>
      <c r="J142" s="9" t="str">
        <f t="shared" si="23"/>
        <v>2025</v>
      </c>
      <c r="K142" s="10" t="str">
        <f t="shared" si="24"/>
        <v>21/04/2025</v>
      </c>
      <c r="L142" s="9" t="str">
        <f t="shared" si="25"/>
        <v>21</v>
      </c>
      <c r="M142" s="9" t="str">
        <f t="shared" si="26"/>
        <v>07</v>
      </c>
      <c r="N142" s="9" t="str">
        <f t="shared" si="27"/>
        <v>2025</v>
      </c>
      <c r="O142" s="10" t="str">
        <f t="shared" si="28"/>
        <v>21/07/2025</v>
      </c>
      <c r="P142" s="9">
        <f t="shared" si="29"/>
        <v>91</v>
      </c>
      <c r="Q142" t="str">
        <f>VLOOKUP(A142,[1]Sheet2!$I$2:$O$496,7,FALSE())</f>
        <v>https://fruitbasket.blob.core.windows.net/gk2o5k/avatar/21271404420250721094835GXFAMQ.jpg</v>
      </c>
    </row>
    <row r="143" spans="1:17" ht="13.8" hidden="1" x14ac:dyDescent="0.25">
      <c r="A143" s="11" t="s">
        <v>332</v>
      </c>
      <c r="B143" s="7" t="s">
        <v>104</v>
      </c>
      <c r="C143" s="7" t="s">
        <v>15</v>
      </c>
      <c r="D143" s="7" t="s">
        <v>333</v>
      </c>
      <c r="E143" s="7" t="s">
        <v>144</v>
      </c>
      <c r="F143" s="8"/>
      <c r="G143" s="9" t="str">
        <f t="shared" si="20"/>
        <v>JBK1E</v>
      </c>
      <c r="H143" s="9" t="str">
        <f t="shared" si="21"/>
        <v>02</v>
      </c>
      <c r="I143" s="9" t="str">
        <f t="shared" si="22"/>
        <v>07</v>
      </c>
      <c r="J143" s="9" t="str">
        <f t="shared" si="23"/>
        <v>2025</v>
      </c>
      <c r="K143" s="10" t="str">
        <f t="shared" si="24"/>
        <v>02/07/2025</v>
      </c>
      <c r="L143" s="9" t="str">
        <f t="shared" si="25"/>
        <v>12</v>
      </c>
      <c r="M143" s="9" t="str">
        <f t="shared" si="26"/>
        <v>07</v>
      </c>
      <c r="N143" s="9" t="str">
        <f t="shared" si="27"/>
        <v>2025</v>
      </c>
      <c r="O143" s="10" t="str">
        <f t="shared" si="28"/>
        <v>12/07/2025</v>
      </c>
      <c r="P143" s="9">
        <f t="shared" si="29"/>
        <v>10</v>
      </c>
      <c r="Q143" t="str">
        <f>VLOOKUP(A143,[1]Sheet2!$I$2:$O$496,7,FALSE())</f>
        <v>https://fruitbasket.blob.core.windows.net/gk2o5k/avatar/21346977920250712160226PFCZ4A.jpg</v>
      </c>
    </row>
    <row r="144" spans="1:17" ht="13.8" hidden="1" x14ac:dyDescent="0.25">
      <c r="A144" s="11" t="s">
        <v>322</v>
      </c>
      <c r="B144" s="7" t="s">
        <v>202</v>
      </c>
      <c r="C144" s="7" t="s">
        <v>15</v>
      </c>
      <c r="D144" s="7" t="s">
        <v>323</v>
      </c>
      <c r="E144" s="7" t="s">
        <v>140</v>
      </c>
      <c r="F144" s="8"/>
      <c r="G144" s="9" t="str">
        <f t="shared" si="20"/>
        <v>JBK3E</v>
      </c>
      <c r="H144" s="9" t="str">
        <f t="shared" si="21"/>
        <v>31</v>
      </c>
      <c r="I144" s="9" t="str">
        <f t="shared" si="22"/>
        <v>05</v>
      </c>
      <c r="J144" s="9" t="str">
        <f t="shared" si="23"/>
        <v>2025</v>
      </c>
      <c r="K144" s="10" t="str">
        <f t="shared" si="24"/>
        <v>31/05/2025</v>
      </c>
      <c r="L144" s="9" t="str">
        <f t="shared" si="25"/>
        <v>11</v>
      </c>
      <c r="M144" s="9" t="str">
        <f t="shared" si="26"/>
        <v>07</v>
      </c>
      <c r="N144" s="9" t="str">
        <f t="shared" si="27"/>
        <v>2025</v>
      </c>
      <c r="O144" s="10" t="str">
        <f t="shared" si="28"/>
        <v>11/07/2025</v>
      </c>
      <c r="P144" s="9">
        <f t="shared" si="29"/>
        <v>41</v>
      </c>
      <c r="Q144" t="str">
        <f>VLOOKUP(A144,[1]Sheet2!$I$2:$O$496,7,FALSE())</f>
        <v>https://fruitbasket.blob.core.windows.net/gk2o5k/avatar/21193984320250711135047BAAD3I.jpg</v>
      </c>
    </row>
    <row r="145" spans="1:17" ht="13.8" hidden="1" x14ac:dyDescent="0.25">
      <c r="A145" s="11" t="s">
        <v>590</v>
      </c>
      <c r="B145" s="7" t="s">
        <v>591</v>
      </c>
      <c r="C145" s="7" t="s">
        <v>28</v>
      </c>
      <c r="D145" s="7" t="s">
        <v>592</v>
      </c>
      <c r="E145" s="7" t="s">
        <v>104</v>
      </c>
      <c r="F145" s="8"/>
      <c r="G145" s="9" t="str">
        <f t="shared" si="20"/>
        <v>JM04E</v>
      </c>
      <c r="H145" s="9" t="str">
        <f t="shared" si="21"/>
        <v>28</v>
      </c>
      <c r="I145" s="9" t="str">
        <f t="shared" si="22"/>
        <v>11</v>
      </c>
      <c r="J145" s="9" t="str">
        <f t="shared" si="23"/>
        <v>2024</v>
      </c>
      <c r="K145" s="10" t="str">
        <f t="shared" si="24"/>
        <v>28/11/2024</v>
      </c>
      <c r="L145" s="9" t="str">
        <f t="shared" si="25"/>
        <v>02</v>
      </c>
      <c r="M145" s="9" t="str">
        <f t="shared" si="26"/>
        <v>07</v>
      </c>
      <c r="N145" s="9" t="str">
        <f t="shared" si="27"/>
        <v>2025</v>
      </c>
      <c r="O145" s="10" t="str">
        <f t="shared" si="28"/>
        <v>02/07/2025</v>
      </c>
      <c r="P145" s="9">
        <f t="shared" si="29"/>
        <v>216</v>
      </c>
      <c r="Q145" t="str">
        <f>VLOOKUP(A145,[1]Sheet2!$I$2:$O$496,7,FALSE())</f>
        <v>https://fruitbasket.blob.core.windows.net/gk2o5k/avatar/2965415720250702144118CGAF1U.jpg</v>
      </c>
    </row>
    <row r="146" spans="1:17" ht="13.8" x14ac:dyDescent="0.25">
      <c r="A146" s="21" t="s">
        <v>359</v>
      </c>
      <c r="B146" s="7" t="s">
        <v>121</v>
      </c>
      <c r="C146" s="7" t="s">
        <v>15</v>
      </c>
      <c r="D146" s="7" t="s">
        <v>360</v>
      </c>
      <c r="E146" s="7" t="s">
        <v>212</v>
      </c>
      <c r="F146" s="8" t="s">
        <v>779</v>
      </c>
      <c r="G146" s="9" t="str">
        <f t="shared" si="20"/>
        <v>JBK1E</v>
      </c>
      <c r="H146" s="9" t="str">
        <f t="shared" si="21"/>
        <v>20</v>
      </c>
      <c r="I146" s="9" t="str">
        <f t="shared" si="22"/>
        <v>06</v>
      </c>
      <c r="J146" s="9" t="str">
        <f t="shared" si="23"/>
        <v>2025</v>
      </c>
      <c r="K146" s="10" t="str">
        <f t="shared" si="24"/>
        <v>20/06/2025</v>
      </c>
      <c r="L146" s="9" t="str">
        <f t="shared" si="25"/>
        <v>15</v>
      </c>
      <c r="M146" s="9" t="str">
        <f t="shared" si="26"/>
        <v>07</v>
      </c>
      <c r="N146" s="9" t="str">
        <f t="shared" si="27"/>
        <v>2025</v>
      </c>
      <c r="O146" s="10" t="str">
        <f t="shared" si="28"/>
        <v>15/07/2025</v>
      </c>
      <c r="P146" s="9">
        <f t="shared" si="29"/>
        <v>25</v>
      </c>
      <c r="Q146" t="str">
        <f>VLOOKUP(A146,[1]Sheet2!$I$2:$O$496,7,FALSE())</f>
        <v>https://fruitbasket.blob.core.windows.net/gk2o5k/avatar/213412584202507150958510OWT9G.jpg</v>
      </c>
    </row>
    <row r="147" spans="1:17" ht="13.8" hidden="1" x14ac:dyDescent="0.25">
      <c r="A147" s="11" t="s">
        <v>120</v>
      </c>
      <c r="B147" s="7" t="s">
        <v>121</v>
      </c>
      <c r="C147" s="7" t="s">
        <v>15</v>
      </c>
      <c r="D147" s="7" t="s">
        <v>122</v>
      </c>
      <c r="E147" s="7" t="s">
        <v>112</v>
      </c>
      <c r="F147" s="8"/>
      <c r="G147" s="9" t="str">
        <f t="shared" si="20"/>
        <v>JME1E</v>
      </c>
      <c r="H147" s="9" t="str">
        <f t="shared" si="21"/>
        <v>20</v>
      </c>
      <c r="I147" s="9" t="str">
        <f t="shared" si="22"/>
        <v>06</v>
      </c>
      <c r="J147" s="9" t="str">
        <f t="shared" si="23"/>
        <v>2025</v>
      </c>
      <c r="K147" s="10" t="str">
        <f t="shared" si="24"/>
        <v>20/06/2025</v>
      </c>
      <c r="L147" s="9" t="str">
        <f t="shared" si="25"/>
        <v>05</v>
      </c>
      <c r="M147" s="9" t="str">
        <f t="shared" si="26"/>
        <v>07</v>
      </c>
      <c r="N147" s="9" t="str">
        <f t="shared" si="27"/>
        <v>2025</v>
      </c>
      <c r="O147" s="10" t="str">
        <f t="shared" si="28"/>
        <v>05/07/2025</v>
      </c>
      <c r="P147" s="9">
        <f t="shared" si="29"/>
        <v>15</v>
      </c>
      <c r="Q147" t="str">
        <f>VLOOKUP(A147,[1]Sheet2!$I$2:$O$496,7,FALSE())</f>
        <v>https://fruitbasket.blob.core.windows.net/gk2o5k/avatar/21330706320250705141326YMKM1B.jpg</v>
      </c>
    </row>
    <row r="148" spans="1:17" ht="13.8" x14ac:dyDescent="0.25">
      <c r="A148" s="11" t="s">
        <v>317</v>
      </c>
      <c r="B148" s="13" t="s">
        <v>121</v>
      </c>
      <c r="C148" s="7" t="s">
        <v>15</v>
      </c>
      <c r="D148" s="7" t="s">
        <v>122</v>
      </c>
      <c r="E148" s="7" t="s">
        <v>140</v>
      </c>
      <c r="F148" s="8" t="s">
        <v>777</v>
      </c>
      <c r="G148" s="9" t="str">
        <f t="shared" si="20"/>
        <v>JBK3E</v>
      </c>
      <c r="H148" s="9" t="str">
        <f t="shared" si="21"/>
        <v>20</v>
      </c>
      <c r="I148" s="9" t="str">
        <f t="shared" si="22"/>
        <v>06</v>
      </c>
      <c r="J148" s="9" t="str">
        <f t="shared" si="23"/>
        <v>2025</v>
      </c>
      <c r="K148" s="10" t="str">
        <f t="shared" si="24"/>
        <v>20/06/2025</v>
      </c>
      <c r="L148" s="9" t="str">
        <f t="shared" si="25"/>
        <v>11</v>
      </c>
      <c r="M148" s="9" t="str">
        <f t="shared" si="26"/>
        <v>07</v>
      </c>
      <c r="N148" s="9" t="str">
        <f t="shared" si="27"/>
        <v>2025</v>
      </c>
      <c r="O148" s="10" t="str">
        <f t="shared" si="28"/>
        <v>11/07/2025</v>
      </c>
      <c r="P148" s="9">
        <f t="shared" si="29"/>
        <v>21</v>
      </c>
      <c r="Q148" t="str">
        <f>VLOOKUP(A148,[1]Sheet2!$I$2:$O$496,7,FALSE())</f>
        <v>https://fruitbasket.blob.core.windows.net/gk2o5k/avatar/21106217720250711112336UCNSGL.jpg</v>
      </c>
    </row>
    <row r="149" spans="1:17" ht="13.8" hidden="1" x14ac:dyDescent="0.25">
      <c r="A149" s="11" t="s">
        <v>631</v>
      </c>
      <c r="B149" s="7" t="s">
        <v>292</v>
      </c>
      <c r="C149" s="7" t="s">
        <v>15</v>
      </c>
      <c r="D149" s="7" t="s">
        <v>632</v>
      </c>
      <c r="E149" s="7" t="s">
        <v>125</v>
      </c>
      <c r="F149" s="8"/>
      <c r="G149" s="9" t="str">
        <f t="shared" si="20"/>
        <v>JBP1E</v>
      </c>
      <c r="H149" s="9" t="str">
        <f t="shared" si="21"/>
        <v>18</v>
      </c>
      <c r="I149" s="9" t="str">
        <f t="shared" si="22"/>
        <v>06</v>
      </c>
      <c r="J149" s="9" t="str">
        <f t="shared" si="23"/>
        <v>2025</v>
      </c>
      <c r="K149" s="10" t="str">
        <f t="shared" si="24"/>
        <v>18/06/2025</v>
      </c>
      <c r="L149" s="9" t="str">
        <f t="shared" si="25"/>
        <v>08</v>
      </c>
      <c r="M149" s="9" t="str">
        <f t="shared" si="26"/>
        <v>07</v>
      </c>
      <c r="N149" s="9" t="str">
        <f t="shared" si="27"/>
        <v>2025</v>
      </c>
      <c r="O149" s="10" t="str">
        <f t="shared" si="28"/>
        <v>08/07/2025</v>
      </c>
      <c r="P149" s="9">
        <f t="shared" si="29"/>
        <v>20</v>
      </c>
      <c r="Q149" t="str">
        <f>VLOOKUP(A149,[1]Sheet2!$I$2:$O$496,7,FALSE())</f>
        <v>https://fruitbasket.blob.core.windows.net/gk2o5k/avatar/21227242120250708123118IIA6IG.jpg</v>
      </c>
    </row>
    <row r="150" spans="1:17" ht="13.8" x14ac:dyDescent="0.25">
      <c r="A150" s="11" t="s">
        <v>652</v>
      </c>
      <c r="B150" s="13" t="s">
        <v>606</v>
      </c>
      <c r="C150" s="7" t="s">
        <v>15</v>
      </c>
      <c r="D150" s="7" t="s">
        <v>632</v>
      </c>
      <c r="E150" s="7" t="s">
        <v>108</v>
      </c>
      <c r="F150" s="8" t="s">
        <v>777</v>
      </c>
      <c r="G150" s="9" t="str">
        <f t="shared" si="20"/>
        <v>JMC1E</v>
      </c>
      <c r="H150" s="9" t="str">
        <f t="shared" si="21"/>
        <v>03</v>
      </c>
      <c r="I150" s="9" t="str">
        <f t="shared" si="22"/>
        <v>06</v>
      </c>
      <c r="J150" s="9" t="str">
        <f t="shared" si="23"/>
        <v>2025</v>
      </c>
      <c r="K150" s="10" t="str">
        <f t="shared" si="24"/>
        <v>03/06/2025</v>
      </c>
      <c r="L150" s="9" t="str">
        <f t="shared" si="25"/>
        <v>04</v>
      </c>
      <c r="M150" s="9" t="str">
        <f t="shared" si="26"/>
        <v>07</v>
      </c>
      <c r="N150" s="9" t="str">
        <f t="shared" si="27"/>
        <v>2025</v>
      </c>
      <c r="O150" s="10" t="str">
        <f t="shared" si="28"/>
        <v>04/07/2025</v>
      </c>
      <c r="P150" s="9">
        <f t="shared" si="29"/>
        <v>31</v>
      </c>
      <c r="Q150" t="str">
        <f>VLOOKUP(A150,[1]Sheet2!$I$2:$O$496,7,FALSE())</f>
        <v>https://fruitbasket.blob.core.windows.net/gk2o5k/avatar/21186514020250704151348IW9BG4.jpg</v>
      </c>
    </row>
    <row r="151" spans="1:17" ht="13.8" hidden="1" x14ac:dyDescent="0.25">
      <c r="A151" s="11" t="s">
        <v>510</v>
      </c>
      <c r="B151" s="7" t="s">
        <v>511</v>
      </c>
      <c r="C151" s="7" t="s">
        <v>28</v>
      </c>
      <c r="D151" s="7" t="s">
        <v>512</v>
      </c>
      <c r="E151" s="7" t="s">
        <v>154</v>
      </c>
      <c r="F151" s="8"/>
      <c r="G151" s="9" t="str">
        <f t="shared" si="20"/>
        <v>JBK1E</v>
      </c>
      <c r="H151" s="9" t="str">
        <f t="shared" si="21"/>
        <v>21</v>
      </c>
      <c r="I151" s="9" t="str">
        <f t="shared" si="22"/>
        <v>01</v>
      </c>
      <c r="J151" s="9" t="str">
        <f t="shared" si="23"/>
        <v>2025</v>
      </c>
      <c r="K151" s="10" t="str">
        <f t="shared" si="24"/>
        <v>21/01/2025</v>
      </c>
      <c r="L151" s="9" t="str">
        <f t="shared" si="25"/>
        <v>18</v>
      </c>
      <c r="M151" s="9" t="str">
        <f t="shared" si="26"/>
        <v>07</v>
      </c>
      <c r="N151" s="9" t="str">
        <f t="shared" si="27"/>
        <v>2025</v>
      </c>
      <c r="O151" s="10" t="str">
        <f t="shared" si="28"/>
        <v>18/07/2025</v>
      </c>
      <c r="P151" s="9">
        <f t="shared" si="29"/>
        <v>178</v>
      </c>
      <c r="Q151" t="str">
        <f>VLOOKUP(A151,[1]Sheet2!$I$2:$O$496,7,FALSE())</f>
        <v>https://fruitbasket.blob.core.windows.net/gk2o5k/avatar/21277323820250718160336OFVLCA.jpg</v>
      </c>
    </row>
    <row r="152" spans="1:17" ht="13.8" x14ac:dyDescent="0.25">
      <c r="A152" s="21" t="s">
        <v>570</v>
      </c>
      <c r="B152" s="7" t="s">
        <v>103</v>
      </c>
      <c r="C152" s="7" t="s">
        <v>15</v>
      </c>
      <c r="D152" s="7" t="s">
        <v>571</v>
      </c>
      <c r="E152" s="7" t="s">
        <v>157</v>
      </c>
      <c r="F152" s="9" t="s">
        <v>816</v>
      </c>
      <c r="G152" s="9" t="str">
        <f t="shared" si="20"/>
        <v>JMH1E</v>
      </c>
      <c r="H152" s="9" t="str">
        <f t="shared" si="21"/>
        <v>24</v>
      </c>
      <c r="I152" s="9" t="str">
        <f t="shared" si="22"/>
        <v>05</v>
      </c>
      <c r="J152" s="9" t="str">
        <f t="shared" si="23"/>
        <v>2025</v>
      </c>
      <c r="K152" s="10" t="str">
        <f t="shared" si="24"/>
        <v>24/05/2025</v>
      </c>
      <c r="L152" s="9" t="str">
        <f t="shared" si="25"/>
        <v>26</v>
      </c>
      <c r="M152" s="9" t="str">
        <f t="shared" si="26"/>
        <v>07</v>
      </c>
      <c r="N152" s="9" t="str">
        <f t="shared" si="27"/>
        <v>2025</v>
      </c>
      <c r="O152" s="10" t="str">
        <f t="shared" si="28"/>
        <v>26/07/2025</v>
      </c>
      <c r="P152" s="9">
        <f t="shared" si="29"/>
        <v>63</v>
      </c>
      <c r="Q152" t="str">
        <f>VLOOKUP(A152,[1]Sheet2!$I$2:$O$496,7,FALSE())</f>
        <v>https://fruitbasket.blob.core.windows.net/gk2o5k/avatar/21296740520250726124917ANP0F9.jpg</v>
      </c>
    </row>
    <row r="153" spans="1:17" ht="13.8" x14ac:dyDescent="0.25">
      <c r="A153" s="21" t="s">
        <v>262</v>
      </c>
      <c r="B153" s="7" t="s">
        <v>260</v>
      </c>
      <c r="C153" s="7" t="s">
        <v>15</v>
      </c>
      <c r="D153" s="7" t="s">
        <v>263</v>
      </c>
      <c r="E153" s="7" t="s">
        <v>104</v>
      </c>
      <c r="F153" s="9" t="s">
        <v>789</v>
      </c>
      <c r="G153" s="9" t="str">
        <f t="shared" si="20"/>
        <v>JBK1E</v>
      </c>
      <c r="H153" s="9" t="str">
        <f t="shared" si="21"/>
        <v>24</v>
      </c>
      <c r="I153" s="9" t="str">
        <f t="shared" si="22"/>
        <v>06</v>
      </c>
      <c r="J153" s="9" t="str">
        <f t="shared" si="23"/>
        <v>2025</v>
      </c>
      <c r="K153" s="10" t="str">
        <f t="shared" si="24"/>
        <v>24/06/2025</v>
      </c>
      <c r="L153" s="9" t="str">
        <f t="shared" si="25"/>
        <v>02</v>
      </c>
      <c r="M153" s="9" t="str">
        <f t="shared" si="26"/>
        <v>07</v>
      </c>
      <c r="N153" s="9" t="str">
        <f t="shared" si="27"/>
        <v>2025</v>
      </c>
      <c r="O153" s="10" t="str">
        <f t="shared" si="28"/>
        <v>02/07/2025</v>
      </c>
      <c r="P153" s="9">
        <f t="shared" si="29"/>
        <v>8</v>
      </c>
      <c r="Q153" t="str">
        <f>VLOOKUP(A153,[1]Sheet2!$I$2:$O$496,7,FALSE())</f>
        <v>https://fruitbasket.blob.core.windows.net/gk2o5k/avatar/21341125020250702154607LWMZ4I.jpg</v>
      </c>
    </row>
    <row r="154" spans="1:17" ht="13.8" x14ac:dyDescent="0.25">
      <c r="A154" s="21" t="s">
        <v>349</v>
      </c>
      <c r="B154" s="7" t="s">
        <v>108</v>
      </c>
      <c r="C154" s="7" t="s">
        <v>15</v>
      </c>
      <c r="D154" s="7" t="s">
        <v>350</v>
      </c>
      <c r="E154" s="7" t="s">
        <v>144</v>
      </c>
      <c r="F154" s="9" t="s">
        <v>804</v>
      </c>
      <c r="G154" s="9" t="str">
        <f t="shared" si="20"/>
        <v>JBK3E</v>
      </c>
      <c r="H154" s="9" t="str">
        <f t="shared" si="21"/>
        <v>04</v>
      </c>
      <c r="I154" s="9" t="str">
        <f t="shared" si="22"/>
        <v>07</v>
      </c>
      <c r="J154" s="9" t="str">
        <f t="shared" si="23"/>
        <v>2025</v>
      </c>
      <c r="K154" s="10" t="str">
        <f t="shared" si="24"/>
        <v>04/07/2025</v>
      </c>
      <c r="L154" s="9" t="str">
        <f t="shared" si="25"/>
        <v>12</v>
      </c>
      <c r="M154" s="9" t="str">
        <f t="shared" si="26"/>
        <v>07</v>
      </c>
      <c r="N154" s="9" t="str">
        <f t="shared" si="27"/>
        <v>2025</v>
      </c>
      <c r="O154" s="10" t="str">
        <f t="shared" si="28"/>
        <v>12/07/2025</v>
      </c>
      <c r="P154" s="9">
        <f t="shared" si="29"/>
        <v>8</v>
      </c>
      <c r="Q154" t="str">
        <f>VLOOKUP(A154,[1]Sheet2!$I$2:$O$496,7,FALSE())</f>
        <v>https://fruitbasket.blob.core.windows.net/gk2o5k/avatar/2119952182025071215352216SN9S.jpg</v>
      </c>
    </row>
    <row r="155" spans="1:17" ht="13.8" x14ac:dyDescent="0.25">
      <c r="A155" s="21" t="s">
        <v>285</v>
      </c>
      <c r="B155" s="7" t="s">
        <v>286</v>
      </c>
      <c r="C155" s="7" t="s">
        <v>15</v>
      </c>
      <c r="D155" s="7" t="s">
        <v>287</v>
      </c>
      <c r="E155" s="7" t="s">
        <v>112</v>
      </c>
      <c r="F155" s="9" t="s">
        <v>805</v>
      </c>
      <c r="G155" s="9" t="str">
        <f t="shared" si="20"/>
        <v>JBK3E</v>
      </c>
      <c r="H155" s="9" t="str">
        <f t="shared" si="21"/>
        <v>10</v>
      </c>
      <c r="I155" s="9" t="str">
        <f t="shared" si="22"/>
        <v>05</v>
      </c>
      <c r="J155" s="9" t="str">
        <f t="shared" si="23"/>
        <v>2025</v>
      </c>
      <c r="K155" s="10" t="str">
        <f t="shared" si="24"/>
        <v>10/05/2025</v>
      </c>
      <c r="L155" s="9" t="str">
        <f t="shared" si="25"/>
        <v>05</v>
      </c>
      <c r="M155" s="9" t="str">
        <f t="shared" si="26"/>
        <v>07</v>
      </c>
      <c r="N155" s="9" t="str">
        <f t="shared" si="27"/>
        <v>2025</v>
      </c>
      <c r="O155" s="10" t="str">
        <f t="shared" si="28"/>
        <v>05/07/2025</v>
      </c>
      <c r="P155" s="9">
        <f t="shared" si="29"/>
        <v>56</v>
      </c>
      <c r="Q155" t="str">
        <f>VLOOKUP(A155,[1]Sheet2!$I$2:$O$496,7,FALSE())</f>
        <v>https://fruitbasket.blob.core.windows.net/gk2o5k/avatar/21232197620250705154728WCHRBK.jpg</v>
      </c>
    </row>
    <row r="156" spans="1:17" ht="13.8" x14ac:dyDescent="0.25">
      <c r="A156" s="21" t="s">
        <v>114</v>
      </c>
      <c r="B156" s="7" t="s">
        <v>115</v>
      </c>
      <c r="C156" s="7" t="s">
        <v>15</v>
      </c>
      <c r="D156" s="7" t="s">
        <v>116</v>
      </c>
      <c r="E156" s="7" t="s">
        <v>112</v>
      </c>
      <c r="F156" s="8" t="s">
        <v>778</v>
      </c>
      <c r="G156" s="9" t="str">
        <f t="shared" si="20"/>
        <v>JME1E</v>
      </c>
      <c r="H156" s="9" t="str">
        <f t="shared" si="21"/>
        <v>17</v>
      </c>
      <c r="I156" s="9" t="str">
        <f t="shared" si="22"/>
        <v>06</v>
      </c>
      <c r="J156" s="9" t="str">
        <f t="shared" si="23"/>
        <v>2025</v>
      </c>
      <c r="K156" s="10" t="str">
        <f t="shared" si="24"/>
        <v>17/06/2025</v>
      </c>
      <c r="L156" s="9" t="str">
        <f t="shared" si="25"/>
        <v>05</v>
      </c>
      <c r="M156" s="9" t="str">
        <f t="shared" si="26"/>
        <v>07</v>
      </c>
      <c r="N156" s="9" t="str">
        <f t="shared" si="27"/>
        <v>2025</v>
      </c>
      <c r="O156" s="10" t="str">
        <f t="shared" si="28"/>
        <v>05/07/2025</v>
      </c>
      <c r="P156" s="9">
        <f t="shared" si="29"/>
        <v>18</v>
      </c>
      <c r="Q156" t="str">
        <f>VLOOKUP(A156,[1]Sheet2!$I$2:$O$496,7,FALSE())</f>
        <v>https://fruitbasket.blob.core.windows.net/gk2o5k/avatar/21195104120250705121400ETK3NI.jpg</v>
      </c>
    </row>
    <row r="157" spans="1:17" ht="13.8" x14ac:dyDescent="0.25">
      <c r="A157" s="21" t="s">
        <v>671</v>
      </c>
      <c r="B157" s="7" t="s">
        <v>603</v>
      </c>
      <c r="C157" s="7" t="s">
        <v>15</v>
      </c>
      <c r="D157" s="7" t="s">
        <v>116</v>
      </c>
      <c r="E157" s="7" t="s">
        <v>393</v>
      </c>
      <c r="F157" s="9" t="s">
        <v>811</v>
      </c>
      <c r="G157" s="9" t="str">
        <f t="shared" si="20"/>
        <v>JMC1E</v>
      </c>
      <c r="H157" s="9" t="str">
        <f t="shared" si="21"/>
        <v>14</v>
      </c>
      <c r="I157" s="9" t="str">
        <f t="shared" si="22"/>
        <v>07</v>
      </c>
      <c r="J157" s="9" t="str">
        <f t="shared" si="23"/>
        <v>2025</v>
      </c>
      <c r="K157" s="10" t="str">
        <f t="shared" si="24"/>
        <v>14/07/2025</v>
      </c>
      <c r="L157" s="9" t="str">
        <f t="shared" si="25"/>
        <v>22</v>
      </c>
      <c r="M157" s="9" t="str">
        <f t="shared" si="26"/>
        <v>07</v>
      </c>
      <c r="N157" s="9" t="str">
        <f t="shared" si="27"/>
        <v>2025</v>
      </c>
      <c r="O157" s="10" t="str">
        <f t="shared" si="28"/>
        <v>22/07/2025</v>
      </c>
      <c r="P157" s="9">
        <f t="shared" si="29"/>
        <v>8</v>
      </c>
      <c r="Q157" t="str">
        <f>VLOOKUP(A157,[1]Sheet2!$I$2:$O$496,7,FALSE())</f>
        <v>https://fruitbasket.blob.core.windows.net/gk2o5k/avatar/212847475202507221456469J6XUX.jpg</v>
      </c>
    </row>
    <row r="158" spans="1:17" ht="13.8" hidden="1" x14ac:dyDescent="0.25">
      <c r="A158" s="11" t="s">
        <v>428</v>
      </c>
      <c r="B158" s="7" t="s">
        <v>292</v>
      </c>
      <c r="C158" s="7" t="s">
        <v>15</v>
      </c>
      <c r="D158" s="7" t="s">
        <v>429</v>
      </c>
      <c r="E158" s="7" t="s">
        <v>221</v>
      </c>
      <c r="F158" s="8"/>
      <c r="G158" s="9" t="str">
        <f t="shared" si="20"/>
        <v>JBK3E</v>
      </c>
      <c r="H158" s="9" t="str">
        <f t="shared" si="21"/>
        <v>18</v>
      </c>
      <c r="I158" s="9" t="str">
        <f t="shared" si="22"/>
        <v>06</v>
      </c>
      <c r="J158" s="9" t="str">
        <f t="shared" si="23"/>
        <v>2025</v>
      </c>
      <c r="K158" s="10" t="str">
        <f t="shared" si="24"/>
        <v>18/06/2025</v>
      </c>
      <c r="L158" s="9" t="str">
        <f t="shared" si="25"/>
        <v>31</v>
      </c>
      <c r="M158" s="9" t="str">
        <f t="shared" si="26"/>
        <v>07</v>
      </c>
      <c r="N158" s="9" t="str">
        <f t="shared" si="27"/>
        <v>2025</v>
      </c>
      <c r="O158" s="10" t="str">
        <f t="shared" si="28"/>
        <v>31/07/2025</v>
      </c>
      <c r="P158" s="9">
        <f t="shared" si="29"/>
        <v>43</v>
      </c>
      <c r="Q158" t="str">
        <f>VLOOKUP(A158,[1]Sheet2!$I$2:$O$496,7,FALSE())</f>
        <v>https://fruitbasket.blob.core.windows.net/gk2o5k/avatar/21312832020250731151424NWR8PG.jpg</v>
      </c>
    </row>
    <row r="159" spans="1:17" ht="13.8" hidden="1" x14ac:dyDescent="0.25">
      <c r="A159" s="11" t="s">
        <v>614</v>
      </c>
      <c r="B159" s="7" t="s">
        <v>615</v>
      </c>
      <c r="C159" s="7" t="s">
        <v>28</v>
      </c>
      <c r="D159" s="7" t="s">
        <v>616</v>
      </c>
      <c r="E159" s="7" t="s">
        <v>125</v>
      </c>
      <c r="F159" s="8"/>
      <c r="G159" s="9" t="str">
        <f t="shared" si="20"/>
        <v>KFC1E</v>
      </c>
      <c r="H159" s="9" t="str">
        <f t="shared" si="21"/>
        <v>14</v>
      </c>
      <c r="I159" s="9" t="str">
        <f t="shared" si="22"/>
        <v>11</v>
      </c>
      <c r="J159" s="9" t="str">
        <f t="shared" si="23"/>
        <v>2024</v>
      </c>
      <c r="K159" s="10" t="str">
        <f t="shared" si="24"/>
        <v>14/11/2024</v>
      </c>
      <c r="L159" s="9" t="str">
        <f t="shared" si="25"/>
        <v>08</v>
      </c>
      <c r="M159" s="9" t="str">
        <f t="shared" si="26"/>
        <v>07</v>
      </c>
      <c r="N159" s="9" t="str">
        <f t="shared" si="27"/>
        <v>2025</v>
      </c>
      <c r="O159" s="10" t="str">
        <f t="shared" si="28"/>
        <v>08/07/2025</v>
      </c>
      <c r="P159" s="9">
        <f t="shared" si="29"/>
        <v>236</v>
      </c>
      <c r="Q159" t="str">
        <f>VLOOKUP(A159,[1]Sheet2!$I$2:$O$496,7,FALSE())</f>
        <v>https://fruitbasket.blob.core.windows.net/gk2o5k/avatar/21227242120250708123445VIZDR3.jpg</v>
      </c>
    </row>
    <row r="160" spans="1:17" ht="13.8" hidden="1" x14ac:dyDescent="0.25">
      <c r="A160" s="11" t="s">
        <v>301</v>
      </c>
      <c r="B160" s="7" t="s">
        <v>289</v>
      </c>
      <c r="C160" s="7" t="s">
        <v>15</v>
      </c>
      <c r="D160" s="7" t="s">
        <v>302</v>
      </c>
      <c r="E160" s="7" t="s">
        <v>125</v>
      </c>
      <c r="F160" s="8"/>
      <c r="G160" s="9" t="str">
        <f t="shared" si="20"/>
        <v>JBK1E</v>
      </c>
      <c r="H160" s="9" t="str">
        <f t="shared" si="21"/>
        <v>20</v>
      </c>
      <c r="I160" s="9" t="str">
        <f t="shared" si="22"/>
        <v>05</v>
      </c>
      <c r="J160" s="9" t="str">
        <f t="shared" si="23"/>
        <v>2025</v>
      </c>
      <c r="K160" s="10" t="str">
        <f t="shared" si="24"/>
        <v>20/05/2025</v>
      </c>
      <c r="L160" s="9" t="str">
        <f t="shared" si="25"/>
        <v>08</v>
      </c>
      <c r="M160" s="9" t="str">
        <f t="shared" si="26"/>
        <v>07</v>
      </c>
      <c r="N160" s="9" t="str">
        <f t="shared" si="27"/>
        <v>2025</v>
      </c>
      <c r="O160" s="10" t="str">
        <f t="shared" si="28"/>
        <v>08/07/2025</v>
      </c>
      <c r="P160" s="9">
        <f t="shared" si="29"/>
        <v>49</v>
      </c>
      <c r="Q160" t="str">
        <f>VLOOKUP(A160,[1]Sheet2!$I$2:$O$496,7,FALSE())</f>
        <v>https://fruitbasket.blob.core.windows.net/gk2o5k/avatar/21321476620250708094209RAWGLS.jpg</v>
      </c>
    </row>
    <row r="161" spans="1:17" ht="13.8" hidden="1" x14ac:dyDescent="0.25">
      <c r="A161" s="11" t="s">
        <v>605</v>
      </c>
      <c r="B161" s="7" t="s">
        <v>606</v>
      </c>
      <c r="C161" s="7" t="s">
        <v>15</v>
      </c>
      <c r="D161" s="7" t="s">
        <v>607</v>
      </c>
      <c r="E161" s="7" t="s">
        <v>104</v>
      </c>
      <c r="F161" s="8"/>
      <c r="G161" s="9" t="str">
        <f t="shared" si="20"/>
        <v>KFC1E</v>
      </c>
      <c r="H161" s="9" t="str">
        <f t="shared" si="21"/>
        <v>03</v>
      </c>
      <c r="I161" s="9" t="str">
        <f t="shared" si="22"/>
        <v>06</v>
      </c>
      <c r="J161" s="9" t="str">
        <f t="shared" si="23"/>
        <v>2025</v>
      </c>
      <c r="K161" s="10" t="str">
        <f t="shared" si="24"/>
        <v>03/06/2025</v>
      </c>
      <c r="L161" s="9" t="str">
        <f t="shared" si="25"/>
        <v>02</v>
      </c>
      <c r="M161" s="9" t="str">
        <f t="shared" si="26"/>
        <v>07</v>
      </c>
      <c r="N161" s="9" t="str">
        <f t="shared" si="27"/>
        <v>2025</v>
      </c>
      <c r="O161" s="10" t="str">
        <f t="shared" si="28"/>
        <v>02/07/2025</v>
      </c>
      <c r="P161" s="9">
        <f t="shared" si="29"/>
        <v>29</v>
      </c>
      <c r="Q161" t="str">
        <f>VLOOKUP(A161,[1]Sheet2!$I$2:$O$496,7,FALSE())</f>
        <v>https://fruitbasket.blob.core.windows.net/gk2o5k/avatar/21184510020250702125159MAFVKM.jpg</v>
      </c>
    </row>
    <row r="162" spans="1:17" ht="13.8" hidden="1" x14ac:dyDescent="0.25">
      <c r="A162" s="11" t="s">
        <v>223</v>
      </c>
      <c r="B162" s="7" t="s">
        <v>168</v>
      </c>
      <c r="C162" s="7" t="s">
        <v>28</v>
      </c>
      <c r="D162" s="7" t="s">
        <v>224</v>
      </c>
      <c r="E162" s="7" t="s">
        <v>140</v>
      </c>
      <c r="F162" s="8"/>
      <c r="G162" s="9" t="str">
        <f t="shared" si="20"/>
        <v>KD11E</v>
      </c>
      <c r="H162" s="9" t="str">
        <f t="shared" si="21"/>
        <v>28</v>
      </c>
      <c r="I162" s="9" t="str">
        <f t="shared" si="22"/>
        <v>03</v>
      </c>
      <c r="J162" s="9" t="str">
        <f t="shared" si="23"/>
        <v>2025</v>
      </c>
      <c r="K162" s="10" t="str">
        <f t="shared" si="24"/>
        <v>28/03/2025</v>
      </c>
      <c r="L162" s="9" t="str">
        <f t="shared" si="25"/>
        <v>11</v>
      </c>
      <c r="M162" s="9" t="str">
        <f t="shared" si="26"/>
        <v>07</v>
      </c>
      <c r="N162" s="9" t="str">
        <f t="shared" si="27"/>
        <v>2025</v>
      </c>
      <c r="O162" s="10" t="str">
        <f t="shared" si="28"/>
        <v>11/07/2025</v>
      </c>
      <c r="P162" s="9">
        <f t="shared" si="29"/>
        <v>105</v>
      </c>
      <c r="Q162" t="str">
        <f>VLOOKUP(A162,[1]Sheet2!$I$2:$O$496,7,FALSE())</f>
        <v>https://fruitbasket.blob.core.windows.net/gk2o5k/avatar/21192393220250711153807DULWBV.jpg</v>
      </c>
    </row>
    <row r="163" spans="1:17" ht="13.8" hidden="1" x14ac:dyDescent="0.25">
      <c r="A163" s="11" t="s">
        <v>568</v>
      </c>
      <c r="B163" s="7" t="s">
        <v>111</v>
      </c>
      <c r="C163" s="7" t="s">
        <v>15</v>
      </c>
      <c r="D163" s="7" t="s">
        <v>569</v>
      </c>
      <c r="E163" s="7" t="s">
        <v>183</v>
      </c>
      <c r="F163" s="8"/>
      <c r="G163" s="9" t="str">
        <f t="shared" si="20"/>
        <v>JMH2E</v>
      </c>
      <c r="H163" s="9" t="str">
        <f t="shared" si="21"/>
        <v>28</v>
      </c>
      <c r="I163" s="9" t="str">
        <f t="shared" si="22"/>
        <v>06</v>
      </c>
      <c r="J163" s="9" t="str">
        <f t="shared" si="23"/>
        <v>2025</v>
      </c>
      <c r="K163" s="10" t="str">
        <f t="shared" si="24"/>
        <v>28/06/2025</v>
      </c>
      <c r="L163" s="9" t="str">
        <f t="shared" si="25"/>
        <v>23</v>
      </c>
      <c r="M163" s="9" t="str">
        <f t="shared" si="26"/>
        <v>07</v>
      </c>
      <c r="N163" s="9" t="str">
        <f t="shared" si="27"/>
        <v>2025</v>
      </c>
      <c r="O163" s="10" t="str">
        <f t="shared" si="28"/>
        <v>23/07/2025</v>
      </c>
      <c r="P163" s="9">
        <f t="shared" si="29"/>
        <v>25</v>
      </c>
      <c r="Q163" t="str">
        <f>VLOOKUP(A163,[1]Sheet2!$I$2:$O$496,7,FALSE())</f>
        <v>https://fruitbasket.blob.core.windows.net/gk2o5k/avatar/21290736220250723161806IHCDDX.jpg</v>
      </c>
    </row>
    <row r="164" spans="1:17" ht="13.8" hidden="1" x14ac:dyDescent="0.25">
      <c r="A164" s="11" t="s">
        <v>640</v>
      </c>
      <c r="B164" s="7" t="s">
        <v>557</v>
      </c>
      <c r="C164" s="7" t="s">
        <v>28</v>
      </c>
      <c r="D164" s="7" t="s">
        <v>641</v>
      </c>
      <c r="E164" s="7" t="s">
        <v>245</v>
      </c>
      <c r="F164" s="8"/>
      <c r="G164" s="9" t="str">
        <f t="shared" si="20"/>
        <v>JBP1E</v>
      </c>
      <c r="H164" s="9" t="str">
        <f t="shared" si="21"/>
        <v>13</v>
      </c>
      <c r="I164" s="9" t="str">
        <f t="shared" si="22"/>
        <v>05</v>
      </c>
      <c r="J164" s="9" t="str">
        <f t="shared" si="23"/>
        <v>2025</v>
      </c>
      <c r="K164" s="10" t="str">
        <f t="shared" si="24"/>
        <v>13/05/2025</v>
      </c>
      <c r="L164" s="9" t="str">
        <f t="shared" si="25"/>
        <v>19</v>
      </c>
      <c r="M164" s="9" t="str">
        <f t="shared" si="26"/>
        <v>07</v>
      </c>
      <c r="N164" s="9" t="str">
        <f t="shared" si="27"/>
        <v>2025</v>
      </c>
      <c r="O164" s="10" t="str">
        <f t="shared" si="28"/>
        <v>19/07/2025</v>
      </c>
      <c r="P164" s="9">
        <f t="shared" si="29"/>
        <v>67</v>
      </c>
      <c r="Q164" t="str">
        <f>VLOOKUP(A164,[1]Sheet2!$I$2:$O$496,7,FALSE())</f>
        <v>https://fruitbasket.blob.core.windows.net/gk2o5k/avatar/21277590520250719102847HQVYFR.jpg</v>
      </c>
    </row>
    <row r="165" spans="1:17" ht="13.8" hidden="1" x14ac:dyDescent="0.25">
      <c r="A165" s="11" t="s">
        <v>657</v>
      </c>
      <c r="B165" s="7" t="s">
        <v>115</v>
      </c>
      <c r="C165" s="7" t="s">
        <v>15</v>
      </c>
      <c r="D165" s="7" t="s">
        <v>658</v>
      </c>
      <c r="E165" s="7" t="s">
        <v>192</v>
      </c>
      <c r="F165" s="8"/>
      <c r="G165" s="9" t="str">
        <f t="shared" si="20"/>
        <v>JMC1E</v>
      </c>
      <c r="H165" s="9" t="str">
        <f t="shared" si="21"/>
        <v>17</v>
      </c>
      <c r="I165" s="9" t="str">
        <f t="shared" si="22"/>
        <v>06</v>
      </c>
      <c r="J165" s="9" t="str">
        <f t="shared" si="23"/>
        <v>2025</v>
      </c>
      <c r="K165" s="10" t="str">
        <f t="shared" si="24"/>
        <v>17/06/2025</v>
      </c>
      <c r="L165" s="9" t="str">
        <f t="shared" si="25"/>
        <v>07</v>
      </c>
      <c r="M165" s="9" t="str">
        <f t="shared" si="26"/>
        <v>07</v>
      </c>
      <c r="N165" s="9" t="str">
        <f t="shared" si="27"/>
        <v>2025</v>
      </c>
      <c r="O165" s="10" t="str">
        <f t="shared" si="28"/>
        <v>07/07/2025</v>
      </c>
      <c r="P165" s="9">
        <f t="shared" si="29"/>
        <v>20</v>
      </c>
      <c r="Q165" t="str">
        <f>VLOOKUP(A165,[1]Sheet2!$I$2:$O$496,7,FALSE())</f>
        <v>https://fruitbasket.blob.core.windows.net/gk2o5k/avatar/21195248420250707092752FD5WCN.jpg</v>
      </c>
    </row>
    <row r="166" spans="1:17" ht="13.8" x14ac:dyDescent="0.25">
      <c r="A166" s="21" t="s">
        <v>413</v>
      </c>
      <c r="B166" s="7" t="s">
        <v>154</v>
      </c>
      <c r="C166" s="7" t="s">
        <v>15</v>
      </c>
      <c r="D166" s="7" t="s">
        <v>414</v>
      </c>
      <c r="E166" s="7" t="s">
        <v>157</v>
      </c>
      <c r="F166" s="9" t="s">
        <v>806</v>
      </c>
      <c r="G166" s="9" t="str">
        <f t="shared" si="20"/>
        <v>JBK3E</v>
      </c>
      <c r="H166" s="9" t="str">
        <f t="shared" si="21"/>
        <v>18</v>
      </c>
      <c r="I166" s="9" t="str">
        <f t="shared" si="22"/>
        <v>07</v>
      </c>
      <c r="J166" s="9" t="str">
        <f t="shared" si="23"/>
        <v>2025</v>
      </c>
      <c r="K166" s="10" t="str">
        <f t="shared" si="24"/>
        <v>18/07/2025</v>
      </c>
      <c r="L166" s="9" t="str">
        <f t="shared" si="25"/>
        <v>26</v>
      </c>
      <c r="M166" s="9" t="str">
        <f t="shared" si="26"/>
        <v>07</v>
      </c>
      <c r="N166" s="9" t="str">
        <f t="shared" si="27"/>
        <v>2025</v>
      </c>
      <c r="O166" s="10" t="str">
        <f t="shared" si="28"/>
        <v>26/07/2025</v>
      </c>
      <c r="P166" s="9">
        <f t="shared" si="29"/>
        <v>8</v>
      </c>
      <c r="Q166" t="str">
        <f>VLOOKUP(A166,[1]Sheet2!$I$2:$O$496,7,FALSE())</f>
        <v>https://fruitbasket.blob.core.windows.net/gk2o5k/avatar/212957927202507261316256T533Y.jpg</v>
      </c>
    </row>
    <row r="167" spans="1:17" ht="13.8" hidden="1" x14ac:dyDescent="0.25">
      <c r="A167" s="11" t="s">
        <v>196</v>
      </c>
      <c r="B167" s="7" t="s">
        <v>197</v>
      </c>
      <c r="C167" s="7" t="s">
        <v>15</v>
      </c>
      <c r="D167" s="7" t="s">
        <v>198</v>
      </c>
      <c r="E167" s="7" t="s">
        <v>108</v>
      </c>
      <c r="F167" s="8"/>
      <c r="G167" s="9" t="str">
        <f t="shared" si="20"/>
        <v>KD11E</v>
      </c>
      <c r="H167" s="9" t="str">
        <f t="shared" si="21"/>
        <v>04</v>
      </c>
      <c r="I167" s="9" t="str">
        <f t="shared" si="22"/>
        <v>06</v>
      </c>
      <c r="J167" s="9" t="str">
        <f t="shared" si="23"/>
        <v>2025</v>
      </c>
      <c r="K167" s="10" t="str">
        <f t="shared" si="24"/>
        <v>04/06/2025</v>
      </c>
      <c r="L167" s="9" t="str">
        <f t="shared" si="25"/>
        <v>04</v>
      </c>
      <c r="M167" s="9" t="str">
        <f t="shared" si="26"/>
        <v>07</v>
      </c>
      <c r="N167" s="9" t="str">
        <f t="shared" si="27"/>
        <v>2025</v>
      </c>
      <c r="O167" s="10" t="str">
        <f t="shared" si="28"/>
        <v>04/07/2025</v>
      </c>
      <c r="P167" s="9">
        <f t="shared" si="29"/>
        <v>30</v>
      </c>
      <c r="Q167" t="str">
        <f>VLOOKUP(A167,[1]Sheet2!$I$2:$O$496,7,FALSE())</f>
        <v>https://fruitbasket.blob.core.windows.net/gk2o5k/avatar/21106217720250704094742KXXBA6.jpg</v>
      </c>
    </row>
    <row r="168" spans="1:17" ht="13.8" hidden="1" x14ac:dyDescent="0.25">
      <c r="A168" s="11" t="s">
        <v>424</v>
      </c>
      <c r="B168" s="7" t="s">
        <v>425</v>
      </c>
      <c r="C168" s="7" t="s">
        <v>15</v>
      </c>
      <c r="D168" s="7" t="s">
        <v>198</v>
      </c>
      <c r="E168" s="7" t="s">
        <v>218</v>
      </c>
      <c r="F168" s="8"/>
      <c r="G168" s="9" t="str">
        <f t="shared" si="20"/>
        <v>JBK3E</v>
      </c>
      <c r="H168" s="9" t="str">
        <f t="shared" si="21"/>
        <v>27</v>
      </c>
      <c r="I168" s="9" t="str">
        <f t="shared" si="22"/>
        <v>06</v>
      </c>
      <c r="J168" s="9" t="str">
        <f t="shared" si="23"/>
        <v>2025</v>
      </c>
      <c r="K168" s="10" t="str">
        <f t="shared" si="24"/>
        <v>27/06/2025</v>
      </c>
      <c r="L168" s="9" t="str">
        <f t="shared" si="25"/>
        <v>30</v>
      </c>
      <c r="M168" s="9" t="str">
        <f t="shared" si="26"/>
        <v>07</v>
      </c>
      <c r="N168" s="9" t="str">
        <f t="shared" si="27"/>
        <v>2025</v>
      </c>
      <c r="O168" s="10" t="str">
        <f t="shared" si="28"/>
        <v>30/07/2025</v>
      </c>
      <c r="P168" s="9">
        <f t="shared" si="29"/>
        <v>33</v>
      </c>
      <c r="Q168" t="str">
        <f>VLOOKUP(A168,[1]Sheet2!$I$2:$O$496,7,FALSE())</f>
        <v>https://fruitbasket.blob.core.windows.net/gk2o5k/avatar/21330228720250730141356K8DVVR.jpg</v>
      </c>
    </row>
    <row r="169" spans="1:17" ht="13.8" hidden="1" x14ac:dyDescent="0.25">
      <c r="A169" s="11" t="s">
        <v>472</v>
      </c>
      <c r="B169" s="7" t="s">
        <v>464</v>
      </c>
      <c r="C169" s="7" t="s">
        <v>21</v>
      </c>
      <c r="D169" s="7" t="s">
        <v>473</v>
      </c>
      <c r="E169" s="7" t="s">
        <v>229</v>
      </c>
      <c r="F169" s="8"/>
      <c r="G169" s="9" t="str">
        <f t="shared" si="20"/>
        <v>JBK3E</v>
      </c>
      <c r="H169" s="9" t="str">
        <f t="shared" si="21"/>
        <v>08</v>
      </c>
      <c r="I169" s="9" t="str">
        <f t="shared" si="22"/>
        <v>05</v>
      </c>
      <c r="J169" s="9" t="str">
        <f t="shared" si="23"/>
        <v>2025</v>
      </c>
      <c r="K169" s="10" t="str">
        <f t="shared" si="24"/>
        <v>08/05/2025</v>
      </c>
      <c r="L169" s="9" t="str">
        <f t="shared" si="25"/>
        <v>25</v>
      </c>
      <c r="M169" s="9" t="str">
        <f t="shared" si="26"/>
        <v>07</v>
      </c>
      <c r="N169" s="9" t="str">
        <f t="shared" si="27"/>
        <v>2025</v>
      </c>
      <c r="O169" s="10" t="str">
        <f t="shared" si="28"/>
        <v>25/07/2025</v>
      </c>
      <c r="P169" s="9">
        <f t="shared" si="29"/>
        <v>78</v>
      </c>
      <c r="Q169" t="str">
        <f>VLOOKUP(A169,[1]Sheet2!$I$2:$O$496,7,FALSE())</f>
        <v>https://fruitbasket.blob.core.windows.net/gk2o5k/avatar/21294546220250725122032PZ25AB.jpg</v>
      </c>
    </row>
    <row r="170" spans="1:17" ht="13.8" x14ac:dyDescent="0.25">
      <c r="A170" s="21" t="s">
        <v>554</v>
      </c>
      <c r="B170" s="7" t="s">
        <v>267</v>
      </c>
      <c r="C170" s="7" t="s">
        <v>15</v>
      </c>
      <c r="D170" s="7" t="s">
        <v>555</v>
      </c>
      <c r="E170" s="7" t="s">
        <v>140</v>
      </c>
      <c r="F170" s="9" t="s">
        <v>819</v>
      </c>
      <c r="G170" s="9" t="str">
        <f t="shared" si="20"/>
        <v>JMH2E</v>
      </c>
      <c r="H170" s="9" t="str">
        <f t="shared" si="21"/>
        <v>12</v>
      </c>
      <c r="I170" s="9" t="str">
        <f t="shared" si="22"/>
        <v>06</v>
      </c>
      <c r="J170" s="9" t="str">
        <f t="shared" si="23"/>
        <v>2025</v>
      </c>
      <c r="K170" s="10" t="str">
        <f t="shared" si="24"/>
        <v>12/06/2025</v>
      </c>
      <c r="L170" s="9" t="str">
        <f t="shared" si="25"/>
        <v>11</v>
      </c>
      <c r="M170" s="9" t="str">
        <f t="shared" si="26"/>
        <v>07</v>
      </c>
      <c r="N170" s="9" t="str">
        <f t="shared" si="27"/>
        <v>2025</v>
      </c>
      <c r="O170" s="10" t="str">
        <f t="shared" si="28"/>
        <v>11/07/2025</v>
      </c>
      <c r="P170" s="9">
        <f t="shared" si="29"/>
        <v>29</v>
      </c>
      <c r="Q170" t="str">
        <f>VLOOKUP(A170,[1]Sheet2!$I$2:$O$496,7,FALSE())</f>
        <v>https://fruitbasket.blob.core.windows.net/gk2o5k/avatar/21193445520250711155441UGJRRW.jpg</v>
      </c>
    </row>
    <row r="171" spans="1:17" ht="13.8" hidden="1" x14ac:dyDescent="0.25">
      <c r="A171" s="11" t="s">
        <v>419</v>
      </c>
      <c r="B171" s="7" t="s">
        <v>251</v>
      </c>
      <c r="C171" s="7" t="s">
        <v>15</v>
      </c>
      <c r="D171" s="7" t="s">
        <v>421</v>
      </c>
      <c r="E171" s="7" t="s">
        <v>420</v>
      </c>
      <c r="F171" s="8"/>
      <c r="G171" s="9" t="str">
        <f t="shared" si="20"/>
        <v>JBK3E</v>
      </c>
      <c r="H171" s="9" t="str">
        <f t="shared" si="21"/>
        <v>01</v>
      </c>
      <c r="I171" s="9" t="str">
        <f t="shared" si="22"/>
        <v>07</v>
      </c>
      <c r="J171" s="9" t="str">
        <f t="shared" si="23"/>
        <v>2025</v>
      </c>
      <c r="K171" s="10" t="str">
        <f t="shared" si="24"/>
        <v>01/07/2025</v>
      </c>
      <c r="L171" s="9" t="str">
        <f t="shared" si="25"/>
        <v>29</v>
      </c>
      <c r="M171" s="9" t="str">
        <f t="shared" si="26"/>
        <v>07</v>
      </c>
      <c r="N171" s="9" t="str">
        <f t="shared" si="27"/>
        <v>2025</v>
      </c>
      <c r="O171" s="10" t="str">
        <f t="shared" si="28"/>
        <v>29/07/2025</v>
      </c>
      <c r="P171" s="9">
        <f t="shared" si="29"/>
        <v>28</v>
      </c>
      <c r="Q171" t="str">
        <f>VLOOKUP(A171,[1]Sheet2!$I$2:$O$496,7,FALSE())</f>
        <v>https://fruitbasket.blob.core.windows.net/gk2o5k/avatar/213172317202507291154446BEXPY.jpg</v>
      </c>
    </row>
    <row r="172" spans="1:17" ht="13.8" hidden="1" x14ac:dyDescent="0.25">
      <c r="A172" s="11" t="s">
        <v>369</v>
      </c>
      <c r="B172" s="7" t="s">
        <v>144</v>
      </c>
      <c r="C172" s="7" t="s">
        <v>15</v>
      </c>
      <c r="D172" s="7" t="s">
        <v>370</v>
      </c>
      <c r="E172" s="7" t="s">
        <v>150</v>
      </c>
      <c r="F172" s="8"/>
      <c r="G172" s="9" t="str">
        <f t="shared" si="20"/>
        <v>JBK3E</v>
      </c>
      <c r="H172" s="9" t="str">
        <f t="shared" si="21"/>
        <v>12</v>
      </c>
      <c r="I172" s="9" t="str">
        <f t="shared" si="22"/>
        <v>07</v>
      </c>
      <c r="J172" s="9" t="str">
        <f t="shared" si="23"/>
        <v>2025</v>
      </c>
      <c r="K172" s="10" t="str">
        <f t="shared" si="24"/>
        <v>12/07/2025</v>
      </c>
      <c r="L172" s="9" t="str">
        <f t="shared" si="25"/>
        <v>17</v>
      </c>
      <c r="M172" s="9" t="str">
        <f t="shared" si="26"/>
        <v>07</v>
      </c>
      <c r="N172" s="9" t="str">
        <f t="shared" si="27"/>
        <v>2025</v>
      </c>
      <c r="O172" s="10" t="str">
        <f t="shared" si="28"/>
        <v>17/07/2025</v>
      </c>
      <c r="P172" s="9">
        <f t="shared" si="29"/>
        <v>5</v>
      </c>
      <c r="Q172" t="str">
        <f>VLOOKUP(A172,[1]Sheet2!$I$2:$O$496,7,FALSE())</f>
        <v>https://fruitbasket.blob.core.windows.net/gk2o5k/avatar/21276857220250717123221SUHEIJ.jpg</v>
      </c>
    </row>
    <row r="173" spans="1:17" ht="13.8" hidden="1" x14ac:dyDescent="0.25">
      <c r="A173" s="11" t="s">
        <v>769</v>
      </c>
      <c r="B173" s="7" t="s">
        <v>770</v>
      </c>
      <c r="C173" s="7" t="s">
        <v>28</v>
      </c>
      <c r="D173" s="7" t="s">
        <v>771</v>
      </c>
      <c r="E173" s="7" t="s">
        <v>588</v>
      </c>
      <c r="F173" s="8"/>
      <c r="G173" s="9" t="str">
        <f t="shared" si="20"/>
        <v>KC02E</v>
      </c>
      <c r="H173" s="9" t="str">
        <f t="shared" si="21"/>
        <v>05</v>
      </c>
      <c r="I173" s="9" t="str">
        <f t="shared" si="22"/>
        <v>02</v>
      </c>
      <c r="J173" s="9" t="str">
        <f t="shared" si="23"/>
        <v>2025</v>
      </c>
      <c r="K173" s="10" t="str">
        <f t="shared" si="24"/>
        <v>05/02/2025</v>
      </c>
      <c r="L173" s="9" t="str">
        <f t="shared" si="25"/>
        <v>27</v>
      </c>
      <c r="M173" s="9" t="str">
        <f t="shared" si="26"/>
        <v>07</v>
      </c>
      <c r="N173" s="9" t="str">
        <f t="shared" si="27"/>
        <v>2025</v>
      </c>
      <c r="O173" s="10" t="str">
        <f t="shared" si="28"/>
        <v>27/07/2025</v>
      </c>
      <c r="P173" s="9">
        <f t="shared" si="29"/>
        <v>172</v>
      </c>
      <c r="Q173" t="str">
        <f>VLOOKUP(A173,[1]Sheet2!$I$2:$O$496,7,FALSE())</f>
        <v>https://fruitbasket.blob.core.windows.net/gk2o5k/avatar/21261892820250727114549J9M3MZ.jpg</v>
      </c>
    </row>
    <row r="174" spans="1:17" ht="13.8" hidden="1" x14ac:dyDescent="0.25">
      <c r="A174" s="11" t="s">
        <v>623</v>
      </c>
      <c r="B174" s="7" t="s">
        <v>118</v>
      </c>
      <c r="C174" s="7" t="s">
        <v>15</v>
      </c>
      <c r="D174" s="7" t="s">
        <v>624</v>
      </c>
      <c r="E174" s="7" t="s">
        <v>104</v>
      </c>
      <c r="F174" s="8"/>
      <c r="G174" s="9" t="str">
        <f t="shared" si="20"/>
        <v>JBP1E</v>
      </c>
      <c r="H174" s="9" t="str">
        <f t="shared" si="21"/>
        <v>05</v>
      </c>
      <c r="I174" s="9" t="str">
        <f t="shared" si="22"/>
        <v>06</v>
      </c>
      <c r="J174" s="9" t="str">
        <f t="shared" si="23"/>
        <v>2025</v>
      </c>
      <c r="K174" s="10" t="str">
        <f t="shared" si="24"/>
        <v>05/06/2025</v>
      </c>
      <c r="L174" s="9" t="str">
        <f t="shared" si="25"/>
        <v>02</v>
      </c>
      <c r="M174" s="9" t="str">
        <f t="shared" si="26"/>
        <v>07</v>
      </c>
      <c r="N174" s="9" t="str">
        <f t="shared" si="27"/>
        <v>2025</v>
      </c>
      <c r="O174" s="10" t="str">
        <f t="shared" si="28"/>
        <v>02/07/2025</v>
      </c>
      <c r="P174" s="9">
        <f t="shared" si="29"/>
        <v>27</v>
      </c>
      <c r="Q174" t="str">
        <f>VLOOKUP(A174,[1]Sheet2!$I$2:$O$496,7,FALSE())</f>
        <v>https://fruitbasket.blob.core.windows.net/gk2o5k/avatar/213307179202507021506190RL3PG.jpg</v>
      </c>
    </row>
    <row r="175" spans="1:17" ht="13.8" hidden="1" x14ac:dyDescent="0.25">
      <c r="A175" s="11" t="s">
        <v>240</v>
      </c>
      <c r="B175" s="7" t="s">
        <v>241</v>
      </c>
      <c r="C175" s="7" t="s">
        <v>23</v>
      </c>
      <c r="D175" s="7" t="s">
        <v>242</v>
      </c>
      <c r="E175" s="7" t="s">
        <v>183</v>
      </c>
      <c r="F175" s="8"/>
      <c r="G175" s="9" t="str">
        <f t="shared" si="20"/>
        <v>JMB1E</v>
      </c>
      <c r="H175" s="9" t="str">
        <f t="shared" si="21"/>
        <v>04</v>
      </c>
      <c r="I175" s="9" t="str">
        <f t="shared" si="22"/>
        <v>10</v>
      </c>
      <c r="J175" s="9" t="str">
        <f t="shared" si="23"/>
        <v>2024</v>
      </c>
      <c r="K175" s="10" t="str">
        <f t="shared" si="24"/>
        <v>04/10/2024</v>
      </c>
      <c r="L175" s="9" t="str">
        <f t="shared" si="25"/>
        <v>23</v>
      </c>
      <c r="M175" s="9" t="str">
        <f t="shared" si="26"/>
        <v>07</v>
      </c>
      <c r="N175" s="9" t="str">
        <f t="shared" si="27"/>
        <v>2025</v>
      </c>
      <c r="O175" s="10" t="str">
        <f t="shared" si="28"/>
        <v>23/07/2025</v>
      </c>
      <c r="P175" s="9">
        <f t="shared" si="29"/>
        <v>292</v>
      </c>
      <c r="Q175" t="str">
        <f>VLOOKUP(A175,[1]Sheet2!$I$2:$O$496,7,FALSE())</f>
        <v>https://fruitbasket.blob.core.windows.net/gk2o5k/avatar/22630420250723160739YIVA7X.jpg</v>
      </c>
    </row>
    <row r="176" spans="1:17" ht="13.8" x14ac:dyDescent="0.25">
      <c r="A176" s="21" t="s">
        <v>363</v>
      </c>
      <c r="B176" s="7" t="s">
        <v>215</v>
      </c>
      <c r="C176" s="7" t="s">
        <v>15</v>
      </c>
      <c r="D176" s="7" t="s">
        <v>364</v>
      </c>
      <c r="E176" s="7" t="s">
        <v>212</v>
      </c>
      <c r="F176" s="9" t="s">
        <v>807</v>
      </c>
      <c r="G176" s="9" t="str">
        <f t="shared" si="20"/>
        <v>JBK3E</v>
      </c>
      <c r="H176" s="9" t="str">
        <f t="shared" si="21"/>
        <v>30</v>
      </c>
      <c r="I176" s="9" t="str">
        <f t="shared" si="22"/>
        <v>06</v>
      </c>
      <c r="J176" s="9" t="str">
        <f t="shared" si="23"/>
        <v>2025</v>
      </c>
      <c r="K176" s="10" t="str">
        <f t="shared" si="24"/>
        <v>30/06/2025</v>
      </c>
      <c r="L176" s="9" t="str">
        <f t="shared" si="25"/>
        <v>15</v>
      </c>
      <c r="M176" s="9" t="str">
        <f t="shared" si="26"/>
        <v>07</v>
      </c>
      <c r="N176" s="9" t="str">
        <f t="shared" si="27"/>
        <v>2025</v>
      </c>
      <c r="O176" s="10" t="str">
        <f t="shared" si="28"/>
        <v>15/07/2025</v>
      </c>
      <c r="P176" s="9">
        <f t="shared" si="29"/>
        <v>15</v>
      </c>
      <c r="Q176" t="str">
        <f>VLOOKUP(A176,[1]Sheet2!$I$2:$O$496,7,FALSE())</f>
        <v>https://fruitbasket.blob.core.windows.net/gk2o5k/avatar/212407454202507151500591L5YJV.jpg</v>
      </c>
    </row>
    <row r="177" spans="1:17" ht="13.8" hidden="1" x14ac:dyDescent="0.25">
      <c r="A177" s="11" t="s">
        <v>740</v>
      </c>
      <c r="B177" s="7" t="s">
        <v>136</v>
      </c>
      <c r="C177" s="7" t="s">
        <v>15</v>
      </c>
      <c r="D177" s="7" t="s">
        <v>741</v>
      </c>
      <c r="E177" s="7" t="s">
        <v>125</v>
      </c>
      <c r="F177" s="8"/>
      <c r="G177" s="9" t="str">
        <f t="shared" si="20"/>
        <v>KC04E</v>
      </c>
      <c r="H177" s="9" t="str">
        <f t="shared" si="21"/>
        <v>14</v>
      </c>
      <c r="I177" s="9" t="str">
        <f t="shared" si="22"/>
        <v>05</v>
      </c>
      <c r="J177" s="9" t="str">
        <f t="shared" si="23"/>
        <v>2025</v>
      </c>
      <c r="K177" s="10" t="str">
        <f t="shared" si="24"/>
        <v>14/05/2025</v>
      </c>
      <c r="L177" s="9" t="str">
        <f t="shared" si="25"/>
        <v>08</v>
      </c>
      <c r="M177" s="9" t="str">
        <f t="shared" si="26"/>
        <v>07</v>
      </c>
      <c r="N177" s="9" t="str">
        <f t="shared" si="27"/>
        <v>2025</v>
      </c>
      <c r="O177" s="10" t="str">
        <f t="shared" si="28"/>
        <v>08/07/2025</v>
      </c>
      <c r="P177" s="9">
        <f t="shared" si="29"/>
        <v>55</v>
      </c>
      <c r="Q177" t="str">
        <f>VLOOKUP(A177,[1]Sheet2!$I$2:$O$496,7,FALSE())</f>
        <v>https://fruitbasket.blob.core.windows.net/gk2o5k/avatar/21026125920250708094920NUFZXC.jpg</v>
      </c>
    </row>
    <row r="178" spans="1:17" ht="13.8" hidden="1" x14ac:dyDescent="0.25">
      <c r="A178" s="11" t="s">
        <v>504</v>
      </c>
      <c r="B178" s="7" t="s">
        <v>505</v>
      </c>
      <c r="C178" s="7" t="s">
        <v>28</v>
      </c>
      <c r="D178" s="7" t="s">
        <v>506</v>
      </c>
      <c r="E178" s="7" t="s">
        <v>112</v>
      </c>
      <c r="F178" s="8"/>
      <c r="G178" s="9" t="str">
        <f t="shared" si="20"/>
        <v>JBK3E</v>
      </c>
      <c r="H178" s="9" t="str">
        <f t="shared" si="21"/>
        <v>03</v>
      </c>
      <c r="I178" s="9" t="str">
        <f t="shared" si="22"/>
        <v>12</v>
      </c>
      <c r="J178" s="9" t="str">
        <f t="shared" si="23"/>
        <v>2024</v>
      </c>
      <c r="K178" s="10" t="str">
        <f t="shared" si="24"/>
        <v>03/12/2024</v>
      </c>
      <c r="L178" s="9" t="str">
        <f t="shared" si="25"/>
        <v>05</v>
      </c>
      <c r="M178" s="9" t="str">
        <f t="shared" si="26"/>
        <v>07</v>
      </c>
      <c r="N178" s="9" t="str">
        <f t="shared" si="27"/>
        <v>2025</v>
      </c>
      <c r="O178" s="10" t="str">
        <f t="shared" si="28"/>
        <v>05/07/2025</v>
      </c>
      <c r="P178" s="9">
        <f t="shared" si="29"/>
        <v>214</v>
      </c>
      <c r="Q178" t="str">
        <f>VLOOKUP(A178,[1]Sheet2!$I$2:$O$496,7,FALSE())</f>
        <v>https://fruitbasket.blob.core.windows.net/gk2o5k/avatar/21228345420250705153530HLNYTP.jpg</v>
      </c>
    </row>
    <row r="179" spans="1:17" ht="13.8" hidden="1" x14ac:dyDescent="0.25">
      <c r="A179" s="11" t="s">
        <v>377</v>
      </c>
      <c r="B179" s="7" t="s">
        <v>206</v>
      </c>
      <c r="C179" s="7" t="s">
        <v>15</v>
      </c>
      <c r="D179" s="7" t="s">
        <v>378</v>
      </c>
      <c r="E179" s="7" t="s">
        <v>245</v>
      </c>
      <c r="F179" s="8"/>
      <c r="G179" s="9" t="str">
        <f t="shared" si="20"/>
        <v>JBK1E</v>
      </c>
      <c r="H179" s="9" t="str">
        <f t="shared" si="21"/>
        <v>21</v>
      </c>
      <c r="I179" s="9" t="str">
        <f t="shared" si="22"/>
        <v>06</v>
      </c>
      <c r="J179" s="9" t="str">
        <f t="shared" si="23"/>
        <v>2025</v>
      </c>
      <c r="K179" s="10" t="str">
        <f t="shared" si="24"/>
        <v>21/06/2025</v>
      </c>
      <c r="L179" s="9" t="str">
        <f t="shared" si="25"/>
        <v>19</v>
      </c>
      <c r="M179" s="9" t="str">
        <f t="shared" si="26"/>
        <v>07</v>
      </c>
      <c r="N179" s="9" t="str">
        <f t="shared" si="27"/>
        <v>2025</v>
      </c>
      <c r="O179" s="10" t="str">
        <f t="shared" si="28"/>
        <v>19/07/2025</v>
      </c>
      <c r="P179" s="9">
        <f t="shared" si="29"/>
        <v>28</v>
      </c>
      <c r="Q179" t="str">
        <f>VLOOKUP(A179,[1]Sheet2!$I$2:$O$496,7,FALSE())</f>
        <v>https://fruitbasket.blob.core.windows.net/gk2o5k/avatar/21277510220250719092449KJWCJD.jpg</v>
      </c>
    </row>
    <row r="180" spans="1:17" ht="13.8" hidden="1" x14ac:dyDescent="0.25">
      <c r="A180" s="11" t="s">
        <v>713</v>
      </c>
      <c r="B180" s="7" t="s">
        <v>714</v>
      </c>
      <c r="C180" s="7" t="s">
        <v>23</v>
      </c>
      <c r="D180" s="7" t="s">
        <v>715</v>
      </c>
      <c r="E180" s="7" t="s">
        <v>245</v>
      </c>
      <c r="F180" s="8"/>
      <c r="G180" s="9" t="str">
        <f t="shared" si="20"/>
        <v>JMD1E</v>
      </c>
      <c r="H180" s="9" t="str">
        <f t="shared" si="21"/>
        <v>17</v>
      </c>
      <c r="I180" s="9" t="str">
        <f t="shared" si="22"/>
        <v>02</v>
      </c>
      <c r="J180" s="9" t="str">
        <f t="shared" si="23"/>
        <v>2025</v>
      </c>
      <c r="K180" s="10" t="str">
        <f t="shared" si="24"/>
        <v>17/02/2025</v>
      </c>
      <c r="L180" s="9" t="str">
        <f t="shared" si="25"/>
        <v>19</v>
      </c>
      <c r="M180" s="9" t="str">
        <f t="shared" si="26"/>
        <v>07</v>
      </c>
      <c r="N180" s="9" t="str">
        <f t="shared" si="27"/>
        <v>2025</v>
      </c>
      <c r="O180" s="10" t="str">
        <f t="shared" si="28"/>
        <v>19/07/2025</v>
      </c>
      <c r="P180" s="9">
        <f t="shared" si="29"/>
        <v>152</v>
      </c>
      <c r="Q180" t="str">
        <f>VLOOKUP(A180,[1]Sheet2!$I$2:$O$496,7,FALSE())</f>
        <v>https://fruitbasket.blob.core.windows.net/gk2o5k/avatar/21278541820250719154938L1HP7D.jpg</v>
      </c>
    </row>
    <row r="181" spans="1:17" ht="13.8" x14ac:dyDescent="0.25">
      <c r="A181" s="21" t="s">
        <v>330</v>
      </c>
      <c r="B181" s="7" t="s">
        <v>153</v>
      </c>
      <c r="C181" s="7" t="s">
        <v>15</v>
      </c>
      <c r="D181" s="7" t="s">
        <v>331</v>
      </c>
      <c r="E181" s="7" t="s">
        <v>140</v>
      </c>
      <c r="F181" s="8" t="s">
        <v>775</v>
      </c>
      <c r="G181" s="9" t="str">
        <f t="shared" si="20"/>
        <v>JBK3E</v>
      </c>
      <c r="H181" s="9" t="str">
        <f t="shared" si="21"/>
        <v>13</v>
      </c>
      <c r="I181" s="9" t="str">
        <f t="shared" si="22"/>
        <v>06</v>
      </c>
      <c r="J181" s="9" t="str">
        <f t="shared" si="23"/>
        <v>2025</v>
      </c>
      <c r="K181" s="10" t="str">
        <f t="shared" si="24"/>
        <v>13/06/2025</v>
      </c>
      <c r="L181" s="9" t="str">
        <f t="shared" si="25"/>
        <v>11</v>
      </c>
      <c r="M181" s="9" t="str">
        <f t="shared" si="26"/>
        <v>07</v>
      </c>
      <c r="N181" s="9" t="str">
        <f t="shared" si="27"/>
        <v>2025</v>
      </c>
      <c r="O181" s="10" t="str">
        <f t="shared" si="28"/>
        <v>11/07/2025</v>
      </c>
      <c r="P181" s="9">
        <f t="shared" si="29"/>
        <v>28</v>
      </c>
      <c r="Q181" t="str">
        <f>VLOOKUP(A181,[1]Sheet2!$I$2:$O$496,7,FALSE())</f>
        <v>https://fruitbasket.blob.core.windows.net/gk2o5k/avatar/21195443620250711161646ZUGGPJ.jpg</v>
      </c>
    </row>
    <row r="182" spans="1:17" ht="13.8" x14ac:dyDescent="0.25">
      <c r="A182" s="21" t="s">
        <v>340</v>
      </c>
      <c r="B182" s="7" t="s">
        <v>232</v>
      </c>
      <c r="C182" s="7" t="s">
        <v>15</v>
      </c>
      <c r="D182" s="7" t="s">
        <v>331</v>
      </c>
      <c r="E182" s="7" t="s">
        <v>144</v>
      </c>
      <c r="F182" s="8" t="s">
        <v>775</v>
      </c>
      <c r="G182" s="9" t="str">
        <f t="shared" si="20"/>
        <v>JBK3E</v>
      </c>
      <c r="H182" s="9" t="str">
        <f t="shared" si="21"/>
        <v>19</v>
      </c>
      <c r="I182" s="9" t="str">
        <f t="shared" si="22"/>
        <v>05</v>
      </c>
      <c r="J182" s="9" t="str">
        <f t="shared" si="23"/>
        <v>2025</v>
      </c>
      <c r="K182" s="10" t="str">
        <f t="shared" si="24"/>
        <v>19/05/2025</v>
      </c>
      <c r="L182" s="9" t="str">
        <f t="shared" si="25"/>
        <v>12</v>
      </c>
      <c r="M182" s="9" t="str">
        <f t="shared" si="26"/>
        <v>07</v>
      </c>
      <c r="N182" s="9" t="str">
        <f t="shared" si="27"/>
        <v>2025</v>
      </c>
      <c r="O182" s="10" t="str">
        <f t="shared" si="28"/>
        <v>12/07/2025</v>
      </c>
      <c r="P182" s="9">
        <f t="shared" si="29"/>
        <v>54</v>
      </c>
      <c r="Q182" t="str">
        <f>VLOOKUP(A182,[1]Sheet2!$I$2:$O$496,7,FALSE())</f>
        <v>https://fruitbasket.blob.core.windows.net/gk2o5k/avatar/21199880120250712162111L0CBIM.jpg</v>
      </c>
    </row>
    <row r="183" spans="1:17" ht="13.8" hidden="1" x14ac:dyDescent="0.25">
      <c r="A183" s="11" t="s">
        <v>720</v>
      </c>
      <c r="B183" s="7" t="s">
        <v>289</v>
      </c>
      <c r="C183" s="7" t="s">
        <v>15</v>
      </c>
      <c r="D183" s="7" t="s">
        <v>721</v>
      </c>
      <c r="E183" s="7" t="s">
        <v>112</v>
      </c>
      <c r="F183" s="8"/>
      <c r="G183" s="9" t="str">
        <f t="shared" si="20"/>
        <v>KF01E</v>
      </c>
      <c r="H183" s="9" t="str">
        <f t="shared" si="21"/>
        <v>20</v>
      </c>
      <c r="I183" s="9" t="str">
        <f t="shared" si="22"/>
        <v>05</v>
      </c>
      <c r="J183" s="9" t="str">
        <f t="shared" si="23"/>
        <v>2025</v>
      </c>
      <c r="K183" s="10" t="str">
        <f t="shared" si="24"/>
        <v>20/05/2025</v>
      </c>
      <c r="L183" s="9" t="str">
        <f t="shared" si="25"/>
        <v>05</v>
      </c>
      <c r="M183" s="9" t="str">
        <f t="shared" si="26"/>
        <v>07</v>
      </c>
      <c r="N183" s="9" t="str">
        <f t="shared" si="27"/>
        <v>2025</v>
      </c>
      <c r="O183" s="10" t="str">
        <f t="shared" si="28"/>
        <v>05/07/2025</v>
      </c>
      <c r="P183" s="9">
        <f t="shared" si="29"/>
        <v>46</v>
      </c>
      <c r="Q183" t="str">
        <f>VLOOKUP(A183,[1]Sheet2!$I$2:$O$496,7,FALSE())</f>
        <v>https://fruitbasket.blob.core.windows.net/gk2o5k/avatar/21297540020250705113954NY4D4R.jpg</v>
      </c>
    </row>
    <row r="184" spans="1:17" ht="13.8" x14ac:dyDescent="0.25">
      <c r="A184" s="21" t="s">
        <v>347</v>
      </c>
      <c r="B184" s="7" t="s">
        <v>197</v>
      </c>
      <c r="C184" s="7" t="s">
        <v>15</v>
      </c>
      <c r="D184" s="7" t="s">
        <v>348</v>
      </c>
      <c r="E184" s="7" t="s">
        <v>144</v>
      </c>
      <c r="F184" s="9" t="s">
        <v>808</v>
      </c>
      <c r="G184" s="9" t="str">
        <f t="shared" si="20"/>
        <v>JBK3E</v>
      </c>
      <c r="H184" s="9" t="str">
        <f t="shared" si="21"/>
        <v>04</v>
      </c>
      <c r="I184" s="9" t="str">
        <f t="shared" si="22"/>
        <v>06</v>
      </c>
      <c r="J184" s="9" t="str">
        <f t="shared" si="23"/>
        <v>2025</v>
      </c>
      <c r="K184" s="10" t="str">
        <f t="shared" si="24"/>
        <v>04/06/2025</v>
      </c>
      <c r="L184" s="9" t="str">
        <f t="shared" si="25"/>
        <v>12</v>
      </c>
      <c r="M184" s="9" t="str">
        <f t="shared" si="26"/>
        <v>07</v>
      </c>
      <c r="N184" s="9" t="str">
        <f t="shared" si="27"/>
        <v>2025</v>
      </c>
      <c r="O184" s="10" t="str">
        <f t="shared" si="28"/>
        <v>12/07/2025</v>
      </c>
      <c r="P184" s="9">
        <f t="shared" si="29"/>
        <v>38</v>
      </c>
      <c r="Q184" t="str">
        <f>VLOOKUP(A184,[1]Sheet2!$I$2:$O$496,7,FALSE())</f>
        <v>https://fruitbasket.blob.core.windows.net/gk2o5k/avatar/211975140202507121444185QMF6M.jpg</v>
      </c>
    </row>
    <row r="185" spans="1:17" ht="13.8" hidden="1" x14ac:dyDescent="0.25">
      <c r="A185" s="11" t="s">
        <v>181</v>
      </c>
      <c r="B185" s="7" t="s">
        <v>182</v>
      </c>
      <c r="C185" s="7" t="s">
        <v>23</v>
      </c>
      <c r="D185" s="7" t="s">
        <v>184</v>
      </c>
      <c r="E185" s="7" t="s">
        <v>183</v>
      </c>
      <c r="F185" s="8"/>
      <c r="G185" s="9" t="str">
        <f t="shared" si="20"/>
        <v>JM91E</v>
      </c>
      <c r="H185" s="9" t="str">
        <f t="shared" si="21"/>
        <v>13</v>
      </c>
      <c r="I185" s="9" t="str">
        <f t="shared" si="22"/>
        <v>09</v>
      </c>
      <c r="J185" s="9" t="str">
        <f t="shared" si="23"/>
        <v>2024</v>
      </c>
      <c r="K185" s="10" t="str">
        <f t="shared" si="24"/>
        <v>13/09/2024</v>
      </c>
      <c r="L185" s="9" t="str">
        <f t="shared" si="25"/>
        <v>23</v>
      </c>
      <c r="M185" s="9" t="str">
        <f t="shared" si="26"/>
        <v>07</v>
      </c>
      <c r="N185" s="9" t="str">
        <f t="shared" si="27"/>
        <v>2025</v>
      </c>
      <c r="O185" s="10" t="str">
        <f t="shared" si="28"/>
        <v>23/07/2025</v>
      </c>
      <c r="P185" s="9">
        <f t="shared" si="29"/>
        <v>313</v>
      </c>
      <c r="Q185" t="str">
        <f>VLOOKUP(A185,[1]Sheet2!$I$2:$O$496,7,FALSE())</f>
        <v>https://fruitbasket.blob.core.windows.net/gk2o5k/avatar/21283280820250723111052NSUZXG.jpg</v>
      </c>
    </row>
    <row r="186" spans="1:17" ht="13.8" hidden="1" x14ac:dyDescent="0.25">
      <c r="A186" s="11" t="s">
        <v>102</v>
      </c>
      <c r="B186" s="7" t="s">
        <v>103</v>
      </c>
      <c r="C186" s="7" t="s">
        <v>15</v>
      </c>
      <c r="D186" s="7" t="s">
        <v>105</v>
      </c>
      <c r="E186" s="7" t="s">
        <v>104</v>
      </c>
      <c r="F186" s="8"/>
      <c r="G186" s="9" t="str">
        <f t="shared" si="20"/>
        <v>JMF2E</v>
      </c>
      <c r="H186" s="9" t="str">
        <f t="shared" si="21"/>
        <v>24</v>
      </c>
      <c r="I186" s="9" t="str">
        <f t="shared" si="22"/>
        <v>05</v>
      </c>
      <c r="J186" s="9" t="str">
        <f t="shared" si="23"/>
        <v>2025</v>
      </c>
      <c r="K186" s="10" t="str">
        <f t="shared" si="24"/>
        <v>24/05/2025</v>
      </c>
      <c r="L186" s="9" t="str">
        <f t="shared" si="25"/>
        <v>02</v>
      </c>
      <c r="M186" s="9" t="str">
        <f t="shared" si="26"/>
        <v>07</v>
      </c>
      <c r="N186" s="9" t="str">
        <f t="shared" si="27"/>
        <v>2025</v>
      </c>
      <c r="O186" s="10" t="str">
        <f t="shared" si="28"/>
        <v>02/07/2025</v>
      </c>
      <c r="P186" s="9">
        <f t="shared" si="29"/>
        <v>39</v>
      </c>
      <c r="Q186" t="str">
        <f>VLOOKUP(A186,[1]Sheet2!$I$2:$O$496,7,FALSE())</f>
        <v>https://fruitbasket.blob.core.windows.net/gk2o5k/avatar/21329153420250702120339WA9CGQ.jpg</v>
      </c>
    </row>
    <row r="187" spans="1:17" ht="13.8" hidden="1" x14ac:dyDescent="0.25">
      <c r="A187" s="11" t="s">
        <v>766</v>
      </c>
      <c r="B187" s="7" t="s">
        <v>767</v>
      </c>
      <c r="C187" s="7" t="s">
        <v>28</v>
      </c>
      <c r="D187" s="7" t="s">
        <v>768</v>
      </c>
      <c r="E187" s="7" t="s">
        <v>183</v>
      </c>
      <c r="F187" s="8"/>
      <c r="G187" s="9" t="str">
        <f t="shared" si="20"/>
        <v>KC02E</v>
      </c>
      <c r="H187" s="9" t="str">
        <f t="shared" si="21"/>
        <v>16</v>
      </c>
      <c r="I187" s="9" t="str">
        <f t="shared" si="22"/>
        <v>01</v>
      </c>
      <c r="J187" s="9" t="str">
        <f t="shared" si="23"/>
        <v>2025</v>
      </c>
      <c r="K187" s="10" t="str">
        <f t="shared" si="24"/>
        <v>16/01/2025</v>
      </c>
      <c r="L187" s="9" t="str">
        <f t="shared" si="25"/>
        <v>23</v>
      </c>
      <c r="M187" s="9" t="str">
        <f t="shared" si="26"/>
        <v>07</v>
      </c>
      <c r="N187" s="9" t="str">
        <f t="shared" si="27"/>
        <v>2025</v>
      </c>
      <c r="O187" s="10" t="str">
        <f t="shared" si="28"/>
        <v>23/07/2025</v>
      </c>
      <c r="P187" s="9">
        <f t="shared" si="29"/>
        <v>188</v>
      </c>
      <c r="Q187" t="str">
        <f>VLOOKUP(A187,[1]Sheet2!$I$2:$O$496,7,FALSE())</f>
        <v>https://fruitbasket.blob.core.windows.net/gk2o5k/avatar/21283193020250723111817HDJGYJ.jpg</v>
      </c>
    </row>
    <row r="188" spans="1:17" ht="13.8" hidden="1" x14ac:dyDescent="0.25">
      <c r="A188" s="11" t="s">
        <v>296</v>
      </c>
      <c r="B188" s="7" t="s">
        <v>267</v>
      </c>
      <c r="C188" s="7" t="s">
        <v>15</v>
      </c>
      <c r="D188" s="7" t="s">
        <v>297</v>
      </c>
      <c r="E188" s="7" t="s">
        <v>192</v>
      </c>
      <c r="F188" s="8"/>
      <c r="G188" s="9" t="str">
        <f t="shared" si="20"/>
        <v>JBK3E</v>
      </c>
      <c r="H188" s="9" t="str">
        <f t="shared" si="21"/>
        <v>12</v>
      </c>
      <c r="I188" s="9" t="str">
        <f t="shared" si="22"/>
        <v>06</v>
      </c>
      <c r="J188" s="9" t="str">
        <f t="shared" si="23"/>
        <v>2025</v>
      </c>
      <c r="K188" s="10" t="str">
        <f t="shared" si="24"/>
        <v>12/06/2025</v>
      </c>
      <c r="L188" s="9" t="str">
        <f t="shared" si="25"/>
        <v>07</v>
      </c>
      <c r="M188" s="9" t="str">
        <f t="shared" si="26"/>
        <v>07</v>
      </c>
      <c r="N188" s="9" t="str">
        <f t="shared" si="27"/>
        <v>2025</v>
      </c>
      <c r="O188" s="10" t="str">
        <f t="shared" si="28"/>
        <v>07/07/2025</v>
      </c>
      <c r="P188" s="9">
        <f t="shared" si="29"/>
        <v>25</v>
      </c>
      <c r="Q188" t="str">
        <f>VLOOKUP(A188,[1]Sheet2!$I$2:$O$496,7,FALSE())</f>
        <v>https://fruitbasket.blob.core.windows.net/gk2o5k/avatar/21211402420250707145341X1CCBW.jpg</v>
      </c>
    </row>
    <row r="189" spans="1:17" ht="13.8" x14ac:dyDescent="0.25">
      <c r="A189" s="21" t="s">
        <v>361</v>
      </c>
      <c r="B189" s="7" t="s">
        <v>192</v>
      </c>
      <c r="C189" s="7" t="s">
        <v>15</v>
      </c>
      <c r="D189" s="7" t="s">
        <v>362</v>
      </c>
      <c r="E189" s="7" t="s">
        <v>212</v>
      </c>
      <c r="F189" s="9" t="s">
        <v>790</v>
      </c>
      <c r="G189" s="9" t="str">
        <f t="shared" si="20"/>
        <v>JBK1E</v>
      </c>
      <c r="H189" s="9" t="str">
        <f t="shared" si="21"/>
        <v>07</v>
      </c>
      <c r="I189" s="9" t="str">
        <f t="shared" si="22"/>
        <v>07</v>
      </c>
      <c r="J189" s="9" t="str">
        <f t="shared" si="23"/>
        <v>2025</v>
      </c>
      <c r="K189" s="10" t="str">
        <f t="shared" si="24"/>
        <v>07/07/2025</v>
      </c>
      <c r="L189" s="9" t="str">
        <f t="shared" si="25"/>
        <v>15</v>
      </c>
      <c r="M189" s="9" t="str">
        <f t="shared" si="26"/>
        <v>07</v>
      </c>
      <c r="N189" s="9" t="str">
        <f t="shared" si="27"/>
        <v>2025</v>
      </c>
      <c r="O189" s="10" t="str">
        <f t="shared" si="28"/>
        <v>15/07/2025</v>
      </c>
      <c r="P189" s="9">
        <f t="shared" si="29"/>
        <v>8</v>
      </c>
      <c r="Q189" t="str">
        <f>VLOOKUP(A189,[1]Sheet2!$I$2:$O$496,7,FALSE())</f>
        <v>https://fruitbasket.blob.core.windows.net/gk2o5k/avatar/21241240420250715142811LGMFZ4.jpg</v>
      </c>
    </row>
    <row r="190" spans="1:17" ht="13.8" hidden="1" x14ac:dyDescent="0.25">
      <c r="A190" s="11" t="s">
        <v>759</v>
      </c>
      <c r="B190" s="7" t="s">
        <v>144</v>
      </c>
      <c r="C190" s="7" t="s">
        <v>15</v>
      </c>
      <c r="D190" s="7" t="s">
        <v>760</v>
      </c>
      <c r="E190" s="7" t="s">
        <v>218</v>
      </c>
      <c r="F190" s="8"/>
      <c r="G190" s="9" t="str">
        <f t="shared" si="20"/>
        <v>KC04E</v>
      </c>
      <c r="H190" s="9" t="str">
        <f t="shared" si="21"/>
        <v>12</v>
      </c>
      <c r="I190" s="9" t="str">
        <f t="shared" si="22"/>
        <v>07</v>
      </c>
      <c r="J190" s="9" t="str">
        <f t="shared" si="23"/>
        <v>2025</v>
      </c>
      <c r="K190" s="10" t="str">
        <f t="shared" si="24"/>
        <v>12/07/2025</v>
      </c>
      <c r="L190" s="9" t="str">
        <f t="shared" si="25"/>
        <v>30</v>
      </c>
      <c r="M190" s="9" t="str">
        <f t="shared" si="26"/>
        <v>07</v>
      </c>
      <c r="N190" s="9" t="str">
        <f t="shared" si="27"/>
        <v>2025</v>
      </c>
      <c r="O190" s="10" t="str">
        <f t="shared" si="28"/>
        <v>30/07/2025</v>
      </c>
      <c r="P190" s="9">
        <f t="shared" si="29"/>
        <v>18</v>
      </c>
      <c r="Q190" t="str">
        <f>VLOOKUP(A190,[1]Sheet2!$I$2:$O$496,7,FALSE())</f>
        <v>https://fruitbasket.blob.core.windows.net/gk2o5k/avatar/21330272320250730142744TAPMQS.jpg</v>
      </c>
    </row>
    <row r="191" spans="1:17" ht="13.8" hidden="1" x14ac:dyDescent="0.25">
      <c r="A191" s="11" t="s">
        <v>593</v>
      </c>
      <c r="B191" s="7" t="s">
        <v>594</v>
      </c>
      <c r="C191" s="7" t="s">
        <v>28</v>
      </c>
      <c r="D191" s="7" t="s">
        <v>595</v>
      </c>
      <c r="E191" s="7" t="s">
        <v>154</v>
      </c>
      <c r="F191" s="8"/>
      <c r="G191" s="9" t="str">
        <f t="shared" si="20"/>
        <v>JMH2E</v>
      </c>
      <c r="H191" s="9" t="str">
        <f t="shared" si="21"/>
        <v>10</v>
      </c>
      <c r="I191" s="9" t="str">
        <f t="shared" si="22"/>
        <v>02</v>
      </c>
      <c r="J191" s="9" t="str">
        <f t="shared" si="23"/>
        <v>2025</v>
      </c>
      <c r="K191" s="10" t="str">
        <f t="shared" si="24"/>
        <v>10/02/2025</v>
      </c>
      <c r="L191" s="9" t="str">
        <f t="shared" si="25"/>
        <v>18</v>
      </c>
      <c r="M191" s="9" t="str">
        <f t="shared" si="26"/>
        <v>07</v>
      </c>
      <c r="N191" s="9" t="str">
        <f t="shared" si="27"/>
        <v>2025</v>
      </c>
      <c r="O191" s="10" t="str">
        <f t="shared" si="28"/>
        <v>18/07/2025</v>
      </c>
      <c r="P191" s="9">
        <f t="shared" si="29"/>
        <v>158</v>
      </c>
      <c r="Q191" t="str">
        <f>VLOOKUP(A191,[1]Sheet2!$I$2:$O$496,7,FALSE())</f>
        <v>https://fruitbasket.blob.core.windows.net/gk2o5k/avatar/21263515120250718142214IGK889.jpg</v>
      </c>
    </row>
    <row r="192" spans="1:17" ht="13.8" hidden="1" x14ac:dyDescent="0.25">
      <c r="A192" s="11" t="s">
        <v>701</v>
      </c>
      <c r="B192" s="7" t="s">
        <v>702</v>
      </c>
      <c r="C192" s="7" t="s">
        <v>28</v>
      </c>
      <c r="D192" s="7" t="s">
        <v>703</v>
      </c>
      <c r="E192" s="7" t="s">
        <v>192</v>
      </c>
      <c r="F192" s="8"/>
      <c r="G192" s="9" t="str">
        <f t="shared" si="20"/>
        <v>JMC1E</v>
      </c>
      <c r="H192" s="9" t="str">
        <f t="shared" si="21"/>
        <v>31</v>
      </c>
      <c r="I192" s="9" t="str">
        <f t="shared" si="22"/>
        <v>01</v>
      </c>
      <c r="J192" s="9" t="str">
        <f t="shared" si="23"/>
        <v>2025</v>
      </c>
      <c r="K192" s="10" t="str">
        <f t="shared" si="24"/>
        <v>31/01/2025</v>
      </c>
      <c r="L192" s="9" t="str">
        <f t="shared" si="25"/>
        <v>07</v>
      </c>
      <c r="M192" s="9" t="str">
        <f t="shared" si="26"/>
        <v>07</v>
      </c>
      <c r="N192" s="9" t="str">
        <f t="shared" si="27"/>
        <v>2025</v>
      </c>
      <c r="O192" s="10" t="str">
        <f t="shared" si="28"/>
        <v>07/07/2025</v>
      </c>
      <c r="P192" s="9">
        <f t="shared" si="29"/>
        <v>157</v>
      </c>
      <c r="Q192" t="str">
        <f>VLOOKUP(A192,[1]Sheet2!$I$2:$O$496,7,FALSE())</f>
        <v>https://fruitbasket.blob.core.windows.net/gk2o5k/avatar/21195802020250707095625S86L66.jpg</v>
      </c>
    </row>
    <row r="193" spans="1:17" ht="13.8" hidden="1" x14ac:dyDescent="0.25">
      <c r="A193" s="11" t="s">
        <v>519</v>
      </c>
      <c r="B193" s="7" t="s">
        <v>520</v>
      </c>
      <c r="C193" s="7" t="s">
        <v>28</v>
      </c>
      <c r="D193" s="7" t="s">
        <v>521</v>
      </c>
      <c r="E193" s="7" t="s">
        <v>157</v>
      </c>
      <c r="F193" s="8"/>
      <c r="G193" s="9" t="str">
        <f t="shared" si="20"/>
        <v>JBK1E</v>
      </c>
      <c r="H193" s="9" t="str">
        <f t="shared" si="21"/>
        <v>15</v>
      </c>
      <c r="I193" s="9" t="str">
        <f t="shared" si="22"/>
        <v>04</v>
      </c>
      <c r="J193" s="9" t="str">
        <f t="shared" si="23"/>
        <v>2025</v>
      </c>
      <c r="K193" s="10" t="str">
        <f t="shared" si="24"/>
        <v>15/04/2025</v>
      </c>
      <c r="L193" s="9" t="str">
        <f t="shared" si="25"/>
        <v>26</v>
      </c>
      <c r="M193" s="9" t="str">
        <f t="shared" si="26"/>
        <v>07</v>
      </c>
      <c r="N193" s="9" t="str">
        <f t="shared" si="27"/>
        <v>2025</v>
      </c>
      <c r="O193" s="10" t="str">
        <f t="shared" si="28"/>
        <v>26/07/2025</v>
      </c>
      <c r="P193" s="9">
        <f t="shared" si="29"/>
        <v>102</v>
      </c>
      <c r="Q193" t="str">
        <f>VLOOKUP(A193,[1]Sheet2!$I$2:$O$496,7,FALSE())</f>
        <v>https://fruitbasket.blob.core.windows.net/gk2o5k/avatar/21295900320250726092546N819AQ.jpg</v>
      </c>
    </row>
    <row r="194" spans="1:17" ht="13.8" hidden="1" x14ac:dyDescent="0.25">
      <c r="A194" s="11" t="s">
        <v>379</v>
      </c>
      <c r="B194" s="7" t="s">
        <v>121</v>
      </c>
      <c r="C194" s="7" t="s">
        <v>15</v>
      </c>
      <c r="D194" s="7" t="s">
        <v>380</v>
      </c>
      <c r="E194" s="7" t="s">
        <v>245</v>
      </c>
      <c r="F194" s="8"/>
      <c r="G194" s="9" t="str">
        <f t="shared" ref="G194:G257" si="30">LEFT(A194,5)</f>
        <v>JBK1E</v>
      </c>
      <c r="H194" s="9" t="str">
        <f t="shared" ref="H194:H257" si="31">LEFT(B194,2)</f>
        <v>20</v>
      </c>
      <c r="I194" s="9" t="str">
        <f t="shared" ref="I194:I257" si="32">MID(B194,4,2)</f>
        <v>06</v>
      </c>
      <c r="J194" s="9" t="str">
        <f t="shared" ref="J194:J257" si="33">RIGHT(B194,4)</f>
        <v>2025</v>
      </c>
      <c r="K194" s="10" t="str">
        <f t="shared" ref="K194:K257" si="34">H194&amp;"/"&amp;I194&amp;"/"&amp;J194</f>
        <v>20/06/2025</v>
      </c>
      <c r="L194" s="9" t="str">
        <f t="shared" ref="L194:L257" si="35">LEFT(E194,2)</f>
        <v>19</v>
      </c>
      <c r="M194" s="9" t="str">
        <f t="shared" ref="M194:M257" si="36">MID(E194,4,2)</f>
        <v>07</v>
      </c>
      <c r="N194" s="9" t="str">
        <f t="shared" ref="N194:N257" si="37">RIGHT(E194,4)</f>
        <v>2025</v>
      </c>
      <c r="O194" s="10" t="str">
        <f t="shared" ref="O194:O257" si="38">L194&amp;"/"&amp;M194&amp;"/"&amp;N194</f>
        <v>19/07/2025</v>
      </c>
      <c r="P194" s="9">
        <f t="shared" ref="P194:P257" si="39">O194-K194</f>
        <v>29</v>
      </c>
      <c r="Q194" t="str">
        <f>VLOOKUP(A194,[1]Sheet2!$I$2:$O$496,7,FALSE())</f>
        <v>https://fruitbasket.blob.core.windows.net/gk2o5k/avatar/21277637120250719104111KNHNHJ.jpg</v>
      </c>
    </row>
    <row r="195" spans="1:17" ht="13.8" x14ac:dyDescent="0.25">
      <c r="A195" s="21" t="s">
        <v>367</v>
      </c>
      <c r="B195" s="7" t="s">
        <v>308</v>
      </c>
      <c r="C195" s="7" t="s">
        <v>15</v>
      </c>
      <c r="D195" s="7" t="s">
        <v>368</v>
      </c>
      <c r="E195" s="7" t="s">
        <v>212</v>
      </c>
      <c r="F195" s="9" t="s">
        <v>791</v>
      </c>
      <c r="G195" s="9" t="str">
        <f t="shared" si="30"/>
        <v>JBK1E</v>
      </c>
      <c r="H195" s="9" t="str">
        <f t="shared" si="31"/>
        <v>14</v>
      </c>
      <c r="I195" s="9" t="str">
        <f t="shared" si="32"/>
        <v>06</v>
      </c>
      <c r="J195" s="9" t="str">
        <f t="shared" si="33"/>
        <v>2025</v>
      </c>
      <c r="K195" s="10" t="str">
        <f t="shared" si="34"/>
        <v>14/06/2025</v>
      </c>
      <c r="L195" s="9" t="str">
        <f t="shared" si="35"/>
        <v>15</v>
      </c>
      <c r="M195" s="9" t="str">
        <f t="shared" si="36"/>
        <v>07</v>
      </c>
      <c r="N195" s="9" t="str">
        <f t="shared" si="37"/>
        <v>2025</v>
      </c>
      <c r="O195" s="10" t="str">
        <f t="shared" si="38"/>
        <v>15/07/2025</v>
      </c>
      <c r="P195" s="9">
        <f t="shared" si="39"/>
        <v>31</v>
      </c>
      <c r="Q195" t="str">
        <f>VLOOKUP(A195,[1]Sheet2!$I$2:$O$496,7,FALSE())</f>
        <v>https://fruitbasket.blob.core.windows.net/gk2o5k/avatar/21240745420250715143847YDRQAD.jpg</v>
      </c>
    </row>
    <row r="196" spans="1:17" ht="13.8" hidden="1" x14ac:dyDescent="0.25">
      <c r="A196" s="11" t="s">
        <v>142</v>
      </c>
      <c r="B196" s="7" t="s">
        <v>143</v>
      </c>
      <c r="C196" s="7" t="s">
        <v>15</v>
      </c>
      <c r="D196" s="7" t="s">
        <v>145</v>
      </c>
      <c r="E196" s="7" t="s">
        <v>144</v>
      </c>
      <c r="F196" s="8"/>
      <c r="G196" s="9" t="str">
        <f t="shared" si="30"/>
        <v>JMF1E</v>
      </c>
      <c r="H196" s="9" t="str">
        <f t="shared" si="31"/>
        <v>09</v>
      </c>
      <c r="I196" s="9" t="str">
        <f t="shared" si="32"/>
        <v>05</v>
      </c>
      <c r="J196" s="9" t="str">
        <f t="shared" si="33"/>
        <v>2025</v>
      </c>
      <c r="K196" s="10" t="str">
        <f t="shared" si="34"/>
        <v>09/05/2025</v>
      </c>
      <c r="L196" s="9" t="str">
        <f t="shared" si="35"/>
        <v>12</v>
      </c>
      <c r="M196" s="9" t="str">
        <f t="shared" si="36"/>
        <v>07</v>
      </c>
      <c r="N196" s="9" t="str">
        <f t="shared" si="37"/>
        <v>2025</v>
      </c>
      <c r="O196" s="10" t="str">
        <f t="shared" si="38"/>
        <v>12/07/2025</v>
      </c>
      <c r="P196" s="9">
        <f t="shared" si="39"/>
        <v>64</v>
      </c>
      <c r="Q196" t="str">
        <f>VLOOKUP(A196,[1]Sheet2!$I$2:$O$496,7,FALSE())</f>
        <v>https://fruitbasket.blob.core.windows.net/gk2o5k/avatar/21315740120250712170321HMYRUM.jpg</v>
      </c>
    </row>
    <row r="197" spans="1:17" ht="13.8" x14ac:dyDescent="0.25">
      <c r="A197" s="21" t="s">
        <v>341</v>
      </c>
      <c r="B197" s="7" t="s">
        <v>308</v>
      </c>
      <c r="C197" s="7" t="s">
        <v>15</v>
      </c>
      <c r="D197" s="7" t="s">
        <v>342</v>
      </c>
      <c r="E197" s="7" t="s">
        <v>144</v>
      </c>
      <c r="F197" s="9" t="s">
        <v>792</v>
      </c>
      <c r="G197" s="9" t="str">
        <f t="shared" si="30"/>
        <v>JBK1E</v>
      </c>
      <c r="H197" s="9" t="str">
        <f t="shared" si="31"/>
        <v>14</v>
      </c>
      <c r="I197" s="9" t="str">
        <f t="shared" si="32"/>
        <v>06</v>
      </c>
      <c r="J197" s="9" t="str">
        <f t="shared" si="33"/>
        <v>2025</v>
      </c>
      <c r="K197" s="10" t="str">
        <f t="shared" si="34"/>
        <v>14/06/2025</v>
      </c>
      <c r="L197" s="9" t="str">
        <f t="shared" si="35"/>
        <v>12</v>
      </c>
      <c r="M197" s="9" t="str">
        <f t="shared" si="36"/>
        <v>07</v>
      </c>
      <c r="N197" s="9" t="str">
        <f t="shared" si="37"/>
        <v>2025</v>
      </c>
      <c r="O197" s="10" t="str">
        <f t="shared" si="38"/>
        <v>12/07/2025</v>
      </c>
      <c r="P197" s="9">
        <f t="shared" si="39"/>
        <v>28</v>
      </c>
      <c r="Q197" t="str">
        <f>VLOOKUP(A197,[1]Sheet2!$I$2:$O$496,7,FALSE())</f>
        <v>https://fruitbasket.blob.core.windows.net/gk2o5k/avatar/212015932202507121650349LHN17.jpg</v>
      </c>
    </row>
    <row r="198" spans="1:17" ht="13.8" hidden="1" x14ac:dyDescent="0.25">
      <c r="A198" s="11" t="s">
        <v>403</v>
      </c>
      <c r="B198" s="7" t="s">
        <v>153</v>
      </c>
      <c r="C198" s="7" t="s">
        <v>15</v>
      </c>
      <c r="D198" s="7" t="s">
        <v>404</v>
      </c>
      <c r="E198" s="7" t="s">
        <v>183</v>
      </c>
      <c r="F198" s="8"/>
      <c r="G198" s="9" t="str">
        <f t="shared" si="30"/>
        <v>JBK3E</v>
      </c>
      <c r="H198" s="9" t="str">
        <f t="shared" si="31"/>
        <v>13</v>
      </c>
      <c r="I198" s="9" t="str">
        <f t="shared" si="32"/>
        <v>06</v>
      </c>
      <c r="J198" s="9" t="str">
        <f t="shared" si="33"/>
        <v>2025</v>
      </c>
      <c r="K198" s="10" t="str">
        <f t="shared" si="34"/>
        <v>13/06/2025</v>
      </c>
      <c r="L198" s="9" t="str">
        <f t="shared" si="35"/>
        <v>23</v>
      </c>
      <c r="M198" s="9" t="str">
        <f t="shared" si="36"/>
        <v>07</v>
      </c>
      <c r="N198" s="9" t="str">
        <f t="shared" si="37"/>
        <v>2025</v>
      </c>
      <c r="O198" s="10" t="str">
        <f t="shared" si="38"/>
        <v>23/07/2025</v>
      </c>
      <c r="P198" s="9">
        <f t="shared" si="39"/>
        <v>40</v>
      </c>
      <c r="Q198" t="str">
        <f>VLOOKUP(A198,[1]Sheet2!$I$2:$O$496,7,FALSE())</f>
        <v>https://fruitbasket.blob.core.windows.net/gk2o5k/avatar/21285670620250723112840EYZZEM.jpg</v>
      </c>
    </row>
    <row r="199" spans="1:17" ht="13.8" hidden="1" x14ac:dyDescent="0.25">
      <c r="A199" s="11" t="s">
        <v>566</v>
      </c>
      <c r="B199" s="7" t="s">
        <v>131</v>
      </c>
      <c r="C199" s="7" t="s">
        <v>15</v>
      </c>
      <c r="D199" s="7" t="s">
        <v>567</v>
      </c>
      <c r="E199" s="7" t="s">
        <v>183</v>
      </c>
      <c r="F199" s="8"/>
      <c r="G199" s="9" t="str">
        <f t="shared" si="30"/>
        <v>JMH1E</v>
      </c>
      <c r="H199" s="9" t="str">
        <f t="shared" si="31"/>
        <v>09</v>
      </c>
      <c r="I199" s="9" t="str">
        <f t="shared" si="32"/>
        <v>07</v>
      </c>
      <c r="J199" s="9" t="str">
        <f t="shared" si="33"/>
        <v>2025</v>
      </c>
      <c r="K199" s="10" t="str">
        <f t="shared" si="34"/>
        <v>09/07/2025</v>
      </c>
      <c r="L199" s="9" t="str">
        <f t="shared" si="35"/>
        <v>23</v>
      </c>
      <c r="M199" s="9" t="str">
        <f t="shared" si="36"/>
        <v>07</v>
      </c>
      <c r="N199" s="9" t="str">
        <f t="shared" si="37"/>
        <v>2025</v>
      </c>
      <c r="O199" s="10" t="str">
        <f t="shared" si="38"/>
        <v>23/07/2025</v>
      </c>
      <c r="P199" s="9">
        <f t="shared" si="39"/>
        <v>14</v>
      </c>
      <c r="Q199" t="str">
        <f>VLOOKUP(A199,[1]Sheet2!$I$2:$O$496,7,FALSE())</f>
        <v>https://fruitbasket.blob.core.windows.net/gk2o5k/avatar/2965488820250723150512FZSQR1.jpg</v>
      </c>
    </row>
    <row r="200" spans="1:17" ht="13.8" x14ac:dyDescent="0.25">
      <c r="A200" s="21" t="s">
        <v>307</v>
      </c>
      <c r="B200" s="7" t="s">
        <v>308</v>
      </c>
      <c r="C200" s="7" t="s">
        <v>15</v>
      </c>
      <c r="D200" s="7" t="s">
        <v>309</v>
      </c>
      <c r="E200" s="7" t="s">
        <v>131</v>
      </c>
      <c r="F200" s="9" t="s">
        <v>793</v>
      </c>
      <c r="G200" s="9" t="str">
        <f t="shared" si="30"/>
        <v>JBK1E</v>
      </c>
      <c r="H200" s="9" t="str">
        <f t="shared" si="31"/>
        <v>14</v>
      </c>
      <c r="I200" s="9" t="str">
        <f t="shared" si="32"/>
        <v>06</v>
      </c>
      <c r="J200" s="9" t="str">
        <f t="shared" si="33"/>
        <v>2025</v>
      </c>
      <c r="K200" s="10" t="str">
        <f t="shared" si="34"/>
        <v>14/06/2025</v>
      </c>
      <c r="L200" s="9" t="str">
        <f t="shared" si="35"/>
        <v>09</v>
      </c>
      <c r="M200" s="9" t="str">
        <f t="shared" si="36"/>
        <v>07</v>
      </c>
      <c r="N200" s="9" t="str">
        <f t="shared" si="37"/>
        <v>2025</v>
      </c>
      <c r="O200" s="10" t="str">
        <f t="shared" si="38"/>
        <v>09/07/2025</v>
      </c>
      <c r="P200" s="9">
        <f t="shared" si="39"/>
        <v>25</v>
      </c>
      <c r="Q200" t="str">
        <f>VLOOKUP(A200,[1]Sheet2!$I$2:$O$496,7,FALSE())</f>
        <v>https://fruitbasket.blob.core.windows.net/gk2o5k/avatar/21190460720250709142114XW95EP.jpg</v>
      </c>
    </row>
    <row r="201" spans="1:17" ht="13.8" hidden="1" x14ac:dyDescent="0.25">
      <c r="A201" s="11" t="s">
        <v>356</v>
      </c>
      <c r="B201" s="7" t="s">
        <v>260</v>
      </c>
      <c r="C201" s="7" t="s">
        <v>15</v>
      </c>
      <c r="D201" s="7" t="s">
        <v>309</v>
      </c>
      <c r="E201" s="7" t="s">
        <v>212</v>
      </c>
      <c r="F201" s="8"/>
      <c r="G201" s="9" t="str">
        <f t="shared" si="30"/>
        <v>JBK1E</v>
      </c>
      <c r="H201" s="9" t="str">
        <f t="shared" si="31"/>
        <v>24</v>
      </c>
      <c r="I201" s="9" t="str">
        <f t="shared" si="32"/>
        <v>06</v>
      </c>
      <c r="J201" s="9" t="str">
        <f t="shared" si="33"/>
        <v>2025</v>
      </c>
      <c r="K201" s="10" t="str">
        <f t="shared" si="34"/>
        <v>24/06/2025</v>
      </c>
      <c r="L201" s="9" t="str">
        <f t="shared" si="35"/>
        <v>15</v>
      </c>
      <c r="M201" s="9" t="str">
        <f t="shared" si="36"/>
        <v>07</v>
      </c>
      <c r="N201" s="9" t="str">
        <f t="shared" si="37"/>
        <v>2025</v>
      </c>
      <c r="O201" s="10" t="str">
        <f t="shared" si="38"/>
        <v>15/07/2025</v>
      </c>
      <c r="P201" s="9">
        <f t="shared" si="39"/>
        <v>21</v>
      </c>
      <c r="Q201" t="str">
        <f>VLOOKUP(A201,[1]Sheet2!$I$2:$O$496,7,FALSE())</f>
        <v>https://fruitbasket.blob.core.windows.net/gk2o5k/avatar/21341258420250715094656E47P1Z.jpg</v>
      </c>
    </row>
    <row r="202" spans="1:17" ht="13.8" x14ac:dyDescent="0.25">
      <c r="A202" s="21" t="s">
        <v>397</v>
      </c>
      <c r="B202" s="7" t="s">
        <v>154</v>
      </c>
      <c r="C202" s="7" t="s">
        <v>15</v>
      </c>
      <c r="D202" s="7" t="s">
        <v>398</v>
      </c>
      <c r="E202" s="7" t="s">
        <v>393</v>
      </c>
      <c r="F202" s="9" t="s">
        <v>809</v>
      </c>
      <c r="G202" s="9" t="str">
        <f t="shared" si="30"/>
        <v>JBK3E</v>
      </c>
      <c r="H202" s="9" t="str">
        <f t="shared" si="31"/>
        <v>18</v>
      </c>
      <c r="I202" s="9" t="str">
        <f t="shared" si="32"/>
        <v>07</v>
      </c>
      <c r="J202" s="9" t="str">
        <f t="shared" si="33"/>
        <v>2025</v>
      </c>
      <c r="K202" s="10" t="str">
        <f t="shared" si="34"/>
        <v>18/07/2025</v>
      </c>
      <c r="L202" s="9" t="str">
        <f t="shared" si="35"/>
        <v>22</v>
      </c>
      <c r="M202" s="9" t="str">
        <f t="shared" si="36"/>
        <v>07</v>
      </c>
      <c r="N202" s="9" t="str">
        <f t="shared" si="37"/>
        <v>2025</v>
      </c>
      <c r="O202" s="10" t="str">
        <f t="shared" si="38"/>
        <v>22/07/2025</v>
      </c>
      <c r="P202" s="9">
        <f t="shared" si="39"/>
        <v>4</v>
      </c>
      <c r="Q202" t="str">
        <f>VLOOKUP(A202,[1]Sheet2!$I$2:$O$496,7,FALSE())</f>
        <v>https://fruitbasket.blob.core.windows.net/gk2o5k/avatar/21284775220250722150501EUHZKD.jpg</v>
      </c>
    </row>
    <row r="203" spans="1:17" ht="13.8" hidden="1" x14ac:dyDescent="0.25">
      <c r="A203" s="11" t="s">
        <v>407</v>
      </c>
      <c r="B203" s="7" t="s">
        <v>115</v>
      </c>
      <c r="C203" s="7" t="s">
        <v>15</v>
      </c>
      <c r="D203" s="7" t="s">
        <v>398</v>
      </c>
      <c r="E203" s="7" t="s">
        <v>183</v>
      </c>
      <c r="F203" s="8"/>
      <c r="G203" s="9" t="str">
        <f t="shared" si="30"/>
        <v>JBK1E</v>
      </c>
      <c r="H203" s="9" t="str">
        <f t="shared" si="31"/>
        <v>17</v>
      </c>
      <c r="I203" s="9" t="str">
        <f t="shared" si="32"/>
        <v>06</v>
      </c>
      <c r="J203" s="9" t="str">
        <f t="shared" si="33"/>
        <v>2025</v>
      </c>
      <c r="K203" s="10" t="str">
        <f t="shared" si="34"/>
        <v>17/06/2025</v>
      </c>
      <c r="L203" s="9" t="str">
        <f t="shared" si="35"/>
        <v>23</v>
      </c>
      <c r="M203" s="9" t="str">
        <f t="shared" si="36"/>
        <v>07</v>
      </c>
      <c r="N203" s="9" t="str">
        <f t="shared" si="37"/>
        <v>2025</v>
      </c>
      <c r="O203" s="10" t="str">
        <f t="shared" si="38"/>
        <v>23/07/2025</v>
      </c>
      <c r="P203" s="9">
        <f t="shared" si="39"/>
        <v>36</v>
      </c>
      <c r="Q203" t="str">
        <f>VLOOKUP(A203,[1]Sheet2!$I$2:$O$496,7,FALSE())</f>
        <v>https://fruitbasket.blob.core.windows.net/gk2o5k/avatar/213159210202507231328374KWKYA.jpg</v>
      </c>
    </row>
    <row r="204" spans="1:17" ht="13.8" hidden="1" x14ac:dyDescent="0.25">
      <c r="A204" s="11" t="s">
        <v>560</v>
      </c>
      <c r="B204" s="7" t="s">
        <v>267</v>
      </c>
      <c r="C204" s="7" t="s">
        <v>15</v>
      </c>
      <c r="D204" s="7" t="s">
        <v>561</v>
      </c>
      <c r="E204" s="7" t="s">
        <v>352</v>
      </c>
      <c r="F204" s="8"/>
      <c r="G204" s="9" t="str">
        <f t="shared" si="30"/>
        <v>JMH1E</v>
      </c>
      <c r="H204" s="9" t="str">
        <f t="shared" si="31"/>
        <v>12</v>
      </c>
      <c r="I204" s="9" t="str">
        <f t="shared" si="32"/>
        <v>06</v>
      </c>
      <c r="J204" s="9" t="str">
        <f t="shared" si="33"/>
        <v>2025</v>
      </c>
      <c r="K204" s="10" t="str">
        <f t="shared" si="34"/>
        <v>12/06/2025</v>
      </c>
      <c r="L204" s="9" t="str">
        <f t="shared" si="35"/>
        <v>13</v>
      </c>
      <c r="M204" s="9" t="str">
        <f t="shared" si="36"/>
        <v>07</v>
      </c>
      <c r="N204" s="9" t="str">
        <f t="shared" si="37"/>
        <v>2025</v>
      </c>
      <c r="O204" s="10" t="str">
        <f t="shared" si="38"/>
        <v>13/07/2025</v>
      </c>
      <c r="P204" s="9">
        <f t="shared" si="39"/>
        <v>31</v>
      </c>
      <c r="Q204" t="str">
        <f>VLOOKUP(A204,[1]Sheet2!$I$2:$O$496,7,FALSE())</f>
        <v>https://fruitbasket.blob.core.windows.net/gk2o5k/avatar/2133359102025071312563112PNTE.jpg</v>
      </c>
    </row>
    <row r="205" spans="1:17" ht="13.8" x14ac:dyDescent="0.25">
      <c r="A205" s="21" t="s">
        <v>318</v>
      </c>
      <c r="B205" s="7" t="s">
        <v>107</v>
      </c>
      <c r="C205" s="7" t="s">
        <v>15</v>
      </c>
      <c r="D205" s="7" t="s">
        <v>319</v>
      </c>
      <c r="E205" s="7" t="s">
        <v>140</v>
      </c>
      <c r="F205" s="9" t="s">
        <v>794</v>
      </c>
      <c r="G205" s="9" t="str">
        <f t="shared" si="30"/>
        <v>JBK1E</v>
      </c>
      <c r="H205" s="9" t="str">
        <f t="shared" si="31"/>
        <v>03</v>
      </c>
      <c r="I205" s="9" t="str">
        <f t="shared" si="32"/>
        <v>05</v>
      </c>
      <c r="J205" s="9" t="str">
        <f t="shared" si="33"/>
        <v>2025</v>
      </c>
      <c r="K205" s="10" t="str">
        <f t="shared" si="34"/>
        <v>03/05/2025</v>
      </c>
      <c r="L205" s="9" t="str">
        <f t="shared" si="35"/>
        <v>11</v>
      </c>
      <c r="M205" s="9" t="str">
        <f t="shared" si="36"/>
        <v>07</v>
      </c>
      <c r="N205" s="9" t="str">
        <f t="shared" si="37"/>
        <v>2025</v>
      </c>
      <c r="O205" s="10" t="str">
        <f t="shared" si="38"/>
        <v>11/07/2025</v>
      </c>
      <c r="P205" s="9">
        <f t="shared" si="39"/>
        <v>69</v>
      </c>
      <c r="Q205" t="str">
        <f>VLOOKUP(A205,[1]Sheet2!$I$2:$O$496,7,FALSE())</f>
        <v>https://fruitbasket.blob.core.windows.net/gk2o5k/avatar/21195503820250711162714ZZ33B9.jpg</v>
      </c>
    </row>
    <row r="206" spans="1:17" ht="13.8" hidden="1" x14ac:dyDescent="0.25">
      <c r="A206" s="11" t="s">
        <v>185</v>
      </c>
      <c r="B206" s="7" t="s">
        <v>118</v>
      </c>
      <c r="C206" s="7" t="s">
        <v>15</v>
      </c>
      <c r="D206" s="7" t="s">
        <v>186</v>
      </c>
      <c r="E206" s="7" t="s">
        <v>112</v>
      </c>
      <c r="F206" s="8"/>
      <c r="G206" s="9" t="str">
        <f t="shared" si="30"/>
        <v>KC04E</v>
      </c>
      <c r="H206" s="9" t="str">
        <f t="shared" si="31"/>
        <v>05</v>
      </c>
      <c r="I206" s="9" t="str">
        <f t="shared" si="32"/>
        <v>06</v>
      </c>
      <c r="J206" s="9" t="str">
        <f t="shared" si="33"/>
        <v>2025</v>
      </c>
      <c r="K206" s="10" t="str">
        <f t="shared" si="34"/>
        <v>05/06/2025</v>
      </c>
      <c r="L206" s="9" t="str">
        <f t="shared" si="35"/>
        <v>05</v>
      </c>
      <c r="M206" s="9" t="str">
        <f t="shared" si="36"/>
        <v>07</v>
      </c>
      <c r="N206" s="9" t="str">
        <f t="shared" si="37"/>
        <v>2025</v>
      </c>
      <c r="O206" s="10" t="str">
        <f t="shared" si="38"/>
        <v>05/07/2025</v>
      </c>
      <c r="P206" s="9">
        <f t="shared" si="39"/>
        <v>30</v>
      </c>
      <c r="Q206" t="str">
        <f>VLOOKUP(A206,[1]Sheet2!$I$2:$O$496,7,FALSE())</f>
        <v>https://fruitbasket.blob.core.windows.net/gk2o5k/avatar/21236510820250705155853AIWFQW.jpg</v>
      </c>
    </row>
    <row r="207" spans="1:17" ht="13.8" hidden="1" x14ac:dyDescent="0.25">
      <c r="A207" s="11" t="s">
        <v>537</v>
      </c>
      <c r="B207" s="7" t="s">
        <v>278</v>
      </c>
      <c r="C207" s="7" t="s">
        <v>15</v>
      </c>
      <c r="D207" s="7" t="s">
        <v>538</v>
      </c>
      <c r="E207" s="7" t="s">
        <v>108</v>
      </c>
      <c r="F207" s="8"/>
      <c r="G207" s="9" t="str">
        <f t="shared" si="30"/>
        <v>JMH2E</v>
      </c>
      <c r="H207" s="9" t="str">
        <f t="shared" si="31"/>
        <v>09</v>
      </c>
      <c r="I207" s="9" t="str">
        <f t="shared" si="32"/>
        <v>06</v>
      </c>
      <c r="J207" s="9" t="str">
        <f t="shared" si="33"/>
        <v>2025</v>
      </c>
      <c r="K207" s="10" t="str">
        <f t="shared" si="34"/>
        <v>09/06/2025</v>
      </c>
      <c r="L207" s="9" t="str">
        <f t="shared" si="35"/>
        <v>04</v>
      </c>
      <c r="M207" s="9" t="str">
        <f t="shared" si="36"/>
        <v>07</v>
      </c>
      <c r="N207" s="9" t="str">
        <f t="shared" si="37"/>
        <v>2025</v>
      </c>
      <c r="O207" s="10" t="str">
        <f t="shared" si="38"/>
        <v>04/07/2025</v>
      </c>
      <c r="P207" s="9">
        <f t="shared" si="39"/>
        <v>25</v>
      </c>
      <c r="Q207" t="str">
        <f>VLOOKUP(A207,[1]Sheet2!$I$2:$O$496,7,FALSE())</f>
        <v>https://fruitbasket.blob.core.windows.net/gk2o5k/avatar/21331817620250704155655D51KFR.jpg</v>
      </c>
    </row>
    <row r="208" spans="1:17" ht="13.8" x14ac:dyDescent="0.25">
      <c r="A208" s="21" t="s">
        <v>210</v>
      </c>
      <c r="B208" s="7" t="s">
        <v>211</v>
      </c>
      <c r="C208" s="7" t="s">
        <v>15</v>
      </c>
      <c r="D208" s="7" t="s">
        <v>213</v>
      </c>
      <c r="E208" s="7" t="s">
        <v>212</v>
      </c>
      <c r="F208" s="9" t="s">
        <v>823</v>
      </c>
      <c r="G208" s="9" t="str">
        <f t="shared" si="30"/>
        <v>KD11E</v>
      </c>
      <c r="H208" s="9" t="str">
        <f t="shared" si="31"/>
        <v>23</v>
      </c>
      <c r="I208" s="9" t="str">
        <f t="shared" si="32"/>
        <v>05</v>
      </c>
      <c r="J208" s="9" t="str">
        <f t="shared" si="33"/>
        <v>2025</v>
      </c>
      <c r="K208" s="10" t="str">
        <f t="shared" si="34"/>
        <v>23/05/2025</v>
      </c>
      <c r="L208" s="9" t="str">
        <f t="shared" si="35"/>
        <v>15</v>
      </c>
      <c r="M208" s="9" t="str">
        <f t="shared" si="36"/>
        <v>07</v>
      </c>
      <c r="N208" s="9" t="str">
        <f t="shared" si="37"/>
        <v>2025</v>
      </c>
      <c r="O208" s="10" t="str">
        <f t="shared" si="38"/>
        <v>15/07/2025</v>
      </c>
      <c r="P208" s="9">
        <f t="shared" si="39"/>
        <v>53</v>
      </c>
      <c r="Q208" t="str">
        <f>VLOOKUP(A208,[1]Sheet2!$I$2:$O$496,7,FALSE())</f>
        <v>https://fruitbasket.blob.core.windows.net/gk2o5k/avatar/21241240420250715143211OCJTTB.jpg</v>
      </c>
    </row>
    <row r="209" spans="1:17" ht="13.8" hidden="1" x14ac:dyDescent="0.25">
      <c r="A209" s="11" t="s">
        <v>539</v>
      </c>
      <c r="B209" s="7" t="s">
        <v>283</v>
      </c>
      <c r="C209" s="7" t="s">
        <v>15</v>
      </c>
      <c r="D209" s="7" t="s">
        <v>540</v>
      </c>
      <c r="E209" s="7" t="s">
        <v>112</v>
      </c>
      <c r="F209" s="8"/>
      <c r="G209" s="9" t="str">
        <f t="shared" si="30"/>
        <v>JMH1E</v>
      </c>
      <c r="H209" s="9" t="str">
        <f t="shared" si="31"/>
        <v>30</v>
      </c>
      <c r="I209" s="9" t="str">
        <f t="shared" si="32"/>
        <v>05</v>
      </c>
      <c r="J209" s="9" t="str">
        <f t="shared" si="33"/>
        <v>2025</v>
      </c>
      <c r="K209" s="10" t="str">
        <f t="shared" si="34"/>
        <v>30/05/2025</v>
      </c>
      <c r="L209" s="9" t="str">
        <f t="shared" si="35"/>
        <v>05</v>
      </c>
      <c r="M209" s="9" t="str">
        <f t="shared" si="36"/>
        <v>07</v>
      </c>
      <c r="N209" s="9" t="str">
        <f t="shared" si="37"/>
        <v>2025</v>
      </c>
      <c r="O209" s="10" t="str">
        <f t="shared" si="38"/>
        <v>05/07/2025</v>
      </c>
      <c r="P209" s="9">
        <f t="shared" si="39"/>
        <v>36</v>
      </c>
      <c r="Q209" t="str">
        <f>VLOOKUP(A209,[1]Sheet2!$I$2:$O$496,7,FALSE())</f>
        <v>https://fruitbasket.blob.core.windows.net/gk2o5k/avatar/21327694320250705120818TXO1SQ.jpg</v>
      </c>
    </row>
    <row r="210" spans="1:17" ht="13.8" hidden="1" x14ac:dyDescent="0.25">
      <c r="A210" s="11" t="s">
        <v>722</v>
      </c>
      <c r="B210" s="7" t="s">
        <v>283</v>
      </c>
      <c r="C210" s="7" t="s">
        <v>15</v>
      </c>
      <c r="D210" s="7" t="s">
        <v>723</v>
      </c>
      <c r="E210" s="7" t="s">
        <v>112</v>
      </c>
      <c r="F210" s="8"/>
      <c r="G210" s="9" t="str">
        <f t="shared" si="30"/>
        <v>KFA1E</v>
      </c>
      <c r="H210" s="9" t="str">
        <f t="shared" si="31"/>
        <v>30</v>
      </c>
      <c r="I210" s="9" t="str">
        <f t="shared" si="32"/>
        <v>05</v>
      </c>
      <c r="J210" s="9" t="str">
        <f t="shared" si="33"/>
        <v>2025</v>
      </c>
      <c r="K210" s="10" t="str">
        <f t="shared" si="34"/>
        <v>30/05/2025</v>
      </c>
      <c r="L210" s="9" t="str">
        <f t="shared" si="35"/>
        <v>05</v>
      </c>
      <c r="M210" s="9" t="str">
        <f t="shared" si="36"/>
        <v>07</v>
      </c>
      <c r="N210" s="9" t="str">
        <f t="shared" si="37"/>
        <v>2025</v>
      </c>
      <c r="O210" s="10" t="str">
        <f t="shared" si="38"/>
        <v>05/07/2025</v>
      </c>
      <c r="P210" s="9">
        <f t="shared" si="39"/>
        <v>36</v>
      </c>
      <c r="Q210" t="str">
        <f>VLOOKUP(A210,[1]Sheet2!$I$2:$O$496,7,FALSE())</f>
        <v>https://fruitbasket.blob.core.windows.net/gk2o5k/avatar/21195049320250705110812QMRU2E.jpg</v>
      </c>
    </row>
    <row r="211" spans="1:17" ht="13.8" hidden="1" x14ac:dyDescent="0.25">
      <c r="A211" s="11" t="s">
        <v>220</v>
      </c>
      <c r="B211" s="7" t="s">
        <v>192</v>
      </c>
      <c r="C211" s="7" t="s">
        <v>15</v>
      </c>
      <c r="D211" s="7" t="s">
        <v>222</v>
      </c>
      <c r="E211" s="7" t="s">
        <v>221</v>
      </c>
      <c r="F211" s="8"/>
      <c r="G211" s="9" t="str">
        <f t="shared" si="30"/>
        <v>KD11E</v>
      </c>
      <c r="H211" s="9" t="str">
        <f t="shared" si="31"/>
        <v>07</v>
      </c>
      <c r="I211" s="9" t="str">
        <f t="shared" si="32"/>
        <v>07</v>
      </c>
      <c r="J211" s="9" t="str">
        <f t="shared" si="33"/>
        <v>2025</v>
      </c>
      <c r="K211" s="10" t="str">
        <f t="shared" si="34"/>
        <v>07/07/2025</v>
      </c>
      <c r="L211" s="9" t="str">
        <f t="shared" si="35"/>
        <v>31</v>
      </c>
      <c r="M211" s="9" t="str">
        <f t="shared" si="36"/>
        <v>07</v>
      </c>
      <c r="N211" s="9" t="str">
        <f t="shared" si="37"/>
        <v>2025</v>
      </c>
      <c r="O211" s="10" t="str">
        <f t="shared" si="38"/>
        <v>31/07/2025</v>
      </c>
      <c r="P211" s="9">
        <f t="shared" si="39"/>
        <v>24</v>
      </c>
      <c r="Q211" t="str">
        <f>VLOOKUP(A211,[1]Sheet2!$I$2:$O$496,7,FALSE())</f>
        <v>https://fruitbasket.blob.core.windows.net/gk2o5k/avatar/21323438520250731151854RR98T2.jpg</v>
      </c>
    </row>
    <row r="212" spans="1:17" ht="13.8" x14ac:dyDescent="0.25">
      <c r="A212" s="21" t="s">
        <v>269</v>
      </c>
      <c r="B212" s="7" t="s">
        <v>118</v>
      </c>
      <c r="C212" s="7" t="s">
        <v>15</v>
      </c>
      <c r="D212" s="7" t="s">
        <v>270</v>
      </c>
      <c r="E212" s="7" t="s">
        <v>108</v>
      </c>
      <c r="F212" s="9" t="s">
        <v>810</v>
      </c>
      <c r="G212" s="9" t="str">
        <f t="shared" si="30"/>
        <v>JBK3E</v>
      </c>
      <c r="H212" s="9" t="str">
        <f t="shared" si="31"/>
        <v>05</v>
      </c>
      <c r="I212" s="9" t="str">
        <f t="shared" si="32"/>
        <v>06</v>
      </c>
      <c r="J212" s="9" t="str">
        <f t="shared" si="33"/>
        <v>2025</v>
      </c>
      <c r="K212" s="10" t="str">
        <f t="shared" si="34"/>
        <v>05/06/2025</v>
      </c>
      <c r="L212" s="9" t="str">
        <f t="shared" si="35"/>
        <v>04</v>
      </c>
      <c r="M212" s="9" t="str">
        <f t="shared" si="36"/>
        <v>07</v>
      </c>
      <c r="N212" s="9" t="str">
        <f t="shared" si="37"/>
        <v>2025</v>
      </c>
      <c r="O212" s="10" t="str">
        <f t="shared" si="38"/>
        <v>04/07/2025</v>
      </c>
      <c r="P212" s="9">
        <f t="shared" si="39"/>
        <v>29</v>
      </c>
      <c r="Q212" t="str">
        <f>VLOOKUP(A212,[1]Sheet2!$I$2:$O$496,7,FALSE())</f>
        <v>https://fruitbasket.blob.core.windows.net/gk2o5k/avatar/21330565420250704132553UAYJB9.jpg</v>
      </c>
    </row>
    <row r="213" spans="1:17" ht="13.8" hidden="1" x14ac:dyDescent="0.25">
      <c r="A213" s="11" t="s">
        <v>417</v>
      </c>
      <c r="B213" s="7" t="s">
        <v>147</v>
      </c>
      <c r="C213" s="7" t="s">
        <v>15</v>
      </c>
      <c r="D213" s="7" t="s">
        <v>418</v>
      </c>
      <c r="E213" s="7" t="s">
        <v>179</v>
      </c>
      <c r="F213" s="8"/>
      <c r="G213" s="9" t="str">
        <f t="shared" si="30"/>
        <v>JBK3E</v>
      </c>
      <c r="H213" s="9" t="str">
        <f t="shared" si="31"/>
        <v>22</v>
      </c>
      <c r="I213" s="9" t="str">
        <f t="shared" si="32"/>
        <v>05</v>
      </c>
      <c r="J213" s="9" t="str">
        <f t="shared" si="33"/>
        <v>2025</v>
      </c>
      <c r="K213" s="10" t="str">
        <f t="shared" si="34"/>
        <v>22/05/2025</v>
      </c>
      <c r="L213" s="9" t="str">
        <f t="shared" si="35"/>
        <v>28</v>
      </c>
      <c r="M213" s="9" t="str">
        <f t="shared" si="36"/>
        <v>07</v>
      </c>
      <c r="N213" s="9" t="str">
        <f t="shared" si="37"/>
        <v>2025</v>
      </c>
      <c r="O213" s="10" t="str">
        <f t="shared" si="38"/>
        <v>28/07/2025</v>
      </c>
      <c r="P213" s="9">
        <f t="shared" si="39"/>
        <v>67</v>
      </c>
      <c r="Q213" t="str">
        <f>VLOOKUP(A213,[1]Sheet2!$I$2:$O$496,7,FALSE())</f>
        <v>https://fruitbasket.blob.core.windows.net/gk2o5k/avatar/21283216820250728133510EP7KWD.jpg</v>
      </c>
    </row>
    <row r="214" spans="1:17" ht="13.8" x14ac:dyDescent="0.25">
      <c r="A214" s="21" t="s">
        <v>746</v>
      </c>
      <c r="B214" s="7" t="s">
        <v>292</v>
      </c>
      <c r="C214" s="7" t="s">
        <v>15</v>
      </c>
      <c r="D214" s="7" t="s">
        <v>747</v>
      </c>
      <c r="E214" s="7" t="s">
        <v>140</v>
      </c>
      <c r="F214" s="12" t="s">
        <v>835</v>
      </c>
      <c r="G214" s="9" t="str">
        <f t="shared" si="30"/>
        <v>KC04E</v>
      </c>
      <c r="H214" s="9" t="str">
        <f t="shared" si="31"/>
        <v>18</v>
      </c>
      <c r="I214" s="9" t="str">
        <f t="shared" si="32"/>
        <v>06</v>
      </c>
      <c r="J214" s="9" t="str">
        <f t="shared" si="33"/>
        <v>2025</v>
      </c>
      <c r="K214" s="10" t="str">
        <f t="shared" si="34"/>
        <v>18/06/2025</v>
      </c>
      <c r="L214" s="9" t="str">
        <f t="shared" si="35"/>
        <v>11</v>
      </c>
      <c r="M214" s="9" t="str">
        <f t="shared" si="36"/>
        <v>07</v>
      </c>
      <c r="N214" s="9" t="str">
        <f t="shared" si="37"/>
        <v>2025</v>
      </c>
      <c r="O214" s="10" t="str">
        <f t="shared" si="38"/>
        <v>11/07/2025</v>
      </c>
      <c r="P214" s="9">
        <f t="shared" si="39"/>
        <v>23</v>
      </c>
      <c r="Q214" t="str">
        <f>VLOOKUP(A214,[1]Sheet2!$I$2:$O$496,7,FALSE())</f>
        <v>https://fruitbasket.blob.core.windows.net/gk2o5k/avatar/21342805120250711114438AZLFIW.jpg</v>
      </c>
    </row>
    <row r="215" spans="1:17" ht="13.8" hidden="1" x14ac:dyDescent="0.25">
      <c r="A215" s="11" t="s">
        <v>298</v>
      </c>
      <c r="B215" s="7" t="s">
        <v>299</v>
      </c>
      <c r="C215" s="7" t="s">
        <v>15</v>
      </c>
      <c r="D215" s="7" t="s">
        <v>300</v>
      </c>
      <c r="E215" s="7" t="s">
        <v>125</v>
      </c>
      <c r="F215" s="8"/>
      <c r="G215" s="9" t="str">
        <f t="shared" si="30"/>
        <v>JBK1E</v>
      </c>
      <c r="H215" s="9" t="str">
        <f t="shared" si="31"/>
        <v>07</v>
      </c>
      <c r="I215" s="9" t="str">
        <f t="shared" si="32"/>
        <v>06</v>
      </c>
      <c r="J215" s="9" t="str">
        <f t="shared" si="33"/>
        <v>2025</v>
      </c>
      <c r="K215" s="10" t="str">
        <f t="shared" si="34"/>
        <v>07/06/2025</v>
      </c>
      <c r="L215" s="9" t="str">
        <f t="shared" si="35"/>
        <v>08</v>
      </c>
      <c r="M215" s="9" t="str">
        <f t="shared" si="36"/>
        <v>07</v>
      </c>
      <c r="N215" s="9" t="str">
        <f t="shared" si="37"/>
        <v>2025</v>
      </c>
      <c r="O215" s="10" t="str">
        <f t="shared" si="38"/>
        <v>08/07/2025</v>
      </c>
      <c r="P215" s="9">
        <f t="shared" si="39"/>
        <v>31</v>
      </c>
      <c r="Q215" t="str">
        <f>VLOOKUP(A215,[1]Sheet2!$I$2:$O$496,7,FALSE())</f>
        <v>https://fruitbasket.blob.core.windows.net/gk2o5k/avatar/213324993202507080943169KSCI5.jpg</v>
      </c>
    </row>
    <row r="216" spans="1:17" ht="13.8" hidden="1" x14ac:dyDescent="0.25">
      <c r="A216" s="11" t="s">
        <v>736</v>
      </c>
      <c r="B216" s="7" t="s">
        <v>289</v>
      </c>
      <c r="C216" s="7" t="s">
        <v>15</v>
      </c>
      <c r="D216" s="7" t="s">
        <v>737</v>
      </c>
      <c r="E216" s="7" t="s">
        <v>192</v>
      </c>
      <c r="F216" s="8"/>
      <c r="G216" s="9" t="str">
        <f t="shared" si="30"/>
        <v>KC04E</v>
      </c>
      <c r="H216" s="9" t="str">
        <f t="shared" si="31"/>
        <v>20</v>
      </c>
      <c r="I216" s="9" t="str">
        <f t="shared" si="32"/>
        <v>05</v>
      </c>
      <c r="J216" s="9" t="str">
        <f t="shared" si="33"/>
        <v>2025</v>
      </c>
      <c r="K216" s="10" t="str">
        <f t="shared" si="34"/>
        <v>20/05/2025</v>
      </c>
      <c r="L216" s="9" t="str">
        <f t="shared" si="35"/>
        <v>07</v>
      </c>
      <c r="M216" s="9" t="str">
        <f t="shared" si="36"/>
        <v>07</v>
      </c>
      <c r="N216" s="9" t="str">
        <f t="shared" si="37"/>
        <v>2025</v>
      </c>
      <c r="O216" s="10" t="str">
        <f t="shared" si="38"/>
        <v>07/07/2025</v>
      </c>
      <c r="P216" s="9">
        <f t="shared" si="39"/>
        <v>48</v>
      </c>
      <c r="Q216" t="str">
        <f>VLOOKUP(A216,[1]Sheet2!$I$2:$O$496,7,FALSE())</f>
        <v>https://fruitbasket.blob.core.windows.net/gk2o5k/avatar/21321193620250707094014GJ2F0N.jpg</v>
      </c>
    </row>
    <row r="217" spans="1:17" ht="13.8" x14ac:dyDescent="0.25">
      <c r="A217" s="21" t="s">
        <v>660</v>
      </c>
      <c r="B217" s="7" t="s">
        <v>575</v>
      </c>
      <c r="C217" s="7" t="s">
        <v>15</v>
      </c>
      <c r="D217" s="7" t="s">
        <v>661</v>
      </c>
      <c r="E217" s="7" t="s">
        <v>125</v>
      </c>
      <c r="F217" s="12" t="s">
        <v>832</v>
      </c>
      <c r="G217" s="9" t="str">
        <f t="shared" si="30"/>
        <v>JMC1E</v>
      </c>
      <c r="H217" s="9" t="str">
        <f t="shared" si="31"/>
        <v>26</v>
      </c>
      <c r="I217" s="9" t="str">
        <f t="shared" si="32"/>
        <v>06</v>
      </c>
      <c r="J217" s="9" t="str">
        <f t="shared" si="33"/>
        <v>2025</v>
      </c>
      <c r="K217" s="10" t="str">
        <f t="shared" si="34"/>
        <v>26/06/2025</v>
      </c>
      <c r="L217" s="9" t="str">
        <f t="shared" si="35"/>
        <v>08</v>
      </c>
      <c r="M217" s="9" t="str">
        <f t="shared" si="36"/>
        <v>07</v>
      </c>
      <c r="N217" s="9" t="str">
        <f t="shared" si="37"/>
        <v>2025</v>
      </c>
      <c r="O217" s="10" t="str">
        <f t="shared" si="38"/>
        <v>08/07/2025</v>
      </c>
      <c r="P217" s="9">
        <f t="shared" si="39"/>
        <v>12</v>
      </c>
      <c r="Q217" t="str">
        <f>VLOOKUP(A217,[1]Sheet2!$I$2:$O$496,7,FALSE())</f>
        <v>https://fruitbasket.blob.core.windows.net/gk2o5k/avatar/21342936520250708094640QX3Q8B.jpg</v>
      </c>
    </row>
    <row r="218" spans="1:17" ht="13.8" hidden="1" x14ac:dyDescent="0.25">
      <c r="A218" s="11" t="s">
        <v>310</v>
      </c>
      <c r="B218" s="7" t="s">
        <v>124</v>
      </c>
      <c r="C218" s="7" t="s">
        <v>15</v>
      </c>
      <c r="D218" s="7" t="s">
        <v>311</v>
      </c>
      <c r="E218" s="7" t="s">
        <v>131</v>
      </c>
      <c r="F218" s="8"/>
      <c r="G218" s="9" t="str">
        <f t="shared" si="30"/>
        <v>JBK1E</v>
      </c>
      <c r="H218" s="9" t="str">
        <f t="shared" si="31"/>
        <v>16</v>
      </c>
      <c r="I218" s="9" t="str">
        <f t="shared" si="32"/>
        <v>06</v>
      </c>
      <c r="J218" s="9" t="str">
        <f t="shared" si="33"/>
        <v>2025</v>
      </c>
      <c r="K218" s="10" t="str">
        <f t="shared" si="34"/>
        <v>16/06/2025</v>
      </c>
      <c r="L218" s="9" t="str">
        <f t="shared" si="35"/>
        <v>09</v>
      </c>
      <c r="M218" s="9" t="str">
        <f t="shared" si="36"/>
        <v>07</v>
      </c>
      <c r="N218" s="9" t="str">
        <f t="shared" si="37"/>
        <v>2025</v>
      </c>
      <c r="O218" s="10" t="str">
        <f t="shared" si="38"/>
        <v>09/07/2025</v>
      </c>
      <c r="P218" s="9">
        <f t="shared" si="39"/>
        <v>23</v>
      </c>
      <c r="Q218" t="str">
        <f>VLOOKUP(A218,[1]Sheet2!$I$2:$O$496,7,FALSE())</f>
        <v>https://fruitbasket.blob.core.windows.net/gk2o5k/avatar/21233435820250709170145FOFGA6.jpg</v>
      </c>
    </row>
    <row r="219" spans="1:17" ht="13.8" hidden="1" x14ac:dyDescent="0.25">
      <c r="A219" s="11" t="s">
        <v>650</v>
      </c>
      <c r="B219" s="7" t="s">
        <v>606</v>
      </c>
      <c r="C219" s="7" t="s">
        <v>15</v>
      </c>
      <c r="D219" s="7" t="s">
        <v>651</v>
      </c>
      <c r="E219" s="7" t="s">
        <v>104</v>
      </c>
      <c r="F219" s="8"/>
      <c r="G219" s="9" t="str">
        <f t="shared" si="30"/>
        <v>JMC1E</v>
      </c>
      <c r="H219" s="9" t="str">
        <f t="shared" si="31"/>
        <v>03</v>
      </c>
      <c r="I219" s="9" t="str">
        <f t="shared" si="32"/>
        <v>06</v>
      </c>
      <c r="J219" s="9" t="str">
        <f t="shared" si="33"/>
        <v>2025</v>
      </c>
      <c r="K219" s="10" t="str">
        <f t="shared" si="34"/>
        <v>03/06/2025</v>
      </c>
      <c r="L219" s="9" t="str">
        <f t="shared" si="35"/>
        <v>02</v>
      </c>
      <c r="M219" s="9" t="str">
        <f t="shared" si="36"/>
        <v>07</v>
      </c>
      <c r="N219" s="9" t="str">
        <f t="shared" si="37"/>
        <v>2025</v>
      </c>
      <c r="O219" s="10" t="str">
        <f t="shared" si="38"/>
        <v>02/07/2025</v>
      </c>
      <c r="P219" s="9">
        <f t="shared" si="39"/>
        <v>29</v>
      </c>
      <c r="Q219" t="str">
        <f>VLOOKUP(A219,[1]Sheet2!$I$2:$O$496,7,FALSE())</f>
        <v>https://fruitbasket.blob.core.windows.net/gk2o5k/avatar/213298285202507021227350H2VJQ.jpg</v>
      </c>
    </row>
    <row r="220" spans="1:17" ht="13.8" hidden="1" x14ac:dyDescent="0.25">
      <c r="A220" s="11" t="s">
        <v>625</v>
      </c>
      <c r="B220" s="7" t="s">
        <v>289</v>
      </c>
      <c r="C220" s="7" t="s">
        <v>15</v>
      </c>
      <c r="D220" s="7" t="s">
        <v>626</v>
      </c>
      <c r="E220" s="7" t="s">
        <v>195</v>
      </c>
      <c r="F220" s="8"/>
      <c r="G220" s="9" t="str">
        <f t="shared" si="30"/>
        <v>JBP1E</v>
      </c>
      <c r="H220" s="9" t="str">
        <f t="shared" si="31"/>
        <v>20</v>
      </c>
      <c r="I220" s="9" t="str">
        <f t="shared" si="32"/>
        <v>05</v>
      </c>
      <c r="J220" s="9" t="str">
        <f t="shared" si="33"/>
        <v>2025</v>
      </c>
      <c r="K220" s="10" t="str">
        <f t="shared" si="34"/>
        <v>20/05/2025</v>
      </c>
      <c r="L220" s="9" t="str">
        <f t="shared" si="35"/>
        <v>03</v>
      </c>
      <c r="M220" s="9" t="str">
        <f t="shared" si="36"/>
        <v>07</v>
      </c>
      <c r="N220" s="9" t="str">
        <f t="shared" si="37"/>
        <v>2025</v>
      </c>
      <c r="O220" s="10" t="str">
        <f t="shared" si="38"/>
        <v>03/07/2025</v>
      </c>
      <c r="P220" s="9">
        <f t="shared" si="39"/>
        <v>44</v>
      </c>
      <c r="Q220" t="str">
        <f>VLOOKUP(A220,[1]Sheet2!$I$2:$O$496,7,FALSE())</f>
        <v>https://fruitbasket.blob.core.windows.net/gk2o5k/avatar/21321486320250703144638QISFSE.jpg</v>
      </c>
    </row>
    <row r="221" spans="1:17" ht="13.8" hidden="1" x14ac:dyDescent="0.25">
      <c r="A221" s="11" t="s">
        <v>665</v>
      </c>
      <c r="B221" s="7" t="s">
        <v>254</v>
      </c>
      <c r="C221" s="7" t="s">
        <v>15</v>
      </c>
      <c r="D221" s="7" t="s">
        <v>666</v>
      </c>
      <c r="E221" s="7" t="s">
        <v>131</v>
      </c>
      <c r="F221" s="8"/>
      <c r="G221" s="9" t="str">
        <f t="shared" si="30"/>
        <v>JMD1E</v>
      </c>
      <c r="H221" s="9" t="str">
        <f t="shared" si="31"/>
        <v>02</v>
      </c>
      <c r="I221" s="9" t="str">
        <f t="shared" si="32"/>
        <v>06</v>
      </c>
      <c r="J221" s="9" t="str">
        <f t="shared" si="33"/>
        <v>2025</v>
      </c>
      <c r="K221" s="10" t="str">
        <f t="shared" si="34"/>
        <v>02/06/2025</v>
      </c>
      <c r="L221" s="9" t="str">
        <f t="shared" si="35"/>
        <v>09</v>
      </c>
      <c r="M221" s="9" t="str">
        <f t="shared" si="36"/>
        <v>07</v>
      </c>
      <c r="N221" s="9" t="str">
        <f t="shared" si="37"/>
        <v>2025</v>
      </c>
      <c r="O221" s="10" t="str">
        <f t="shared" si="38"/>
        <v>09/07/2025</v>
      </c>
      <c r="P221" s="9">
        <f t="shared" si="39"/>
        <v>37</v>
      </c>
      <c r="Q221" t="str">
        <f>VLOOKUP(A221,[1]Sheet2!$I$2:$O$496,7,FALSE())</f>
        <v>https://fruitbasket.blob.core.windows.net/gk2o5k/avatar/21329493120250709135436LLBBFV.jpg</v>
      </c>
    </row>
    <row r="222" spans="1:17" ht="13.8" hidden="1" x14ac:dyDescent="0.25">
      <c r="A222" s="11" t="s">
        <v>742</v>
      </c>
      <c r="B222" s="7" t="s">
        <v>313</v>
      </c>
      <c r="C222" s="7" t="s">
        <v>15</v>
      </c>
      <c r="D222" s="7" t="s">
        <v>743</v>
      </c>
      <c r="E222" s="7" t="s">
        <v>125</v>
      </c>
      <c r="F222" s="8"/>
      <c r="G222" s="9" t="str">
        <f t="shared" si="30"/>
        <v>KC04E</v>
      </c>
      <c r="H222" s="9" t="str">
        <f t="shared" si="31"/>
        <v>19</v>
      </c>
      <c r="I222" s="9" t="str">
        <f t="shared" si="32"/>
        <v>06</v>
      </c>
      <c r="J222" s="9" t="str">
        <f t="shared" si="33"/>
        <v>2025</v>
      </c>
      <c r="K222" s="10" t="str">
        <f t="shared" si="34"/>
        <v>19/06/2025</v>
      </c>
      <c r="L222" s="9" t="str">
        <f t="shared" si="35"/>
        <v>08</v>
      </c>
      <c r="M222" s="9" t="str">
        <f t="shared" si="36"/>
        <v>07</v>
      </c>
      <c r="N222" s="9" t="str">
        <f t="shared" si="37"/>
        <v>2025</v>
      </c>
      <c r="O222" s="10" t="str">
        <f t="shared" si="38"/>
        <v>08/07/2025</v>
      </c>
      <c r="P222" s="9">
        <f t="shared" si="39"/>
        <v>19</v>
      </c>
      <c r="Q222" t="str">
        <f>VLOOKUP(A222,[1]Sheet2!$I$2:$O$496,7,FALSE())</f>
        <v>https://fruitbasket.blob.core.windows.net/gk2o5k/avatar/21225744720250708145626KBAY8H.jpg</v>
      </c>
    </row>
    <row r="223" spans="1:17" ht="13.8" hidden="1" x14ac:dyDescent="0.25">
      <c r="A223" s="11" t="s">
        <v>531</v>
      </c>
      <c r="B223" s="7" t="s">
        <v>283</v>
      </c>
      <c r="C223" s="7" t="s">
        <v>15</v>
      </c>
      <c r="D223" s="7" t="s">
        <v>532</v>
      </c>
      <c r="E223" s="7" t="s">
        <v>104</v>
      </c>
      <c r="F223" s="8"/>
      <c r="G223" s="9" t="str">
        <f t="shared" si="30"/>
        <v>JMH1E</v>
      </c>
      <c r="H223" s="9" t="str">
        <f t="shared" si="31"/>
        <v>30</v>
      </c>
      <c r="I223" s="9" t="str">
        <f t="shared" si="32"/>
        <v>05</v>
      </c>
      <c r="J223" s="9" t="str">
        <f t="shared" si="33"/>
        <v>2025</v>
      </c>
      <c r="K223" s="10" t="str">
        <f t="shared" si="34"/>
        <v>30/05/2025</v>
      </c>
      <c r="L223" s="9" t="str">
        <f t="shared" si="35"/>
        <v>02</v>
      </c>
      <c r="M223" s="9" t="str">
        <f t="shared" si="36"/>
        <v>07</v>
      </c>
      <c r="N223" s="9" t="str">
        <f t="shared" si="37"/>
        <v>2025</v>
      </c>
      <c r="O223" s="10" t="str">
        <f t="shared" si="38"/>
        <v>02/07/2025</v>
      </c>
      <c r="P223" s="9">
        <f t="shared" si="39"/>
        <v>33</v>
      </c>
      <c r="Q223" t="str">
        <f>VLOOKUP(A223,[1]Sheet2!$I$2:$O$496,7,FALSE())</f>
        <v>https://fruitbasket.blob.core.windows.net/gk2o5k/avatar/21327622620250702123707WRACCB.jpg</v>
      </c>
    </row>
    <row r="224" spans="1:17" ht="13.8" hidden="1" x14ac:dyDescent="0.25">
      <c r="A224" s="11" t="s">
        <v>228</v>
      </c>
      <c r="B224" s="7" t="s">
        <v>131</v>
      </c>
      <c r="C224" s="7" t="s">
        <v>15</v>
      </c>
      <c r="D224" s="7" t="s">
        <v>230</v>
      </c>
      <c r="E224" s="7" t="s">
        <v>229</v>
      </c>
      <c r="F224" s="8"/>
      <c r="G224" s="9" t="str">
        <f t="shared" si="30"/>
        <v>JMA1E</v>
      </c>
      <c r="H224" s="9" t="str">
        <f t="shared" si="31"/>
        <v>09</v>
      </c>
      <c r="I224" s="9" t="str">
        <f t="shared" si="32"/>
        <v>07</v>
      </c>
      <c r="J224" s="9" t="str">
        <f t="shared" si="33"/>
        <v>2025</v>
      </c>
      <c r="K224" s="10" t="str">
        <f t="shared" si="34"/>
        <v>09/07/2025</v>
      </c>
      <c r="L224" s="9" t="str">
        <f t="shared" si="35"/>
        <v>25</v>
      </c>
      <c r="M224" s="9" t="str">
        <f t="shared" si="36"/>
        <v>07</v>
      </c>
      <c r="N224" s="9" t="str">
        <f t="shared" si="37"/>
        <v>2025</v>
      </c>
      <c r="O224" s="10" t="str">
        <f t="shared" si="38"/>
        <v>25/07/2025</v>
      </c>
      <c r="P224" s="9">
        <f t="shared" si="39"/>
        <v>16</v>
      </c>
      <c r="Q224" t="str">
        <f>VLOOKUP(A224,[1]Sheet2!$I$2:$O$496,7,FALSE())</f>
        <v>https://fruitbasket.blob.core.windows.net/gk2o5k/avatar/21294546220250725122643JJVE1F.jpg</v>
      </c>
    </row>
    <row r="225" spans="1:17" ht="13.8" hidden="1" x14ac:dyDescent="0.25">
      <c r="A225" s="11" t="s">
        <v>117</v>
      </c>
      <c r="B225" s="7" t="s">
        <v>118</v>
      </c>
      <c r="C225" s="7" t="s">
        <v>15</v>
      </c>
      <c r="D225" s="7" t="s">
        <v>119</v>
      </c>
      <c r="E225" s="7" t="s">
        <v>112</v>
      </c>
      <c r="F225" s="8"/>
      <c r="G225" s="9" t="str">
        <f t="shared" si="30"/>
        <v>JMF1E</v>
      </c>
      <c r="H225" s="9" t="str">
        <f t="shared" si="31"/>
        <v>05</v>
      </c>
      <c r="I225" s="9" t="str">
        <f t="shared" si="32"/>
        <v>06</v>
      </c>
      <c r="J225" s="9" t="str">
        <f t="shared" si="33"/>
        <v>2025</v>
      </c>
      <c r="K225" s="10" t="str">
        <f t="shared" si="34"/>
        <v>05/06/2025</v>
      </c>
      <c r="L225" s="9" t="str">
        <f t="shared" si="35"/>
        <v>05</v>
      </c>
      <c r="M225" s="9" t="str">
        <f t="shared" si="36"/>
        <v>07</v>
      </c>
      <c r="N225" s="9" t="str">
        <f t="shared" si="37"/>
        <v>2025</v>
      </c>
      <c r="O225" s="10" t="str">
        <f t="shared" si="38"/>
        <v>05/07/2025</v>
      </c>
      <c r="P225" s="9">
        <f t="shared" si="39"/>
        <v>30</v>
      </c>
      <c r="Q225" t="str">
        <f>VLOOKUP(A225,[1]Sheet2!$I$2:$O$496,7,FALSE())</f>
        <v>https://fruitbasket.blob.core.windows.net/gk2o5k/avatar/21330706320250705140406OG0WK5.jpg</v>
      </c>
    </row>
    <row r="226" spans="1:17" ht="13.8" hidden="1" x14ac:dyDescent="0.25">
      <c r="A226" s="11" t="s">
        <v>305</v>
      </c>
      <c r="B226" s="7" t="s">
        <v>299</v>
      </c>
      <c r="C226" s="7" t="s">
        <v>15</v>
      </c>
      <c r="D226" s="7" t="s">
        <v>306</v>
      </c>
      <c r="E226" s="7" t="s">
        <v>125</v>
      </c>
      <c r="F226" s="8"/>
      <c r="G226" s="9" t="str">
        <f t="shared" si="30"/>
        <v>JBK3E</v>
      </c>
      <c r="H226" s="9" t="str">
        <f t="shared" si="31"/>
        <v>07</v>
      </c>
      <c r="I226" s="9" t="str">
        <f t="shared" si="32"/>
        <v>06</v>
      </c>
      <c r="J226" s="9" t="str">
        <f t="shared" si="33"/>
        <v>2025</v>
      </c>
      <c r="K226" s="10" t="str">
        <f t="shared" si="34"/>
        <v>07/06/2025</v>
      </c>
      <c r="L226" s="9" t="str">
        <f t="shared" si="35"/>
        <v>08</v>
      </c>
      <c r="M226" s="9" t="str">
        <f t="shared" si="36"/>
        <v>07</v>
      </c>
      <c r="N226" s="9" t="str">
        <f t="shared" si="37"/>
        <v>2025</v>
      </c>
      <c r="O226" s="10" t="str">
        <f t="shared" si="38"/>
        <v>08/07/2025</v>
      </c>
      <c r="P226" s="9">
        <f t="shared" si="39"/>
        <v>31</v>
      </c>
      <c r="Q226" t="str">
        <f>VLOOKUP(A226,[1]Sheet2!$I$2:$O$496,7,FALSE())</f>
        <v>https://fruitbasket.blob.core.windows.net/gk2o5k/avatar/21331165220250708152154R76GRQ.jpg</v>
      </c>
    </row>
    <row r="227" spans="1:17" ht="13.8" x14ac:dyDescent="0.25">
      <c r="A227" s="21" t="s">
        <v>763</v>
      </c>
      <c r="B227" s="7" t="s">
        <v>764</v>
      </c>
      <c r="C227" s="7" t="s">
        <v>28</v>
      </c>
      <c r="D227" s="7" t="s">
        <v>765</v>
      </c>
      <c r="E227" s="7" t="s">
        <v>112</v>
      </c>
      <c r="F227" s="9" t="s">
        <v>820</v>
      </c>
      <c r="G227" s="9" t="str">
        <f t="shared" si="30"/>
        <v>KC02E</v>
      </c>
      <c r="H227" s="9" t="str">
        <f t="shared" si="31"/>
        <v>20</v>
      </c>
      <c r="I227" s="9" t="str">
        <f t="shared" si="32"/>
        <v>12</v>
      </c>
      <c r="J227" s="9" t="str">
        <f t="shared" si="33"/>
        <v>2024</v>
      </c>
      <c r="K227" s="10" t="str">
        <f t="shared" si="34"/>
        <v>20/12/2024</v>
      </c>
      <c r="L227" s="9" t="str">
        <f t="shared" si="35"/>
        <v>05</v>
      </c>
      <c r="M227" s="9" t="str">
        <f t="shared" si="36"/>
        <v>07</v>
      </c>
      <c r="N227" s="9" t="str">
        <f t="shared" si="37"/>
        <v>2025</v>
      </c>
      <c r="O227" s="10" t="str">
        <f t="shared" si="38"/>
        <v>05/07/2025</v>
      </c>
      <c r="P227" s="9">
        <f t="shared" si="39"/>
        <v>197</v>
      </c>
      <c r="Q227" t="str">
        <f>VLOOKUP(A227,[1]Sheet2!$I$2:$O$496,7,FALSE())</f>
        <v>https://fruitbasket.blob.core.windows.net/gk2o5k/avatar/21236888420250705143336VFMAR5.jpg</v>
      </c>
    </row>
    <row r="228" spans="1:17" ht="13.8" hidden="1" x14ac:dyDescent="0.25">
      <c r="A228" s="11" t="s">
        <v>373</v>
      </c>
      <c r="B228" s="7" t="s">
        <v>206</v>
      </c>
      <c r="C228" s="7" t="s">
        <v>15</v>
      </c>
      <c r="D228" s="7" t="s">
        <v>374</v>
      </c>
      <c r="E228" s="7" t="s">
        <v>150</v>
      </c>
      <c r="F228" s="8"/>
      <c r="G228" s="9" t="str">
        <f t="shared" si="30"/>
        <v>JBK1E</v>
      </c>
      <c r="H228" s="9" t="str">
        <f t="shared" si="31"/>
        <v>21</v>
      </c>
      <c r="I228" s="9" t="str">
        <f t="shared" si="32"/>
        <v>06</v>
      </c>
      <c r="J228" s="9" t="str">
        <f t="shared" si="33"/>
        <v>2025</v>
      </c>
      <c r="K228" s="10" t="str">
        <f t="shared" si="34"/>
        <v>21/06/2025</v>
      </c>
      <c r="L228" s="9" t="str">
        <f t="shared" si="35"/>
        <v>17</v>
      </c>
      <c r="M228" s="9" t="str">
        <f t="shared" si="36"/>
        <v>07</v>
      </c>
      <c r="N228" s="9" t="str">
        <f t="shared" si="37"/>
        <v>2025</v>
      </c>
      <c r="O228" s="10" t="str">
        <f t="shared" si="38"/>
        <v>17/07/2025</v>
      </c>
      <c r="P228" s="9">
        <f t="shared" si="39"/>
        <v>26</v>
      </c>
      <c r="Q228" t="str">
        <f>VLOOKUP(A228,[1]Sheet2!$I$2:$O$496,7,FALSE())</f>
        <v>https://fruitbasket.blob.core.windows.net/gk2o5k/avatar/21339577320250717151654R0PLD9.jpg</v>
      </c>
    </row>
    <row r="229" spans="1:17" ht="13.8" hidden="1" x14ac:dyDescent="0.25">
      <c r="A229" s="11" t="s">
        <v>572</v>
      </c>
      <c r="B229" s="7" t="s">
        <v>140</v>
      </c>
      <c r="C229" s="7" t="s">
        <v>15</v>
      </c>
      <c r="D229" s="7" t="s">
        <v>573</v>
      </c>
      <c r="E229" s="7" t="s">
        <v>157</v>
      </c>
      <c r="F229" s="8"/>
      <c r="G229" s="9" t="str">
        <f t="shared" si="30"/>
        <v>JMH2E</v>
      </c>
      <c r="H229" s="9" t="str">
        <f t="shared" si="31"/>
        <v>11</v>
      </c>
      <c r="I229" s="9" t="str">
        <f t="shared" si="32"/>
        <v>07</v>
      </c>
      <c r="J229" s="9" t="str">
        <f t="shared" si="33"/>
        <v>2025</v>
      </c>
      <c r="K229" s="10" t="str">
        <f t="shared" si="34"/>
        <v>11/07/2025</v>
      </c>
      <c r="L229" s="9" t="str">
        <f t="shared" si="35"/>
        <v>26</v>
      </c>
      <c r="M229" s="9" t="str">
        <f t="shared" si="36"/>
        <v>07</v>
      </c>
      <c r="N229" s="9" t="str">
        <f t="shared" si="37"/>
        <v>2025</v>
      </c>
      <c r="O229" s="10" t="str">
        <f t="shared" si="38"/>
        <v>26/07/2025</v>
      </c>
      <c r="P229" s="9">
        <f t="shared" si="39"/>
        <v>15</v>
      </c>
      <c r="Q229" t="str">
        <f>VLOOKUP(A229,[1]Sheet2!$I$2:$O$496,7,FALSE())</f>
        <v>https://fruitbasket.blob.core.windows.net/gk2o5k/avatar/213068173202507261438124M7Q9I.jpg</v>
      </c>
    </row>
    <row r="230" spans="1:17" ht="13.8" hidden="1" x14ac:dyDescent="0.25">
      <c r="A230" s="11" t="s">
        <v>672</v>
      </c>
      <c r="B230" s="7" t="s">
        <v>124</v>
      </c>
      <c r="C230" s="7" t="s">
        <v>15</v>
      </c>
      <c r="D230" s="7" t="s">
        <v>573</v>
      </c>
      <c r="E230" s="7" t="s">
        <v>393</v>
      </c>
      <c r="F230" s="8"/>
      <c r="G230" s="9" t="str">
        <f t="shared" si="30"/>
        <v>JMD1E</v>
      </c>
      <c r="H230" s="9" t="str">
        <f t="shared" si="31"/>
        <v>16</v>
      </c>
      <c r="I230" s="9" t="str">
        <f t="shared" si="32"/>
        <v>06</v>
      </c>
      <c r="J230" s="9" t="str">
        <f t="shared" si="33"/>
        <v>2025</v>
      </c>
      <c r="K230" s="10" t="str">
        <f t="shared" si="34"/>
        <v>16/06/2025</v>
      </c>
      <c r="L230" s="9" t="str">
        <f t="shared" si="35"/>
        <v>22</v>
      </c>
      <c r="M230" s="9" t="str">
        <f t="shared" si="36"/>
        <v>07</v>
      </c>
      <c r="N230" s="9" t="str">
        <f t="shared" si="37"/>
        <v>2025</v>
      </c>
      <c r="O230" s="10" t="str">
        <f t="shared" si="38"/>
        <v>22/07/2025</v>
      </c>
      <c r="P230" s="9">
        <f t="shared" si="39"/>
        <v>36</v>
      </c>
      <c r="Q230" t="str">
        <f>VLOOKUP(A230,[1]Sheet2!$I$2:$O$496,7,FALSE())</f>
        <v>https://fruitbasket.blob.core.windows.net/gk2o5k/avatar/21289820320250722170928THZ9WY.jpg</v>
      </c>
    </row>
    <row r="231" spans="1:17" ht="13.8" hidden="1" x14ac:dyDescent="0.25">
      <c r="A231" s="11" t="s">
        <v>205</v>
      </c>
      <c r="B231" s="7" t="s">
        <v>206</v>
      </c>
      <c r="C231" s="7" t="s">
        <v>15</v>
      </c>
      <c r="D231" s="7" t="s">
        <v>207</v>
      </c>
      <c r="E231" s="7" t="s">
        <v>140</v>
      </c>
      <c r="F231" s="8"/>
      <c r="G231" s="9" t="str">
        <f t="shared" si="30"/>
        <v>KD11E</v>
      </c>
      <c r="H231" s="9" t="str">
        <f t="shared" si="31"/>
        <v>21</v>
      </c>
      <c r="I231" s="9" t="str">
        <f t="shared" si="32"/>
        <v>06</v>
      </c>
      <c r="J231" s="9" t="str">
        <f t="shared" si="33"/>
        <v>2025</v>
      </c>
      <c r="K231" s="10" t="str">
        <f t="shared" si="34"/>
        <v>21/06/2025</v>
      </c>
      <c r="L231" s="9" t="str">
        <f t="shared" si="35"/>
        <v>11</v>
      </c>
      <c r="M231" s="9" t="str">
        <f t="shared" si="36"/>
        <v>07</v>
      </c>
      <c r="N231" s="9" t="str">
        <f t="shared" si="37"/>
        <v>2025</v>
      </c>
      <c r="O231" s="10" t="str">
        <f t="shared" si="38"/>
        <v>11/07/2025</v>
      </c>
      <c r="P231" s="9">
        <f t="shared" si="39"/>
        <v>20</v>
      </c>
      <c r="Q231" t="str">
        <f>VLOOKUP(A231,[1]Sheet2!$I$2:$O$496,7,FALSE())</f>
        <v>https://fruitbasket.blob.core.windows.net/gk2o5k/avatar/211985707202507111704224GQTMP.jpg</v>
      </c>
    </row>
    <row r="232" spans="1:17" ht="13.8" hidden="1" x14ac:dyDescent="0.25">
      <c r="A232" s="11" t="s">
        <v>533</v>
      </c>
      <c r="B232" s="7" t="s">
        <v>461</v>
      </c>
      <c r="C232" s="7" t="s">
        <v>15</v>
      </c>
      <c r="D232" s="7" t="s">
        <v>534</v>
      </c>
      <c r="E232" s="7" t="s">
        <v>104</v>
      </c>
      <c r="F232" s="8"/>
      <c r="G232" s="9" t="str">
        <f t="shared" si="30"/>
        <v>JMH1E</v>
      </c>
      <c r="H232" s="9" t="str">
        <f t="shared" si="31"/>
        <v>16</v>
      </c>
      <c r="I232" s="9" t="str">
        <f t="shared" si="32"/>
        <v>05</v>
      </c>
      <c r="J232" s="9" t="str">
        <f t="shared" si="33"/>
        <v>2025</v>
      </c>
      <c r="K232" s="10" t="str">
        <f t="shared" si="34"/>
        <v>16/05/2025</v>
      </c>
      <c r="L232" s="9" t="str">
        <f t="shared" si="35"/>
        <v>02</v>
      </c>
      <c r="M232" s="9" t="str">
        <f t="shared" si="36"/>
        <v>07</v>
      </c>
      <c r="N232" s="9" t="str">
        <f t="shared" si="37"/>
        <v>2025</v>
      </c>
      <c r="O232" s="10" t="str">
        <f t="shared" si="38"/>
        <v>02/07/2025</v>
      </c>
      <c r="P232" s="9">
        <f t="shared" si="39"/>
        <v>47</v>
      </c>
      <c r="Q232" t="str">
        <f>VLOOKUP(A232,[1]Sheet2!$I$2:$O$496,7,FALSE())</f>
        <v>https://fruitbasket.blob.core.windows.net/gk2o5k/avatar/21329153420250702115947RT4ODT.jpg</v>
      </c>
    </row>
    <row r="233" spans="1:17" ht="13.8" hidden="1" x14ac:dyDescent="0.25">
      <c r="A233" s="11" t="s">
        <v>387</v>
      </c>
      <c r="B233" s="7" t="s">
        <v>260</v>
      </c>
      <c r="C233" s="7" t="s">
        <v>15</v>
      </c>
      <c r="D233" s="7" t="s">
        <v>388</v>
      </c>
      <c r="E233" s="7" t="s">
        <v>245</v>
      </c>
      <c r="F233" s="8"/>
      <c r="G233" s="9" t="str">
        <f t="shared" si="30"/>
        <v>JBK3E</v>
      </c>
      <c r="H233" s="9" t="str">
        <f t="shared" si="31"/>
        <v>24</v>
      </c>
      <c r="I233" s="9" t="str">
        <f t="shared" si="32"/>
        <v>06</v>
      </c>
      <c r="J233" s="9" t="str">
        <f t="shared" si="33"/>
        <v>2025</v>
      </c>
      <c r="K233" s="10" t="str">
        <f t="shared" si="34"/>
        <v>24/06/2025</v>
      </c>
      <c r="L233" s="9" t="str">
        <f t="shared" si="35"/>
        <v>19</v>
      </c>
      <c r="M233" s="9" t="str">
        <f t="shared" si="36"/>
        <v>07</v>
      </c>
      <c r="N233" s="9" t="str">
        <f t="shared" si="37"/>
        <v>2025</v>
      </c>
      <c r="O233" s="10" t="str">
        <f t="shared" si="38"/>
        <v>19/07/2025</v>
      </c>
      <c r="P233" s="9">
        <f t="shared" si="39"/>
        <v>25</v>
      </c>
      <c r="Q233" t="str">
        <f>VLOOKUP(A233,[1]Sheet2!$I$2:$O$496,7,FALSE())</f>
        <v>https://fruitbasket.blob.core.windows.net/gk2o5k/avatar/2127852222025071915400511ETJA.jpg</v>
      </c>
    </row>
    <row r="234" spans="1:17" ht="13.8" hidden="1" x14ac:dyDescent="0.25">
      <c r="A234" s="11" t="s">
        <v>156</v>
      </c>
      <c r="B234" s="7" t="s">
        <v>104</v>
      </c>
      <c r="C234" s="7" t="s">
        <v>15</v>
      </c>
      <c r="D234" s="7" t="s">
        <v>158</v>
      </c>
      <c r="E234" s="7" t="s">
        <v>157</v>
      </c>
      <c r="F234" s="8"/>
      <c r="G234" s="9" t="str">
        <f t="shared" si="30"/>
        <v>JME1E</v>
      </c>
      <c r="H234" s="9" t="str">
        <f t="shared" si="31"/>
        <v>02</v>
      </c>
      <c r="I234" s="9" t="str">
        <f t="shared" si="32"/>
        <v>07</v>
      </c>
      <c r="J234" s="9" t="str">
        <f t="shared" si="33"/>
        <v>2025</v>
      </c>
      <c r="K234" s="10" t="str">
        <f t="shared" si="34"/>
        <v>02/07/2025</v>
      </c>
      <c r="L234" s="9" t="str">
        <f t="shared" si="35"/>
        <v>26</v>
      </c>
      <c r="M234" s="9" t="str">
        <f t="shared" si="36"/>
        <v>07</v>
      </c>
      <c r="N234" s="9" t="str">
        <f t="shared" si="37"/>
        <v>2025</v>
      </c>
      <c r="O234" s="10" t="str">
        <f t="shared" si="38"/>
        <v>26/07/2025</v>
      </c>
      <c r="P234" s="9">
        <f t="shared" si="39"/>
        <v>24</v>
      </c>
      <c r="Q234" t="str">
        <f>VLOOKUP(A234,[1]Sheet2!$I$2:$O$496,7,FALSE())</f>
        <v>https://fruitbasket.blob.core.windows.net/gk2o5k/avatar/21039287020250726145316PETBAV.jpg</v>
      </c>
    </row>
    <row r="235" spans="1:17" ht="13.8" hidden="1" x14ac:dyDescent="0.25">
      <c r="A235" s="11" t="s">
        <v>201</v>
      </c>
      <c r="B235" s="7" t="s">
        <v>202</v>
      </c>
      <c r="C235" s="7" t="s">
        <v>15</v>
      </c>
      <c r="D235" s="7" t="s">
        <v>158</v>
      </c>
      <c r="E235" s="7" t="s">
        <v>112</v>
      </c>
      <c r="F235" s="8"/>
      <c r="G235" s="9" t="str">
        <f t="shared" si="30"/>
        <v>KD11E</v>
      </c>
      <c r="H235" s="9" t="str">
        <f t="shared" si="31"/>
        <v>31</v>
      </c>
      <c r="I235" s="9" t="str">
        <f t="shared" si="32"/>
        <v>05</v>
      </c>
      <c r="J235" s="9" t="str">
        <f t="shared" si="33"/>
        <v>2025</v>
      </c>
      <c r="K235" s="10" t="str">
        <f t="shared" si="34"/>
        <v>31/05/2025</v>
      </c>
      <c r="L235" s="9" t="str">
        <f t="shared" si="35"/>
        <v>05</v>
      </c>
      <c r="M235" s="9" t="str">
        <f t="shared" si="36"/>
        <v>07</v>
      </c>
      <c r="N235" s="9" t="str">
        <f t="shared" si="37"/>
        <v>2025</v>
      </c>
      <c r="O235" s="10" t="str">
        <f t="shared" si="38"/>
        <v>05/07/2025</v>
      </c>
      <c r="P235" s="9">
        <f t="shared" si="39"/>
        <v>35</v>
      </c>
      <c r="Q235" t="str">
        <f>VLOOKUP(A235,[1]Sheet2!$I$2:$O$496,7,FALSE())</f>
        <v>https://fruitbasket.blob.core.windows.net/gk2o5k/avatar/21328359620250705111326GLIMJV.jpg</v>
      </c>
    </row>
    <row r="236" spans="1:17" ht="13.8" hidden="1" x14ac:dyDescent="0.25">
      <c r="A236" s="11" t="s">
        <v>744</v>
      </c>
      <c r="B236" s="7" t="s">
        <v>147</v>
      </c>
      <c r="C236" s="7" t="s">
        <v>15</v>
      </c>
      <c r="D236" s="7" t="s">
        <v>745</v>
      </c>
      <c r="E236" s="7" t="s">
        <v>125</v>
      </c>
      <c r="F236" s="8"/>
      <c r="G236" s="9" t="str">
        <f t="shared" si="30"/>
        <v>KC04E</v>
      </c>
      <c r="H236" s="9" t="str">
        <f t="shared" si="31"/>
        <v>22</v>
      </c>
      <c r="I236" s="9" t="str">
        <f t="shared" si="32"/>
        <v>05</v>
      </c>
      <c r="J236" s="9" t="str">
        <f t="shared" si="33"/>
        <v>2025</v>
      </c>
      <c r="K236" s="10" t="str">
        <f t="shared" si="34"/>
        <v>22/05/2025</v>
      </c>
      <c r="L236" s="9" t="str">
        <f t="shared" si="35"/>
        <v>08</v>
      </c>
      <c r="M236" s="9" t="str">
        <f t="shared" si="36"/>
        <v>07</v>
      </c>
      <c r="N236" s="9" t="str">
        <f t="shared" si="37"/>
        <v>2025</v>
      </c>
      <c r="O236" s="10" t="str">
        <f t="shared" si="38"/>
        <v>08/07/2025</v>
      </c>
      <c r="P236" s="9">
        <f t="shared" si="39"/>
        <v>47</v>
      </c>
      <c r="Q236" t="str">
        <f>VLOOKUP(A236,[1]Sheet2!$I$2:$O$496,7,FALSE())</f>
        <v>https://fruitbasket.blob.core.windows.net/gk2o5k/avatar/21331165220250708152823IHGM2H.jpg</v>
      </c>
    </row>
    <row r="237" spans="1:17" ht="13.8" hidden="1" x14ac:dyDescent="0.25">
      <c r="A237" s="11" t="s">
        <v>328</v>
      </c>
      <c r="B237" s="7" t="s">
        <v>130</v>
      </c>
      <c r="C237" s="7" t="s">
        <v>15</v>
      </c>
      <c r="D237" s="7" t="s">
        <v>329</v>
      </c>
      <c r="E237" s="7" t="s">
        <v>140</v>
      </c>
      <c r="F237" s="8"/>
      <c r="G237" s="9" t="str">
        <f t="shared" si="30"/>
        <v>JBK3E</v>
      </c>
      <c r="H237" s="9" t="str">
        <f t="shared" si="31"/>
        <v>10</v>
      </c>
      <c r="I237" s="9" t="str">
        <f t="shared" si="32"/>
        <v>06</v>
      </c>
      <c r="J237" s="9" t="str">
        <f t="shared" si="33"/>
        <v>2025</v>
      </c>
      <c r="K237" s="10" t="str">
        <f t="shared" si="34"/>
        <v>10/06/2025</v>
      </c>
      <c r="L237" s="9" t="str">
        <f t="shared" si="35"/>
        <v>11</v>
      </c>
      <c r="M237" s="9" t="str">
        <f t="shared" si="36"/>
        <v>07</v>
      </c>
      <c r="N237" s="9" t="str">
        <f t="shared" si="37"/>
        <v>2025</v>
      </c>
      <c r="O237" s="10" t="str">
        <f t="shared" si="38"/>
        <v>11/07/2025</v>
      </c>
      <c r="P237" s="9">
        <f t="shared" si="39"/>
        <v>31</v>
      </c>
      <c r="Q237" t="str">
        <f>VLOOKUP(A237,[1]Sheet2!$I$2:$O$496,7,FALSE())</f>
        <v>https://fruitbasket.blob.core.windows.net/gk2o5k/avatar/211939503202507111404323JYI1K.jpg</v>
      </c>
    </row>
    <row r="238" spans="1:17" ht="13.8" hidden="1" x14ac:dyDescent="0.25">
      <c r="A238" s="11" t="s">
        <v>513</v>
      </c>
      <c r="B238" s="7" t="s">
        <v>514</v>
      </c>
      <c r="C238" s="7" t="s">
        <v>28</v>
      </c>
      <c r="D238" s="7" t="s">
        <v>329</v>
      </c>
      <c r="E238" s="7" t="s">
        <v>245</v>
      </c>
      <c r="F238" s="8"/>
      <c r="G238" s="9" t="str">
        <f t="shared" si="30"/>
        <v>JBK3E</v>
      </c>
      <c r="H238" s="9" t="str">
        <f t="shared" si="31"/>
        <v>30</v>
      </c>
      <c r="I238" s="9" t="str">
        <f t="shared" si="32"/>
        <v>11</v>
      </c>
      <c r="J238" s="9" t="str">
        <f t="shared" si="33"/>
        <v>2024</v>
      </c>
      <c r="K238" s="10" t="str">
        <f t="shared" si="34"/>
        <v>30/11/2024</v>
      </c>
      <c r="L238" s="9" t="str">
        <f t="shared" si="35"/>
        <v>19</v>
      </c>
      <c r="M238" s="9" t="str">
        <f t="shared" si="36"/>
        <v>07</v>
      </c>
      <c r="N238" s="9" t="str">
        <f t="shared" si="37"/>
        <v>2025</v>
      </c>
      <c r="O238" s="10" t="str">
        <f t="shared" si="38"/>
        <v>19/07/2025</v>
      </c>
      <c r="P238" s="9">
        <f t="shared" si="39"/>
        <v>231</v>
      </c>
      <c r="Q238" t="str">
        <f>VLOOKUP(A238,[1]Sheet2!$I$2:$O$496,7,FALSE())</f>
        <v>https://fruitbasket.blob.core.windows.net/gk2o5k/avatar/210649912202507191026520IFYFM.jpg</v>
      </c>
    </row>
    <row r="239" spans="1:17" ht="13.8" x14ac:dyDescent="0.25">
      <c r="A239" s="11" t="s">
        <v>673</v>
      </c>
      <c r="B239" s="13" t="s">
        <v>575</v>
      </c>
      <c r="C239" s="7" t="s">
        <v>15</v>
      </c>
      <c r="D239" s="7" t="s">
        <v>674</v>
      </c>
      <c r="E239" s="7" t="s">
        <v>411</v>
      </c>
      <c r="F239" s="8" t="s">
        <v>777</v>
      </c>
      <c r="G239" s="9" t="str">
        <f t="shared" si="30"/>
        <v>JMC1E</v>
      </c>
      <c r="H239" s="9" t="str">
        <f t="shared" si="31"/>
        <v>26</v>
      </c>
      <c r="I239" s="9" t="str">
        <f t="shared" si="32"/>
        <v>06</v>
      </c>
      <c r="J239" s="9" t="str">
        <f t="shared" si="33"/>
        <v>2025</v>
      </c>
      <c r="K239" s="10" t="str">
        <f t="shared" si="34"/>
        <v>26/06/2025</v>
      </c>
      <c r="L239" s="9" t="str">
        <f t="shared" si="35"/>
        <v>24</v>
      </c>
      <c r="M239" s="9" t="str">
        <f t="shared" si="36"/>
        <v>07</v>
      </c>
      <c r="N239" s="9" t="str">
        <f t="shared" si="37"/>
        <v>2025</v>
      </c>
      <c r="O239" s="10" t="str">
        <f t="shared" si="38"/>
        <v>24/07/2025</v>
      </c>
      <c r="P239" s="9">
        <f t="shared" si="39"/>
        <v>28</v>
      </c>
      <c r="Q239" t="str">
        <f>VLOOKUP(A239,[1]Sheet2!$I$2:$O$496,7,FALSE())</f>
        <v>https://fruitbasket.blob.core.windows.net/gk2o5k/avatar/21310883720250724170459KTZESV.jpg</v>
      </c>
    </row>
    <row r="240" spans="1:17" ht="13.8" x14ac:dyDescent="0.25">
      <c r="A240" s="21" t="s">
        <v>655</v>
      </c>
      <c r="B240" s="7" t="s">
        <v>118</v>
      </c>
      <c r="C240" s="7" t="s">
        <v>15</v>
      </c>
      <c r="D240" s="7" t="s">
        <v>656</v>
      </c>
      <c r="E240" s="7" t="s">
        <v>112</v>
      </c>
      <c r="F240" s="12" t="s">
        <v>833</v>
      </c>
      <c r="G240" s="9" t="str">
        <f t="shared" si="30"/>
        <v>JMD1E</v>
      </c>
      <c r="H240" s="9" t="str">
        <f t="shared" si="31"/>
        <v>05</v>
      </c>
      <c r="I240" s="9" t="str">
        <f t="shared" si="32"/>
        <v>06</v>
      </c>
      <c r="J240" s="9" t="str">
        <f t="shared" si="33"/>
        <v>2025</v>
      </c>
      <c r="K240" s="10" t="str">
        <f t="shared" si="34"/>
        <v>05/06/2025</v>
      </c>
      <c r="L240" s="9" t="str">
        <f t="shared" si="35"/>
        <v>05</v>
      </c>
      <c r="M240" s="9" t="str">
        <f t="shared" si="36"/>
        <v>07</v>
      </c>
      <c r="N240" s="9" t="str">
        <f t="shared" si="37"/>
        <v>2025</v>
      </c>
      <c r="O240" s="10" t="str">
        <f t="shared" si="38"/>
        <v>05/07/2025</v>
      </c>
      <c r="P240" s="9">
        <f t="shared" si="39"/>
        <v>30</v>
      </c>
      <c r="Q240" t="str">
        <f>VLOOKUP(A240,[1]Sheet2!$I$2:$O$496,7,FALSE())</f>
        <v>https://fruitbasket.blob.core.windows.net/gk2o5k/avatar/21231894320250705151512SOHXKK.jpg</v>
      </c>
    </row>
    <row r="241" spans="1:17" ht="13.8" hidden="1" x14ac:dyDescent="0.25">
      <c r="A241" s="11" t="s">
        <v>391</v>
      </c>
      <c r="B241" s="7" t="s">
        <v>392</v>
      </c>
      <c r="C241" s="7" t="s">
        <v>15</v>
      </c>
      <c r="D241" s="7" t="s">
        <v>394</v>
      </c>
      <c r="E241" s="7" t="s">
        <v>393</v>
      </c>
      <c r="F241" s="8"/>
      <c r="G241" s="9" t="str">
        <f t="shared" si="30"/>
        <v>JBK1E</v>
      </c>
      <c r="H241" s="9" t="str">
        <f t="shared" si="31"/>
        <v>23</v>
      </c>
      <c r="I241" s="9" t="str">
        <f t="shared" si="32"/>
        <v>06</v>
      </c>
      <c r="J241" s="9" t="str">
        <f t="shared" si="33"/>
        <v>2025</v>
      </c>
      <c r="K241" s="10" t="str">
        <f t="shared" si="34"/>
        <v>23/06/2025</v>
      </c>
      <c r="L241" s="9" t="str">
        <f t="shared" si="35"/>
        <v>22</v>
      </c>
      <c r="M241" s="9" t="str">
        <f t="shared" si="36"/>
        <v>07</v>
      </c>
      <c r="N241" s="9" t="str">
        <f t="shared" si="37"/>
        <v>2025</v>
      </c>
      <c r="O241" s="10" t="str">
        <f t="shared" si="38"/>
        <v>22/07/2025</v>
      </c>
      <c r="P241" s="9">
        <f t="shared" si="39"/>
        <v>29</v>
      </c>
      <c r="Q241" t="str">
        <f>VLOOKUP(A241,[1]Sheet2!$I$2:$O$496,7,FALSE())</f>
        <v>https://fruitbasket.blob.core.windows.net/gk2o5k/avatar/21282787520250722123808SAAMMC.jpg</v>
      </c>
    </row>
    <row r="242" spans="1:17" ht="13.8" hidden="1" x14ac:dyDescent="0.25">
      <c r="A242" s="11" t="s">
        <v>756</v>
      </c>
      <c r="B242" s="7" t="s">
        <v>308</v>
      </c>
      <c r="C242" s="7" t="s">
        <v>15</v>
      </c>
      <c r="D242" s="7" t="s">
        <v>757</v>
      </c>
      <c r="E242" s="7" t="s">
        <v>229</v>
      </c>
      <c r="F242" s="8"/>
      <c r="G242" s="9" t="str">
        <f t="shared" si="30"/>
        <v>KC04E</v>
      </c>
      <c r="H242" s="9" t="str">
        <f t="shared" si="31"/>
        <v>14</v>
      </c>
      <c r="I242" s="9" t="str">
        <f t="shared" si="32"/>
        <v>06</v>
      </c>
      <c r="J242" s="9" t="str">
        <f t="shared" si="33"/>
        <v>2025</v>
      </c>
      <c r="K242" s="10" t="str">
        <f t="shared" si="34"/>
        <v>14/06/2025</v>
      </c>
      <c r="L242" s="9" t="str">
        <f t="shared" si="35"/>
        <v>25</v>
      </c>
      <c r="M242" s="9" t="str">
        <f t="shared" si="36"/>
        <v>07</v>
      </c>
      <c r="N242" s="9" t="str">
        <f t="shared" si="37"/>
        <v>2025</v>
      </c>
      <c r="O242" s="10" t="str">
        <f t="shared" si="38"/>
        <v>25/07/2025</v>
      </c>
      <c r="P242" s="9">
        <f t="shared" si="39"/>
        <v>41</v>
      </c>
      <c r="Q242" t="str">
        <f>VLOOKUP(A242,[1]Sheet2!$I$2:$O$496,7,FALSE())</f>
        <v>https://fruitbasket.blob.core.windows.net/gk2o5k/avatar/21295015320250725121356MLNZJK.jpg</v>
      </c>
    </row>
    <row r="243" spans="1:17" ht="13.8" hidden="1" x14ac:dyDescent="0.25">
      <c r="A243" s="11" t="s">
        <v>627</v>
      </c>
      <c r="B243" s="7" t="s">
        <v>143</v>
      </c>
      <c r="C243" s="7" t="s">
        <v>15</v>
      </c>
      <c r="D243" s="7" t="s">
        <v>628</v>
      </c>
      <c r="E243" s="7" t="s">
        <v>195</v>
      </c>
      <c r="F243" s="8"/>
      <c r="G243" s="9" t="str">
        <f t="shared" si="30"/>
        <v>JBP1E</v>
      </c>
      <c r="H243" s="9" t="str">
        <f t="shared" si="31"/>
        <v>09</v>
      </c>
      <c r="I243" s="9" t="str">
        <f t="shared" si="32"/>
        <v>05</v>
      </c>
      <c r="J243" s="9" t="str">
        <f t="shared" si="33"/>
        <v>2025</v>
      </c>
      <c r="K243" s="10" t="str">
        <f t="shared" si="34"/>
        <v>09/05/2025</v>
      </c>
      <c r="L243" s="9" t="str">
        <f t="shared" si="35"/>
        <v>03</v>
      </c>
      <c r="M243" s="9" t="str">
        <f t="shared" si="36"/>
        <v>07</v>
      </c>
      <c r="N243" s="9" t="str">
        <f t="shared" si="37"/>
        <v>2025</v>
      </c>
      <c r="O243" s="10" t="str">
        <f t="shared" si="38"/>
        <v>03/07/2025</v>
      </c>
      <c r="P243" s="9">
        <f t="shared" si="39"/>
        <v>55</v>
      </c>
      <c r="Q243" t="str">
        <f>VLOOKUP(A243,[1]Sheet2!$I$2:$O$496,7,FALSE())</f>
        <v>https://fruitbasket.blob.core.windows.net/gk2o5k/avatar/21229540920250703131145EQOHNU.jpg</v>
      </c>
    </row>
    <row r="244" spans="1:17" ht="13.8" x14ac:dyDescent="0.25">
      <c r="A244" s="11" t="s">
        <v>426</v>
      </c>
      <c r="B244" s="13" t="s">
        <v>121</v>
      </c>
      <c r="C244" s="7" t="s">
        <v>15</v>
      </c>
      <c r="D244" s="7" t="s">
        <v>427</v>
      </c>
      <c r="E244" s="7" t="s">
        <v>221</v>
      </c>
      <c r="F244" s="8" t="s">
        <v>777</v>
      </c>
      <c r="G244" s="9" t="str">
        <f t="shared" si="30"/>
        <v>JBK3E</v>
      </c>
      <c r="H244" s="9" t="str">
        <f t="shared" si="31"/>
        <v>20</v>
      </c>
      <c r="I244" s="9" t="str">
        <f t="shared" si="32"/>
        <v>06</v>
      </c>
      <c r="J244" s="9" t="str">
        <f t="shared" si="33"/>
        <v>2025</v>
      </c>
      <c r="K244" s="10" t="str">
        <f t="shared" si="34"/>
        <v>20/06/2025</v>
      </c>
      <c r="L244" s="9" t="str">
        <f t="shared" si="35"/>
        <v>31</v>
      </c>
      <c r="M244" s="9" t="str">
        <f t="shared" si="36"/>
        <v>07</v>
      </c>
      <c r="N244" s="9" t="str">
        <f t="shared" si="37"/>
        <v>2025</v>
      </c>
      <c r="O244" s="10" t="str">
        <f t="shared" si="38"/>
        <v>31/07/2025</v>
      </c>
      <c r="P244" s="9">
        <f t="shared" si="39"/>
        <v>41</v>
      </c>
      <c r="Q244" t="str">
        <f>VLOOKUP(A244,[1]Sheet2!$I$2:$O$496,7,FALSE())</f>
        <v>https://fruitbasket.blob.core.windows.net/gk2o5k/avatar/21343645020250731134145AKNRGM.jpg</v>
      </c>
    </row>
    <row r="245" spans="1:17" ht="13.8" hidden="1" x14ac:dyDescent="0.25">
      <c r="A245" s="11" t="s">
        <v>580</v>
      </c>
      <c r="B245" s="7" t="s">
        <v>431</v>
      </c>
      <c r="C245" s="7" t="s">
        <v>21</v>
      </c>
      <c r="D245" s="7" t="s">
        <v>427</v>
      </c>
      <c r="E245" s="7" t="s">
        <v>140</v>
      </c>
      <c r="F245" s="8"/>
      <c r="G245" s="9" t="str">
        <f t="shared" si="30"/>
        <v>JMH2E</v>
      </c>
      <c r="H245" s="9" t="str">
        <f t="shared" si="31"/>
        <v>07</v>
      </c>
      <c r="I245" s="9" t="str">
        <f t="shared" si="32"/>
        <v>03</v>
      </c>
      <c r="J245" s="9" t="str">
        <f t="shared" si="33"/>
        <v>2025</v>
      </c>
      <c r="K245" s="10" t="str">
        <f t="shared" si="34"/>
        <v>07/03/2025</v>
      </c>
      <c r="L245" s="9" t="str">
        <f t="shared" si="35"/>
        <v>11</v>
      </c>
      <c r="M245" s="9" t="str">
        <f t="shared" si="36"/>
        <v>07</v>
      </c>
      <c r="N245" s="9" t="str">
        <f t="shared" si="37"/>
        <v>2025</v>
      </c>
      <c r="O245" s="10" t="str">
        <f t="shared" si="38"/>
        <v>11/07/2025</v>
      </c>
      <c r="P245" s="9">
        <f t="shared" si="39"/>
        <v>126</v>
      </c>
      <c r="Q245" t="str">
        <f>VLOOKUP(A245,[1]Sheet2!$I$2:$O$496,7,FALSE())</f>
        <v>https://fruitbasket.blob.core.windows.net/gk2o5k/avatar/21192393220250711153341HISFMR.jpg</v>
      </c>
    </row>
    <row r="246" spans="1:17" ht="13.8" hidden="1" x14ac:dyDescent="0.25">
      <c r="A246" s="11" t="s">
        <v>667</v>
      </c>
      <c r="B246" s="7" t="s">
        <v>392</v>
      </c>
      <c r="C246" s="7" t="s">
        <v>15</v>
      </c>
      <c r="D246" s="7" t="s">
        <v>668</v>
      </c>
      <c r="E246" s="7" t="s">
        <v>140</v>
      </c>
      <c r="F246" s="8"/>
      <c r="G246" s="9" t="str">
        <f t="shared" si="30"/>
        <v>JMC1E</v>
      </c>
      <c r="H246" s="9" t="str">
        <f t="shared" si="31"/>
        <v>23</v>
      </c>
      <c r="I246" s="9" t="str">
        <f t="shared" si="32"/>
        <v>06</v>
      </c>
      <c r="J246" s="9" t="str">
        <f t="shared" si="33"/>
        <v>2025</v>
      </c>
      <c r="K246" s="10" t="str">
        <f t="shared" si="34"/>
        <v>23/06/2025</v>
      </c>
      <c r="L246" s="9" t="str">
        <f t="shared" si="35"/>
        <v>11</v>
      </c>
      <c r="M246" s="9" t="str">
        <f t="shared" si="36"/>
        <v>07</v>
      </c>
      <c r="N246" s="9" t="str">
        <f t="shared" si="37"/>
        <v>2025</v>
      </c>
      <c r="O246" s="10" t="str">
        <f t="shared" si="38"/>
        <v>11/07/2025</v>
      </c>
      <c r="P246" s="9">
        <f t="shared" si="39"/>
        <v>18</v>
      </c>
      <c r="Q246" t="str">
        <f>VLOOKUP(A246,[1]Sheet2!$I$2:$O$496,7,FALSE())</f>
        <v>https://fruitbasket.blob.core.windows.net/gk2o5k/avatar/21192393220250711152701MCXFRH.jpg</v>
      </c>
    </row>
    <row r="247" spans="1:17" ht="13.8" x14ac:dyDescent="0.25">
      <c r="A247" s="21" t="s">
        <v>535</v>
      </c>
      <c r="B247" s="7" t="s">
        <v>289</v>
      </c>
      <c r="C247" s="7" t="s">
        <v>15</v>
      </c>
      <c r="D247" s="7" t="s">
        <v>536</v>
      </c>
      <c r="E247" s="7" t="s">
        <v>108</v>
      </c>
      <c r="F247" s="9" t="s">
        <v>817</v>
      </c>
      <c r="G247" s="9" t="str">
        <f t="shared" si="30"/>
        <v>JMH1E</v>
      </c>
      <c r="H247" s="9" t="str">
        <f t="shared" si="31"/>
        <v>20</v>
      </c>
      <c r="I247" s="9" t="str">
        <f t="shared" si="32"/>
        <v>05</v>
      </c>
      <c r="J247" s="9" t="str">
        <f t="shared" si="33"/>
        <v>2025</v>
      </c>
      <c r="K247" s="10" t="str">
        <f t="shared" si="34"/>
        <v>20/05/2025</v>
      </c>
      <c r="L247" s="9" t="str">
        <f t="shared" si="35"/>
        <v>04</v>
      </c>
      <c r="M247" s="9" t="str">
        <f t="shared" si="36"/>
        <v>07</v>
      </c>
      <c r="N247" s="9" t="str">
        <f t="shared" si="37"/>
        <v>2025</v>
      </c>
      <c r="O247" s="10" t="str">
        <f t="shared" si="38"/>
        <v>04/07/2025</v>
      </c>
      <c r="P247" s="9">
        <f t="shared" si="39"/>
        <v>45</v>
      </c>
      <c r="Q247" t="str">
        <f>VLOOKUP(A247,[1]Sheet2!$I$2:$O$496,7,FALSE())</f>
        <v>https://fruitbasket.blob.core.windows.net/gk2o5k/avatar/21186710620250704152547JB2URB.jpg</v>
      </c>
    </row>
    <row r="248" spans="1:17" ht="13.8" hidden="1" x14ac:dyDescent="0.25">
      <c r="A248" s="11" t="s">
        <v>682</v>
      </c>
      <c r="B248" s="7" t="s">
        <v>111</v>
      </c>
      <c r="C248" s="7" t="s">
        <v>15</v>
      </c>
      <c r="D248" s="7" t="s">
        <v>683</v>
      </c>
      <c r="E248" s="7" t="s">
        <v>221</v>
      </c>
      <c r="F248" s="8"/>
      <c r="G248" s="9" t="str">
        <f t="shared" si="30"/>
        <v>JMC1E</v>
      </c>
      <c r="H248" s="9" t="str">
        <f t="shared" si="31"/>
        <v>28</v>
      </c>
      <c r="I248" s="9" t="str">
        <f t="shared" si="32"/>
        <v>06</v>
      </c>
      <c r="J248" s="9" t="str">
        <f t="shared" si="33"/>
        <v>2025</v>
      </c>
      <c r="K248" s="10" t="str">
        <f t="shared" si="34"/>
        <v>28/06/2025</v>
      </c>
      <c r="L248" s="9" t="str">
        <f t="shared" si="35"/>
        <v>31</v>
      </c>
      <c r="M248" s="9" t="str">
        <f t="shared" si="36"/>
        <v>07</v>
      </c>
      <c r="N248" s="9" t="str">
        <f t="shared" si="37"/>
        <v>2025</v>
      </c>
      <c r="O248" s="10" t="str">
        <f t="shared" si="38"/>
        <v>31/07/2025</v>
      </c>
      <c r="P248" s="9">
        <f t="shared" si="39"/>
        <v>33</v>
      </c>
      <c r="Q248" t="str">
        <f>VLOOKUP(A248,[1]Sheet2!$I$2:$O$496,7,FALSE())</f>
        <v>https://fruitbasket.blob.core.windows.net/gk2o5k/avatar/2117297282025073111011290BRLR.jpg</v>
      </c>
    </row>
    <row r="249" spans="1:17" ht="13.8" hidden="1" x14ac:dyDescent="0.25">
      <c r="A249" s="11" t="s">
        <v>718</v>
      </c>
      <c r="B249" s="7" t="s">
        <v>292</v>
      </c>
      <c r="C249" s="7" t="s">
        <v>15</v>
      </c>
      <c r="D249" s="7" t="s">
        <v>719</v>
      </c>
      <c r="E249" s="7" t="s">
        <v>112</v>
      </c>
      <c r="F249" s="8"/>
      <c r="G249" s="9" t="str">
        <f t="shared" si="30"/>
        <v>JMD1E</v>
      </c>
      <c r="H249" s="9" t="str">
        <f t="shared" si="31"/>
        <v>18</v>
      </c>
      <c r="I249" s="9" t="str">
        <f t="shared" si="32"/>
        <v>06</v>
      </c>
      <c r="J249" s="9" t="str">
        <f t="shared" si="33"/>
        <v>2025</v>
      </c>
      <c r="K249" s="10" t="str">
        <f t="shared" si="34"/>
        <v>18/06/2025</v>
      </c>
      <c r="L249" s="9" t="str">
        <f t="shared" si="35"/>
        <v>05</v>
      </c>
      <c r="M249" s="9" t="str">
        <f t="shared" si="36"/>
        <v>07</v>
      </c>
      <c r="N249" s="9" t="str">
        <f t="shared" si="37"/>
        <v>2025</v>
      </c>
      <c r="O249" s="10" t="str">
        <f t="shared" si="38"/>
        <v>05/07/2025</v>
      </c>
      <c r="P249" s="9">
        <f t="shared" si="39"/>
        <v>17</v>
      </c>
      <c r="Q249" t="str">
        <f>VLOOKUP(A249,[1]Sheet2!$I$2:$O$496,7,FALSE())</f>
        <v>https://fruitbasket.blob.core.windows.net/gk2o5k/avatar/213145113202507051145586YVBNO.jpg</v>
      </c>
    </row>
    <row r="250" spans="1:17" ht="13.8" hidden="1" x14ac:dyDescent="0.25">
      <c r="A250" s="11" t="s">
        <v>549</v>
      </c>
      <c r="B250" s="7" t="s">
        <v>124</v>
      </c>
      <c r="C250" s="7" t="s">
        <v>15</v>
      </c>
      <c r="D250" s="7" t="s">
        <v>550</v>
      </c>
      <c r="E250" s="7" t="s">
        <v>140</v>
      </c>
      <c r="F250" s="8"/>
      <c r="G250" s="9" t="str">
        <f t="shared" si="30"/>
        <v>JMH1E</v>
      </c>
      <c r="H250" s="9" t="str">
        <f t="shared" si="31"/>
        <v>16</v>
      </c>
      <c r="I250" s="9" t="str">
        <f t="shared" si="32"/>
        <v>06</v>
      </c>
      <c r="J250" s="9" t="str">
        <f t="shared" si="33"/>
        <v>2025</v>
      </c>
      <c r="K250" s="10" t="str">
        <f t="shared" si="34"/>
        <v>16/06/2025</v>
      </c>
      <c r="L250" s="9" t="str">
        <f t="shared" si="35"/>
        <v>11</v>
      </c>
      <c r="M250" s="9" t="str">
        <f t="shared" si="36"/>
        <v>07</v>
      </c>
      <c r="N250" s="9" t="str">
        <f t="shared" si="37"/>
        <v>2025</v>
      </c>
      <c r="O250" s="10" t="str">
        <f t="shared" si="38"/>
        <v>11/07/2025</v>
      </c>
      <c r="P250" s="9">
        <f t="shared" si="39"/>
        <v>25</v>
      </c>
      <c r="Q250" t="str">
        <f>VLOOKUP(A250,[1]Sheet2!$I$2:$O$496,7,FALSE())</f>
        <v>https://fruitbasket.blob.core.windows.net/gk2o5k/avatar/21336051620250711144832JCSP3T.jpg</v>
      </c>
    </row>
    <row r="251" spans="1:17" ht="13.8" x14ac:dyDescent="0.25">
      <c r="A251" s="21" t="s">
        <v>677</v>
      </c>
      <c r="B251" s="7" t="s">
        <v>111</v>
      </c>
      <c r="C251" s="7" t="s">
        <v>15</v>
      </c>
      <c r="D251" s="7" t="s">
        <v>678</v>
      </c>
      <c r="E251" s="7" t="s">
        <v>179</v>
      </c>
      <c r="F251" s="12" t="s">
        <v>832</v>
      </c>
      <c r="G251" s="9" t="str">
        <f t="shared" si="30"/>
        <v>JMC1E</v>
      </c>
      <c r="H251" s="9" t="str">
        <f t="shared" si="31"/>
        <v>28</v>
      </c>
      <c r="I251" s="9" t="str">
        <f t="shared" si="32"/>
        <v>06</v>
      </c>
      <c r="J251" s="9" t="str">
        <f t="shared" si="33"/>
        <v>2025</v>
      </c>
      <c r="K251" s="10" t="str">
        <f t="shared" si="34"/>
        <v>28/06/2025</v>
      </c>
      <c r="L251" s="9" t="str">
        <f t="shared" si="35"/>
        <v>28</v>
      </c>
      <c r="M251" s="9" t="str">
        <f t="shared" si="36"/>
        <v>07</v>
      </c>
      <c r="N251" s="9" t="str">
        <f t="shared" si="37"/>
        <v>2025</v>
      </c>
      <c r="O251" s="10" t="str">
        <f t="shared" si="38"/>
        <v>28/07/2025</v>
      </c>
      <c r="P251" s="9">
        <f t="shared" si="39"/>
        <v>30</v>
      </c>
      <c r="Q251" t="str">
        <f>VLOOKUP(A251,[1]Sheet2!$I$2:$O$496,7,FALSE())</f>
        <v>https://fruitbasket.blob.core.windows.net/gk2o5k/avatar/21343607220250728094325JYCRZR.jpg</v>
      </c>
    </row>
    <row r="252" spans="1:17" ht="13.8" hidden="1" x14ac:dyDescent="0.25">
      <c r="A252" s="11" t="s">
        <v>422</v>
      </c>
      <c r="B252" s="7" t="s">
        <v>108</v>
      </c>
      <c r="C252" s="7" t="s">
        <v>15</v>
      </c>
      <c r="D252" s="7" t="s">
        <v>423</v>
      </c>
      <c r="E252" s="7" t="s">
        <v>420</v>
      </c>
      <c r="F252" s="8"/>
      <c r="G252" s="9" t="str">
        <f t="shared" si="30"/>
        <v>JBK1E</v>
      </c>
      <c r="H252" s="9" t="str">
        <f t="shared" si="31"/>
        <v>04</v>
      </c>
      <c r="I252" s="9" t="str">
        <f t="shared" si="32"/>
        <v>07</v>
      </c>
      <c r="J252" s="9" t="str">
        <f t="shared" si="33"/>
        <v>2025</v>
      </c>
      <c r="K252" s="10" t="str">
        <f t="shared" si="34"/>
        <v>04/07/2025</v>
      </c>
      <c r="L252" s="9" t="str">
        <f t="shared" si="35"/>
        <v>29</v>
      </c>
      <c r="M252" s="9" t="str">
        <f t="shared" si="36"/>
        <v>07</v>
      </c>
      <c r="N252" s="9" t="str">
        <f t="shared" si="37"/>
        <v>2025</v>
      </c>
      <c r="O252" s="10" t="str">
        <f t="shared" si="38"/>
        <v>29/07/2025</v>
      </c>
      <c r="P252" s="9">
        <f t="shared" si="39"/>
        <v>25</v>
      </c>
      <c r="Q252" t="str">
        <f>VLOOKUP(A252,[1]Sheet2!$I$2:$O$496,7,FALSE())</f>
        <v>https://fruitbasket.blob.core.windows.net/gk2o5k/avatar/21328668120250729155501RKDNLN.jpg</v>
      </c>
    </row>
    <row r="253" spans="1:17" ht="13.8" hidden="1" x14ac:dyDescent="0.25">
      <c r="A253" s="11" t="s">
        <v>752</v>
      </c>
      <c r="B253" s="7" t="s">
        <v>606</v>
      </c>
      <c r="C253" s="7" t="s">
        <v>15</v>
      </c>
      <c r="D253" s="7" t="s">
        <v>753</v>
      </c>
      <c r="E253" s="7" t="s">
        <v>154</v>
      </c>
      <c r="F253" s="8"/>
      <c r="G253" s="9" t="str">
        <f t="shared" si="30"/>
        <v>KC04E</v>
      </c>
      <c r="H253" s="9" t="str">
        <f t="shared" si="31"/>
        <v>03</v>
      </c>
      <c r="I253" s="9" t="str">
        <f t="shared" si="32"/>
        <v>06</v>
      </c>
      <c r="J253" s="9" t="str">
        <f t="shared" si="33"/>
        <v>2025</v>
      </c>
      <c r="K253" s="10" t="str">
        <f t="shared" si="34"/>
        <v>03/06/2025</v>
      </c>
      <c r="L253" s="9" t="str">
        <f t="shared" si="35"/>
        <v>18</v>
      </c>
      <c r="M253" s="9" t="str">
        <f t="shared" si="36"/>
        <v>07</v>
      </c>
      <c r="N253" s="9" t="str">
        <f t="shared" si="37"/>
        <v>2025</v>
      </c>
      <c r="O253" s="10" t="str">
        <f t="shared" si="38"/>
        <v>18/07/2025</v>
      </c>
      <c r="P253" s="9">
        <f t="shared" si="39"/>
        <v>45</v>
      </c>
      <c r="Q253" t="str">
        <f>VLOOKUP(A253,[1]Sheet2!$I$2:$O$496,7,FALSE())</f>
        <v>https://fruitbasket.blob.core.windows.net/gk2o5k/avatar/21277315620250718141707SNY8EK.jpg</v>
      </c>
    </row>
    <row r="254" spans="1:17" ht="13.8" x14ac:dyDescent="0.25">
      <c r="A254" s="21" t="s">
        <v>336</v>
      </c>
      <c r="B254" s="7" t="s">
        <v>299</v>
      </c>
      <c r="C254" s="7" t="s">
        <v>15</v>
      </c>
      <c r="D254" s="7" t="s">
        <v>337</v>
      </c>
      <c r="E254" s="7" t="s">
        <v>144</v>
      </c>
      <c r="F254" s="12" t="s">
        <v>830</v>
      </c>
      <c r="G254" s="9" t="str">
        <f t="shared" si="30"/>
        <v>JBK3E</v>
      </c>
      <c r="H254" s="9" t="str">
        <f t="shared" si="31"/>
        <v>07</v>
      </c>
      <c r="I254" s="9" t="str">
        <f t="shared" si="32"/>
        <v>06</v>
      </c>
      <c r="J254" s="9" t="str">
        <f t="shared" si="33"/>
        <v>2025</v>
      </c>
      <c r="K254" s="10" t="str">
        <f t="shared" si="34"/>
        <v>07/06/2025</v>
      </c>
      <c r="L254" s="9" t="str">
        <f t="shared" si="35"/>
        <v>12</v>
      </c>
      <c r="M254" s="9" t="str">
        <f t="shared" si="36"/>
        <v>07</v>
      </c>
      <c r="N254" s="9" t="str">
        <f t="shared" si="37"/>
        <v>2025</v>
      </c>
      <c r="O254" s="10" t="str">
        <f t="shared" si="38"/>
        <v>12/07/2025</v>
      </c>
      <c r="P254" s="9">
        <f t="shared" si="39"/>
        <v>35</v>
      </c>
      <c r="Q254" t="str">
        <f>VLOOKUP(A254,[1]Sheet2!$I$2:$O$496,7,FALSE())</f>
        <v>https://fruitbasket.blob.core.windows.net/gk2o5k/avatar/21197514020250712143249IHRC2S.jpg</v>
      </c>
    </row>
    <row r="255" spans="1:17" ht="13.8" x14ac:dyDescent="0.25">
      <c r="A255" s="11" t="s">
        <v>635</v>
      </c>
      <c r="B255" s="13" t="s">
        <v>121</v>
      </c>
      <c r="C255" s="7" t="s">
        <v>15</v>
      </c>
      <c r="D255" s="7" t="s">
        <v>636</v>
      </c>
      <c r="E255" s="7" t="s">
        <v>150</v>
      </c>
      <c r="F255" s="8" t="s">
        <v>777</v>
      </c>
      <c r="G255" s="9" t="str">
        <f t="shared" si="30"/>
        <v>JBP1E</v>
      </c>
      <c r="H255" s="9" t="str">
        <f t="shared" si="31"/>
        <v>20</v>
      </c>
      <c r="I255" s="9" t="str">
        <f t="shared" si="32"/>
        <v>06</v>
      </c>
      <c r="J255" s="9" t="str">
        <f t="shared" si="33"/>
        <v>2025</v>
      </c>
      <c r="K255" s="10" t="str">
        <f t="shared" si="34"/>
        <v>20/06/2025</v>
      </c>
      <c r="L255" s="9" t="str">
        <f t="shared" si="35"/>
        <v>17</v>
      </c>
      <c r="M255" s="9" t="str">
        <f t="shared" si="36"/>
        <v>07</v>
      </c>
      <c r="N255" s="9" t="str">
        <f t="shared" si="37"/>
        <v>2025</v>
      </c>
      <c r="O255" s="10" t="str">
        <f t="shared" si="38"/>
        <v>17/07/2025</v>
      </c>
      <c r="P255" s="9">
        <f t="shared" si="39"/>
        <v>27</v>
      </c>
      <c r="Q255" t="str">
        <f>VLOOKUP(A255,[1]Sheet2!$I$2:$O$496,7,FALSE())</f>
        <v>https://fruitbasket.blob.core.windows.net/gk2o5k/avatar/213435990202507171456421FYWY2.jpg</v>
      </c>
    </row>
    <row r="256" spans="1:17" ht="13.8" hidden="1" x14ac:dyDescent="0.25">
      <c r="A256" s="11" t="s">
        <v>681</v>
      </c>
      <c r="B256" s="7" t="s">
        <v>292</v>
      </c>
      <c r="C256" s="7" t="s">
        <v>15</v>
      </c>
      <c r="D256" s="7" t="s">
        <v>636</v>
      </c>
      <c r="E256" s="7" t="s">
        <v>218</v>
      </c>
      <c r="F256" s="8"/>
      <c r="G256" s="9" t="str">
        <f t="shared" si="30"/>
        <v>JMD1E</v>
      </c>
      <c r="H256" s="9" t="str">
        <f t="shared" si="31"/>
        <v>18</v>
      </c>
      <c r="I256" s="9" t="str">
        <f t="shared" si="32"/>
        <v>06</v>
      </c>
      <c r="J256" s="9" t="str">
        <f t="shared" si="33"/>
        <v>2025</v>
      </c>
      <c r="K256" s="10" t="str">
        <f t="shared" si="34"/>
        <v>18/06/2025</v>
      </c>
      <c r="L256" s="9" t="str">
        <f t="shared" si="35"/>
        <v>30</v>
      </c>
      <c r="M256" s="9" t="str">
        <f t="shared" si="36"/>
        <v>07</v>
      </c>
      <c r="N256" s="9" t="str">
        <f t="shared" si="37"/>
        <v>2025</v>
      </c>
      <c r="O256" s="10" t="str">
        <f t="shared" si="38"/>
        <v>30/07/2025</v>
      </c>
      <c r="P256" s="9">
        <f t="shared" si="39"/>
        <v>42</v>
      </c>
      <c r="Q256" t="str">
        <f>VLOOKUP(A256,[1]Sheet2!$I$2:$O$496,7,FALSE())</f>
        <v>https://fruitbasket.blob.core.windows.net/gk2o5k/avatar/21330383420250730145901LPZ29C.jpg</v>
      </c>
    </row>
    <row r="257" spans="1:17" ht="13.8" x14ac:dyDescent="0.25">
      <c r="A257" s="21" t="s">
        <v>106</v>
      </c>
      <c r="B257" s="7" t="s">
        <v>107</v>
      </c>
      <c r="C257" s="7" t="s">
        <v>15</v>
      </c>
      <c r="D257" s="7" t="s">
        <v>109</v>
      </c>
      <c r="E257" s="7" t="s">
        <v>108</v>
      </c>
      <c r="F257" s="9" t="s">
        <v>813</v>
      </c>
      <c r="G257" s="9" t="str">
        <f t="shared" si="30"/>
        <v>JME1E</v>
      </c>
      <c r="H257" s="9" t="str">
        <f t="shared" si="31"/>
        <v>03</v>
      </c>
      <c r="I257" s="9" t="str">
        <f t="shared" si="32"/>
        <v>05</v>
      </c>
      <c r="J257" s="9" t="str">
        <f t="shared" si="33"/>
        <v>2025</v>
      </c>
      <c r="K257" s="10" t="str">
        <f t="shared" si="34"/>
        <v>03/05/2025</v>
      </c>
      <c r="L257" s="9" t="str">
        <f t="shared" si="35"/>
        <v>04</v>
      </c>
      <c r="M257" s="9" t="str">
        <f t="shared" si="36"/>
        <v>07</v>
      </c>
      <c r="N257" s="9" t="str">
        <f t="shared" si="37"/>
        <v>2025</v>
      </c>
      <c r="O257" s="10" t="str">
        <f t="shared" si="38"/>
        <v>04/07/2025</v>
      </c>
      <c r="P257" s="9">
        <f t="shared" si="39"/>
        <v>62</v>
      </c>
      <c r="Q257" t="str">
        <f>VLOOKUP(A257,[1]Sheet2!$I$2:$O$496,7,FALSE())</f>
        <v>https://fruitbasket.blob.core.windows.net/gk2o5k/avatar/21188266120250704153832EWQAKY.jpg</v>
      </c>
    </row>
    <row r="258" spans="1:17" ht="13.8" hidden="1" x14ac:dyDescent="0.25">
      <c r="A258" s="11" t="s">
        <v>543</v>
      </c>
      <c r="B258" s="7" t="s">
        <v>121</v>
      </c>
      <c r="C258" s="7" t="s">
        <v>15</v>
      </c>
      <c r="D258" s="7" t="s">
        <v>544</v>
      </c>
      <c r="E258" s="7" t="s">
        <v>192</v>
      </c>
      <c r="F258" s="8"/>
      <c r="G258" s="9" t="str">
        <f t="shared" ref="G258:G280" si="40">LEFT(A258,5)</f>
        <v>JMH2E</v>
      </c>
      <c r="H258" s="9" t="str">
        <f t="shared" ref="H258:H280" si="41">LEFT(B258,2)</f>
        <v>20</v>
      </c>
      <c r="I258" s="9" t="str">
        <f t="shared" ref="I258:I280" si="42">MID(B258,4,2)</f>
        <v>06</v>
      </c>
      <c r="J258" s="9" t="str">
        <f t="shared" ref="J258:J280" si="43">RIGHT(B258,4)</f>
        <v>2025</v>
      </c>
      <c r="K258" s="10" t="str">
        <f t="shared" ref="K258:K280" si="44">H258&amp;"/"&amp;I258&amp;"/"&amp;J258</f>
        <v>20/06/2025</v>
      </c>
      <c r="L258" s="9" t="str">
        <f t="shared" ref="L258:L280" si="45">LEFT(E258,2)</f>
        <v>07</v>
      </c>
      <c r="M258" s="9" t="str">
        <f t="shared" ref="M258:M280" si="46">MID(E258,4,2)</f>
        <v>07</v>
      </c>
      <c r="N258" s="9" t="str">
        <f t="shared" ref="N258:N280" si="47">RIGHT(E258,4)</f>
        <v>2025</v>
      </c>
      <c r="O258" s="10" t="str">
        <f t="shared" ref="O258:O280" si="48">L258&amp;"/"&amp;M258&amp;"/"&amp;N258</f>
        <v>07/07/2025</v>
      </c>
      <c r="P258" s="9">
        <f t="shared" ref="P258:P280" si="49">O258-K258</f>
        <v>17</v>
      </c>
      <c r="Q258" t="str">
        <f>VLOOKUP(A258,[1]Sheet2!$I$2:$O$496,7,FALSE())</f>
        <v>https://fruitbasket.blob.core.windows.net/gk2o5k/avatar/21195443620250707094758DP6MAU.jpg</v>
      </c>
    </row>
    <row r="259" spans="1:17" ht="13.8" hidden="1" x14ac:dyDescent="0.25">
      <c r="A259" s="11" t="s">
        <v>256</v>
      </c>
      <c r="B259" s="7" t="s">
        <v>257</v>
      </c>
      <c r="C259" s="7" t="s">
        <v>15</v>
      </c>
      <c r="D259" s="7" t="s">
        <v>258</v>
      </c>
      <c r="E259" s="7" t="s">
        <v>104</v>
      </c>
      <c r="F259" s="8"/>
      <c r="G259" s="9" t="str">
        <f t="shared" si="40"/>
        <v>JBK3E</v>
      </c>
      <c r="H259" s="9" t="str">
        <f t="shared" si="41"/>
        <v>15</v>
      </c>
      <c r="I259" s="9" t="str">
        <f t="shared" si="42"/>
        <v>05</v>
      </c>
      <c r="J259" s="9" t="str">
        <f t="shared" si="43"/>
        <v>2025</v>
      </c>
      <c r="K259" s="10" t="str">
        <f t="shared" si="44"/>
        <v>15/05/2025</v>
      </c>
      <c r="L259" s="9" t="str">
        <f t="shared" si="45"/>
        <v>02</v>
      </c>
      <c r="M259" s="9" t="str">
        <f t="shared" si="46"/>
        <v>07</v>
      </c>
      <c r="N259" s="9" t="str">
        <f t="shared" si="47"/>
        <v>2025</v>
      </c>
      <c r="O259" s="10" t="str">
        <f t="shared" si="48"/>
        <v>02/07/2025</v>
      </c>
      <c r="P259" s="9">
        <f t="shared" si="49"/>
        <v>48</v>
      </c>
      <c r="Q259" t="str">
        <f>VLOOKUP(A259,[1]Sheet2!$I$2:$O$496,7,FALSE())</f>
        <v>https://fruitbasket.blob.core.windows.net/gk2o5k/avatar/21318503420250702123135VQS9LS.jpg</v>
      </c>
    </row>
    <row r="260" spans="1:17" ht="13.8" hidden="1" x14ac:dyDescent="0.25">
      <c r="A260" s="11" t="s">
        <v>468</v>
      </c>
      <c r="B260" s="7" t="s">
        <v>469</v>
      </c>
      <c r="C260" s="7" t="s">
        <v>21</v>
      </c>
      <c r="D260" s="7" t="s">
        <v>470</v>
      </c>
      <c r="E260" s="7" t="s">
        <v>411</v>
      </c>
      <c r="F260" s="8"/>
      <c r="G260" s="9" t="str">
        <f t="shared" si="40"/>
        <v>JBK3E</v>
      </c>
      <c r="H260" s="9" t="str">
        <f t="shared" si="41"/>
        <v>17</v>
      </c>
      <c r="I260" s="9" t="str">
        <f t="shared" si="42"/>
        <v>04</v>
      </c>
      <c r="J260" s="9" t="str">
        <f t="shared" si="43"/>
        <v>2025</v>
      </c>
      <c r="K260" s="10" t="str">
        <f t="shared" si="44"/>
        <v>17/04/2025</v>
      </c>
      <c r="L260" s="9" t="str">
        <f t="shared" si="45"/>
        <v>24</v>
      </c>
      <c r="M260" s="9" t="str">
        <f t="shared" si="46"/>
        <v>07</v>
      </c>
      <c r="N260" s="9" t="str">
        <f t="shared" si="47"/>
        <v>2025</v>
      </c>
      <c r="O260" s="10" t="str">
        <f t="shared" si="48"/>
        <v>24/07/2025</v>
      </c>
      <c r="P260" s="9">
        <f t="shared" si="49"/>
        <v>98</v>
      </c>
      <c r="Q260" t="str">
        <f>VLOOKUP(A260,[1]Sheet2!$I$2:$O$496,7,FALSE())</f>
        <v>https://fruitbasket.blob.core.windows.net/gk2o5k/avatar/21310883720250724170733MCOQEI.jpg</v>
      </c>
    </row>
    <row r="261" spans="1:17" ht="13.8" hidden="1" x14ac:dyDescent="0.25">
      <c r="A261" s="11" t="s">
        <v>385</v>
      </c>
      <c r="B261" s="7" t="s">
        <v>251</v>
      </c>
      <c r="C261" s="7" t="s">
        <v>15</v>
      </c>
      <c r="D261" s="7" t="s">
        <v>386</v>
      </c>
      <c r="E261" s="7" t="s">
        <v>245</v>
      </c>
      <c r="F261" s="8"/>
      <c r="G261" s="9" t="str">
        <f t="shared" si="40"/>
        <v>JBK1E</v>
      </c>
      <c r="H261" s="9" t="str">
        <f t="shared" si="41"/>
        <v>01</v>
      </c>
      <c r="I261" s="9" t="str">
        <f t="shared" si="42"/>
        <v>07</v>
      </c>
      <c r="J261" s="9" t="str">
        <f t="shared" si="43"/>
        <v>2025</v>
      </c>
      <c r="K261" s="10" t="str">
        <f t="shared" si="44"/>
        <v>01/07/2025</v>
      </c>
      <c r="L261" s="9" t="str">
        <f t="shared" si="45"/>
        <v>19</v>
      </c>
      <c r="M261" s="9" t="str">
        <f t="shared" si="46"/>
        <v>07</v>
      </c>
      <c r="N261" s="9" t="str">
        <f t="shared" si="47"/>
        <v>2025</v>
      </c>
      <c r="O261" s="10" t="str">
        <f t="shared" si="48"/>
        <v>19/07/2025</v>
      </c>
      <c r="P261" s="9">
        <f t="shared" si="49"/>
        <v>18</v>
      </c>
      <c r="Q261" t="str">
        <f>VLOOKUP(A261,[1]Sheet2!$I$2:$O$496,7,FALSE())</f>
        <v>https://fruitbasket.blob.core.windows.net/gk2o5k/avatar/21346998420250719143952YDQAAF.jpg</v>
      </c>
    </row>
    <row r="262" spans="1:17" ht="13.8" hidden="1" x14ac:dyDescent="0.25">
      <c r="A262" s="11" t="s">
        <v>275</v>
      </c>
      <c r="B262" s="7" t="s">
        <v>143</v>
      </c>
      <c r="C262" s="7" t="s">
        <v>15</v>
      </c>
      <c r="D262" s="7" t="s">
        <v>276</v>
      </c>
      <c r="E262" s="7" t="s">
        <v>108</v>
      </c>
      <c r="F262" s="8"/>
      <c r="G262" s="9" t="str">
        <f t="shared" si="40"/>
        <v>JBK1E</v>
      </c>
      <c r="H262" s="9" t="str">
        <f t="shared" si="41"/>
        <v>09</v>
      </c>
      <c r="I262" s="9" t="str">
        <f t="shared" si="42"/>
        <v>05</v>
      </c>
      <c r="J262" s="9" t="str">
        <f t="shared" si="43"/>
        <v>2025</v>
      </c>
      <c r="K262" s="10" t="str">
        <f t="shared" si="44"/>
        <v>09/05/2025</v>
      </c>
      <c r="L262" s="9" t="str">
        <f t="shared" si="45"/>
        <v>04</v>
      </c>
      <c r="M262" s="9" t="str">
        <f t="shared" si="46"/>
        <v>07</v>
      </c>
      <c r="N262" s="9" t="str">
        <f t="shared" si="47"/>
        <v>2025</v>
      </c>
      <c r="O262" s="10" t="str">
        <f t="shared" si="48"/>
        <v>04/07/2025</v>
      </c>
      <c r="P262" s="9">
        <f t="shared" si="49"/>
        <v>56</v>
      </c>
      <c r="Q262" t="str">
        <f>VLOOKUP(A262,[1]Sheet2!$I$2:$O$496,7,FALSE())</f>
        <v>https://fruitbasket.blob.core.windows.net/gk2o5k/avatar/21184767620250704134630LTBGSC.jpg</v>
      </c>
    </row>
    <row r="263" spans="1:17" ht="13.8" hidden="1" x14ac:dyDescent="0.25">
      <c r="A263" s="11" t="s">
        <v>675</v>
      </c>
      <c r="B263" s="7" t="s">
        <v>131</v>
      </c>
      <c r="C263" s="7" t="s">
        <v>15</v>
      </c>
      <c r="D263" s="7" t="s">
        <v>676</v>
      </c>
      <c r="E263" s="7" t="s">
        <v>157</v>
      </c>
      <c r="F263" s="8"/>
      <c r="G263" s="9" t="str">
        <f t="shared" si="40"/>
        <v>JMC1E</v>
      </c>
      <c r="H263" s="9" t="str">
        <f t="shared" si="41"/>
        <v>09</v>
      </c>
      <c r="I263" s="9" t="str">
        <f t="shared" si="42"/>
        <v>07</v>
      </c>
      <c r="J263" s="9" t="str">
        <f t="shared" si="43"/>
        <v>2025</v>
      </c>
      <c r="K263" s="10" t="str">
        <f t="shared" si="44"/>
        <v>09/07/2025</v>
      </c>
      <c r="L263" s="9" t="str">
        <f t="shared" si="45"/>
        <v>26</v>
      </c>
      <c r="M263" s="9" t="str">
        <f t="shared" si="46"/>
        <v>07</v>
      </c>
      <c r="N263" s="9" t="str">
        <f t="shared" si="47"/>
        <v>2025</v>
      </c>
      <c r="O263" s="10" t="str">
        <f t="shared" si="48"/>
        <v>26/07/2025</v>
      </c>
      <c r="P263" s="9">
        <f t="shared" si="49"/>
        <v>17</v>
      </c>
      <c r="Q263" t="str">
        <f>VLOOKUP(A263,[1]Sheet2!$I$2:$O$496,7,FALSE())</f>
        <v>https://fruitbasket.blob.core.windows.net/gk2o5k/avatar/21306103420250726132354REGSSU.jpg</v>
      </c>
    </row>
    <row r="264" spans="1:17" ht="13.8" hidden="1" x14ac:dyDescent="0.25">
      <c r="A264" s="11" t="s">
        <v>410</v>
      </c>
      <c r="B264" s="7" t="s">
        <v>115</v>
      </c>
      <c r="C264" s="7" t="s">
        <v>15</v>
      </c>
      <c r="D264" s="7" t="s">
        <v>412</v>
      </c>
      <c r="E264" s="7" t="s">
        <v>411</v>
      </c>
      <c r="F264" s="8"/>
      <c r="G264" s="9" t="str">
        <f t="shared" si="40"/>
        <v>JBK3E</v>
      </c>
      <c r="H264" s="9" t="str">
        <f t="shared" si="41"/>
        <v>17</v>
      </c>
      <c r="I264" s="9" t="str">
        <f t="shared" si="42"/>
        <v>06</v>
      </c>
      <c r="J264" s="9" t="str">
        <f t="shared" si="43"/>
        <v>2025</v>
      </c>
      <c r="K264" s="10" t="str">
        <f t="shared" si="44"/>
        <v>17/06/2025</v>
      </c>
      <c r="L264" s="9" t="str">
        <f t="shared" si="45"/>
        <v>24</v>
      </c>
      <c r="M264" s="9" t="str">
        <f t="shared" si="46"/>
        <v>07</v>
      </c>
      <c r="N264" s="9" t="str">
        <f t="shared" si="47"/>
        <v>2025</v>
      </c>
      <c r="O264" s="10" t="str">
        <f t="shared" si="48"/>
        <v>24/07/2025</v>
      </c>
      <c r="P264" s="9">
        <f t="shared" si="49"/>
        <v>37</v>
      </c>
      <c r="Q264" t="str">
        <f>VLOOKUP(A264,[1]Sheet2!$I$2:$O$496,7,FALSE())</f>
        <v>https://fruitbasket.blob.core.windows.net/gk2o5k/avatar/21297442920250724110508GEZUHS.jpg</v>
      </c>
    </row>
    <row r="265" spans="1:17" ht="13.8" hidden="1" x14ac:dyDescent="0.25">
      <c r="A265" s="11" t="s">
        <v>282</v>
      </c>
      <c r="B265" s="7" t="s">
        <v>283</v>
      </c>
      <c r="C265" s="7" t="s">
        <v>15</v>
      </c>
      <c r="D265" s="7" t="s">
        <v>284</v>
      </c>
      <c r="E265" s="7" t="s">
        <v>112</v>
      </c>
      <c r="F265" s="8"/>
      <c r="G265" s="9" t="str">
        <f t="shared" si="40"/>
        <v>JBK3E</v>
      </c>
      <c r="H265" s="9" t="str">
        <f t="shared" si="41"/>
        <v>30</v>
      </c>
      <c r="I265" s="9" t="str">
        <f t="shared" si="42"/>
        <v>05</v>
      </c>
      <c r="J265" s="9" t="str">
        <f t="shared" si="43"/>
        <v>2025</v>
      </c>
      <c r="K265" s="10" t="str">
        <f t="shared" si="44"/>
        <v>30/05/2025</v>
      </c>
      <c r="L265" s="9" t="str">
        <f t="shared" si="45"/>
        <v>05</v>
      </c>
      <c r="M265" s="9" t="str">
        <f t="shared" si="46"/>
        <v>07</v>
      </c>
      <c r="N265" s="9" t="str">
        <f t="shared" si="47"/>
        <v>2025</v>
      </c>
      <c r="O265" s="10" t="str">
        <f t="shared" si="48"/>
        <v>05/07/2025</v>
      </c>
      <c r="P265" s="9">
        <f t="shared" si="49"/>
        <v>36</v>
      </c>
      <c r="Q265" t="str">
        <f>VLOOKUP(A265,[1]Sheet2!$I$2:$O$496,7,FALSE())</f>
        <v>https://fruitbasket.blob.core.windows.net/gk2o5k/avatar/21230651020250705145220FYT5IW.jpg</v>
      </c>
    </row>
    <row r="266" spans="1:17" ht="13.8" hidden="1" x14ac:dyDescent="0.25">
      <c r="A266" s="11" t="s">
        <v>629</v>
      </c>
      <c r="B266" s="7" t="s">
        <v>630</v>
      </c>
      <c r="C266" s="7" t="s">
        <v>15</v>
      </c>
      <c r="D266" s="7" t="s">
        <v>284</v>
      </c>
      <c r="E266" s="7" t="s">
        <v>125</v>
      </c>
      <c r="F266" s="8"/>
      <c r="G266" s="9" t="str">
        <f t="shared" si="40"/>
        <v>JBP1E</v>
      </c>
      <c r="H266" s="9" t="str">
        <f t="shared" si="41"/>
        <v>12</v>
      </c>
      <c r="I266" s="9" t="str">
        <f t="shared" si="42"/>
        <v>05</v>
      </c>
      <c r="J266" s="9" t="str">
        <f t="shared" si="43"/>
        <v>2025</v>
      </c>
      <c r="K266" s="10" t="str">
        <f t="shared" si="44"/>
        <v>12/05/2025</v>
      </c>
      <c r="L266" s="9" t="str">
        <f t="shared" si="45"/>
        <v>08</v>
      </c>
      <c r="M266" s="9" t="str">
        <f t="shared" si="46"/>
        <v>07</v>
      </c>
      <c r="N266" s="9" t="str">
        <f t="shared" si="47"/>
        <v>2025</v>
      </c>
      <c r="O266" s="10" t="str">
        <f t="shared" si="48"/>
        <v>08/07/2025</v>
      </c>
      <c r="P266" s="9">
        <f t="shared" si="49"/>
        <v>57</v>
      </c>
      <c r="Q266" t="str">
        <f>VLOOKUP(A266,[1]Sheet2!$I$2:$O$496,7,FALSE())</f>
        <v>https://fruitbasket.blob.core.windows.net/gk2o5k/avatar/21317403920250708095333A4SZBH.jpg</v>
      </c>
    </row>
    <row r="267" spans="1:17" ht="13.8" hidden="1" x14ac:dyDescent="0.25">
      <c r="A267" s="11" t="s">
        <v>653</v>
      </c>
      <c r="B267" s="7" t="s">
        <v>197</v>
      </c>
      <c r="C267" s="7" t="s">
        <v>15</v>
      </c>
      <c r="D267" s="7" t="s">
        <v>654</v>
      </c>
      <c r="E267" s="7" t="s">
        <v>108</v>
      </c>
      <c r="F267" s="8"/>
      <c r="G267" s="9" t="str">
        <f t="shared" si="40"/>
        <v>JMC1E</v>
      </c>
      <c r="H267" s="9" t="str">
        <f t="shared" si="41"/>
        <v>04</v>
      </c>
      <c r="I267" s="9" t="str">
        <f t="shared" si="42"/>
        <v>06</v>
      </c>
      <c r="J267" s="9" t="str">
        <f t="shared" si="43"/>
        <v>2025</v>
      </c>
      <c r="K267" s="10" t="str">
        <f t="shared" si="44"/>
        <v>04/06/2025</v>
      </c>
      <c r="L267" s="9" t="str">
        <f t="shared" si="45"/>
        <v>04</v>
      </c>
      <c r="M267" s="9" t="str">
        <f t="shared" si="46"/>
        <v>07</v>
      </c>
      <c r="N267" s="9" t="str">
        <f t="shared" si="47"/>
        <v>2025</v>
      </c>
      <c r="O267" s="10" t="str">
        <f t="shared" si="48"/>
        <v>04/07/2025</v>
      </c>
      <c r="P267" s="9">
        <f t="shared" si="49"/>
        <v>30</v>
      </c>
      <c r="Q267" t="str">
        <f>VLOOKUP(A267,[1]Sheet2!$I$2:$O$496,7,FALSE())</f>
        <v>https://fruitbasket.blob.core.windows.net/gk2o5k/avatar/21330110320250704133445LH1HBA.jpg</v>
      </c>
    </row>
    <row r="268" spans="1:17" ht="13.8" hidden="1" x14ac:dyDescent="0.25">
      <c r="A268" s="11" t="s">
        <v>277</v>
      </c>
      <c r="B268" s="7" t="s">
        <v>278</v>
      </c>
      <c r="C268" s="7" t="s">
        <v>15</v>
      </c>
      <c r="D268" s="7" t="s">
        <v>279</v>
      </c>
      <c r="E268" s="7" t="s">
        <v>112</v>
      </c>
      <c r="F268" s="8"/>
      <c r="G268" s="9" t="str">
        <f t="shared" si="40"/>
        <v>JBK3E</v>
      </c>
      <c r="H268" s="9" t="str">
        <f t="shared" si="41"/>
        <v>09</v>
      </c>
      <c r="I268" s="9" t="str">
        <f t="shared" si="42"/>
        <v>06</v>
      </c>
      <c r="J268" s="9" t="str">
        <f t="shared" si="43"/>
        <v>2025</v>
      </c>
      <c r="K268" s="10" t="str">
        <f t="shared" si="44"/>
        <v>09/06/2025</v>
      </c>
      <c r="L268" s="9" t="str">
        <f t="shared" si="45"/>
        <v>05</v>
      </c>
      <c r="M268" s="9" t="str">
        <f t="shared" si="46"/>
        <v>07</v>
      </c>
      <c r="N268" s="9" t="str">
        <f t="shared" si="47"/>
        <v>2025</v>
      </c>
      <c r="O268" s="10" t="str">
        <f t="shared" si="48"/>
        <v>05/07/2025</v>
      </c>
      <c r="P268" s="9">
        <f t="shared" si="49"/>
        <v>26</v>
      </c>
      <c r="Q268" t="str">
        <f>VLOOKUP(A268,[1]Sheet2!$I$2:$O$496,7,FALSE())</f>
        <v>https://fruitbasket.blob.core.windows.net/gk2o5k/avatar/210948027202507051038129NF4F7.jpg</v>
      </c>
    </row>
    <row r="269" spans="1:17" ht="13.8" hidden="1" x14ac:dyDescent="0.25">
      <c r="A269" s="11" t="s">
        <v>453</v>
      </c>
      <c r="B269" s="7" t="s">
        <v>454</v>
      </c>
      <c r="C269" s="7" t="s">
        <v>21</v>
      </c>
      <c r="D269" s="7" t="s">
        <v>279</v>
      </c>
      <c r="E269" s="7" t="s">
        <v>144</v>
      </c>
      <c r="F269" s="8"/>
      <c r="G269" s="9" t="str">
        <f t="shared" si="40"/>
        <v>JBK3E</v>
      </c>
      <c r="H269" s="9" t="str">
        <f t="shared" si="41"/>
        <v>22</v>
      </c>
      <c r="I269" s="9" t="str">
        <f t="shared" si="42"/>
        <v>04</v>
      </c>
      <c r="J269" s="9" t="str">
        <f t="shared" si="43"/>
        <v>2025</v>
      </c>
      <c r="K269" s="10" t="str">
        <f t="shared" si="44"/>
        <v>22/04/2025</v>
      </c>
      <c r="L269" s="9" t="str">
        <f t="shared" si="45"/>
        <v>12</v>
      </c>
      <c r="M269" s="9" t="str">
        <f t="shared" si="46"/>
        <v>07</v>
      </c>
      <c r="N269" s="9" t="str">
        <f t="shared" si="47"/>
        <v>2025</v>
      </c>
      <c r="O269" s="10" t="str">
        <f t="shared" si="48"/>
        <v>12/07/2025</v>
      </c>
      <c r="P269" s="9">
        <f t="shared" si="49"/>
        <v>81</v>
      </c>
      <c r="Q269" t="str">
        <f>VLOOKUP(A269,[1]Sheet2!$I$2:$O$496,7,FALSE())</f>
        <v>https://fruitbasket.blob.core.windows.net/gk2o5k/avatar/21201593220250712165310NUPFO9.jpg</v>
      </c>
    </row>
    <row r="270" spans="1:17" ht="13.8" hidden="1" x14ac:dyDescent="0.25">
      <c r="A270" s="11" t="s">
        <v>507</v>
      </c>
      <c r="B270" s="7" t="s">
        <v>508</v>
      </c>
      <c r="C270" s="7" t="s">
        <v>28</v>
      </c>
      <c r="D270" s="7" t="s">
        <v>509</v>
      </c>
      <c r="E270" s="7" t="s">
        <v>212</v>
      </c>
      <c r="F270" s="8"/>
      <c r="G270" s="9" t="str">
        <f t="shared" si="40"/>
        <v>JBK1E</v>
      </c>
      <c r="H270" s="9" t="str">
        <f t="shared" si="41"/>
        <v>14</v>
      </c>
      <c r="I270" s="9" t="str">
        <f t="shared" si="42"/>
        <v>01</v>
      </c>
      <c r="J270" s="9" t="str">
        <f t="shared" si="43"/>
        <v>2025</v>
      </c>
      <c r="K270" s="10" t="str">
        <f t="shared" si="44"/>
        <v>14/01/2025</v>
      </c>
      <c r="L270" s="9" t="str">
        <f t="shared" si="45"/>
        <v>15</v>
      </c>
      <c r="M270" s="9" t="str">
        <f t="shared" si="46"/>
        <v>07</v>
      </c>
      <c r="N270" s="9" t="str">
        <f t="shared" si="47"/>
        <v>2025</v>
      </c>
      <c r="O270" s="10" t="str">
        <f t="shared" si="48"/>
        <v>15/07/2025</v>
      </c>
      <c r="P270" s="9">
        <f t="shared" si="49"/>
        <v>182</v>
      </c>
      <c r="Q270" t="str">
        <f>VLOOKUP(A270,[1]Sheet2!$I$2:$O$496,7,FALSE())</f>
        <v>https://fruitbasket.blob.core.windows.net/gk2o5k/avatar/21242482420250715102308FQ2GGB.jpg</v>
      </c>
    </row>
    <row r="271" spans="1:17" ht="13.8" hidden="1" x14ac:dyDescent="0.25">
      <c r="A271" s="11" t="s">
        <v>375</v>
      </c>
      <c r="B271" s="7" t="s">
        <v>111</v>
      </c>
      <c r="C271" s="7" t="s">
        <v>15</v>
      </c>
      <c r="D271" s="7" t="s">
        <v>376</v>
      </c>
      <c r="E271" s="7" t="s">
        <v>154</v>
      </c>
      <c r="F271" s="8"/>
      <c r="G271" s="9" t="str">
        <f t="shared" si="40"/>
        <v>JBK1E</v>
      </c>
      <c r="H271" s="9" t="str">
        <f t="shared" si="41"/>
        <v>28</v>
      </c>
      <c r="I271" s="9" t="str">
        <f t="shared" si="42"/>
        <v>06</v>
      </c>
      <c r="J271" s="9" t="str">
        <f t="shared" si="43"/>
        <v>2025</v>
      </c>
      <c r="K271" s="10" t="str">
        <f t="shared" si="44"/>
        <v>28/06/2025</v>
      </c>
      <c r="L271" s="9" t="str">
        <f t="shared" si="45"/>
        <v>18</v>
      </c>
      <c r="M271" s="9" t="str">
        <f t="shared" si="46"/>
        <v>07</v>
      </c>
      <c r="N271" s="9" t="str">
        <f t="shared" si="47"/>
        <v>2025</v>
      </c>
      <c r="O271" s="10" t="str">
        <f t="shared" si="48"/>
        <v>18/07/2025</v>
      </c>
      <c r="P271" s="9">
        <f t="shared" si="49"/>
        <v>20</v>
      </c>
      <c r="Q271" t="str">
        <f>VLOOKUP(A271,[1]Sheet2!$I$2:$O$496,7,FALSE())</f>
        <v>https://fruitbasket.blob.core.windows.net/gk2o5k/avatar/21277485320250718162021K66KZP.jpg</v>
      </c>
    </row>
    <row r="272" spans="1:17" ht="13.8" hidden="1" x14ac:dyDescent="0.25">
      <c r="A272" s="11" t="s">
        <v>312</v>
      </c>
      <c r="B272" s="7" t="s">
        <v>313</v>
      </c>
      <c r="C272" s="7" t="s">
        <v>15</v>
      </c>
      <c r="D272" s="7" t="s">
        <v>314</v>
      </c>
      <c r="E272" s="7" t="s">
        <v>137</v>
      </c>
      <c r="F272" s="8"/>
      <c r="G272" s="9" t="str">
        <f t="shared" si="40"/>
        <v>JBK1E</v>
      </c>
      <c r="H272" s="9" t="str">
        <f t="shared" si="41"/>
        <v>19</v>
      </c>
      <c r="I272" s="9" t="str">
        <f t="shared" si="42"/>
        <v>06</v>
      </c>
      <c r="J272" s="9" t="str">
        <f t="shared" si="43"/>
        <v>2025</v>
      </c>
      <c r="K272" s="10" t="str">
        <f t="shared" si="44"/>
        <v>19/06/2025</v>
      </c>
      <c r="L272" s="9" t="str">
        <f t="shared" si="45"/>
        <v>10</v>
      </c>
      <c r="M272" s="9" t="str">
        <f t="shared" si="46"/>
        <v>07</v>
      </c>
      <c r="N272" s="9" t="str">
        <f t="shared" si="47"/>
        <v>2025</v>
      </c>
      <c r="O272" s="10" t="str">
        <f t="shared" si="48"/>
        <v>10/07/2025</v>
      </c>
      <c r="P272" s="9">
        <f t="shared" si="49"/>
        <v>21</v>
      </c>
      <c r="Q272" t="str">
        <f>VLOOKUP(A272,[1]Sheet2!$I$2:$O$496,7,FALSE())</f>
        <v>https://fruitbasket.blob.core.windows.net/gk2o5k/avatar/21094802720250710134931FWOG2Z.jpg</v>
      </c>
    </row>
    <row r="273" spans="1:17" ht="13.8" hidden="1" x14ac:dyDescent="0.25">
      <c r="A273" s="11" t="s">
        <v>734</v>
      </c>
      <c r="B273" s="7" t="s">
        <v>461</v>
      </c>
      <c r="C273" s="7" t="s">
        <v>15</v>
      </c>
      <c r="D273" s="7" t="s">
        <v>735</v>
      </c>
      <c r="E273" s="7" t="s">
        <v>108</v>
      </c>
      <c r="F273" s="8"/>
      <c r="G273" s="9" t="str">
        <f t="shared" si="40"/>
        <v>KC04E</v>
      </c>
      <c r="H273" s="9" t="str">
        <f t="shared" si="41"/>
        <v>16</v>
      </c>
      <c r="I273" s="9" t="str">
        <f t="shared" si="42"/>
        <v>05</v>
      </c>
      <c r="J273" s="9" t="str">
        <f t="shared" si="43"/>
        <v>2025</v>
      </c>
      <c r="K273" s="10" t="str">
        <f t="shared" si="44"/>
        <v>16/05/2025</v>
      </c>
      <c r="L273" s="9" t="str">
        <f t="shared" si="45"/>
        <v>04</v>
      </c>
      <c r="M273" s="9" t="str">
        <f t="shared" si="46"/>
        <v>07</v>
      </c>
      <c r="N273" s="9" t="str">
        <f t="shared" si="47"/>
        <v>2025</v>
      </c>
      <c r="O273" s="10" t="str">
        <f t="shared" si="48"/>
        <v>04/07/2025</v>
      </c>
      <c r="P273" s="9">
        <f t="shared" si="49"/>
        <v>49</v>
      </c>
      <c r="Q273" t="str">
        <f>VLOOKUP(A273,[1]Sheet2!$I$2:$O$496,7,FALSE())</f>
        <v>https://fruitbasket.blob.core.windows.net/gk2o5k/avatar/21188240120250704160250UWHAUC.jpg</v>
      </c>
    </row>
    <row r="274" spans="1:17" ht="13.8" hidden="1" x14ac:dyDescent="0.25">
      <c r="A274" s="11" t="s">
        <v>253</v>
      </c>
      <c r="B274" s="7" t="s">
        <v>254</v>
      </c>
      <c r="C274" s="7" t="s">
        <v>15</v>
      </c>
      <c r="D274" s="7" t="s">
        <v>255</v>
      </c>
      <c r="E274" s="7" t="s">
        <v>104</v>
      </c>
      <c r="F274" s="8"/>
      <c r="G274" s="9" t="str">
        <f t="shared" si="40"/>
        <v>JBK1E</v>
      </c>
      <c r="H274" s="9" t="str">
        <f t="shared" si="41"/>
        <v>02</v>
      </c>
      <c r="I274" s="9" t="str">
        <f t="shared" si="42"/>
        <v>06</v>
      </c>
      <c r="J274" s="9" t="str">
        <f t="shared" si="43"/>
        <v>2025</v>
      </c>
      <c r="K274" s="10" t="str">
        <f t="shared" si="44"/>
        <v>02/06/2025</v>
      </c>
      <c r="L274" s="9" t="str">
        <f t="shared" si="45"/>
        <v>02</v>
      </c>
      <c r="M274" s="9" t="str">
        <f t="shared" si="46"/>
        <v>07</v>
      </c>
      <c r="N274" s="9" t="str">
        <f t="shared" si="47"/>
        <v>2025</v>
      </c>
      <c r="O274" s="10" t="str">
        <f t="shared" si="48"/>
        <v>02/07/2025</v>
      </c>
      <c r="P274" s="9">
        <f t="shared" si="49"/>
        <v>30</v>
      </c>
      <c r="Q274" t="str">
        <f>VLOOKUP(A274,[1]Sheet2!$I$2:$O$496,7,FALSE())</f>
        <v>https://fruitbasket.blob.core.windows.net/gk2o5k/avatar/21329153420250702115506AZQ7LS.jpg</v>
      </c>
    </row>
    <row r="275" spans="1:17" ht="13.8" hidden="1" x14ac:dyDescent="0.25">
      <c r="A275" s="11" t="s">
        <v>371</v>
      </c>
      <c r="B275" s="7" t="s">
        <v>267</v>
      </c>
      <c r="C275" s="7" t="s">
        <v>15</v>
      </c>
      <c r="D275" s="7" t="s">
        <v>372</v>
      </c>
      <c r="E275" s="7" t="s">
        <v>150</v>
      </c>
      <c r="F275" s="8"/>
      <c r="G275" s="9" t="str">
        <f t="shared" si="40"/>
        <v>JBK1E</v>
      </c>
      <c r="H275" s="9" t="str">
        <f t="shared" si="41"/>
        <v>12</v>
      </c>
      <c r="I275" s="9" t="str">
        <f t="shared" si="42"/>
        <v>06</v>
      </c>
      <c r="J275" s="9" t="str">
        <f t="shared" si="43"/>
        <v>2025</v>
      </c>
      <c r="K275" s="10" t="str">
        <f t="shared" si="44"/>
        <v>12/06/2025</v>
      </c>
      <c r="L275" s="9" t="str">
        <f t="shared" si="45"/>
        <v>17</v>
      </c>
      <c r="M275" s="9" t="str">
        <f t="shared" si="46"/>
        <v>07</v>
      </c>
      <c r="N275" s="9" t="str">
        <f t="shared" si="47"/>
        <v>2025</v>
      </c>
      <c r="O275" s="10" t="str">
        <f t="shared" si="48"/>
        <v>17/07/2025</v>
      </c>
      <c r="P275" s="9">
        <f t="shared" si="49"/>
        <v>35</v>
      </c>
      <c r="Q275" t="str">
        <f>VLOOKUP(A275,[1]Sheet2!$I$2:$O$496,7,FALSE())</f>
        <v>https://fruitbasket.blob.core.windows.net/gk2o5k/avatar/21339577320250717152906EO47ZL.jpg</v>
      </c>
    </row>
    <row r="276" spans="1:17" ht="13.8" hidden="1" x14ac:dyDescent="0.25">
      <c r="A276" s="11" t="s">
        <v>716</v>
      </c>
      <c r="B276" s="7" t="s">
        <v>454</v>
      </c>
      <c r="C276" s="7" t="s">
        <v>23</v>
      </c>
      <c r="D276" s="7" t="s">
        <v>717</v>
      </c>
      <c r="E276" s="7" t="s">
        <v>157</v>
      </c>
      <c r="F276" s="8"/>
      <c r="G276" s="9" t="str">
        <f t="shared" si="40"/>
        <v>JMC1E</v>
      </c>
      <c r="H276" s="9" t="str">
        <f t="shared" si="41"/>
        <v>22</v>
      </c>
      <c r="I276" s="9" t="str">
        <f t="shared" si="42"/>
        <v>04</v>
      </c>
      <c r="J276" s="9" t="str">
        <f t="shared" si="43"/>
        <v>2025</v>
      </c>
      <c r="K276" s="10" t="str">
        <f t="shared" si="44"/>
        <v>22/04/2025</v>
      </c>
      <c r="L276" s="9" t="str">
        <f t="shared" si="45"/>
        <v>26</v>
      </c>
      <c r="M276" s="9" t="str">
        <f t="shared" si="46"/>
        <v>07</v>
      </c>
      <c r="N276" s="9" t="str">
        <f t="shared" si="47"/>
        <v>2025</v>
      </c>
      <c r="O276" s="10" t="str">
        <f t="shared" si="48"/>
        <v>26/07/2025</v>
      </c>
      <c r="P276" s="9">
        <f t="shared" si="49"/>
        <v>95</v>
      </c>
      <c r="Q276" t="str">
        <f>VLOOKUP(A276,[1]Sheet2!$I$2:$O$496,7,FALSE())</f>
        <v>https://fruitbasket.blob.core.windows.net/gk2o5k/avatar/21295900320250726092206LNMUCG.jpg</v>
      </c>
    </row>
    <row r="277" spans="1:17" ht="13.8" hidden="1" x14ac:dyDescent="0.25">
      <c r="A277" s="11" t="s">
        <v>754</v>
      </c>
      <c r="B277" s="7" t="s">
        <v>188</v>
      </c>
      <c r="C277" s="7" t="s">
        <v>15</v>
      </c>
      <c r="D277" s="7" t="s">
        <v>755</v>
      </c>
      <c r="E277" s="7" t="s">
        <v>411</v>
      </c>
      <c r="F277" s="8"/>
      <c r="G277" s="9" t="str">
        <f t="shared" si="40"/>
        <v>KC04E</v>
      </c>
      <c r="H277" s="9" t="str">
        <f t="shared" si="41"/>
        <v>25</v>
      </c>
      <c r="I277" s="9" t="str">
        <f t="shared" si="42"/>
        <v>06</v>
      </c>
      <c r="J277" s="9" t="str">
        <f t="shared" si="43"/>
        <v>2025</v>
      </c>
      <c r="K277" s="10" t="str">
        <f t="shared" si="44"/>
        <v>25/06/2025</v>
      </c>
      <c r="L277" s="9" t="str">
        <f t="shared" si="45"/>
        <v>24</v>
      </c>
      <c r="M277" s="9" t="str">
        <f t="shared" si="46"/>
        <v>07</v>
      </c>
      <c r="N277" s="9" t="str">
        <f t="shared" si="47"/>
        <v>2025</v>
      </c>
      <c r="O277" s="10" t="str">
        <f t="shared" si="48"/>
        <v>24/07/2025</v>
      </c>
      <c r="P277" s="9">
        <f t="shared" si="49"/>
        <v>29</v>
      </c>
      <c r="Q277" t="str">
        <f>VLOOKUP(A277,[1]Sheet2!$I$2:$O$496,7,FALSE())</f>
        <v>https://fruitbasket.blob.core.windows.net/gk2o5k/avatar/21297442920250724110915ZQ22HL.jpg</v>
      </c>
    </row>
    <row r="278" spans="1:17" ht="13.8" hidden="1" x14ac:dyDescent="0.25">
      <c r="A278" s="11" t="s">
        <v>662</v>
      </c>
      <c r="B278" s="7" t="s">
        <v>663</v>
      </c>
      <c r="C278" s="7" t="s">
        <v>15</v>
      </c>
      <c r="D278" s="7" t="s">
        <v>664</v>
      </c>
      <c r="E278" s="7" t="s">
        <v>131</v>
      </c>
      <c r="F278" s="8"/>
      <c r="G278" s="9" t="str">
        <f t="shared" si="40"/>
        <v>JMC1E</v>
      </c>
      <c r="H278" s="9" t="str">
        <f t="shared" si="41"/>
        <v>26</v>
      </c>
      <c r="I278" s="9" t="str">
        <f t="shared" si="42"/>
        <v>05</v>
      </c>
      <c r="J278" s="9" t="str">
        <f t="shared" si="43"/>
        <v>2025</v>
      </c>
      <c r="K278" s="10" t="str">
        <f t="shared" si="44"/>
        <v>26/05/2025</v>
      </c>
      <c r="L278" s="9" t="str">
        <f t="shared" si="45"/>
        <v>09</v>
      </c>
      <c r="M278" s="9" t="str">
        <f t="shared" si="46"/>
        <v>07</v>
      </c>
      <c r="N278" s="9" t="str">
        <f t="shared" si="47"/>
        <v>2025</v>
      </c>
      <c r="O278" s="10" t="str">
        <f t="shared" si="48"/>
        <v>09/07/2025</v>
      </c>
      <c r="P278" s="9">
        <f t="shared" si="49"/>
        <v>44</v>
      </c>
      <c r="Q278" t="str">
        <f>VLOOKUP(A278,[1]Sheet2!$I$2:$O$496,7,FALSE())</f>
        <v>https://fruitbasket.blob.core.windows.net/gk2o5k/avatar/21324940520250709134837DQS9OA.jpg</v>
      </c>
    </row>
    <row r="279" spans="1:17" ht="13.8" hidden="1" x14ac:dyDescent="0.25">
      <c r="A279" s="11" t="s">
        <v>556</v>
      </c>
      <c r="B279" s="7" t="s">
        <v>557</v>
      </c>
      <c r="C279" s="7" t="s">
        <v>15</v>
      </c>
      <c r="D279" s="7" t="s">
        <v>558</v>
      </c>
      <c r="E279" s="7" t="s">
        <v>144</v>
      </c>
      <c r="F279" s="8"/>
      <c r="G279" s="9" t="str">
        <f t="shared" si="40"/>
        <v>JMH2E</v>
      </c>
      <c r="H279" s="9" t="str">
        <f t="shared" si="41"/>
        <v>13</v>
      </c>
      <c r="I279" s="9" t="str">
        <f t="shared" si="42"/>
        <v>05</v>
      </c>
      <c r="J279" s="9" t="str">
        <f t="shared" si="43"/>
        <v>2025</v>
      </c>
      <c r="K279" s="10" t="str">
        <f t="shared" si="44"/>
        <v>13/05/2025</v>
      </c>
      <c r="L279" s="9" t="str">
        <f t="shared" si="45"/>
        <v>12</v>
      </c>
      <c r="M279" s="9" t="str">
        <f t="shared" si="46"/>
        <v>07</v>
      </c>
      <c r="N279" s="9" t="str">
        <f t="shared" si="47"/>
        <v>2025</v>
      </c>
      <c r="O279" s="10" t="str">
        <f t="shared" si="48"/>
        <v>12/07/2025</v>
      </c>
      <c r="P279" s="9">
        <f t="shared" si="49"/>
        <v>60</v>
      </c>
      <c r="Q279" t="str">
        <f>VLOOKUP(A279,[1]Sheet2!$I$2:$O$496,7,FALSE())</f>
        <v>https://fruitbasket.blob.core.windows.net/gk2o5k/avatar/21204520220250712145700WDBU6C.jpg</v>
      </c>
    </row>
    <row r="280" spans="1:17" ht="13.8" hidden="1" x14ac:dyDescent="0.25">
      <c r="A280" s="11" t="s">
        <v>383</v>
      </c>
      <c r="B280" s="7" t="s">
        <v>111</v>
      </c>
      <c r="C280" s="7" t="s">
        <v>15</v>
      </c>
      <c r="D280" s="7" t="s">
        <v>384</v>
      </c>
      <c r="E280" s="7" t="s">
        <v>245</v>
      </c>
      <c r="F280" s="8"/>
      <c r="G280" s="9" t="str">
        <f t="shared" si="40"/>
        <v>JBK1E</v>
      </c>
      <c r="H280" s="9" t="str">
        <f t="shared" si="41"/>
        <v>28</v>
      </c>
      <c r="I280" s="9" t="str">
        <f t="shared" si="42"/>
        <v>06</v>
      </c>
      <c r="J280" s="9" t="str">
        <f t="shared" si="43"/>
        <v>2025</v>
      </c>
      <c r="K280" s="10" t="str">
        <f t="shared" si="44"/>
        <v>28/06/2025</v>
      </c>
      <c r="L280" s="9" t="str">
        <f t="shared" si="45"/>
        <v>19</v>
      </c>
      <c r="M280" s="9" t="str">
        <f t="shared" si="46"/>
        <v>07</v>
      </c>
      <c r="N280" s="9" t="str">
        <f t="shared" si="47"/>
        <v>2025</v>
      </c>
      <c r="O280" s="10" t="str">
        <f t="shared" si="48"/>
        <v>19/07/2025</v>
      </c>
      <c r="P280" s="9">
        <f t="shared" si="49"/>
        <v>21</v>
      </c>
      <c r="Q280" t="str">
        <f>VLOOKUP(A280,[1]Sheet2!$I$2:$O$496,7,FALSE())</f>
        <v>https://fruitbasket.blob.core.windows.net/gk2o5k/avatar/21277681120250719110238MBHLJQ.jpg</v>
      </c>
    </row>
  </sheetData>
  <autoFilter ref="A1:P280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P280">
      <sortCondition ref="D1:D280"/>
    </sortState>
  </autoFilter>
  <conditionalFormatting sqref="A1:A1048576">
    <cfRule type="duplicateValues" dxfId="3" priority="1"/>
  </conditionalFormatting>
  <conditionalFormatting sqref="D1:D1048576">
    <cfRule type="duplicateValues" dxfId="2" priority="2"/>
  </conditionalFormatting>
  <pageMargins left="0.39370078740157483" right="0.39370078740157483" top="0.39370078740157483" bottom="0.39370078740157483" header="0" footer="0"/>
  <pageSetup paperSize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2E84-38E5-4A57-B3CD-1DAEBA4C7D8B}">
  <dimension ref="A1:I225"/>
  <sheetViews>
    <sheetView zoomScale="145" zoomScaleNormal="145" workbookViewId="0">
      <selection activeCell="G1" sqref="G1"/>
    </sheetView>
  </sheetViews>
  <sheetFormatPr defaultRowHeight="13.8" x14ac:dyDescent="0.3"/>
  <cols>
    <col min="1" max="1" width="13.44140625" bestFit="1" customWidth="1"/>
    <col min="2" max="2" width="10.5546875" bestFit="1" customWidth="1"/>
    <col min="3" max="3" width="10.5546875" customWidth="1"/>
    <col min="4" max="4" width="10.88671875" style="16" bestFit="1" customWidth="1"/>
    <col min="5" max="5" width="10.88671875" style="16" customWidth="1"/>
    <col min="6" max="6" width="5" style="16" bestFit="1" customWidth="1"/>
    <col min="7" max="7" width="5" style="16" customWidth="1"/>
    <col min="8" max="8" width="10.6640625" style="16" bestFit="1" customWidth="1"/>
    <col min="9" max="9" width="10.6640625" style="16" customWidth="1"/>
  </cols>
  <sheetData>
    <row r="1" spans="1:9" ht="15.6" x14ac:dyDescent="0.25">
      <c r="A1" s="5" t="s">
        <v>97</v>
      </c>
      <c r="B1" s="5" t="s">
        <v>99</v>
      </c>
      <c r="C1" s="5" t="s">
        <v>825</v>
      </c>
      <c r="D1" s="5" t="s">
        <v>98</v>
      </c>
      <c r="E1" s="5" t="s">
        <v>825</v>
      </c>
      <c r="F1" s="5" t="s">
        <v>101</v>
      </c>
      <c r="G1" s="5" t="s">
        <v>825</v>
      </c>
      <c r="H1" s="5" t="s">
        <v>100</v>
      </c>
      <c r="I1" s="5" t="s">
        <v>825</v>
      </c>
    </row>
    <row r="2" spans="1:9" x14ac:dyDescent="0.25">
      <c r="A2" s="14" t="s">
        <v>280</v>
      </c>
      <c r="B2" s="15" t="s">
        <v>111</v>
      </c>
      <c r="C2" s="15" t="str">
        <f>VLOOKUP(A2,[1]Sheet2!$I$2:$O$496,5,FALSE)</f>
        <v>2025-06-28</v>
      </c>
      <c r="D2" s="17" t="s">
        <v>15</v>
      </c>
      <c r="E2" s="17" t="str">
        <f>VLOOKUP(A2,[1]Sheet2!$I$2:$O$496,3,FALSE)</f>
        <v>KPB1</v>
      </c>
      <c r="F2" s="17" t="s">
        <v>281</v>
      </c>
      <c r="G2" s="17">
        <f>VLOOKUP(A2,[1]Sheet2!$I$2:$O$496,4,FALSE)</f>
        <v>100</v>
      </c>
      <c r="H2" s="17" t="s">
        <v>112</v>
      </c>
      <c r="I2" s="17" t="str">
        <f>VLOOKUP(A2,[1]Sheet2!$I$2:$O$496,6,FALSE)</f>
        <v>2025-07-05</v>
      </c>
    </row>
    <row r="3" spans="1:9" x14ac:dyDescent="0.25">
      <c r="A3" s="14" t="s">
        <v>633</v>
      </c>
      <c r="B3" s="15" t="s">
        <v>111</v>
      </c>
      <c r="C3" s="15" t="str">
        <f>VLOOKUP(A3,[1]Sheet2!$I$2:$O$496,5,FALSE)</f>
        <v>1970-01-01</v>
      </c>
      <c r="D3" s="17" t="s">
        <v>15</v>
      </c>
      <c r="E3" s="17" t="str">
        <f>VLOOKUP(A3,[1]Sheet2!$I$2:$O$496,3,FALSE)</f>
        <v>KPB1</v>
      </c>
      <c r="F3" s="17" t="s">
        <v>634</v>
      </c>
      <c r="G3" s="17">
        <f>VLOOKUP(A3,[1]Sheet2!$I$2:$O$496,4,FALSE)</f>
        <v>1010</v>
      </c>
      <c r="H3" s="17" t="s">
        <v>140</v>
      </c>
      <c r="I3" s="17" t="str">
        <f>VLOOKUP(A3,[1]Sheet2!$I$2:$O$496,6,FALSE)</f>
        <v>2025-07-11</v>
      </c>
    </row>
    <row r="4" spans="1:9" x14ac:dyDescent="0.25">
      <c r="A4" s="14" t="s">
        <v>266</v>
      </c>
      <c r="B4" s="15" t="s">
        <v>267</v>
      </c>
      <c r="C4" s="15" t="str">
        <f>VLOOKUP(A4,[1]Sheet2!$I$2:$O$496,5,FALSE)</f>
        <v>2025-06-12</v>
      </c>
      <c r="D4" s="17" t="s">
        <v>15</v>
      </c>
      <c r="E4" s="17" t="str">
        <f>VLOOKUP(A4,[1]Sheet2!$I$2:$O$496,3,FALSE)</f>
        <v>KPB1</v>
      </c>
      <c r="F4" s="17" t="s">
        <v>268</v>
      </c>
      <c r="G4" s="17">
        <f>VLOOKUP(A4,[1]Sheet2!$I$2:$O$496,4,FALSE)</f>
        <v>1029</v>
      </c>
      <c r="H4" s="17" t="s">
        <v>108</v>
      </c>
      <c r="I4" s="17" t="str">
        <f>VLOOKUP(A4,[1]Sheet2!$I$2:$O$496,6,FALSE)</f>
        <v>2025-07-04</v>
      </c>
    </row>
    <row r="5" spans="1:9" x14ac:dyDescent="0.25">
      <c r="A5" s="14" t="s">
        <v>164</v>
      </c>
      <c r="B5" s="15" t="s">
        <v>165</v>
      </c>
      <c r="C5" s="15" t="str">
        <f>VLOOKUP(A5,[1]Sheet2!$I$2:$O$496,5,FALSE)</f>
        <v>2025-03-20</v>
      </c>
      <c r="D5" s="17" t="s">
        <v>21</v>
      </c>
      <c r="E5" s="17" t="str">
        <f>VLOOKUP(A5,[1]Sheet2!$I$2:$O$496,3,FALSE)</f>
        <v>KPB2</v>
      </c>
      <c r="F5" s="17" t="s">
        <v>166</v>
      </c>
      <c r="G5" s="17">
        <f>VLOOKUP(A5,[1]Sheet2!$I$2:$O$496,4,FALSE)</f>
        <v>1034</v>
      </c>
      <c r="H5" s="17" t="s">
        <v>104</v>
      </c>
      <c r="I5" s="17" t="str">
        <f>VLOOKUP(A5,[1]Sheet2!$I$2:$O$496,6,FALSE)</f>
        <v>2025-07-02</v>
      </c>
    </row>
    <row r="6" spans="1:9" x14ac:dyDescent="0.25">
      <c r="A6" s="14" t="s">
        <v>194</v>
      </c>
      <c r="B6" s="15" t="s">
        <v>118</v>
      </c>
      <c r="C6" s="15" t="str">
        <f>VLOOKUP(A6,[1]Sheet2!$I$2:$O$496,5,FALSE)</f>
        <v>2025-06-05</v>
      </c>
      <c r="D6" s="17" t="s">
        <v>15</v>
      </c>
      <c r="E6" s="17" t="str">
        <f>VLOOKUP(A6,[1]Sheet2!$I$2:$O$496,3,FALSE)</f>
        <v>KPB1</v>
      </c>
      <c r="F6" s="17" t="s">
        <v>166</v>
      </c>
      <c r="G6" s="17">
        <f>VLOOKUP(A6,[1]Sheet2!$I$2:$O$496,4,FALSE)</f>
        <v>1034</v>
      </c>
      <c r="H6" s="17" t="s">
        <v>195</v>
      </c>
      <c r="I6" s="17" t="str">
        <f>VLOOKUP(A6,[1]Sheet2!$I$2:$O$496,6,FALSE)</f>
        <v>2025-07-03</v>
      </c>
    </row>
    <row r="7" spans="1:9" x14ac:dyDescent="0.25">
      <c r="A7" s="14" t="s">
        <v>447</v>
      </c>
      <c r="B7" s="15" t="s">
        <v>448</v>
      </c>
      <c r="C7" s="15" t="str">
        <f>VLOOKUP(A7,[1]Sheet2!$I$2:$O$496,5,FALSE)</f>
        <v>2025-04-30</v>
      </c>
      <c r="D7" s="17" t="s">
        <v>21</v>
      </c>
      <c r="E7" s="17" t="str">
        <f>VLOOKUP(A7,[1]Sheet2!$I$2:$O$496,3,FALSE)</f>
        <v>KPB2</v>
      </c>
      <c r="F7" s="17" t="s">
        <v>449</v>
      </c>
      <c r="G7" s="17">
        <f>VLOOKUP(A7,[1]Sheet2!$I$2:$O$496,4,FALSE)</f>
        <v>1036</v>
      </c>
      <c r="H7" s="17" t="s">
        <v>131</v>
      </c>
      <c r="I7" s="17" t="str">
        <f>VLOOKUP(A7,[1]Sheet2!$I$2:$O$496,6,FALSE)</f>
        <v>2025-07-09</v>
      </c>
    </row>
    <row r="8" spans="1:9" x14ac:dyDescent="0.25">
      <c r="A8" s="14" t="s">
        <v>152</v>
      </c>
      <c r="B8" s="15" t="s">
        <v>153</v>
      </c>
      <c r="C8" s="15" t="str">
        <f>VLOOKUP(A8,[1]Sheet2!$I$2:$O$496,5,FALSE)</f>
        <v>2025-06-13</v>
      </c>
      <c r="D8" s="17" t="s">
        <v>15</v>
      </c>
      <c r="E8" s="17" t="str">
        <f>VLOOKUP(A8,[1]Sheet2!$I$2:$O$496,3,FALSE)</f>
        <v>KPB1</v>
      </c>
      <c r="F8" s="17" t="s">
        <v>155</v>
      </c>
      <c r="G8" s="17">
        <f>VLOOKUP(A8,[1]Sheet2!$I$2:$O$496,4,FALSE)</f>
        <v>1043</v>
      </c>
      <c r="H8" s="17" t="s">
        <v>154</v>
      </c>
      <c r="I8" s="17" t="str">
        <f>VLOOKUP(A8,[1]Sheet2!$I$2:$O$496,6,FALSE)</f>
        <v>2025-07-18</v>
      </c>
    </row>
    <row r="9" spans="1:9" x14ac:dyDescent="0.25">
      <c r="A9" s="14" t="s">
        <v>217</v>
      </c>
      <c r="B9" s="15" t="s">
        <v>112</v>
      </c>
      <c r="C9" s="15" t="str">
        <f>VLOOKUP(A9,[1]Sheet2!$I$2:$O$496,5,FALSE)</f>
        <v>2025-07-07</v>
      </c>
      <c r="D9" s="17" t="s">
        <v>15</v>
      </c>
      <c r="E9" s="17" t="str">
        <f>VLOOKUP(A9,[1]Sheet2!$I$2:$O$496,3,FALSE)</f>
        <v>KPB1</v>
      </c>
      <c r="F9" s="17" t="s">
        <v>219</v>
      </c>
      <c r="G9" s="17">
        <f>VLOOKUP(A9,[1]Sheet2!$I$2:$O$496,4,FALSE)</f>
        <v>1047</v>
      </c>
      <c r="H9" s="17" t="s">
        <v>218</v>
      </c>
      <c r="I9" s="17" t="str">
        <f>VLOOKUP(A9,[1]Sheet2!$I$2:$O$496,6,FALSE)</f>
        <v>2025-07-30</v>
      </c>
    </row>
    <row r="10" spans="1:9" x14ac:dyDescent="0.25">
      <c r="A10" s="14" t="s">
        <v>638</v>
      </c>
      <c r="B10" s="15" t="s">
        <v>286</v>
      </c>
      <c r="C10" s="15" t="str">
        <f>VLOOKUP(A10,[1]Sheet2!$I$2:$O$496,5,FALSE)</f>
        <v>1970-01-01</v>
      </c>
      <c r="D10" s="17" t="s">
        <v>21</v>
      </c>
      <c r="E10" s="17" t="str">
        <f>VLOOKUP(A10,[1]Sheet2!$I$2:$O$496,3,FALSE)</f>
        <v>KPB2</v>
      </c>
      <c r="F10" s="17" t="s">
        <v>639</v>
      </c>
      <c r="G10" s="17">
        <f>VLOOKUP(A10,[1]Sheet2!$I$2:$O$496,4,FALSE)</f>
        <v>1048</v>
      </c>
      <c r="H10" s="17" t="s">
        <v>179</v>
      </c>
      <c r="I10" s="17" t="str">
        <f>VLOOKUP(A10,[1]Sheet2!$I$2:$O$496,6,FALSE)</f>
        <v>2025-07-28</v>
      </c>
    </row>
    <row r="11" spans="1:9" x14ac:dyDescent="0.25">
      <c r="A11" s="14" t="s">
        <v>214</v>
      </c>
      <c r="B11" s="15" t="s">
        <v>215</v>
      </c>
      <c r="C11" s="15" t="str">
        <f>VLOOKUP(A11,[1]Sheet2!$I$2:$O$496,5,FALSE)</f>
        <v>1970-01-01</v>
      </c>
      <c r="D11" s="17" t="s">
        <v>15</v>
      </c>
      <c r="E11" s="17" t="str">
        <f>VLOOKUP(A11,[1]Sheet2!$I$2:$O$496,3,FALSE)</f>
        <v>KPB1</v>
      </c>
      <c r="F11" s="17" t="s">
        <v>216</v>
      </c>
      <c r="G11" s="17">
        <f>VLOOKUP(A11,[1]Sheet2!$I$2:$O$496,4,FALSE)</f>
        <v>1050</v>
      </c>
      <c r="H11" s="17" t="s">
        <v>157</v>
      </c>
      <c r="I11" s="17" t="str">
        <f>VLOOKUP(A11,[1]Sheet2!$I$2:$O$496,6,FALSE)</f>
        <v>2025-07-26</v>
      </c>
    </row>
    <row r="12" spans="1:9" x14ac:dyDescent="0.25">
      <c r="A12" s="14" t="s">
        <v>551</v>
      </c>
      <c r="B12" s="15" t="s">
        <v>552</v>
      </c>
      <c r="C12" s="15" t="str">
        <f>VLOOKUP(A12,[1]Sheet2!$I$2:$O$496,5,FALSE)</f>
        <v>1970-01-01</v>
      </c>
      <c r="D12" s="17" t="s">
        <v>15</v>
      </c>
      <c r="E12" s="17" t="str">
        <f>VLOOKUP(A12,[1]Sheet2!$I$2:$O$496,3,FALSE)</f>
        <v>KPB1</v>
      </c>
      <c r="F12" s="17" t="s">
        <v>553</v>
      </c>
      <c r="G12" s="17">
        <f>VLOOKUP(A12,[1]Sheet2!$I$2:$O$496,4,FALSE)</f>
        <v>1055</v>
      </c>
      <c r="H12" s="17" t="s">
        <v>140</v>
      </c>
      <c r="I12" s="17" t="str">
        <f>VLOOKUP(A12,[1]Sheet2!$I$2:$O$496,6,FALSE)</f>
        <v>2025-07-11</v>
      </c>
    </row>
    <row r="13" spans="1:9" x14ac:dyDescent="0.25">
      <c r="A13" s="14" t="s">
        <v>138</v>
      </c>
      <c r="B13" s="15" t="s">
        <v>139</v>
      </c>
      <c r="C13" s="15" t="str">
        <f>VLOOKUP(A13,[1]Sheet2!$I$2:$O$496,5,FALSE)</f>
        <v>2025-06-11</v>
      </c>
      <c r="D13" s="17" t="s">
        <v>15</v>
      </c>
      <c r="E13" s="17" t="str">
        <f>VLOOKUP(A13,[1]Sheet2!$I$2:$O$496,3,FALSE)</f>
        <v>KPB1</v>
      </c>
      <c r="F13" s="17" t="s">
        <v>141</v>
      </c>
      <c r="G13" s="17">
        <f>VLOOKUP(A13,[1]Sheet2!$I$2:$O$496,4,FALSE)</f>
        <v>1086</v>
      </c>
      <c r="H13" s="17" t="s">
        <v>140</v>
      </c>
      <c r="I13" s="17" t="str">
        <f>VLOOKUP(A13,[1]Sheet2!$I$2:$O$496,6,FALSE)</f>
        <v>2025-07-11</v>
      </c>
    </row>
    <row r="14" spans="1:9" x14ac:dyDescent="0.25">
      <c r="A14" s="14" t="s">
        <v>611</v>
      </c>
      <c r="B14" s="15" t="s">
        <v>118</v>
      </c>
      <c r="C14" s="15" t="str">
        <f>VLOOKUP(A14,[1]Sheet2!$I$2:$O$496,5,FALSE)</f>
        <v>1970-01-01</v>
      </c>
      <c r="D14" s="17" t="s">
        <v>15</v>
      </c>
      <c r="E14" s="17" t="str">
        <f>VLOOKUP(A14,[1]Sheet2!$I$2:$O$496,3,FALSE)</f>
        <v>KPB1</v>
      </c>
      <c r="F14" s="17" t="s">
        <v>612</v>
      </c>
      <c r="G14" s="17">
        <f>VLOOKUP(A14,[1]Sheet2!$I$2:$O$496,4,FALSE)</f>
        <v>1087</v>
      </c>
      <c r="H14" s="17" t="s">
        <v>108</v>
      </c>
      <c r="I14" s="17" t="str">
        <f>VLOOKUP(A14,[1]Sheet2!$I$2:$O$496,6,FALSE)</f>
        <v>2025-07-04</v>
      </c>
    </row>
    <row r="15" spans="1:9" x14ac:dyDescent="0.25">
      <c r="A15" s="14" t="s">
        <v>564</v>
      </c>
      <c r="B15" s="15" t="s">
        <v>139</v>
      </c>
      <c r="C15" s="15" t="str">
        <f>VLOOKUP(A15,[1]Sheet2!$I$2:$O$496,5,FALSE)</f>
        <v>1970-01-01</v>
      </c>
      <c r="D15" s="17" t="s">
        <v>15</v>
      </c>
      <c r="E15" s="17" t="str">
        <f>VLOOKUP(A15,[1]Sheet2!$I$2:$O$496,3,FALSE)</f>
        <v>KPB1</v>
      </c>
      <c r="F15" s="17" t="s">
        <v>565</v>
      </c>
      <c r="G15" s="17">
        <f>VLOOKUP(A15,[1]Sheet2!$I$2:$O$496,4,FALSE)</f>
        <v>1089</v>
      </c>
      <c r="H15" s="17" t="s">
        <v>175</v>
      </c>
      <c r="I15" s="17" t="str">
        <f>VLOOKUP(A15,[1]Sheet2!$I$2:$O$496,6,FALSE)</f>
        <v>2025-07-21</v>
      </c>
    </row>
    <row r="16" spans="1:9" x14ac:dyDescent="0.25">
      <c r="A16" s="14" t="s">
        <v>750</v>
      </c>
      <c r="B16" s="15" t="s">
        <v>663</v>
      </c>
      <c r="C16" s="15" t="str">
        <f>VLOOKUP(A16,[1]Sheet2!$I$2:$O$496,5,FALSE)</f>
        <v>2025-05-26</v>
      </c>
      <c r="D16" s="17" t="s">
        <v>15</v>
      </c>
      <c r="E16" s="17" t="str">
        <f>VLOOKUP(A16,[1]Sheet2!$I$2:$O$496,3,FALSE)</f>
        <v>KPB1</v>
      </c>
      <c r="F16" s="17" t="s">
        <v>751</v>
      </c>
      <c r="G16" s="17">
        <f>VLOOKUP(A16,[1]Sheet2!$I$2:$O$496,4,FALSE)</f>
        <v>1099</v>
      </c>
      <c r="H16" s="17" t="s">
        <v>352</v>
      </c>
      <c r="I16" s="17" t="str">
        <f>VLOOKUP(A16,[1]Sheet2!$I$2:$O$496,6,FALSE)</f>
        <v>2025-07-13</v>
      </c>
    </row>
    <row r="17" spans="1:9" x14ac:dyDescent="0.3">
      <c r="A17" s="14" t="s">
        <v>159</v>
      </c>
      <c r="B17" s="15" t="s">
        <v>143</v>
      </c>
      <c r="C17" s="9" t="s">
        <v>827</v>
      </c>
      <c r="D17" s="17" t="s">
        <v>21</v>
      </c>
      <c r="E17" s="18" t="s">
        <v>826</v>
      </c>
      <c r="F17" s="17" t="s">
        <v>160</v>
      </c>
      <c r="G17" s="18">
        <v>1112</v>
      </c>
      <c r="H17" s="17" t="s">
        <v>121</v>
      </c>
      <c r="I17" s="18" t="s">
        <v>828</v>
      </c>
    </row>
    <row r="18" spans="1:9" x14ac:dyDescent="0.25">
      <c r="A18" s="14" t="s">
        <v>730</v>
      </c>
      <c r="B18" s="15" t="s">
        <v>606</v>
      </c>
      <c r="C18" s="15" t="str">
        <f>VLOOKUP(A18,[1]Sheet2!$I$2:$O$496,5,FALSE)</f>
        <v>2025-06-04</v>
      </c>
      <c r="D18" s="17" t="s">
        <v>21</v>
      </c>
      <c r="E18" s="17" t="str">
        <f>VLOOKUP(A18,[1]Sheet2!$I$2:$O$496,3,FALSE)</f>
        <v>KPB2</v>
      </c>
      <c r="F18" s="17" t="s">
        <v>731</v>
      </c>
      <c r="G18" s="17">
        <f>VLOOKUP(A18,[1]Sheet2!$I$2:$O$496,4,FALSE)</f>
        <v>1120</v>
      </c>
      <c r="H18" s="17" t="s">
        <v>144</v>
      </c>
      <c r="I18" s="17" t="str">
        <f>VLOOKUP(A18,[1]Sheet2!$I$2:$O$496,6,FALSE)</f>
        <v>2025-07-12</v>
      </c>
    </row>
    <row r="19" spans="1:9" x14ac:dyDescent="0.25">
      <c r="A19" s="14" t="s">
        <v>430</v>
      </c>
      <c r="B19" s="15" t="s">
        <v>431</v>
      </c>
      <c r="C19" s="15" t="str">
        <f>VLOOKUP(A19,[1]Sheet2!$I$2:$O$496,5,FALSE)</f>
        <v>2025-03-07</v>
      </c>
      <c r="D19" s="17" t="s">
        <v>21</v>
      </c>
      <c r="E19" s="17" t="str">
        <f>VLOOKUP(A19,[1]Sheet2!$I$2:$O$496,3,FALSE)</f>
        <v>KPB2</v>
      </c>
      <c r="F19" s="17" t="s">
        <v>432</v>
      </c>
      <c r="G19" s="17">
        <f>VLOOKUP(A19,[1]Sheet2!$I$2:$O$496,4,FALSE)</f>
        <v>1237</v>
      </c>
      <c r="H19" s="17" t="s">
        <v>104</v>
      </c>
      <c r="I19" s="17" t="str">
        <f>VLOOKUP(A19,[1]Sheet2!$I$2:$O$496,6,FALSE)</f>
        <v>2025-07-02</v>
      </c>
    </row>
    <row r="20" spans="1:9" x14ac:dyDescent="0.25">
      <c r="A20" s="14" t="s">
        <v>466</v>
      </c>
      <c r="B20" s="15" t="s">
        <v>107</v>
      </c>
      <c r="C20" s="15" t="str">
        <f>VLOOKUP(A20,[1]Sheet2!$I$2:$O$496,5,FALSE)</f>
        <v>2025-05-03</v>
      </c>
      <c r="D20" s="17" t="s">
        <v>21</v>
      </c>
      <c r="E20" s="17" t="str">
        <f>VLOOKUP(A20,[1]Sheet2!$I$2:$O$496,3,FALSE)</f>
        <v>KPB2</v>
      </c>
      <c r="F20" s="17" t="s">
        <v>467</v>
      </c>
      <c r="G20" s="17">
        <f>VLOOKUP(A20,[1]Sheet2!$I$2:$O$496,4,FALSE)</f>
        <v>1251</v>
      </c>
      <c r="H20" s="17" t="s">
        <v>183</v>
      </c>
      <c r="I20" s="17" t="str">
        <f>VLOOKUP(A20,[1]Sheet2!$I$2:$O$496,6,FALSE)</f>
        <v>2025-07-23</v>
      </c>
    </row>
    <row r="21" spans="1:9" x14ac:dyDescent="0.25">
      <c r="A21" s="14" t="s">
        <v>442</v>
      </c>
      <c r="B21" s="15" t="s">
        <v>443</v>
      </c>
      <c r="C21" s="15" t="str">
        <f>VLOOKUP(A21,[1]Sheet2!$I$2:$O$496,5,FALSE)</f>
        <v>2025-03-12</v>
      </c>
      <c r="D21" s="17" t="s">
        <v>21</v>
      </c>
      <c r="E21" s="17" t="str">
        <f>VLOOKUP(A21,[1]Sheet2!$I$2:$O$496,3,FALSE)</f>
        <v>KPB2</v>
      </c>
      <c r="F21" s="17" t="s">
        <v>444</v>
      </c>
      <c r="G21" s="17">
        <f>VLOOKUP(A21,[1]Sheet2!$I$2:$O$496,4,FALSE)</f>
        <v>1255</v>
      </c>
      <c r="H21" s="17" t="s">
        <v>112</v>
      </c>
      <c r="I21" s="17" t="str">
        <f>VLOOKUP(A21,[1]Sheet2!$I$2:$O$496,6,FALSE)</f>
        <v>2025-07-05</v>
      </c>
    </row>
    <row r="22" spans="1:9" x14ac:dyDescent="0.25">
      <c r="A22" s="14" t="s">
        <v>772</v>
      </c>
      <c r="B22" s="15" t="s">
        <v>685</v>
      </c>
      <c r="C22" s="15" t="str">
        <f>VLOOKUP(A22,[1]Sheet2!$I$2:$O$496,5,FALSE)</f>
        <v>2025-03-04</v>
      </c>
      <c r="D22" s="17" t="s">
        <v>28</v>
      </c>
      <c r="E22" s="17" t="str">
        <f>VLOOKUP(A22,[1]Sheet2!$I$2:$O$496,3,FALSE)</f>
        <v>KPB3</v>
      </c>
      <c r="F22" s="17" t="s">
        <v>773</v>
      </c>
      <c r="G22" s="17">
        <f>VLOOKUP(A22,[1]Sheet2!$I$2:$O$496,4,FALSE)</f>
        <v>1266</v>
      </c>
      <c r="H22" s="17" t="s">
        <v>588</v>
      </c>
      <c r="I22" s="17" t="str">
        <f>VLOOKUP(A22,[1]Sheet2!$I$2:$O$496,6,FALSE)</f>
        <v>2025-07-27</v>
      </c>
    </row>
    <row r="23" spans="1:9" x14ac:dyDescent="0.25">
      <c r="A23" s="14" t="s">
        <v>401</v>
      </c>
      <c r="B23" s="15" t="s">
        <v>140</v>
      </c>
      <c r="C23" s="15" t="str">
        <f>VLOOKUP(A23,[1]Sheet2!$I$2:$O$496,5,FALSE)</f>
        <v>2025-07-11</v>
      </c>
      <c r="D23" s="17" t="s">
        <v>15</v>
      </c>
      <c r="E23" s="17" t="str">
        <f>VLOOKUP(A23,[1]Sheet2!$I$2:$O$496,3,FALSE)</f>
        <v>KPB1</v>
      </c>
      <c r="F23" s="17" t="s">
        <v>402</v>
      </c>
      <c r="G23" s="17">
        <f>VLOOKUP(A23,[1]Sheet2!$I$2:$O$496,4,FALSE)</f>
        <v>130</v>
      </c>
      <c r="H23" s="17" t="s">
        <v>393</v>
      </c>
      <c r="I23" s="17" t="str">
        <f>VLOOKUP(A23,[1]Sheet2!$I$2:$O$496,6,FALSE)</f>
        <v>2025-07-22</v>
      </c>
    </row>
    <row r="24" spans="1:9" x14ac:dyDescent="0.25">
      <c r="A24" s="14" t="s">
        <v>231</v>
      </c>
      <c r="B24" s="15" t="s">
        <v>232</v>
      </c>
      <c r="C24" s="15" t="str">
        <f>VLOOKUP(A24,[1]Sheet2!$I$2:$O$496,5,FALSE)</f>
        <v>2025-05-19</v>
      </c>
      <c r="D24" s="17" t="s">
        <v>21</v>
      </c>
      <c r="E24" s="17" t="str">
        <f>VLOOKUP(A24,[1]Sheet2!$I$2:$O$496,3,FALSE)</f>
        <v>KPB2</v>
      </c>
      <c r="F24" s="19" t="s">
        <v>233</v>
      </c>
      <c r="G24" s="19">
        <f>VLOOKUP(A24,[1]Sheet2!$I$2:$O$496,4,FALSE)</f>
        <v>1326</v>
      </c>
      <c r="H24" s="17" t="s">
        <v>175</v>
      </c>
      <c r="I24" s="17" t="str">
        <f>VLOOKUP(A24,[1]Sheet2!$I$2:$O$496,6,FALSE)</f>
        <v>2025-07-21</v>
      </c>
    </row>
    <row r="25" spans="1:9" x14ac:dyDescent="0.25">
      <c r="A25" s="14" t="s">
        <v>726</v>
      </c>
      <c r="B25" s="15" t="s">
        <v>147</v>
      </c>
      <c r="C25" s="15" t="str">
        <f>VLOOKUP(A25,[1]Sheet2!$I$2:$O$496,5,FALSE)</f>
        <v>2025-05-26</v>
      </c>
      <c r="D25" s="17" t="s">
        <v>15</v>
      </c>
      <c r="E25" s="17" t="str">
        <f>VLOOKUP(A25,[1]Sheet2!$I$2:$O$496,3,FALSE)</f>
        <v>KPB1</v>
      </c>
      <c r="F25" s="17" t="s">
        <v>471</v>
      </c>
      <c r="G25" s="17">
        <f>VLOOKUP(A25,[1]Sheet2!$I$2:$O$496,4,FALSE)</f>
        <v>147</v>
      </c>
      <c r="H25" s="17" t="s">
        <v>125</v>
      </c>
      <c r="I25" s="17" t="str">
        <f>VLOOKUP(A25,[1]Sheet2!$I$2:$O$496,6,FALSE)</f>
        <v>2025-07-08</v>
      </c>
    </row>
    <row r="26" spans="1:9" x14ac:dyDescent="0.25">
      <c r="A26" s="14" t="s">
        <v>436</v>
      </c>
      <c r="B26" s="15" t="s">
        <v>437</v>
      </c>
      <c r="C26" s="15" t="str">
        <f>VLOOKUP(A26,[1]Sheet2!$I$2:$O$496,5,FALSE)</f>
        <v>2025-04-25</v>
      </c>
      <c r="D26" s="17" t="s">
        <v>21</v>
      </c>
      <c r="E26" s="17" t="str">
        <f>VLOOKUP(A26,[1]Sheet2!$I$2:$O$496,3,FALSE)</f>
        <v>KPB2</v>
      </c>
      <c r="F26" s="17" t="s">
        <v>438</v>
      </c>
      <c r="G26" s="17">
        <f>VLOOKUP(A26,[1]Sheet2!$I$2:$O$496,4,FALSE)</f>
        <v>1511</v>
      </c>
      <c r="H26" s="17" t="s">
        <v>195</v>
      </c>
      <c r="I26" s="17" t="str">
        <f>VLOOKUP(A26,[1]Sheet2!$I$2:$O$496,6,FALSE)</f>
        <v>2025-07-03</v>
      </c>
    </row>
    <row r="27" spans="1:9" x14ac:dyDescent="0.25">
      <c r="A27" s="14" t="s">
        <v>161</v>
      </c>
      <c r="B27" s="15" t="s">
        <v>162</v>
      </c>
      <c r="C27" s="15" t="str">
        <f>VLOOKUP(A27,[1]Sheet2!$I$2:$O$496,5,FALSE)</f>
        <v>2025-03-19</v>
      </c>
      <c r="D27" s="17" t="s">
        <v>21</v>
      </c>
      <c r="E27" s="17" t="str">
        <f>VLOOKUP(A27,[1]Sheet2!$I$2:$O$496,3,FALSE)</f>
        <v>KPB2</v>
      </c>
      <c r="F27" s="17" t="s">
        <v>163</v>
      </c>
      <c r="G27" s="17">
        <f>VLOOKUP(A27,[1]Sheet2!$I$2:$O$496,4,FALSE)</f>
        <v>1595</v>
      </c>
      <c r="H27" s="17" t="s">
        <v>104</v>
      </c>
      <c r="I27" s="17" t="str">
        <f>VLOOKUP(A27,[1]Sheet2!$I$2:$O$496,6,FALSE)</f>
        <v>2025-07-02</v>
      </c>
    </row>
    <row r="28" spans="1:9" x14ac:dyDescent="0.25">
      <c r="A28" s="14" t="s">
        <v>727</v>
      </c>
      <c r="B28" s="15" t="s">
        <v>197</v>
      </c>
      <c r="C28" s="15" t="str">
        <f>VLOOKUP(A28,[1]Sheet2!$I$2:$O$496,5,FALSE)</f>
        <v>1970-01-01</v>
      </c>
      <c r="D28" s="17" t="s">
        <v>15</v>
      </c>
      <c r="E28" s="17" t="str">
        <f>VLOOKUP(A28,[1]Sheet2!$I$2:$O$496,3,FALSE)</f>
        <v>KPB1</v>
      </c>
      <c r="F28" s="19" t="s">
        <v>518</v>
      </c>
      <c r="G28" s="19">
        <f>VLOOKUP(A28,[1]Sheet2!$I$2:$O$496,4,FALSE)</f>
        <v>1645</v>
      </c>
      <c r="H28" s="17" t="s">
        <v>125</v>
      </c>
      <c r="I28" s="17" t="str">
        <f>VLOOKUP(A28,[1]Sheet2!$I$2:$O$496,6,FALSE)</f>
        <v>2025-07-08</v>
      </c>
    </row>
    <row r="29" spans="1:9" x14ac:dyDescent="0.25">
      <c r="A29" s="14" t="s">
        <v>460</v>
      </c>
      <c r="B29" s="15" t="s">
        <v>461</v>
      </c>
      <c r="C29" s="15" t="str">
        <f>VLOOKUP(A29,[1]Sheet2!$I$2:$O$496,5,FALSE)</f>
        <v>2025-05-15</v>
      </c>
      <c r="D29" s="17" t="s">
        <v>21</v>
      </c>
      <c r="E29" s="17" t="str">
        <f>VLOOKUP(A29,[1]Sheet2!$I$2:$O$496,3,FALSE)</f>
        <v>KPB2</v>
      </c>
      <c r="F29" s="17" t="s">
        <v>462</v>
      </c>
      <c r="G29" s="17">
        <f>VLOOKUP(A29,[1]Sheet2!$I$2:$O$496,4,FALSE)</f>
        <v>1710</v>
      </c>
      <c r="H29" s="17" t="s">
        <v>183</v>
      </c>
      <c r="I29" s="17" t="str">
        <f>VLOOKUP(A29,[1]Sheet2!$I$2:$O$496,6,FALSE)</f>
        <v>2025-07-23</v>
      </c>
    </row>
    <row r="30" spans="1:9" x14ac:dyDescent="0.25">
      <c r="A30" s="14" t="s">
        <v>474</v>
      </c>
      <c r="B30" s="15" t="s">
        <v>475</v>
      </c>
      <c r="C30" s="15" t="str">
        <f>VLOOKUP(A30,[1]Sheet2!$I$2:$O$496,5,FALSE)</f>
        <v>1970-01-01</v>
      </c>
      <c r="D30" s="17" t="s">
        <v>21</v>
      </c>
      <c r="E30" s="17" t="str">
        <f>VLOOKUP(A30,[1]Sheet2!$I$2:$O$496,3,FALSE)</f>
        <v>KPB2</v>
      </c>
      <c r="F30" s="17" t="s">
        <v>476</v>
      </c>
      <c r="G30" s="17">
        <f>VLOOKUP(A30,[1]Sheet2!$I$2:$O$496,4,FALSE)</f>
        <v>1791</v>
      </c>
      <c r="H30" s="17" t="s">
        <v>420</v>
      </c>
      <c r="I30" s="17" t="str">
        <f>VLOOKUP(A30,[1]Sheet2!$I$2:$O$496,6,FALSE)</f>
        <v>2025-07-29</v>
      </c>
    </row>
    <row r="31" spans="1:9" x14ac:dyDescent="0.25">
      <c r="A31" s="14" t="s">
        <v>704</v>
      </c>
      <c r="B31" s="15" t="s">
        <v>705</v>
      </c>
      <c r="C31" s="15" t="str">
        <f>VLOOKUP(A31,[1]Sheet2!$I$2:$O$496,5,FALSE)</f>
        <v>2025-02-08</v>
      </c>
      <c r="D31" s="17" t="s">
        <v>28</v>
      </c>
      <c r="E31" s="17" t="str">
        <f>VLOOKUP(A31,[1]Sheet2!$I$2:$O$496,3,FALSE)</f>
        <v>KPB3</v>
      </c>
      <c r="F31" s="17" t="s">
        <v>706</v>
      </c>
      <c r="G31" s="17">
        <f>VLOOKUP(A31,[1]Sheet2!$I$2:$O$496,4,FALSE)</f>
        <v>1794</v>
      </c>
      <c r="H31" s="17" t="s">
        <v>137</v>
      </c>
      <c r="I31" s="17" t="str">
        <f>VLOOKUP(A31,[1]Sheet2!$I$2:$O$496,6,FALSE)</f>
        <v>2025-07-10</v>
      </c>
    </row>
    <row r="32" spans="1:9" x14ac:dyDescent="0.25">
      <c r="A32" s="14" t="s">
        <v>545</v>
      </c>
      <c r="B32" s="15" t="s">
        <v>215</v>
      </c>
      <c r="C32" s="15" t="str">
        <f>VLOOKUP(A32,[1]Sheet2!$I$2:$O$496,5,FALSE)</f>
        <v>2025-06-30</v>
      </c>
      <c r="D32" s="17" t="s">
        <v>15</v>
      </c>
      <c r="E32" s="17" t="str">
        <f>VLOOKUP(A32,[1]Sheet2!$I$2:$O$496,3,FALSE)</f>
        <v>KPB1</v>
      </c>
      <c r="F32" s="17" t="s">
        <v>546</v>
      </c>
      <c r="G32" s="17">
        <f>VLOOKUP(A32,[1]Sheet2!$I$2:$O$496,4,FALSE)</f>
        <v>182</v>
      </c>
      <c r="H32" s="17" t="s">
        <v>125</v>
      </c>
      <c r="I32" s="17" t="str">
        <f>VLOOKUP(A32,[1]Sheet2!$I$2:$O$496,6,FALSE)</f>
        <v>2025-07-08</v>
      </c>
    </row>
    <row r="33" spans="1:9" x14ac:dyDescent="0.25">
      <c r="A33" s="14" t="s">
        <v>692</v>
      </c>
      <c r="B33" s="15" t="s">
        <v>693</v>
      </c>
      <c r="C33" s="15" t="str">
        <f>VLOOKUP(A33,[1]Sheet2!$I$2:$O$496,5,FALSE)</f>
        <v>2025-04-12</v>
      </c>
      <c r="D33" s="17" t="s">
        <v>21</v>
      </c>
      <c r="E33" s="17" t="str">
        <f>VLOOKUP(A33,[1]Sheet2!$I$2:$O$496,3,FALSE)</f>
        <v>KPB2</v>
      </c>
      <c r="F33" s="17" t="s">
        <v>694</v>
      </c>
      <c r="G33" s="17">
        <f>VLOOKUP(A33,[1]Sheet2!$I$2:$O$496,4,FALSE)</f>
        <v>1824</v>
      </c>
      <c r="H33" s="17" t="s">
        <v>157</v>
      </c>
      <c r="I33" s="17" t="str">
        <f>VLOOKUP(A33,[1]Sheet2!$I$2:$O$496,6,FALSE)</f>
        <v>2025-07-26</v>
      </c>
    </row>
    <row r="34" spans="1:9" x14ac:dyDescent="0.25">
      <c r="A34" s="14" t="s">
        <v>525</v>
      </c>
      <c r="B34" s="15" t="s">
        <v>526</v>
      </c>
      <c r="C34" s="15" t="str">
        <f>VLOOKUP(A34,[1]Sheet2!$I$2:$O$496,5,FALSE)</f>
        <v>2025-03-24</v>
      </c>
      <c r="D34" s="17" t="s">
        <v>23</v>
      </c>
      <c r="E34" s="17" t="str">
        <f>VLOOKUP(A34,[1]Sheet2!$I$2:$O$496,3,FALSE)</f>
        <v>KPB4</v>
      </c>
      <c r="F34" s="17" t="s">
        <v>527</v>
      </c>
      <c r="G34" s="17">
        <f>VLOOKUP(A34,[1]Sheet2!$I$2:$O$496,4,FALSE)</f>
        <v>1830</v>
      </c>
      <c r="H34" s="17" t="s">
        <v>140</v>
      </c>
      <c r="I34" s="17" t="str">
        <f>VLOOKUP(A34,[1]Sheet2!$I$2:$O$496,6,FALSE)</f>
        <v>2025-07-11</v>
      </c>
    </row>
    <row r="35" spans="1:9" x14ac:dyDescent="0.25">
      <c r="A35" s="14" t="s">
        <v>351</v>
      </c>
      <c r="B35" s="15" t="s">
        <v>153</v>
      </c>
      <c r="C35" s="15" t="str">
        <f>VLOOKUP(A35,[1]Sheet2!$I$2:$O$496,5,FALSE)</f>
        <v>2025-06-13</v>
      </c>
      <c r="D35" s="17" t="s">
        <v>15</v>
      </c>
      <c r="E35" s="17" t="str">
        <f>VLOOKUP(A35,[1]Sheet2!$I$2:$O$496,3,FALSE)</f>
        <v>KPB1</v>
      </c>
      <c r="F35" s="17" t="s">
        <v>353</v>
      </c>
      <c r="G35" s="17">
        <f>VLOOKUP(A35,[1]Sheet2!$I$2:$O$496,4,FALSE)</f>
        <v>188</v>
      </c>
      <c r="H35" s="17" t="s">
        <v>352</v>
      </c>
      <c r="I35" s="17" t="str">
        <f>VLOOKUP(A35,[1]Sheet2!$I$2:$O$496,6,FALSE)</f>
        <v>2025-07-13</v>
      </c>
    </row>
    <row r="36" spans="1:9" x14ac:dyDescent="0.25">
      <c r="A36" s="14" t="s">
        <v>458</v>
      </c>
      <c r="B36" s="15" t="s">
        <v>437</v>
      </c>
      <c r="C36" s="15" t="str">
        <f>VLOOKUP(A36,[1]Sheet2!$I$2:$O$496,5,FALSE)</f>
        <v>2025-04-25</v>
      </c>
      <c r="D36" s="17" t="s">
        <v>21</v>
      </c>
      <c r="E36" s="17" t="str">
        <f>VLOOKUP(A36,[1]Sheet2!$I$2:$O$496,3,FALSE)</f>
        <v>KPB2</v>
      </c>
      <c r="F36" s="17" t="s">
        <v>459</v>
      </c>
      <c r="G36" s="17">
        <f>VLOOKUP(A36,[1]Sheet2!$I$2:$O$496,4,FALSE)</f>
        <v>1938</v>
      </c>
      <c r="H36" s="17" t="s">
        <v>245</v>
      </c>
      <c r="I36" s="17" t="str">
        <f>VLOOKUP(A36,[1]Sheet2!$I$2:$O$496,6,FALSE)</f>
        <v>2025-07-19</v>
      </c>
    </row>
    <row r="37" spans="1:9" x14ac:dyDescent="0.25">
      <c r="A37" s="14" t="s">
        <v>637</v>
      </c>
      <c r="B37" s="15" t="s">
        <v>215</v>
      </c>
      <c r="C37" s="15" t="str">
        <f>VLOOKUP(A37,[1]Sheet2!$I$2:$O$496,5,FALSE)</f>
        <v>1970-01-01</v>
      </c>
      <c r="D37" s="17" t="s">
        <v>15</v>
      </c>
      <c r="E37" s="17" t="str">
        <f>VLOOKUP(A37,[1]Sheet2!$I$2:$O$496,3,FALSE)</f>
        <v>KPB1</v>
      </c>
      <c r="F37" s="17" t="s">
        <v>586</v>
      </c>
      <c r="G37" s="17">
        <f>VLOOKUP(A37,[1]Sheet2!$I$2:$O$496,4,FALSE)</f>
        <v>195</v>
      </c>
      <c r="H37" s="17" t="s">
        <v>183</v>
      </c>
      <c r="I37" s="17" t="str">
        <f>VLOOKUP(A37,[1]Sheet2!$I$2:$O$496,6,FALSE)</f>
        <v>2025-07-23</v>
      </c>
    </row>
    <row r="38" spans="1:9" x14ac:dyDescent="0.25">
      <c r="A38" s="14" t="s">
        <v>581</v>
      </c>
      <c r="B38" s="15" t="s">
        <v>475</v>
      </c>
      <c r="C38" s="15" t="str">
        <f>VLOOKUP(A38,[1]Sheet2!$I$2:$O$496,5,FALSE)</f>
        <v>1970-01-01</v>
      </c>
      <c r="D38" s="17" t="s">
        <v>21</v>
      </c>
      <c r="E38" s="17" t="str">
        <f>VLOOKUP(A38,[1]Sheet2!$I$2:$O$496,3,FALSE)</f>
        <v>KPB2</v>
      </c>
      <c r="F38" s="17" t="s">
        <v>582</v>
      </c>
      <c r="G38" s="17">
        <f>VLOOKUP(A38,[1]Sheet2!$I$2:$O$496,4,FALSE)</f>
        <v>1978</v>
      </c>
      <c r="H38" s="17" t="s">
        <v>144</v>
      </c>
      <c r="I38" s="17" t="str">
        <f>VLOOKUP(A38,[1]Sheet2!$I$2:$O$496,6,FALSE)</f>
        <v>2025-07-12</v>
      </c>
    </row>
    <row r="39" spans="1:9" x14ac:dyDescent="0.25">
      <c r="A39" s="14" t="s">
        <v>127</v>
      </c>
      <c r="B39" s="15" t="s">
        <v>115</v>
      </c>
      <c r="C39" s="15" t="str">
        <f>VLOOKUP(A39,[1]Sheet2!$I$2:$O$496,5,FALSE)</f>
        <v>1970-01-01</v>
      </c>
      <c r="D39" s="17" t="s">
        <v>15</v>
      </c>
      <c r="E39" s="17" t="str">
        <f>VLOOKUP(A39,[1]Sheet2!$I$2:$O$496,3,FALSE)</f>
        <v>KPB1</v>
      </c>
      <c r="F39" s="17" t="s">
        <v>128</v>
      </c>
      <c r="G39" s="17">
        <f>VLOOKUP(A39,[1]Sheet2!$I$2:$O$496,4,FALSE)</f>
        <v>199</v>
      </c>
      <c r="H39" s="17" t="s">
        <v>125</v>
      </c>
      <c r="I39" s="17" t="str">
        <f>VLOOKUP(A39,[1]Sheet2!$I$2:$O$496,6,FALSE)</f>
        <v>2025-07-08</v>
      </c>
    </row>
    <row r="40" spans="1:9" x14ac:dyDescent="0.25">
      <c r="A40" s="14" t="s">
        <v>433</v>
      </c>
      <c r="B40" s="15" t="s">
        <v>434</v>
      </c>
      <c r="C40" s="15" t="str">
        <f>VLOOKUP(A40,[1]Sheet2!$I$2:$O$496,5,FALSE)</f>
        <v>2025-04-29</v>
      </c>
      <c r="D40" s="17" t="s">
        <v>21</v>
      </c>
      <c r="E40" s="17" t="str">
        <f>VLOOKUP(A40,[1]Sheet2!$I$2:$O$496,3,FALSE)</f>
        <v>KPB2</v>
      </c>
      <c r="F40" s="17" t="s">
        <v>435</v>
      </c>
      <c r="G40" s="17">
        <f>VLOOKUP(A40,[1]Sheet2!$I$2:$O$496,4,FALSE)</f>
        <v>1990</v>
      </c>
      <c r="H40" s="17" t="s">
        <v>104</v>
      </c>
      <c r="I40" s="17" t="str">
        <f>VLOOKUP(A40,[1]Sheet2!$I$2:$O$496,6,FALSE)</f>
        <v>2025-07-02</v>
      </c>
    </row>
    <row r="41" spans="1:9" x14ac:dyDescent="0.25">
      <c r="A41" s="14" t="s">
        <v>477</v>
      </c>
      <c r="B41" s="15" t="s">
        <v>103</v>
      </c>
      <c r="C41" s="15" t="str">
        <f>VLOOKUP(A41,[1]Sheet2!$I$2:$O$496,5,FALSE)</f>
        <v>2025-05-24</v>
      </c>
      <c r="D41" s="17" t="s">
        <v>21</v>
      </c>
      <c r="E41" s="17" t="str">
        <f>VLOOKUP(A41,[1]Sheet2!$I$2:$O$496,3,FALSE)</f>
        <v>KPB2</v>
      </c>
      <c r="F41" s="17" t="s">
        <v>478</v>
      </c>
      <c r="G41" s="17">
        <f>VLOOKUP(A41,[1]Sheet2!$I$2:$O$496,4,FALSE)</f>
        <v>2015</v>
      </c>
      <c r="H41" s="17" t="s">
        <v>221</v>
      </c>
      <c r="I41" s="17" t="str">
        <f>VLOOKUP(A41,[1]Sheet2!$I$2:$O$496,6,FALSE)</f>
        <v>2025-07-31</v>
      </c>
    </row>
    <row r="42" spans="1:9" x14ac:dyDescent="0.25">
      <c r="A42" s="14" t="s">
        <v>562</v>
      </c>
      <c r="B42" s="15" t="s">
        <v>425</v>
      </c>
      <c r="C42" s="15" t="str">
        <f>VLOOKUP(A42,[1]Sheet2!$I$2:$O$496,5,FALSE)</f>
        <v>1970-01-01</v>
      </c>
      <c r="D42" s="17" t="s">
        <v>15</v>
      </c>
      <c r="E42" s="17" t="str">
        <f>VLOOKUP(A42,[1]Sheet2!$I$2:$O$496,3,FALSE)</f>
        <v>KPB1</v>
      </c>
      <c r="F42" s="17" t="s">
        <v>563</v>
      </c>
      <c r="G42" s="17">
        <f>VLOOKUP(A42,[1]Sheet2!$I$2:$O$496,4,FALSE)</f>
        <v>205</v>
      </c>
      <c r="H42" s="17" t="s">
        <v>175</v>
      </c>
      <c r="I42" s="17" t="str">
        <f>VLOOKUP(A42,[1]Sheet2!$I$2:$O$496,6,FALSE)</f>
        <v>2025-07-21</v>
      </c>
    </row>
    <row r="43" spans="1:9" x14ac:dyDescent="0.25">
      <c r="A43" s="14" t="s">
        <v>659</v>
      </c>
      <c r="B43" s="15" t="s">
        <v>292</v>
      </c>
      <c r="C43" s="15" t="str">
        <f>VLOOKUP(A43,[1]Sheet2!$I$2:$O$496,5,FALSE)</f>
        <v>2025-06-18</v>
      </c>
      <c r="D43" s="17" t="s">
        <v>15</v>
      </c>
      <c r="E43" s="17" t="str">
        <f>VLOOKUP(A43,[1]Sheet2!$I$2:$O$496,3,FALSE)</f>
        <v>KPB1</v>
      </c>
      <c r="F43" s="17" t="s">
        <v>619</v>
      </c>
      <c r="G43" s="17">
        <f>VLOOKUP(A43,[1]Sheet2!$I$2:$O$496,4,FALSE)</f>
        <v>207</v>
      </c>
      <c r="H43" s="17" t="s">
        <v>192</v>
      </c>
      <c r="I43" s="17" t="str">
        <f>VLOOKUP(A43,[1]Sheet2!$I$2:$O$496,6,FALSE)</f>
        <v>2025-07-07</v>
      </c>
    </row>
    <row r="44" spans="1:9" x14ac:dyDescent="0.25">
      <c r="A44" s="14" t="s">
        <v>167</v>
      </c>
      <c r="B44" s="15" t="s">
        <v>168</v>
      </c>
      <c r="C44" s="15" t="str">
        <f>VLOOKUP(A44,[1]Sheet2!$I$2:$O$496,5,FALSE)</f>
        <v>1970-01-01</v>
      </c>
      <c r="D44" s="17" t="s">
        <v>21</v>
      </c>
      <c r="E44" s="17" t="str">
        <f>VLOOKUP(A44,[1]Sheet2!$I$2:$O$496,3,FALSE)</f>
        <v>KPB2</v>
      </c>
      <c r="F44" s="17" t="s">
        <v>169</v>
      </c>
      <c r="G44" s="17">
        <f>VLOOKUP(A44,[1]Sheet2!$I$2:$O$496,4,FALSE)</f>
        <v>2145</v>
      </c>
      <c r="H44" s="17" t="s">
        <v>157</v>
      </c>
      <c r="I44" s="17" t="str">
        <f>VLOOKUP(A44,[1]Sheet2!$I$2:$O$496,6,FALSE)</f>
        <v>2025-07-26</v>
      </c>
    </row>
    <row r="45" spans="1:9" x14ac:dyDescent="0.25">
      <c r="A45" s="14" t="s">
        <v>264</v>
      </c>
      <c r="B45" s="15" t="s">
        <v>260</v>
      </c>
      <c r="C45" s="15" t="str">
        <f>VLOOKUP(A45,[1]Sheet2!$I$2:$O$496,5,FALSE)</f>
        <v>2025-06-24</v>
      </c>
      <c r="D45" s="17" t="s">
        <v>15</v>
      </c>
      <c r="E45" s="17" t="str">
        <f>VLOOKUP(A45,[1]Sheet2!$I$2:$O$496,3,FALSE)</f>
        <v>KPB1</v>
      </c>
      <c r="F45" s="17" t="s">
        <v>265</v>
      </c>
      <c r="G45" s="17">
        <f>VLOOKUP(A45,[1]Sheet2!$I$2:$O$496,4,FALSE)</f>
        <v>219</v>
      </c>
      <c r="H45" s="17" t="s">
        <v>195</v>
      </c>
      <c r="I45" s="17" t="str">
        <f>VLOOKUP(A45,[1]Sheet2!$I$2:$O$496,6,FALSE)</f>
        <v>2025-07-03</v>
      </c>
    </row>
    <row r="46" spans="1:9" x14ac:dyDescent="0.25">
      <c r="A46" s="14" t="s">
        <v>758</v>
      </c>
      <c r="B46" s="15" t="s">
        <v>289</v>
      </c>
      <c r="C46" s="15" t="str">
        <f>VLOOKUP(A46,[1]Sheet2!$I$2:$O$496,5,FALSE)</f>
        <v>2025-05-20</v>
      </c>
      <c r="D46" s="17" t="s">
        <v>15</v>
      </c>
      <c r="E46" s="17" t="str">
        <f>VLOOKUP(A46,[1]Sheet2!$I$2:$O$496,3,FALSE)</f>
        <v>KPB1</v>
      </c>
      <c r="F46" s="17" t="s">
        <v>265</v>
      </c>
      <c r="G46" s="17">
        <f>VLOOKUP(A46,[1]Sheet2!$I$2:$O$496,4,FALSE)</f>
        <v>219</v>
      </c>
      <c r="H46" s="17" t="s">
        <v>157</v>
      </c>
      <c r="I46" s="17" t="str">
        <f>VLOOKUP(A46,[1]Sheet2!$I$2:$O$496,6,FALSE)</f>
        <v>2025-07-26</v>
      </c>
    </row>
    <row r="47" spans="1:9" x14ac:dyDescent="0.25">
      <c r="A47" s="14" t="s">
        <v>463</v>
      </c>
      <c r="B47" s="15" t="s">
        <v>464</v>
      </c>
      <c r="C47" s="15" t="str">
        <f>VLOOKUP(A47,[1]Sheet2!$I$2:$O$496,5,FALSE)</f>
        <v>2025-05-07</v>
      </c>
      <c r="D47" s="17" t="s">
        <v>21</v>
      </c>
      <c r="E47" s="17" t="str">
        <f>VLOOKUP(A47,[1]Sheet2!$I$2:$O$496,3,FALSE)</f>
        <v>KPB2</v>
      </c>
      <c r="F47" s="17" t="s">
        <v>465</v>
      </c>
      <c r="G47" s="17">
        <f>VLOOKUP(A47,[1]Sheet2!$I$2:$O$496,4,FALSE)</f>
        <v>2213</v>
      </c>
      <c r="H47" s="17" t="s">
        <v>183</v>
      </c>
      <c r="I47" s="17" t="str">
        <f>VLOOKUP(A47,[1]Sheet2!$I$2:$O$496,6,FALSE)</f>
        <v>2025-07-23</v>
      </c>
    </row>
    <row r="48" spans="1:9" x14ac:dyDescent="0.25">
      <c r="A48" s="14" t="s">
        <v>247</v>
      </c>
      <c r="B48" s="15" t="s">
        <v>248</v>
      </c>
      <c r="C48" s="15" t="str">
        <f>VLOOKUP(A48,[1]Sheet2!$I$2:$O$496,5,FALSE)</f>
        <v>2025-03-14</v>
      </c>
      <c r="D48" s="17" t="s">
        <v>21</v>
      </c>
      <c r="E48" s="17" t="str">
        <f>VLOOKUP(A48,[1]Sheet2!$I$2:$O$496,3,FALSE)</f>
        <v>KPB2</v>
      </c>
      <c r="F48" s="17" t="s">
        <v>249</v>
      </c>
      <c r="G48" s="17">
        <f>VLOOKUP(A48,[1]Sheet2!$I$2:$O$496,4,FALSE)</f>
        <v>2246</v>
      </c>
      <c r="H48" s="17" t="s">
        <v>179</v>
      </c>
      <c r="I48" s="17" t="str">
        <f>VLOOKUP(A48,[1]Sheet2!$I$2:$O$496,6,FALSE)</f>
        <v>2025-07-28</v>
      </c>
    </row>
    <row r="49" spans="1:9" x14ac:dyDescent="0.25">
      <c r="A49" s="14" t="s">
        <v>687</v>
      </c>
      <c r="B49" s="15" t="s">
        <v>688</v>
      </c>
      <c r="C49" s="15" t="str">
        <f>VLOOKUP(A49,[1]Sheet2!$I$2:$O$496,5,FALSE)</f>
        <v>2025-04-16</v>
      </c>
      <c r="D49" s="17" t="s">
        <v>21</v>
      </c>
      <c r="E49" s="17" t="str">
        <f>VLOOKUP(A49,[1]Sheet2!$I$2:$O$496,3,FALSE)</f>
        <v>KPB2</v>
      </c>
      <c r="F49" s="17" t="s">
        <v>689</v>
      </c>
      <c r="G49" s="17">
        <f>VLOOKUP(A49,[1]Sheet2!$I$2:$O$496,4,FALSE)</f>
        <v>2287</v>
      </c>
      <c r="H49" s="17" t="s">
        <v>125</v>
      </c>
      <c r="I49" s="17" t="str">
        <f>VLOOKUP(A49,[1]Sheet2!$I$2:$O$496,6,FALSE)</f>
        <v>2025-07-08</v>
      </c>
    </row>
    <row r="50" spans="1:9" x14ac:dyDescent="0.25">
      <c r="A50" s="14" t="s">
        <v>291</v>
      </c>
      <c r="B50" s="15" t="s">
        <v>292</v>
      </c>
      <c r="C50" s="15" t="str">
        <f>VLOOKUP(A50,[1]Sheet2!$I$2:$O$496,5,FALSE)</f>
        <v>2025-06-18</v>
      </c>
      <c r="D50" s="17" t="s">
        <v>15</v>
      </c>
      <c r="E50" s="17" t="str">
        <f>VLOOKUP(A50,[1]Sheet2!$I$2:$O$496,3,FALSE)</f>
        <v>KPB1</v>
      </c>
      <c r="F50" s="17" t="s">
        <v>293</v>
      </c>
      <c r="G50" s="17">
        <f>VLOOKUP(A50,[1]Sheet2!$I$2:$O$496,4,FALSE)</f>
        <v>231</v>
      </c>
      <c r="H50" s="17" t="s">
        <v>192</v>
      </c>
      <c r="I50" s="17" t="str">
        <f>VLOOKUP(A50,[1]Sheet2!$I$2:$O$496,6,FALSE)</f>
        <v>2025-07-07</v>
      </c>
    </row>
    <row r="51" spans="1:9" x14ac:dyDescent="0.25">
      <c r="A51" s="14" t="s">
        <v>698</v>
      </c>
      <c r="B51" s="15" t="s">
        <v>699</v>
      </c>
      <c r="C51" s="15" t="str">
        <f>VLOOKUP(A51,[1]Sheet2!$I$2:$O$496,5,FALSE)</f>
        <v>2025-02-01</v>
      </c>
      <c r="D51" s="17" t="s">
        <v>28</v>
      </c>
      <c r="E51" s="17" t="str">
        <f>VLOOKUP(A51,[1]Sheet2!$I$2:$O$496,3,FALSE)</f>
        <v>KPB3</v>
      </c>
      <c r="F51" s="17" t="s">
        <v>700</v>
      </c>
      <c r="G51" s="17">
        <f>VLOOKUP(A51,[1]Sheet2!$I$2:$O$496,4,FALSE)</f>
        <v>2334</v>
      </c>
      <c r="H51" s="17" t="s">
        <v>104</v>
      </c>
      <c r="I51" s="17" t="str">
        <f>VLOOKUP(A51,[1]Sheet2!$I$2:$O$496,6,FALSE)</f>
        <v>2025-07-02</v>
      </c>
    </row>
    <row r="52" spans="1:9" x14ac:dyDescent="0.25">
      <c r="A52" s="14" t="s">
        <v>354</v>
      </c>
      <c r="B52" s="15" t="s">
        <v>104</v>
      </c>
      <c r="C52" s="15" t="str">
        <f>VLOOKUP(A52,[1]Sheet2!$I$2:$O$496,5,FALSE)</f>
        <v>1970-01-01</v>
      </c>
      <c r="D52" s="17" t="s">
        <v>15</v>
      </c>
      <c r="E52" s="17" t="str">
        <f>VLOOKUP(A52,[1]Sheet2!$I$2:$O$496,3,FALSE)</f>
        <v>KPB1</v>
      </c>
      <c r="F52" s="17" t="s">
        <v>355</v>
      </c>
      <c r="G52" s="17">
        <f>VLOOKUP(A52,[1]Sheet2!$I$2:$O$496,4,FALSE)</f>
        <v>234</v>
      </c>
      <c r="H52" s="17" t="s">
        <v>352</v>
      </c>
      <c r="I52" s="17" t="str">
        <f>VLOOKUP(A52,[1]Sheet2!$I$2:$O$496,6,FALSE)</f>
        <v>2025-07-13</v>
      </c>
    </row>
    <row r="53" spans="1:9" x14ac:dyDescent="0.25">
      <c r="A53" s="14" t="s">
        <v>613</v>
      </c>
      <c r="B53" s="15" t="s">
        <v>289</v>
      </c>
      <c r="C53" s="15" t="str">
        <f>VLOOKUP(A53,[1]Sheet2!$I$2:$O$496,5,FALSE)</f>
        <v>1970-01-01</v>
      </c>
      <c r="D53" s="17" t="s">
        <v>15</v>
      </c>
      <c r="E53" s="17" t="str">
        <f>VLOOKUP(A53,[1]Sheet2!$I$2:$O$496,3,FALSE)</f>
        <v>KPB1</v>
      </c>
      <c r="F53" s="17" t="s">
        <v>355</v>
      </c>
      <c r="G53" s="17">
        <f>VLOOKUP(A53,[1]Sheet2!$I$2:$O$496,4,FALSE)</f>
        <v>234</v>
      </c>
      <c r="H53" s="17" t="s">
        <v>218</v>
      </c>
      <c r="I53" s="17" t="str">
        <f>VLOOKUP(A53,[1]Sheet2!$I$2:$O$496,6,FALSE)</f>
        <v>2025-07-30</v>
      </c>
    </row>
    <row r="54" spans="1:9" x14ac:dyDescent="0.25">
      <c r="A54" s="14" t="s">
        <v>315</v>
      </c>
      <c r="B54" s="15" t="s">
        <v>195</v>
      </c>
      <c r="C54" s="15" t="str">
        <f>VLOOKUP(A54,[1]Sheet2!$I$2:$O$496,5,FALSE)</f>
        <v>2025-07-03</v>
      </c>
      <c r="D54" s="17" t="s">
        <v>15</v>
      </c>
      <c r="E54" s="17" t="str">
        <f>VLOOKUP(A54,[1]Sheet2!$I$2:$O$496,3,FALSE)</f>
        <v>KPB1</v>
      </c>
      <c r="F54" s="17" t="s">
        <v>316</v>
      </c>
      <c r="G54" s="17">
        <f>VLOOKUP(A54,[1]Sheet2!$I$2:$O$496,4,FALSE)</f>
        <v>236</v>
      </c>
      <c r="H54" s="17" t="s">
        <v>137</v>
      </c>
      <c r="I54" s="17" t="str">
        <f>VLOOKUP(A54,[1]Sheet2!$I$2:$O$496,6,FALSE)</f>
        <v>2025-07-10</v>
      </c>
    </row>
    <row r="55" spans="1:9" x14ac:dyDescent="0.25">
      <c r="A55" s="14" t="s">
        <v>225</v>
      </c>
      <c r="B55" s="15" t="s">
        <v>226</v>
      </c>
      <c r="C55" s="15" t="str">
        <f>VLOOKUP(A55,[1]Sheet2!$I$2:$O$496,5,FALSE)</f>
        <v>2024-12-19</v>
      </c>
      <c r="D55" s="17" t="s">
        <v>28</v>
      </c>
      <c r="E55" s="17" t="str">
        <f>VLOOKUP(A55,[1]Sheet2!$I$2:$O$496,3,FALSE)</f>
        <v>KPB3</v>
      </c>
      <c r="F55" s="17" t="s">
        <v>227</v>
      </c>
      <c r="G55" s="17">
        <f>VLOOKUP(A55,[1]Sheet2!$I$2:$O$496,4,FALSE)</f>
        <v>2384</v>
      </c>
      <c r="H55" s="17" t="s">
        <v>175</v>
      </c>
      <c r="I55" s="17" t="str">
        <f>VLOOKUP(A55,[1]Sheet2!$I$2:$O$496,6,FALSE)</f>
        <v>2025-07-21</v>
      </c>
    </row>
    <row r="56" spans="1:9" x14ac:dyDescent="0.25">
      <c r="A56" s="14" t="s">
        <v>541</v>
      </c>
      <c r="B56" s="15" t="s">
        <v>254</v>
      </c>
      <c r="C56" s="15" t="str">
        <f>VLOOKUP(A56,[1]Sheet2!$I$2:$O$496,5,FALSE)</f>
        <v>1970-01-01</v>
      </c>
      <c r="D56" s="17" t="s">
        <v>15</v>
      </c>
      <c r="E56" s="17" t="str">
        <f>VLOOKUP(A56,[1]Sheet2!$I$2:$O$496,3,FALSE)</f>
        <v>KPB1</v>
      </c>
      <c r="F56" s="17" t="s">
        <v>542</v>
      </c>
      <c r="G56" s="17">
        <f>VLOOKUP(A56,[1]Sheet2!$I$2:$O$496,4,FALSE)</f>
        <v>240</v>
      </c>
      <c r="H56" s="17" t="s">
        <v>192</v>
      </c>
      <c r="I56" s="17" t="str">
        <f>VLOOKUP(A56,[1]Sheet2!$I$2:$O$496,6,FALSE)</f>
        <v>2025-07-07</v>
      </c>
    </row>
    <row r="57" spans="1:9" x14ac:dyDescent="0.25">
      <c r="A57" s="14" t="s">
        <v>271</v>
      </c>
      <c r="B57" s="15" t="s">
        <v>202</v>
      </c>
      <c r="C57" s="15" t="str">
        <f>VLOOKUP(A57,[1]Sheet2!$I$2:$O$496,5,FALSE)</f>
        <v>1970-01-01</v>
      </c>
      <c r="D57" s="17" t="s">
        <v>15</v>
      </c>
      <c r="E57" s="17" t="str">
        <f>VLOOKUP(A57,[1]Sheet2!$I$2:$O$496,3,FALSE)</f>
        <v>KPB1</v>
      </c>
      <c r="F57" s="17" t="s">
        <v>272</v>
      </c>
      <c r="G57" s="17">
        <f>VLOOKUP(A57,[1]Sheet2!$I$2:$O$496,4,FALSE)</f>
        <v>242</v>
      </c>
      <c r="H57" s="17" t="s">
        <v>108</v>
      </c>
      <c r="I57" s="17" t="str">
        <f>VLOOKUP(A57,[1]Sheet2!$I$2:$O$496,6,FALSE)</f>
        <v>2025-07-04</v>
      </c>
    </row>
    <row r="58" spans="1:9" x14ac:dyDescent="0.25">
      <c r="A58" s="14" t="s">
        <v>190</v>
      </c>
      <c r="B58" s="15" t="s">
        <v>191</v>
      </c>
      <c r="C58" s="15" t="str">
        <f>VLOOKUP(A58,[1]Sheet2!$I$2:$O$496,5,FALSE)</f>
        <v>1970-01-01</v>
      </c>
      <c r="D58" s="17" t="s">
        <v>21</v>
      </c>
      <c r="E58" s="17" t="str">
        <f>VLOOKUP(A58,[1]Sheet2!$I$2:$O$496,3,FALSE)</f>
        <v>KPB2</v>
      </c>
      <c r="F58" s="17" t="s">
        <v>193</v>
      </c>
      <c r="G58" s="17">
        <f>VLOOKUP(A58,[1]Sheet2!$I$2:$O$496,4,FALSE)</f>
        <v>2472</v>
      </c>
      <c r="H58" s="17" t="s">
        <v>192</v>
      </c>
      <c r="I58" s="17" t="str">
        <f>VLOOKUP(A58,[1]Sheet2!$I$2:$O$496,6,FALSE)</f>
        <v>2025-07-07</v>
      </c>
    </row>
    <row r="59" spans="1:9" x14ac:dyDescent="0.25">
      <c r="A59" s="14" t="s">
        <v>679</v>
      </c>
      <c r="B59" s="15" t="s">
        <v>130</v>
      </c>
      <c r="C59" s="15" t="str">
        <f>VLOOKUP(A59,[1]Sheet2!$I$2:$O$496,5,FALSE)</f>
        <v>2025-06-10</v>
      </c>
      <c r="D59" s="17" t="s">
        <v>15</v>
      </c>
      <c r="E59" s="17" t="str">
        <f>VLOOKUP(A59,[1]Sheet2!$I$2:$O$496,3,FALSE)</f>
        <v>KPB1</v>
      </c>
      <c r="F59" s="17" t="s">
        <v>680</v>
      </c>
      <c r="G59" s="17">
        <f>VLOOKUP(A59,[1]Sheet2!$I$2:$O$496,4,FALSE)</f>
        <v>249</v>
      </c>
      <c r="H59" s="17" t="s">
        <v>420</v>
      </c>
      <c r="I59" s="17" t="str">
        <f>VLOOKUP(A59,[1]Sheet2!$I$2:$O$496,6,FALSE)</f>
        <v>2025-07-29</v>
      </c>
    </row>
    <row r="60" spans="1:9" x14ac:dyDescent="0.25">
      <c r="A60" s="14" t="s">
        <v>648</v>
      </c>
      <c r="B60" s="15" t="s">
        <v>615</v>
      </c>
      <c r="C60" s="15" t="str">
        <f>VLOOKUP(A60,[1]Sheet2!$I$2:$O$496,5,FALSE)</f>
        <v>2024-11-14</v>
      </c>
      <c r="D60" s="17" t="s">
        <v>28</v>
      </c>
      <c r="E60" s="17" t="str">
        <f>VLOOKUP(A60,[1]Sheet2!$I$2:$O$496,3,FALSE)</f>
        <v>KPB3</v>
      </c>
      <c r="F60" s="17" t="s">
        <v>649</v>
      </c>
      <c r="G60" s="17">
        <f>VLOOKUP(A60,[1]Sheet2!$I$2:$O$496,4,FALSE)</f>
        <v>2546</v>
      </c>
      <c r="H60" s="17" t="s">
        <v>131</v>
      </c>
      <c r="I60" s="17" t="str">
        <f>VLOOKUP(A60,[1]Sheet2!$I$2:$O$496,6,FALSE)</f>
        <v>2025-07-09</v>
      </c>
    </row>
    <row r="61" spans="1:9" x14ac:dyDescent="0.25">
      <c r="A61" s="14" t="s">
        <v>187</v>
      </c>
      <c r="B61" s="15" t="s">
        <v>188</v>
      </c>
      <c r="C61" s="15" t="str">
        <f>VLOOKUP(A61,[1]Sheet2!$I$2:$O$496,5,FALSE)</f>
        <v>1970-01-01</v>
      </c>
      <c r="D61" s="17" t="s">
        <v>15</v>
      </c>
      <c r="E61" s="17" t="str">
        <f>VLOOKUP(A61,[1]Sheet2!$I$2:$O$496,3,FALSE)</f>
        <v>KPB1</v>
      </c>
      <c r="F61" s="17" t="s">
        <v>189</v>
      </c>
      <c r="G61" s="17">
        <f>VLOOKUP(A61,[1]Sheet2!$I$2:$O$496,4,FALSE)</f>
        <v>258</v>
      </c>
      <c r="H61" s="17" t="s">
        <v>112</v>
      </c>
      <c r="I61" s="17" t="str">
        <f>VLOOKUP(A61,[1]Sheet2!$I$2:$O$496,6,FALSE)</f>
        <v>2025-07-05</v>
      </c>
    </row>
    <row r="62" spans="1:9" x14ac:dyDescent="0.25">
      <c r="A62" s="14" t="s">
        <v>690</v>
      </c>
      <c r="B62" s="15" t="s">
        <v>464</v>
      </c>
      <c r="C62" s="15" t="str">
        <f>VLOOKUP(A62,[1]Sheet2!$I$2:$O$496,5,FALSE)</f>
        <v>2025-05-08</v>
      </c>
      <c r="D62" s="17" t="s">
        <v>21</v>
      </c>
      <c r="E62" s="17" t="str">
        <f>VLOOKUP(A62,[1]Sheet2!$I$2:$O$496,3,FALSE)</f>
        <v>KPB2</v>
      </c>
      <c r="F62" s="17" t="s">
        <v>691</v>
      </c>
      <c r="G62" s="17">
        <f>VLOOKUP(A62,[1]Sheet2!$I$2:$O$496,4,FALSE)</f>
        <v>2641</v>
      </c>
      <c r="H62" s="17" t="s">
        <v>137</v>
      </c>
      <c r="I62" s="17" t="str">
        <f>VLOOKUP(A62,[1]Sheet2!$I$2:$O$496,6,FALSE)</f>
        <v>2025-07-10</v>
      </c>
    </row>
    <row r="63" spans="1:9" x14ac:dyDescent="0.25">
      <c r="A63" s="14" t="s">
        <v>587</v>
      </c>
      <c r="B63" s="15" t="s">
        <v>526</v>
      </c>
      <c r="C63" s="15" t="str">
        <f>VLOOKUP(A63,[1]Sheet2!$I$2:$O$496,5,FALSE)</f>
        <v>2025-03-24</v>
      </c>
      <c r="D63" s="17" t="s">
        <v>21</v>
      </c>
      <c r="E63" s="17" t="str">
        <f>VLOOKUP(A63,[1]Sheet2!$I$2:$O$496,3,FALSE)</f>
        <v>KPB2</v>
      </c>
      <c r="F63" s="17" t="s">
        <v>589</v>
      </c>
      <c r="G63" s="17">
        <f>VLOOKUP(A63,[1]Sheet2!$I$2:$O$496,4,FALSE)</f>
        <v>2673</v>
      </c>
      <c r="H63" s="17" t="s">
        <v>588</v>
      </c>
      <c r="I63" s="17" t="str">
        <f>VLOOKUP(A63,[1]Sheet2!$I$2:$O$496,6,FALSE)</f>
        <v>2025-07-27</v>
      </c>
    </row>
    <row r="64" spans="1:9" x14ac:dyDescent="0.25">
      <c r="A64" s="14" t="s">
        <v>596</v>
      </c>
      <c r="B64" s="15" t="s">
        <v>516</v>
      </c>
      <c r="C64" s="15" t="str">
        <f>VLOOKUP(A64,[1]Sheet2!$I$2:$O$496,5,FALSE)</f>
        <v>1970-01-01</v>
      </c>
      <c r="D64" s="17" t="s">
        <v>28</v>
      </c>
      <c r="E64" s="17" t="str">
        <f>VLOOKUP(A64,[1]Sheet2!$I$2:$O$496,3,FALSE)</f>
        <v>KPB3</v>
      </c>
      <c r="F64" s="17" t="s">
        <v>597</v>
      </c>
      <c r="G64" s="17">
        <f>VLOOKUP(A64,[1]Sheet2!$I$2:$O$496,4,FALSE)</f>
        <v>2704</v>
      </c>
      <c r="H64" s="17" t="s">
        <v>218</v>
      </c>
      <c r="I64" s="17" t="str">
        <f>VLOOKUP(A64,[1]Sheet2!$I$2:$O$496,6,FALSE)</f>
        <v>2025-07-30</v>
      </c>
    </row>
    <row r="65" spans="1:9" x14ac:dyDescent="0.25">
      <c r="A65" s="14" t="s">
        <v>669</v>
      </c>
      <c r="B65" s="15" t="s">
        <v>112</v>
      </c>
      <c r="C65" s="15" t="str">
        <f>VLOOKUP(A65,[1]Sheet2!$I$2:$O$496,5,FALSE)</f>
        <v>2025-07-05</v>
      </c>
      <c r="D65" s="17" t="s">
        <v>15</v>
      </c>
      <c r="E65" s="17" t="str">
        <f>VLOOKUP(A65,[1]Sheet2!$I$2:$O$496,3,FALSE)</f>
        <v>KPB1</v>
      </c>
      <c r="F65" s="17" t="s">
        <v>670</v>
      </c>
      <c r="G65" s="17">
        <f>VLOOKUP(A65,[1]Sheet2!$I$2:$O$496,4,FALSE)</f>
        <v>275</v>
      </c>
      <c r="H65" s="17" t="s">
        <v>245</v>
      </c>
      <c r="I65" s="17" t="str">
        <f>VLOOKUP(A65,[1]Sheet2!$I$2:$O$496,6,FALSE)</f>
        <v>2025-07-19</v>
      </c>
    </row>
    <row r="66" spans="1:9" x14ac:dyDescent="0.25">
      <c r="A66" s="14" t="s">
        <v>415</v>
      </c>
      <c r="B66" s="15" t="s">
        <v>245</v>
      </c>
      <c r="C66" s="15" t="str">
        <f>VLOOKUP(A66,[1]Sheet2!$I$2:$O$496,5,FALSE)</f>
        <v>1970-01-01</v>
      </c>
      <c r="D66" s="17" t="s">
        <v>15</v>
      </c>
      <c r="E66" s="17" t="str">
        <f>VLOOKUP(A66,[1]Sheet2!$I$2:$O$496,3,FALSE)</f>
        <v>KPB1</v>
      </c>
      <c r="F66" s="17" t="s">
        <v>416</v>
      </c>
      <c r="G66" s="17">
        <f>VLOOKUP(A66,[1]Sheet2!$I$2:$O$496,4,FALSE)</f>
        <v>277</v>
      </c>
      <c r="H66" s="17" t="s">
        <v>157</v>
      </c>
      <c r="I66" s="17" t="str">
        <f>VLOOKUP(A66,[1]Sheet2!$I$2:$O$496,6,FALSE)</f>
        <v>2025-07-26</v>
      </c>
    </row>
    <row r="67" spans="1:9" x14ac:dyDescent="0.25">
      <c r="A67" s="14" t="s">
        <v>170</v>
      </c>
      <c r="B67" s="15" t="s">
        <v>171</v>
      </c>
      <c r="C67" s="15" t="str">
        <f>VLOOKUP(A67,[1]Sheet2!$I$2:$O$496,5,FALSE)</f>
        <v>1970-01-01</v>
      </c>
      <c r="D67" s="17" t="s">
        <v>21</v>
      </c>
      <c r="E67" s="17" t="str">
        <f>VLOOKUP(A67,[1]Sheet2!$I$2:$O$496,3,FALSE)</f>
        <v>KPB2</v>
      </c>
      <c r="F67" s="17" t="s">
        <v>172</v>
      </c>
      <c r="G67" s="17">
        <f>VLOOKUP(A67,[1]Sheet2!$I$2:$O$496,4,FALSE)</f>
        <v>2825</v>
      </c>
      <c r="H67" s="17" t="s">
        <v>157</v>
      </c>
      <c r="I67" s="17" t="str">
        <f>VLOOKUP(A67,[1]Sheet2!$I$2:$O$496,6,FALSE)</f>
        <v>2025-07-26</v>
      </c>
    </row>
    <row r="68" spans="1:9" x14ac:dyDescent="0.25">
      <c r="A68" s="14" t="s">
        <v>496</v>
      </c>
      <c r="B68" s="15" t="s">
        <v>497</v>
      </c>
      <c r="C68" s="15" t="str">
        <f>VLOOKUP(A68,[1]Sheet2!$I$2:$O$496,5,FALSE)</f>
        <v>2024-12-11</v>
      </c>
      <c r="D68" s="17" t="s">
        <v>28</v>
      </c>
      <c r="E68" s="17" t="str">
        <f>VLOOKUP(A68,[1]Sheet2!$I$2:$O$496,3,FALSE)</f>
        <v>KPB3</v>
      </c>
      <c r="F68" s="17" t="s">
        <v>498</v>
      </c>
      <c r="G68" s="17">
        <f>VLOOKUP(A68,[1]Sheet2!$I$2:$O$496,4,FALSE)</f>
        <v>2880</v>
      </c>
      <c r="H68" s="17" t="s">
        <v>112</v>
      </c>
      <c r="I68" s="17" t="str">
        <f>VLOOKUP(A68,[1]Sheet2!$I$2:$O$496,6,FALSE)</f>
        <v>2025-07-05</v>
      </c>
    </row>
    <row r="69" spans="1:9" x14ac:dyDescent="0.25">
      <c r="A69" s="14" t="s">
        <v>684</v>
      </c>
      <c r="B69" s="15" t="s">
        <v>685</v>
      </c>
      <c r="C69" s="15" t="str">
        <f>VLOOKUP(A69,[1]Sheet2!$I$2:$O$496,5,FALSE)</f>
        <v>1970-01-01</v>
      </c>
      <c r="D69" s="17" t="s">
        <v>21</v>
      </c>
      <c r="E69" s="17" t="str">
        <f>VLOOKUP(A69,[1]Sheet2!$I$2:$O$496,3,FALSE)</f>
        <v>KPB2</v>
      </c>
      <c r="F69" s="17" t="s">
        <v>686</v>
      </c>
      <c r="G69" s="17">
        <f>VLOOKUP(A69,[1]Sheet2!$I$2:$O$496,4,FALSE)</f>
        <v>2924</v>
      </c>
      <c r="H69" s="17" t="s">
        <v>192</v>
      </c>
      <c r="I69" s="17" t="str">
        <f>VLOOKUP(A69,[1]Sheet2!$I$2:$O$496,6,FALSE)</f>
        <v>2025-07-07</v>
      </c>
    </row>
    <row r="70" spans="1:9" x14ac:dyDescent="0.25">
      <c r="A70" s="14" t="s">
        <v>381</v>
      </c>
      <c r="B70" s="15" t="s">
        <v>111</v>
      </c>
      <c r="C70" s="15" t="str">
        <f>VLOOKUP(A70,[1]Sheet2!$I$2:$O$496,5,FALSE)</f>
        <v>2025-06-28</v>
      </c>
      <c r="D70" s="17" t="s">
        <v>15</v>
      </c>
      <c r="E70" s="17" t="str">
        <f>VLOOKUP(A70,[1]Sheet2!$I$2:$O$496,3,FALSE)</f>
        <v>KPB1</v>
      </c>
      <c r="F70" s="17" t="s">
        <v>382</v>
      </c>
      <c r="G70" s="17">
        <f>VLOOKUP(A70,[1]Sheet2!$I$2:$O$496,4,FALSE)</f>
        <v>293</v>
      </c>
      <c r="H70" s="17" t="s">
        <v>245</v>
      </c>
      <c r="I70" s="17" t="str">
        <f>VLOOKUP(A70,[1]Sheet2!$I$2:$O$496,6,FALSE)</f>
        <v>2025-07-19</v>
      </c>
    </row>
    <row r="71" spans="1:9" x14ac:dyDescent="0.25">
      <c r="A71" s="14" t="s">
        <v>237</v>
      </c>
      <c r="B71" s="15" t="s">
        <v>238</v>
      </c>
      <c r="C71" s="15" t="str">
        <f>VLOOKUP(A71,[1]Sheet2!$I$2:$O$496,5,FALSE)</f>
        <v>2025-03-18</v>
      </c>
      <c r="D71" s="17" t="s">
        <v>28</v>
      </c>
      <c r="E71" s="17" t="str">
        <f>VLOOKUP(A71,[1]Sheet2!$I$2:$O$496,3,FALSE)</f>
        <v>KPB3</v>
      </c>
      <c r="F71" s="17" t="s">
        <v>239</v>
      </c>
      <c r="G71" s="17">
        <f>VLOOKUP(A71,[1]Sheet2!$I$2:$O$496,4,FALSE)</f>
        <v>2932</v>
      </c>
      <c r="H71" s="17" t="s">
        <v>229</v>
      </c>
      <c r="I71" s="17" t="str">
        <f>VLOOKUP(A71,[1]Sheet2!$I$2:$O$496,6,FALSE)</f>
        <v>2025-07-25</v>
      </c>
    </row>
    <row r="72" spans="1:9" x14ac:dyDescent="0.25">
      <c r="A72" s="14" t="s">
        <v>405</v>
      </c>
      <c r="B72" s="15" t="s">
        <v>206</v>
      </c>
      <c r="C72" s="15" t="str">
        <f>VLOOKUP(A72,[1]Sheet2!$I$2:$O$496,5,FALSE)</f>
        <v>1970-01-01</v>
      </c>
      <c r="D72" s="17" t="s">
        <v>15</v>
      </c>
      <c r="E72" s="17" t="str">
        <f>VLOOKUP(A72,[1]Sheet2!$I$2:$O$496,3,FALSE)</f>
        <v>KPB1</v>
      </c>
      <c r="F72" s="17" t="s">
        <v>406</v>
      </c>
      <c r="G72" s="17">
        <f>VLOOKUP(A72,[1]Sheet2!$I$2:$O$496,4,FALSE)</f>
        <v>297</v>
      </c>
      <c r="H72" s="17" t="s">
        <v>183</v>
      </c>
      <c r="I72" s="17" t="str">
        <f>VLOOKUP(A72,[1]Sheet2!$I$2:$O$496,6,FALSE)</f>
        <v>2025-07-23</v>
      </c>
    </row>
    <row r="73" spans="1:9" x14ac:dyDescent="0.25">
      <c r="A73" s="14" t="s">
        <v>357</v>
      </c>
      <c r="B73" s="15" t="s">
        <v>121</v>
      </c>
      <c r="C73" s="15" t="str">
        <f>VLOOKUP(A73,[1]Sheet2!$I$2:$O$496,5,FALSE)</f>
        <v>2025-06-20</v>
      </c>
      <c r="D73" s="17" t="s">
        <v>15</v>
      </c>
      <c r="E73" s="17" t="str">
        <f>VLOOKUP(A73,[1]Sheet2!$I$2:$O$496,3,FALSE)</f>
        <v>KPB1</v>
      </c>
      <c r="F73" s="17" t="s">
        <v>358</v>
      </c>
      <c r="G73" s="17">
        <f>VLOOKUP(A73,[1]Sheet2!$I$2:$O$496,4,FALSE)</f>
        <v>298</v>
      </c>
      <c r="H73" s="17" t="s">
        <v>212</v>
      </c>
      <c r="I73" s="17" t="str">
        <f>VLOOKUP(A73,[1]Sheet2!$I$2:$O$496,6,FALSE)</f>
        <v>2025-07-15</v>
      </c>
    </row>
    <row r="74" spans="1:9" x14ac:dyDescent="0.25">
      <c r="A74" s="14" t="s">
        <v>617</v>
      </c>
      <c r="B74" s="15" t="s">
        <v>609</v>
      </c>
      <c r="C74" s="15" t="str">
        <f>VLOOKUP(A74,[1]Sheet2!$I$2:$O$496,5,FALSE)</f>
        <v>2025-05-28</v>
      </c>
      <c r="D74" s="17" t="s">
        <v>15</v>
      </c>
      <c r="E74" s="17" t="str">
        <f>VLOOKUP(A74,[1]Sheet2!$I$2:$O$496,3,FALSE)</f>
        <v>KPB1</v>
      </c>
      <c r="F74" s="17" t="s">
        <v>618</v>
      </c>
      <c r="G74" s="17">
        <f>VLOOKUP(A74,[1]Sheet2!$I$2:$O$496,4,FALSE)</f>
        <v>303</v>
      </c>
      <c r="H74" s="17" t="s">
        <v>112</v>
      </c>
      <c r="I74" s="17" t="str">
        <f>VLOOKUP(A74,[1]Sheet2!$I$2:$O$496,6,FALSE)</f>
        <v>2025-07-05</v>
      </c>
    </row>
    <row r="75" spans="1:9" x14ac:dyDescent="0.25">
      <c r="A75" s="14" t="s">
        <v>445</v>
      </c>
      <c r="B75" s="15" t="s">
        <v>248</v>
      </c>
      <c r="C75" s="15" t="str">
        <f>VLOOKUP(A75,[1]Sheet2!$I$2:$O$496,5,FALSE)</f>
        <v>2025-03-14</v>
      </c>
      <c r="D75" s="17" t="s">
        <v>21</v>
      </c>
      <c r="E75" s="17" t="str">
        <f>VLOOKUP(A75,[1]Sheet2!$I$2:$O$496,3,FALSE)</f>
        <v>KPB2</v>
      </c>
      <c r="F75" s="17" t="s">
        <v>446</v>
      </c>
      <c r="G75" s="17">
        <f>VLOOKUP(A75,[1]Sheet2!$I$2:$O$496,4,FALSE)</f>
        <v>3061</v>
      </c>
      <c r="H75" s="17" t="s">
        <v>192</v>
      </c>
      <c r="I75" s="17" t="str">
        <f>VLOOKUP(A75,[1]Sheet2!$I$2:$O$496,6,FALSE)</f>
        <v>2025-07-07</v>
      </c>
    </row>
    <row r="76" spans="1:9" x14ac:dyDescent="0.25">
      <c r="A76" s="14" t="s">
        <v>203</v>
      </c>
      <c r="B76" s="15" t="s">
        <v>111</v>
      </c>
      <c r="C76" s="15" t="str">
        <f>VLOOKUP(A76,[1]Sheet2!$I$2:$O$496,5,FALSE)</f>
        <v>1970-01-01</v>
      </c>
      <c r="D76" s="17" t="s">
        <v>15</v>
      </c>
      <c r="E76" s="17" t="str">
        <f>VLOOKUP(A76,[1]Sheet2!$I$2:$O$496,3,FALSE)</f>
        <v>KPB1</v>
      </c>
      <c r="F76" s="17" t="s">
        <v>204</v>
      </c>
      <c r="G76" s="17">
        <f>VLOOKUP(A76,[1]Sheet2!$I$2:$O$496,4,FALSE)</f>
        <v>316</v>
      </c>
      <c r="H76" s="17" t="s">
        <v>192</v>
      </c>
      <c r="I76" s="17" t="str">
        <f>VLOOKUP(A76,[1]Sheet2!$I$2:$O$496,6,FALSE)</f>
        <v>2025-07-07</v>
      </c>
    </row>
    <row r="77" spans="1:9" x14ac:dyDescent="0.25">
      <c r="A77" s="14" t="s">
        <v>738</v>
      </c>
      <c r="B77" s="15" t="s">
        <v>153</v>
      </c>
      <c r="C77" s="15" t="str">
        <f>VLOOKUP(A77,[1]Sheet2!$I$2:$O$496,5,FALSE)</f>
        <v>2025-06-13</v>
      </c>
      <c r="D77" s="17" t="s">
        <v>15</v>
      </c>
      <c r="E77" s="17" t="str">
        <f>VLOOKUP(A77,[1]Sheet2!$I$2:$O$496,3,FALSE)</f>
        <v>KPB1</v>
      </c>
      <c r="F77" s="17" t="s">
        <v>739</v>
      </c>
      <c r="G77" s="17">
        <f>VLOOKUP(A77,[1]Sheet2!$I$2:$O$496,4,FALSE)</f>
        <v>317</v>
      </c>
      <c r="H77" s="17" t="s">
        <v>125</v>
      </c>
      <c r="I77" s="17" t="str">
        <f>VLOOKUP(A77,[1]Sheet2!$I$2:$O$496,6,FALSE)</f>
        <v>2025-07-08</v>
      </c>
    </row>
    <row r="78" spans="1:9" x14ac:dyDescent="0.25">
      <c r="A78" s="14" t="s">
        <v>326</v>
      </c>
      <c r="B78" s="15" t="s">
        <v>206</v>
      </c>
      <c r="C78" s="15" t="str">
        <f>VLOOKUP(A78,[1]Sheet2!$I$2:$O$496,5,FALSE)</f>
        <v>2025-06-21</v>
      </c>
      <c r="D78" s="17" t="s">
        <v>15</v>
      </c>
      <c r="E78" s="17" t="str">
        <f>VLOOKUP(A78,[1]Sheet2!$I$2:$O$496,3,FALSE)</f>
        <v>KPB1</v>
      </c>
      <c r="F78" s="17" t="s">
        <v>327</v>
      </c>
      <c r="G78" s="17">
        <f>VLOOKUP(A78,[1]Sheet2!$I$2:$O$496,4,FALSE)</f>
        <v>320</v>
      </c>
      <c r="H78" s="17" t="s">
        <v>140</v>
      </c>
      <c r="I78" s="17" t="str">
        <f>VLOOKUP(A78,[1]Sheet2!$I$2:$O$496,6,FALSE)</f>
        <v>2025-07-11</v>
      </c>
    </row>
    <row r="79" spans="1:9" x14ac:dyDescent="0.25">
      <c r="A79" s="14" t="s">
        <v>123</v>
      </c>
      <c r="B79" s="15" t="s">
        <v>124</v>
      </c>
      <c r="C79" s="15" t="str">
        <f>VLOOKUP(A79,[1]Sheet2!$I$2:$O$496,5,FALSE)</f>
        <v>2025-06-16</v>
      </c>
      <c r="D79" s="17" t="s">
        <v>15</v>
      </c>
      <c r="E79" s="17" t="str">
        <f>VLOOKUP(A79,[1]Sheet2!$I$2:$O$496,3,FALSE)</f>
        <v>KPB1</v>
      </c>
      <c r="F79" s="17" t="s">
        <v>126</v>
      </c>
      <c r="G79" s="17">
        <f>VLOOKUP(A79,[1]Sheet2!$I$2:$O$496,4,FALSE)</f>
        <v>322</v>
      </c>
      <c r="H79" s="17" t="s">
        <v>125</v>
      </c>
      <c r="I79" s="17" t="str">
        <f>VLOOKUP(A79,[1]Sheet2!$I$2:$O$496,6,FALSE)</f>
        <v>2025-07-08</v>
      </c>
    </row>
    <row r="80" spans="1:9" x14ac:dyDescent="0.25">
      <c r="A80" s="14" t="s">
        <v>574</v>
      </c>
      <c r="B80" s="15" t="s">
        <v>575</v>
      </c>
      <c r="C80" s="15" t="str">
        <f>VLOOKUP(A80,[1]Sheet2!$I$2:$O$496,5,FALSE)</f>
        <v>2025-06-26</v>
      </c>
      <c r="D80" s="17" t="s">
        <v>15</v>
      </c>
      <c r="E80" s="17" t="str">
        <f>VLOOKUP(A80,[1]Sheet2!$I$2:$O$496,3,FALSE)</f>
        <v>KPB1</v>
      </c>
      <c r="F80" s="17" t="s">
        <v>576</v>
      </c>
      <c r="G80" s="17">
        <f>VLOOKUP(A80,[1]Sheet2!$I$2:$O$496,4,FALSE)</f>
        <v>324</v>
      </c>
      <c r="H80" s="17" t="s">
        <v>420</v>
      </c>
      <c r="I80" s="17" t="str">
        <f>VLOOKUP(A80,[1]Sheet2!$I$2:$O$496,6,FALSE)</f>
        <v>2025-07-29</v>
      </c>
    </row>
    <row r="81" spans="1:9" x14ac:dyDescent="0.25">
      <c r="A81" s="14" t="s">
        <v>732</v>
      </c>
      <c r="B81" s="15" t="s">
        <v>584</v>
      </c>
      <c r="C81" s="15" t="str">
        <f>VLOOKUP(A81,[1]Sheet2!$I$2:$O$496,5,FALSE)</f>
        <v>2025-03-26</v>
      </c>
      <c r="D81" s="17" t="s">
        <v>21</v>
      </c>
      <c r="E81" s="17" t="str">
        <f>VLOOKUP(A81,[1]Sheet2!$I$2:$O$496,3,FALSE)</f>
        <v>KPB2</v>
      </c>
      <c r="F81" s="17" t="s">
        <v>733</v>
      </c>
      <c r="G81" s="17">
        <f>VLOOKUP(A81,[1]Sheet2!$I$2:$O$496,4,FALSE)</f>
        <v>3282</v>
      </c>
      <c r="H81" s="17" t="s">
        <v>420</v>
      </c>
      <c r="I81" s="17" t="str">
        <f>VLOOKUP(A81,[1]Sheet2!$I$2:$O$496,6,FALSE)</f>
        <v>2025-07-29</v>
      </c>
    </row>
    <row r="82" spans="1:9" x14ac:dyDescent="0.25">
      <c r="A82" s="14" t="s">
        <v>598</v>
      </c>
      <c r="B82" s="15" t="s">
        <v>599</v>
      </c>
      <c r="C82" s="15" t="str">
        <f>VLOOKUP(A82,[1]Sheet2!$I$2:$O$496,5,FALSE)</f>
        <v>2024-09-26</v>
      </c>
      <c r="D82" s="17" t="s">
        <v>23</v>
      </c>
      <c r="E82" s="17" t="str">
        <f>VLOOKUP(A82,[1]Sheet2!$I$2:$O$496,3,FALSE)</f>
        <v>KPB4</v>
      </c>
      <c r="F82" s="17" t="s">
        <v>600</v>
      </c>
      <c r="G82" s="17">
        <f>VLOOKUP(A82,[1]Sheet2!$I$2:$O$496,4,FALSE)</f>
        <v>3284</v>
      </c>
      <c r="H82" s="17" t="s">
        <v>125</v>
      </c>
      <c r="I82" s="17" t="str">
        <f>VLOOKUP(A82,[1]Sheet2!$I$2:$O$496,6,FALSE)</f>
        <v>2025-07-08</v>
      </c>
    </row>
    <row r="83" spans="1:9" x14ac:dyDescent="0.25">
      <c r="A83" s="14" t="s">
        <v>529</v>
      </c>
      <c r="B83" s="15" t="s">
        <v>226</v>
      </c>
      <c r="C83" s="15" t="str">
        <f>VLOOKUP(A83,[1]Sheet2!$I$2:$O$496,5,FALSE)</f>
        <v>2024-12-19</v>
      </c>
      <c r="D83" s="17" t="s">
        <v>23</v>
      </c>
      <c r="E83" s="17" t="str">
        <f>VLOOKUP(A83,[1]Sheet2!$I$2:$O$496,3,FALSE)</f>
        <v>KPB4</v>
      </c>
      <c r="F83" s="17" t="s">
        <v>530</v>
      </c>
      <c r="G83" s="17">
        <f>VLOOKUP(A83,[1]Sheet2!$I$2:$O$496,4,FALSE)</f>
        <v>3293</v>
      </c>
      <c r="H83" s="17" t="s">
        <v>175</v>
      </c>
      <c r="I83" s="17" t="str">
        <f>VLOOKUP(A83,[1]Sheet2!$I$2:$O$496,6,FALSE)</f>
        <v>2025-07-21</v>
      </c>
    </row>
    <row r="84" spans="1:9" x14ac:dyDescent="0.25">
      <c r="A84" s="14" t="s">
        <v>110</v>
      </c>
      <c r="B84" s="15" t="s">
        <v>111</v>
      </c>
      <c r="C84" s="15" t="str">
        <f>VLOOKUP(A84,[1]Sheet2!$I$2:$O$496,5,FALSE)</f>
        <v>2025-06-28</v>
      </c>
      <c r="D84" s="17" t="s">
        <v>15</v>
      </c>
      <c r="E84" s="17" t="str">
        <f>VLOOKUP(A84,[1]Sheet2!$I$2:$O$496,3,FALSE)</f>
        <v>KPB1</v>
      </c>
      <c r="F84" s="17" t="s">
        <v>113</v>
      </c>
      <c r="G84" s="17">
        <f>VLOOKUP(A84,[1]Sheet2!$I$2:$O$496,4,FALSE)</f>
        <v>330</v>
      </c>
      <c r="H84" s="17" t="s">
        <v>112</v>
      </c>
      <c r="I84" s="17" t="str">
        <f>VLOOKUP(A84,[1]Sheet2!$I$2:$O$496,6,FALSE)</f>
        <v>2025-07-05</v>
      </c>
    </row>
    <row r="85" spans="1:9" x14ac:dyDescent="0.25">
      <c r="A85" s="14" t="s">
        <v>710</v>
      </c>
      <c r="B85" s="15" t="s">
        <v>711</v>
      </c>
      <c r="C85" s="15" t="str">
        <f>VLOOKUP(A85,[1]Sheet2!$I$2:$O$496,5,FALSE)</f>
        <v>2024-09-06</v>
      </c>
      <c r="D85" s="17" t="s">
        <v>23</v>
      </c>
      <c r="E85" s="17" t="str">
        <f>VLOOKUP(A85,[1]Sheet2!$I$2:$O$496,3,FALSE)</f>
        <v>KPB4</v>
      </c>
      <c r="F85" s="17" t="s">
        <v>712</v>
      </c>
      <c r="G85" s="17">
        <f>VLOOKUP(A85,[1]Sheet2!$I$2:$O$496,4,FALSE)</f>
        <v>3331</v>
      </c>
      <c r="H85" s="17" t="s">
        <v>104</v>
      </c>
      <c r="I85" s="17" t="str">
        <f>VLOOKUP(A85,[1]Sheet2!$I$2:$O$496,6,FALSE)</f>
        <v>2025-07-02</v>
      </c>
    </row>
    <row r="86" spans="1:9" x14ac:dyDescent="0.25">
      <c r="A86" s="14" t="s">
        <v>728</v>
      </c>
      <c r="B86" s="15" t="s">
        <v>215</v>
      </c>
      <c r="C86" s="15" t="str">
        <f>VLOOKUP(A86,[1]Sheet2!$I$2:$O$496,5,FALSE)</f>
        <v>1970-01-01</v>
      </c>
      <c r="D86" s="17" t="s">
        <v>15</v>
      </c>
      <c r="E86" s="17" t="str">
        <f>VLOOKUP(A86,[1]Sheet2!$I$2:$O$496,3,FALSE)</f>
        <v>KPB1</v>
      </c>
      <c r="F86" s="17" t="s">
        <v>729</v>
      </c>
      <c r="G86" s="17">
        <f>VLOOKUP(A86,[1]Sheet2!$I$2:$O$496,4,FALSE)</f>
        <v>336</v>
      </c>
      <c r="H86" s="17" t="s">
        <v>420</v>
      </c>
      <c r="I86" s="17" t="str">
        <f>VLOOKUP(A86,[1]Sheet2!$I$2:$O$496,6,FALSE)</f>
        <v>2025-07-29</v>
      </c>
    </row>
    <row r="87" spans="1:9" x14ac:dyDescent="0.25">
      <c r="A87" s="14" t="s">
        <v>484</v>
      </c>
      <c r="B87" s="15" t="s">
        <v>485</v>
      </c>
      <c r="C87" s="15" t="str">
        <f>VLOOKUP(A87,[1]Sheet2!$I$2:$O$496,5,FALSE)</f>
        <v>2024-12-21</v>
      </c>
      <c r="D87" s="17" t="s">
        <v>28</v>
      </c>
      <c r="E87" s="17" t="str">
        <f>VLOOKUP(A87,[1]Sheet2!$I$2:$O$496,3,FALSE)</f>
        <v>KPB3</v>
      </c>
      <c r="F87" s="17" t="s">
        <v>486</v>
      </c>
      <c r="G87" s="17">
        <f>VLOOKUP(A87,[1]Sheet2!$I$2:$O$496,4,FALSE)</f>
        <v>3391</v>
      </c>
      <c r="H87" s="17" t="s">
        <v>112</v>
      </c>
      <c r="I87" s="17" t="str">
        <f>VLOOKUP(A87,[1]Sheet2!$I$2:$O$496,6,FALSE)</f>
        <v>2025-07-05</v>
      </c>
    </row>
    <row r="88" spans="1:9" x14ac:dyDescent="0.25">
      <c r="A88" s="14" t="s">
        <v>439</v>
      </c>
      <c r="B88" s="15" t="s">
        <v>440</v>
      </c>
      <c r="C88" s="15" t="str">
        <f>VLOOKUP(A88,[1]Sheet2!$I$2:$O$496,5,FALSE)</f>
        <v>1970-01-01</v>
      </c>
      <c r="D88" s="17" t="s">
        <v>21</v>
      </c>
      <c r="E88" s="17" t="str">
        <f>VLOOKUP(A88,[1]Sheet2!$I$2:$O$496,3,FALSE)</f>
        <v>KPB2</v>
      </c>
      <c r="F88" s="17" t="s">
        <v>441</v>
      </c>
      <c r="G88" s="17">
        <f>VLOOKUP(A88,[1]Sheet2!$I$2:$O$496,4,FALSE)</f>
        <v>3526</v>
      </c>
      <c r="H88" s="17" t="s">
        <v>112</v>
      </c>
      <c r="I88" s="17" t="str">
        <f>VLOOKUP(A88,[1]Sheet2!$I$2:$O$496,6,FALSE)</f>
        <v>2025-07-05</v>
      </c>
    </row>
    <row r="89" spans="1:9" x14ac:dyDescent="0.25">
      <c r="A89" s="14" t="s">
        <v>288</v>
      </c>
      <c r="B89" s="15" t="s">
        <v>289</v>
      </c>
      <c r="C89" s="15" t="str">
        <f>VLOOKUP(A89,[1]Sheet2!$I$2:$O$496,5,FALSE)</f>
        <v>2025-05-20</v>
      </c>
      <c r="D89" s="17" t="s">
        <v>15</v>
      </c>
      <c r="E89" s="17" t="str">
        <f>VLOOKUP(A89,[1]Sheet2!$I$2:$O$496,3,FALSE)</f>
        <v>KPB1</v>
      </c>
      <c r="F89" s="17" t="s">
        <v>290</v>
      </c>
      <c r="G89" s="17">
        <f>VLOOKUP(A89,[1]Sheet2!$I$2:$O$496,4,FALSE)</f>
        <v>363</v>
      </c>
      <c r="H89" s="17" t="s">
        <v>192</v>
      </c>
      <c r="I89" s="17" t="str">
        <f>VLOOKUP(A89,[1]Sheet2!$I$2:$O$496,6,FALSE)</f>
        <v>2025-07-07</v>
      </c>
    </row>
    <row r="90" spans="1:9" x14ac:dyDescent="0.25">
      <c r="A90" s="14" t="s">
        <v>579</v>
      </c>
      <c r="B90" s="15" t="s">
        <v>111</v>
      </c>
      <c r="C90" s="15" t="str">
        <f>VLOOKUP(A90,[1]Sheet2!$I$2:$O$496,5,FALSE)</f>
        <v>1970-01-01</v>
      </c>
      <c r="D90" s="17" t="s">
        <v>15</v>
      </c>
      <c r="E90" s="17" t="str">
        <f>VLOOKUP(A90,[1]Sheet2!$I$2:$O$496,3,FALSE)</f>
        <v>KPB1</v>
      </c>
      <c r="F90" s="17" t="s">
        <v>290</v>
      </c>
      <c r="G90" s="17">
        <f>VLOOKUP(A90,[1]Sheet2!$I$2:$O$496,4,FALSE)</f>
        <v>363</v>
      </c>
      <c r="H90" s="17" t="s">
        <v>218</v>
      </c>
      <c r="I90" s="17" t="str">
        <f>VLOOKUP(A90,[1]Sheet2!$I$2:$O$496,6,FALSE)</f>
        <v>2025-07-30</v>
      </c>
    </row>
    <row r="91" spans="1:9" x14ac:dyDescent="0.25">
      <c r="A91" s="14" t="s">
        <v>642</v>
      </c>
      <c r="B91" s="15" t="s">
        <v>643</v>
      </c>
      <c r="C91" s="15" t="str">
        <f>VLOOKUP(A91,[1]Sheet2!$I$2:$O$496,5,FALSE)</f>
        <v>1970-01-01</v>
      </c>
      <c r="D91" s="17" t="s">
        <v>28</v>
      </c>
      <c r="E91" s="17" t="str">
        <f>VLOOKUP(A91,[1]Sheet2!$I$2:$O$496,3,FALSE)</f>
        <v>KPB3</v>
      </c>
      <c r="F91" s="17" t="s">
        <v>644</v>
      </c>
      <c r="G91" s="17">
        <f>VLOOKUP(A91,[1]Sheet2!$I$2:$O$496,4,FALSE)</f>
        <v>3632</v>
      </c>
      <c r="H91" s="17" t="s">
        <v>175</v>
      </c>
      <c r="I91" s="17" t="str">
        <f>VLOOKUP(A91,[1]Sheet2!$I$2:$O$496,6,FALSE)</f>
        <v>2025-07-21</v>
      </c>
    </row>
    <row r="92" spans="1:9" x14ac:dyDescent="0.25">
      <c r="A92" s="14" t="s">
        <v>399</v>
      </c>
      <c r="B92" s="15" t="s">
        <v>254</v>
      </c>
      <c r="C92" s="15" t="str">
        <f>VLOOKUP(A92,[1]Sheet2!$I$2:$O$496,5,FALSE)</f>
        <v>1970-01-01</v>
      </c>
      <c r="D92" s="17" t="s">
        <v>15</v>
      </c>
      <c r="E92" s="17" t="str">
        <f>VLOOKUP(A92,[1]Sheet2!$I$2:$O$496,3,FALSE)</f>
        <v>KPB1</v>
      </c>
      <c r="F92" s="17" t="s">
        <v>400</v>
      </c>
      <c r="G92" s="17">
        <f>VLOOKUP(A92,[1]Sheet2!$I$2:$O$496,4,FALSE)</f>
        <v>373</v>
      </c>
      <c r="H92" s="17" t="s">
        <v>393</v>
      </c>
      <c r="I92" s="17" t="str">
        <f>VLOOKUP(A92,[1]Sheet2!$I$2:$O$496,6,FALSE)</f>
        <v>2025-07-22</v>
      </c>
    </row>
    <row r="93" spans="1:9" x14ac:dyDescent="0.25">
      <c r="A93" s="14" t="s">
        <v>707</v>
      </c>
      <c r="B93" s="15" t="s">
        <v>708</v>
      </c>
      <c r="C93" s="15" t="str">
        <f>VLOOKUP(A93,[1]Sheet2!$I$2:$O$496,5,FALSE)</f>
        <v>2025-02-03</v>
      </c>
      <c r="D93" s="17" t="s">
        <v>28</v>
      </c>
      <c r="E93" s="17" t="str">
        <f>VLOOKUP(A93,[1]Sheet2!$I$2:$O$496,3,FALSE)</f>
        <v>KPB3</v>
      </c>
      <c r="F93" s="17" t="s">
        <v>709</v>
      </c>
      <c r="G93" s="17">
        <f>VLOOKUP(A93,[1]Sheet2!$I$2:$O$496,4,FALSE)</f>
        <v>3737</v>
      </c>
      <c r="H93" s="17" t="s">
        <v>183</v>
      </c>
      <c r="I93" s="17" t="str">
        <f>VLOOKUP(A93,[1]Sheet2!$I$2:$O$496,6,FALSE)</f>
        <v>2025-07-23</v>
      </c>
    </row>
    <row r="94" spans="1:9" x14ac:dyDescent="0.25">
      <c r="A94" s="14" t="s">
        <v>724</v>
      </c>
      <c r="B94" s="15" t="s">
        <v>313</v>
      </c>
      <c r="C94" s="15" t="str">
        <f>VLOOKUP(A94,[1]Sheet2!$I$2:$O$496,5,FALSE)</f>
        <v>1970-01-01</v>
      </c>
      <c r="D94" s="17" t="s">
        <v>15</v>
      </c>
      <c r="E94" s="17" t="str">
        <f>VLOOKUP(A94,[1]Sheet2!$I$2:$O$496,3,FALSE)</f>
        <v>KPB1</v>
      </c>
      <c r="F94" s="17" t="s">
        <v>725</v>
      </c>
      <c r="G94" s="17">
        <f>VLOOKUP(A94,[1]Sheet2!$I$2:$O$496,4,FALSE)</f>
        <v>376</v>
      </c>
      <c r="H94" s="17" t="s">
        <v>192</v>
      </c>
      <c r="I94" s="17" t="str">
        <f>VLOOKUP(A94,[1]Sheet2!$I$2:$O$496,6,FALSE)</f>
        <v>2025-07-07</v>
      </c>
    </row>
    <row r="95" spans="1:9" x14ac:dyDescent="0.25">
      <c r="A95" s="14" t="s">
        <v>389</v>
      </c>
      <c r="B95" s="15" t="s">
        <v>206</v>
      </c>
      <c r="C95" s="15" t="str">
        <f>VLOOKUP(A95,[1]Sheet2!$I$2:$O$496,5,FALSE)</f>
        <v>2025-06-21</v>
      </c>
      <c r="D95" s="17" t="s">
        <v>15</v>
      </c>
      <c r="E95" s="17" t="str">
        <f>VLOOKUP(A95,[1]Sheet2!$I$2:$O$496,3,FALSE)</f>
        <v>KPB1</v>
      </c>
      <c r="F95" s="17" t="s">
        <v>390</v>
      </c>
      <c r="G95" s="17">
        <f>VLOOKUP(A95,[1]Sheet2!$I$2:$O$496,4,FALSE)</f>
        <v>377</v>
      </c>
      <c r="H95" s="17" t="s">
        <v>175</v>
      </c>
      <c r="I95" s="17" t="str">
        <f>VLOOKUP(A95,[1]Sheet2!$I$2:$O$496,6,FALSE)</f>
        <v>2025-07-21</v>
      </c>
    </row>
    <row r="96" spans="1:9" x14ac:dyDescent="0.25">
      <c r="A96" s="14" t="s">
        <v>129</v>
      </c>
      <c r="B96" s="15" t="s">
        <v>130</v>
      </c>
      <c r="C96" s="15" t="str">
        <f>VLOOKUP(A96,[1]Sheet2!$I$2:$O$496,5,FALSE)</f>
        <v>2025-06-10</v>
      </c>
      <c r="D96" s="17" t="s">
        <v>15</v>
      </c>
      <c r="E96" s="17" t="str">
        <f>VLOOKUP(A96,[1]Sheet2!$I$2:$O$496,3,FALSE)</f>
        <v>KPB1</v>
      </c>
      <c r="F96" s="17" t="s">
        <v>132</v>
      </c>
      <c r="G96" s="17">
        <f>VLOOKUP(A96,[1]Sheet2!$I$2:$O$496,4,FALSE)</f>
        <v>379</v>
      </c>
      <c r="H96" s="17" t="s">
        <v>131</v>
      </c>
      <c r="I96" s="17" t="str">
        <f>VLOOKUP(A96,[1]Sheet2!$I$2:$O$496,6,FALSE)</f>
        <v>2025-07-09</v>
      </c>
    </row>
    <row r="97" spans="1:9" x14ac:dyDescent="0.25">
      <c r="A97" s="14" t="s">
        <v>135</v>
      </c>
      <c r="B97" s="15" t="s">
        <v>136</v>
      </c>
      <c r="C97" s="15" t="str">
        <f>VLOOKUP(A97,[1]Sheet2!$I$2:$O$496,5,FALSE)</f>
        <v>2025-05-14</v>
      </c>
      <c r="D97" s="17" t="s">
        <v>15</v>
      </c>
      <c r="E97" s="17" t="str">
        <f>VLOOKUP(A97,[1]Sheet2!$I$2:$O$496,3,FALSE)</f>
        <v>KPB1</v>
      </c>
      <c r="F97" s="17" t="s">
        <v>132</v>
      </c>
      <c r="G97" s="17">
        <f>VLOOKUP(A97,[1]Sheet2!$I$2:$O$496,4,FALSE)</f>
        <v>379</v>
      </c>
      <c r="H97" s="17" t="s">
        <v>137</v>
      </c>
      <c r="I97" s="17" t="str">
        <f>VLOOKUP(A97,[1]Sheet2!$I$2:$O$496,6,FALSE)</f>
        <v>2025-07-10</v>
      </c>
    </row>
    <row r="98" spans="1:9" x14ac:dyDescent="0.25">
      <c r="A98" s="14" t="s">
        <v>455</v>
      </c>
      <c r="B98" s="15" t="s">
        <v>456</v>
      </c>
      <c r="C98" s="15" t="str">
        <f>VLOOKUP(A98,[1]Sheet2!$I$2:$O$496,5,FALSE)</f>
        <v>2025-03-10</v>
      </c>
      <c r="D98" s="17" t="s">
        <v>21</v>
      </c>
      <c r="E98" s="17" t="str">
        <f>VLOOKUP(A98,[1]Sheet2!$I$2:$O$496,3,FALSE)</f>
        <v>KPB2</v>
      </c>
      <c r="F98" s="17" t="s">
        <v>457</v>
      </c>
      <c r="G98" s="17">
        <f>VLOOKUP(A98,[1]Sheet2!$I$2:$O$496,4,FALSE)</f>
        <v>3804</v>
      </c>
      <c r="H98" s="17" t="s">
        <v>352</v>
      </c>
      <c r="I98" s="17" t="str">
        <f>VLOOKUP(A98,[1]Sheet2!$I$2:$O$496,6,FALSE)</f>
        <v>2025-07-13</v>
      </c>
    </row>
    <row r="99" spans="1:9" x14ac:dyDescent="0.25">
      <c r="A99" s="14" t="s">
        <v>645</v>
      </c>
      <c r="B99" s="15" t="s">
        <v>646</v>
      </c>
      <c r="C99" s="15" t="str">
        <f>VLOOKUP(A99,[1]Sheet2!$I$2:$O$496,5,FALSE)</f>
        <v>2025-03-26</v>
      </c>
      <c r="D99" s="17" t="s">
        <v>21</v>
      </c>
      <c r="E99" s="17" t="str">
        <f>VLOOKUP(A99,[1]Sheet2!$I$2:$O$496,3,FALSE)</f>
        <v>KPB2</v>
      </c>
      <c r="F99" s="17" t="s">
        <v>647</v>
      </c>
      <c r="G99" s="17">
        <f>VLOOKUP(A99,[1]Sheet2!$I$2:$O$496,4,FALSE)</f>
        <v>3831</v>
      </c>
      <c r="H99" s="17" t="s">
        <v>420</v>
      </c>
      <c r="I99" s="17" t="str">
        <f>VLOOKUP(A99,[1]Sheet2!$I$2:$O$496,6,FALSE)</f>
        <v>2025-07-29</v>
      </c>
    </row>
    <row r="100" spans="1:9" x14ac:dyDescent="0.25">
      <c r="A100" s="14" t="s">
        <v>273</v>
      </c>
      <c r="B100" s="15" t="s">
        <v>118</v>
      </c>
      <c r="C100" s="15" t="str">
        <f>VLOOKUP(A100,[1]Sheet2!$I$2:$O$496,5,FALSE)</f>
        <v>2025-06-05</v>
      </c>
      <c r="D100" s="17" t="s">
        <v>15</v>
      </c>
      <c r="E100" s="17" t="str">
        <f>VLOOKUP(A100,[1]Sheet2!$I$2:$O$496,3,FALSE)</f>
        <v>KPB1</v>
      </c>
      <c r="F100" s="17" t="s">
        <v>274</v>
      </c>
      <c r="G100" s="17">
        <f>VLOOKUP(A100,[1]Sheet2!$I$2:$O$496,4,FALSE)</f>
        <v>391</v>
      </c>
      <c r="H100" s="17" t="s">
        <v>108</v>
      </c>
      <c r="I100" s="17" t="str">
        <f>VLOOKUP(A100,[1]Sheet2!$I$2:$O$496,6,FALSE)</f>
        <v>2025-07-04</v>
      </c>
    </row>
    <row r="101" spans="1:9" x14ac:dyDescent="0.25">
      <c r="A101" s="14" t="s">
        <v>479</v>
      </c>
      <c r="B101" s="15" t="s">
        <v>480</v>
      </c>
      <c r="C101" s="15" t="str">
        <f>VLOOKUP(A101,[1]Sheet2!$I$2:$O$496,5,FALSE)</f>
        <v>2024-12-18</v>
      </c>
      <c r="D101" s="17" t="s">
        <v>28</v>
      </c>
      <c r="E101" s="17" t="str">
        <f>VLOOKUP(A101,[1]Sheet2!$I$2:$O$496,3,FALSE)</f>
        <v>KPB3</v>
      </c>
      <c r="F101" s="17" t="s">
        <v>481</v>
      </c>
      <c r="G101" s="17">
        <f>VLOOKUP(A101,[1]Sheet2!$I$2:$O$496,4,FALSE)</f>
        <v>3921</v>
      </c>
      <c r="H101" s="17" t="s">
        <v>112</v>
      </c>
      <c r="I101" s="17" t="str">
        <f>VLOOKUP(A101,[1]Sheet2!$I$2:$O$496,6,FALSE)</f>
        <v>2025-07-05</v>
      </c>
    </row>
    <row r="102" spans="1:9" x14ac:dyDescent="0.25">
      <c r="A102" s="14" t="s">
        <v>620</v>
      </c>
      <c r="B102" s="15" t="s">
        <v>621</v>
      </c>
      <c r="C102" s="15" t="str">
        <f>VLOOKUP(A102,[1]Sheet2!$I$2:$O$496,5,FALSE)</f>
        <v>2024-12-31</v>
      </c>
      <c r="D102" s="17" t="s">
        <v>28</v>
      </c>
      <c r="E102" s="17" t="str">
        <f>VLOOKUP(A102,[1]Sheet2!$I$2:$O$496,3,FALSE)</f>
        <v>KPB3</v>
      </c>
      <c r="F102" s="17" t="s">
        <v>622</v>
      </c>
      <c r="G102" s="17">
        <f>VLOOKUP(A102,[1]Sheet2!$I$2:$O$496,4,FALSE)</f>
        <v>4013</v>
      </c>
      <c r="H102" s="17" t="s">
        <v>154</v>
      </c>
      <c r="I102" s="17" t="str">
        <f>VLOOKUP(A102,[1]Sheet2!$I$2:$O$496,6,FALSE)</f>
        <v>2025-07-18</v>
      </c>
    </row>
    <row r="103" spans="1:9" x14ac:dyDescent="0.25">
      <c r="A103" s="14" t="s">
        <v>761</v>
      </c>
      <c r="B103" s="15" t="s">
        <v>497</v>
      </c>
      <c r="C103" s="15" t="str">
        <f>VLOOKUP(A103,[1]Sheet2!$I$2:$O$496,5,FALSE)</f>
        <v>2024-12-11</v>
      </c>
      <c r="D103" s="17" t="s">
        <v>28</v>
      </c>
      <c r="E103" s="17" t="str">
        <f>VLOOKUP(A103,[1]Sheet2!$I$2:$O$496,3,FALSE)</f>
        <v>KPB3</v>
      </c>
      <c r="F103" s="17" t="s">
        <v>762</v>
      </c>
      <c r="G103" s="17">
        <f>VLOOKUP(A103,[1]Sheet2!$I$2:$O$496,4,FALSE)</f>
        <v>4024</v>
      </c>
      <c r="H103" s="17" t="s">
        <v>112</v>
      </c>
      <c r="I103" s="17" t="str">
        <f>VLOOKUP(A103,[1]Sheet2!$I$2:$O$496,6,FALSE)</f>
        <v>2025-07-05</v>
      </c>
    </row>
    <row r="104" spans="1:9" x14ac:dyDescent="0.25">
      <c r="A104" s="14" t="s">
        <v>583</v>
      </c>
      <c r="B104" s="15" t="s">
        <v>584</v>
      </c>
      <c r="C104" s="15" t="str">
        <f>VLOOKUP(A104,[1]Sheet2!$I$2:$O$496,5,FALSE)</f>
        <v>2025-03-26</v>
      </c>
      <c r="D104" s="17" t="s">
        <v>21</v>
      </c>
      <c r="E104" s="17" t="str">
        <f>VLOOKUP(A104,[1]Sheet2!$I$2:$O$496,3,FALSE)</f>
        <v>KPB2</v>
      </c>
      <c r="F104" s="17" t="s">
        <v>585</v>
      </c>
      <c r="G104" s="17">
        <f>VLOOKUP(A104,[1]Sheet2!$I$2:$O$496,4,FALSE)</f>
        <v>4033</v>
      </c>
      <c r="H104" s="17" t="s">
        <v>175</v>
      </c>
      <c r="I104" s="17" t="str">
        <f>VLOOKUP(A104,[1]Sheet2!$I$2:$O$496,6,FALSE)</f>
        <v>2025-07-21</v>
      </c>
    </row>
    <row r="105" spans="1:9" x14ac:dyDescent="0.25">
      <c r="A105" s="14" t="s">
        <v>695</v>
      </c>
      <c r="B105" s="15" t="s">
        <v>696</v>
      </c>
      <c r="C105" s="15" t="str">
        <f>VLOOKUP(A105,[1]Sheet2!$I$2:$O$496,5,FALSE)</f>
        <v>2025-03-21</v>
      </c>
      <c r="D105" s="17" t="s">
        <v>21</v>
      </c>
      <c r="E105" s="17" t="str">
        <f>VLOOKUP(A105,[1]Sheet2!$I$2:$O$496,3,FALSE)</f>
        <v>KPB2</v>
      </c>
      <c r="F105" s="17" t="s">
        <v>697</v>
      </c>
      <c r="G105" s="17">
        <f>VLOOKUP(A105,[1]Sheet2!$I$2:$O$496,4,FALSE)</f>
        <v>4056</v>
      </c>
      <c r="H105" s="17" t="s">
        <v>420</v>
      </c>
      <c r="I105" s="17" t="str">
        <f>VLOOKUP(A105,[1]Sheet2!$I$2:$O$496,6,FALSE)</f>
        <v>2025-07-29</v>
      </c>
    </row>
    <row r="106" spans="1:9" x14ac:dyDescent="0.25">
      <c r="A106" s="14" t="s">
        <v>303</v>
      </c>
      <c r="B106" s="15" t="s">
        <v>267</v>
      </c>
      <c r="C106" s="15" t="str">
        <f>VLOOKUP(A106,[1]Sheet2!$I$2:$O$496,5,FALSE)</f>
        <v>2025-06-12</v>
      </c>
      <c r="D106" s="17" t="s">
        <v>15</v>
      </c>
      <c r="E106" s="17" t="str">
        <f>VLOOKUP(A106,[1]Sheet2!$I$2:$O$496,3,FALSE)</f>
        <v>KPB1</v>
      </c>
      <c r="F106" s="17" t="s">
        <v>304</v>
      </c>
      <c r="G106" s="17">
        <f>VLOOKUP(A106,[1]Sheet2!$I$2:$O$496,4,FALSE)</f>
        <v>406</v>
      </c>
      <c r="H106" s="17" t="s">
        <v>125</v>
      </c>
      <c r="I106" s="17" t="str">
        <f>VLOOKUP(A106,[1]Sheet2!$I$2:$O$496,6,FALSE)</f>
        <v>2025-07-08</v>
      </c>
    </row>
    <row r="107" spans="1:9" x14ac:dyDescent="0.25">
      <c r="A107" s="14" t="s">
        <v>482</v>
      </c>
      <c r="B107" s="15" t="s">
        <v>226</v>
      </c>
      <c r="C107" s="15" t="str">
        <f>VLOOKUP(A107,[1]Sheet2!$I$2:$O$496,5,FALSE)</f>
        <v>2024-12-19</v>
      </c>
      <c r="D107" s="17" t="s">
        <v>28</v>
      </c>
      <c r="E107" s="17" t="str">
        <f>VLOOKUP(A107,[1]Sheet2!$I$2:$O$496,3,FALSE)</f>
        <v>KPB3</v>
      </c>
      <c r="F107" s="17" t="s">
        <v>483</v>
      </c>
      <c r="G107" s="17">
        <f>VLOOKUP(A107,[1]Sheet2!$I$2:$O$496,4,FALSE)</f>
        <v>4065</v>
      </c>
      <c r="H107" s="17" t="s">
        <v>112</v>
      </c>
      <c r="I107" s="17" t="str">
        <f>VLOOKUP(A107,[1]Sheet2!$I$2:$O$496,6,FALSE)</f>
        <v>2025-07-05</v>
      </c>
    </row>
    <row r="108" spans="1:9" x14ac:dyDescent="0.25">
      <c r="A108" s="14" t="s">
        <v>250</v>
      </c>
      <c r="B108" s="15" t="s">
        <v>121</v>
      </c>
      <c r="C108" s="15" t="str">
        <f>VLOOKUP(A108,[1]Sheet2!$I$2:$O$496,5,FALSE)</f>
        <v>2025-06-20</v>
      </c>
      <c r="D108" s="17" t="s">
        <v>15</v>
      </c>
      <c r="E108" s="17" t="str">
        <f>VLOOKUP(A108,[1]Sheet2!$I$2:$O$496,3,FALSE)</f>
        <v>KPB1</v>
      </c>
      <c r="F108" s="17" t="s">
        <v>252</v>
      </c>
      <c r="G108" s="17">
        <f>VLOOKUP(A108,[1]Sheet2!$I$2:$O$496,4,FALSE)</f>
        <v>411</v>
      </c>
      <c r="H108" s="17" t="s">
        <v>251</v>
      </c>
      <c r="I108" s="17" t="str">
        <f>VLOOKUP(A108,[1]Sheet2!$I$2:$O$496,6,FALSE)</f>
        <v>2025-07-01</v>
      </c>
    </row>
    <row r="109" spans="1:9" x14ac:dyDescent="0.25">
      <c r="A109" s="14" t="s">
        <v>608</v>
      </c>
      <c r="B109" s="15" t="s">
        <v>609</v>
      </c>
      <c r="C109" s="15" t="str">
        <f>VLOOKUP(A109,[1]Sheet2!$I$2:$O$496,5,FALSE)</f>
        <v>2025-05-28</v>
      </c>
      <c r="D109" s="17" t="s">
        <v>15</v>
      </c>
      <c r="E109" s="17" t="str">
        <f>VLOOKUP(A109,[1]Sheet2!$I$2:$O$496,3,FALSE)</f>
        <v>KPB1</v>
      </c>
      <c r="F109" s="17" t="s">
        <v>610</v>
      </c>
      <c r="G109" s="17">
        <f>VLOOKUP(A109,[1]Sheet2!$I$2:$O$496,4,FALSE)</f>
        <v>414</v>
      </c>
      <c r="H109" s="17" t="s">
        <v>195</v>
      </c>
      <c r="I109" s="17" t="str">
        <f>VLOOKUP(A109,[1]Sheet2!$I$2:$O$496,6,FALSE)</f>
        <v>2025-07-03</v>
      </c>
    </row>
    <row r="110" spans="1:9" x14ac:dyDescent="0.25">
      <c r="A110" s="14" t="s">
        <v>177</v>
      </c>
      <c r="B110" s="15" t="s">
        <v>178</v>
      </c>
      <c r="C110" s="15" t="str">
        <f>VLOOKUP(A110,[1]Sheet2!$I$2:$O$496,5,FALSE)</f>
        <v>2025-04-26</v>
      </c>
      <c r="D110" s="17" t="s">
        <v>28</v>
      </c>
      <c r="E110" s="17" t="str">
        <f>VLOOKUP(A110,[1]Sheet2!$I$2:$O$496,3,FALSE)</f>
        <v>KPB3</v>
      </c>
      <c r="F110" s="17" t="s">
        <v>180</v>
      </c>
      <c r="G110" s="17">
        <f>VLOOKUP(A110,[1]Sheet2!$I$2:$O$496,4,FALSE)</f>
        <v>4282</v>
      </c>
      <c r="H110" s="17" t="s">
        <v>179</v>
      </c>
      <c r="I110" s="17" t="str">
        <f>VLOOKUP(A110,[1]Sheet2!$I$2:$O$496,6,FALSE)</f>
        <v>2025-07-28</v>
      </c>
    </row>
    <row r="111" spans="1:9" x14ac:dyDescent="0.25">
      <c r="A111" s="14" t="s">
        <v>149</v>
      </c>
      <c r="B111" s="15" t="s">
        <v>115</v>
      </c>
      <c r="C111" s="15" t="str">
        <f>VLOOKUP(A111,[1]Sheet2!$I$2:$O$496,5,FALSE)</f>
        <v>2025-06-17</v>
      </c>
      <c r="D111" s="17" t="s">
        <v>15</v>
      </c>
      <c r="E111" s="17" t="str">
        <f>VLOOKUP(A111,[1]Sheet2!$I$2:$O$496,3,FALSE)</f>
        <v>KPB1</v>
      </c>
      <c r="F111" s="17" t="s">
        <v>151</v>
      </c>
      <c r="G111" s="17">
        <f>VLOOKUP(A111,[1]Sheet2!$I$2:$O$496,4,FALSE)</f>
        <v>438</v>
      </c>
      <c r="H111" s="17" t="s">
        <v>150</v>
      </c>
      <c r="I111" s="17" t="str">
        <f>VLOOKUP(A111,[1]Sheet2!$I$2:$O$496,6,FALSE)</f>
        <v>2025-07-17</v>
      </c>
    </row>
    <row r="112" spans="1:9" x14ac:dyDescent="0.25">
      <c r="A112" s="14" t="s">
        <v>577</v>
      </c>
      <c r="B112" s="15" t="s">
        <v>111</v>
      </c>
      <c r="C112" s="15" t="str">
        <f>VLOOKUP(A112,[1]Sheet2!$I$2:$O$496,5,FALSE)</f>
        <v>1970-01-01</v>
      </c>
      <c r="D112" s="17" t="s">
        <v>15</v>
      </c>
      <c r="E112" s="17" t="str">
        <f>VLOOKUP(A112,[1]Sheet2!$I$2:$O$496,3,FALSE)</f>
        <v>KPB1</v>
      </c>
      <c r="F112" s="17" t="s">
        <v>578</v>
      </c>
      <c r="G112" s="17">
        <f>VLOOKUP(A112,[1]Sheet2!$I$2:$O$496,4,FALSE)</f>
        <v>439</v>
      </c>
      <c r="H112" s="17" t="s">
        <v>218</v>
      </c>
      <c r="I112" s="17" t="str">
        <f>VLOOKUP(A112,[1]Sheet2!$I$2:$O$496,6,FALSE)</f>
        <v>2025-07-30</v>
      </c>
    </row>
    <row r="113" spans="1:9" x14ac:dyDescent="0.25">
      <c r="A113" s="14" t="s">
        <v>294</v>
      </c>
      <c r="B113" s="15" t="s">
        <v>115</v>
      </c>
      <c r="C113" s="15" t="str">
        <f>VLOOKUP(A113,[1]Sheet2!$I$2:$O$496,5,FALSE)</f>
        <v>2025-06-17</v>
      </c>
      <c r="D113" s="17" t="s">
        <v>15</v>
      </c>
      <c r="E113" s="17" t="str">
        <f>VLOOKUP(A113,[1]Sheet2!$I$2:$O$496,3,FALSE)</f>
        <v>KPB1</v>
      </c>
      <c r="F113" s="17" t="s">
        <v>295</v>
      </c>
      <c r="G113" s="17">
        <f>VLOOKUP(A113,[1]Sheet2!$I$2:$O$496,4,FALSE)</f>
        <v>442</v>
      </c>
      <c r="H113" s="17" t="s">
        <v>192</v>
      </c>
      <c r="I113" s="17" t="str">
        <f>VLOOKUP(A113,[1]Sheet2!$I$2:$O$496,6,FALSE)</f>
        <v>2025-07-07</v>
      </c>
    </row>
    <row r="114" spans="1:9" x14ac:dyDescent="0.25">
      <c r="A114" s="14" t="s">
        <v>243</v>
      </c>
      <c r="B114" s="15" t="s">
        <v>244</v>
      </c>
      <c r="C114" s="15" t="str">
        <f>VLOOKUP(A114,[1]Sheet2!$I$2:$O$496,5,FALSE)</f>
        <v>1970-01-01</v>
      </c>
      <c r="D114" s="17" t="s">
        <v>21</v>
      </c>
      <c r="E114" s="17" t="str">
        <f>VLOOKUP(A114,[1]Sheet2!$I$2:$O$496,3,FALSE)</f>
        <v>KPB2</v>
      </c>
      <c r="F114" s="19" t="s">
        <v>246</v>
      </c>
      <c r="G114" s="19">
        <f>VLOOKUP(A114,[1]Sheet2!$I$2:$O$496,4,FALSE)</f>
        <v>4440</v>
      </c>
      <c r="H114" s="17" t="s">
        <v>245</v>
      </c>
      <c r="I114" s="17" t="str">
        <f>VLOOKUP(A114,[1]Sheet2!$I$2:$O$496,6,FALSE)</f>
        <v>2025-07-19</v>
      </c>
    </row>
    <row r="115" spans="1:9" x14ac:dyDescent="0.25">
      <c r="A115" s="14" t="s">
        <v>522</v>
      </c>
      <c r="B115" s="15" t="s">
        <v>523</v>
      </c>
      <c r="C115" s="15" t="str">
        <f>VLOOKUP(A115,[1]Sheet2!$I$2:$O$496,5,FALSE)</f>
        <v>2024-09-04</v>
      </c>
      <c r="D115" s="17" t="s">
        <v>23</v>
      </c>
      <c r="E115" s="17" t="str">
        <f>VLOOKUP(A115,[1]Sheet2!$I$2:$O$496,3,FALSE)</f>
        <v>KPB4</v>
      </c>
      <c r="F115" s="17" t="s">
        <v>524</v>
      </c>
      <c r="G115" s="17">
        <f>VLOOKUP(A115,[1]Sheet2!$I$2:$O$496,4,FALSE)</f>
        <v>4507</v>
      </c>
      <c r="H115" s="17" t="s">
        <v>112</v>
      </c>
      <c r="I115" s="17" t="str">
        <f>VLOOKUP(A115,[1]Sheet2!$I$2:$O$496,6,FALSE)</f>
        <v>2025-07-05</v>
      </c>
    </row>
    <row r="116" spans="1:9" x14ac:dyDescent="0.25">
      <c r="A116" s="14" t="s">
        <v>173</v>
      </c>
      <c r="B116" s="15" t="s">
        <v>174</v>
      </c>
      <c r="C116" s="15" t="str">
        <f>VLOOKUP(A116,[1]Sheet2!$I$2:$O$496,5,FALSE)</f>
        <v>2025-04-21</v>
      </c>
      <c r="D116" s="17" t="s">
        <v>28</v>
      </c>
      <c r="E116" s="17" t="str">
        <f>VLOOKUP(A116,[1]Sheet2!$I$2:$O$496,3,FALSE)</f>
        <v>KPB3</v>
      </c>
      <c r="F116" s="17" t="s">
        <v>176</v>
      </c>
      <c r="G116" s="17">
        <f>VLOOKUP(A116,[1]Sheet2!$I$2:$O$496,4,FALSE)</f>
        <v>4544</v>
      </c>
      <c r="H116" s="17" t="s">
        <v>175</v>
      </c>
      <c r="I116" s="17" t="str">
        <f>VLOOKUP(A116,[1]Sheet2!$I$2:$O$496,6,FALSE)</f>
        <v>2025-07-21</v>
      </c>
    </row>
    <row r="117" spans="1:9" x14ac:dyDescent="0.25">
      <c r="A117" s="14" t="s">
        <v>332</v>
      </c>
      <c r="B117" s="15" t="s">
        <v>104</v>
      </c>
      <c r="C117" s="15" t="str">
        <f>VLOOKUP(A117,[1]Sheet2!$I$2:$O$496,5,FALSE)</f>
        <v>2025-07-02</v>
      </c>
      <c r="D117" s="17" t="s">
        <v>15</v>
      </c>
      <c r="E117" s="17" t="str">
        <f>VLOOKUP(A117,[1]Sheet2!$I$2:$O$496,3,FALSE)</f>
        <v>KPB1</v>
      </c>
      <c r="F117" s="17" t="s">
        <v>333</v>
      </c>
      <c r="G117" s="17">
        <f>VLOOKUP(A117,[1]Sheet2!$I$2:$O$496,4,FALSE)</f>
        <v>455</v>
      </c>
      <c r="H117" s="17" t="s">
        <v>144</v>
      </c>
      <c r="I117" s="17" t="str">
        <f>VLOOKUP(A117,[1]Sheet2!$I$2:$O$496,6,FALSE)</f>
        <v>2025-07-12</v>
      </c>
    </row>
    <row r="118" spans="1:9" x14ac:dyDescent="0.25">
      <c r="A118" s="14" t="s">
        <v>322</v>
      </c>
      <c r="B118" s="15" t="s">
        <v>202</v>
      </c>
      <c r="C118" s="15" t="str">
        <f>VLOOKUP(A118,[1]Sheet2!$I$2:$O$496,5,FALSE)</f>
        <v>2025-05-31</v>
      </c>
      <c r="D118" s="17" t="s">
        <v>15</v>
      </c>
      <c r="E118" s="17" t="str">
        <f>VLOOKUP(A118,[1]Sheet2!$I$2:$O$496,3,FALSE)</f>
        <v>KPB1</v>
      </c>
      <c r="F118" s="17" t="s">
        <v>323</v>
      </c>
      <c r="G118" s="17">
        <f>VLOOKUP(A118,[1]Sheet2!$I$2:$O$496,4,FALSE)</f>
        <v>458</v>
      </c>
      <c r="H118" s="17" t="s">
        <v>140</v>
      </c>
      <c r="I118" s="17" t="str">
        <f>VLOOKUP(A118,[1]Sheet2!$I$2:$O$496,6,FALSE)</f>
        <v>2025-07-11</v>
      </c>
    </row>
    <row r="119" spans="1:9" x14ac:dyDescent="0.25">
      <c r="A119" s="14" t="s">
        <v>590</v>
      </c>
      <c r="B119" s="15" t="s">
        <v>591</v>
      </c>
      <c r="C119" s="15" t="str">
        <f>VLOOKUP(A119,[1]Sheet2!$I$2:$O$496,5,FALSE)</f>
        <v>2024-11-28</v>
      </c>
      <c r="D119" s="17" t="s">
        <v>28</v>
      </c>
      <c r="E119" s="17" t="str">
        <f>VLOOKUP(A119,[1]Sheet2!$I$2:$O$496,3,FALSE)</f>
        <v>KPB3</v>
      </c>
      <c r="F119" s="17" t="s">
        <v>592</v>
      </c>
      <c r="G119" s="17">
        <f>VLOOKUP(A119,[1]Sheet2!$I$2:$O$496,4,FALSE)</f>
        <v>4586</v>
      </c>
      <c r="H119" s="17" t="s">
        <v>104</v>
      </c>
      <c r="I119" s="17" t="str">
        <f>VLOOKUP(A119,[1]Sheet2!$I$2:$O$496,6,FALSE)</f>
        <v>2025-07-02</v>
      </c>
    </row>
    <row r="120" spans="1:9" x14ac:dyDescent="0.25">
      <c r="A120" s="14" t="s">
        <v>120</v>
      </c>
      <c r="B120" s="15" t="s">
        <v>121</v>
      </c>
      <c r="C120" s="15" t="str">
        <f>VLOOKUP(A120,[1]Sheet2!$I$2:$O$496,5,FALSE)</f>
        <v>1970-01-01</v>
      </c>
      <c r="D120" s="17" t="s">
        <v>15</v>
      </c>
      <c r="E120" s="17" t="str">
        <f>VLOOKUP(A120,[1]Sheet2!$I$2:$O$496,3,FALSE)</f>
        <v>KPB1</v>
      </c>
      <c r="F120" s="17" t="s">
        <v>122</v>
      </c>
      <c r="G120" s="17">
        <f>VLOOKUP(A120,[1]Sheet2!$I$2:$O$496,4,FALSE)</f>
        <v>462</v>
      </c>
      <c r="H120" s="17" t="s">
        <v>112</v>
      </c>
      <c r="I120" s="17" t="str">
        <f>VLOOKUP(A120,[1]Sheet2!$I$2:$O$496,6,FALSE)</f>
        <v>2025-07-05</v>
      </c>
    </row>
    <row r="121" spans="1:9" x14ac:dyDescent="0.25">
      <c r="A121" s="14" t="s">
        <v>631</v>
      </c>
      <c r="B121" s="15" t="s">
        <v>292</v>
      </c>
      <c r="C121" s="15" t="str">
        <f>VLOOKUP(A121,[1]Sheet2!$I$2:$O$496,5,FALSE)</f>
        <v>1970-01-01</v>
      </c>
      <c r="D121" s="17" t="s">
        <v>15</v>
      </c>
      <c r="E121" s="17" t="str">
        <f>VLOOKUP(A121,[1]Sheet2!$I$2:$O$496,3,FALSE)</f>
        <v>KPB1</v>
      </c>
      <c r="F121" s="17" t="s">
        <v>632</v>
      </c>
      <c r="G121" s="17">
        <f>VLOOKUP(A121,[1]Sheet2!$I$2:$O$496,4,FALSE)</f>
        <v>463</v>
      </c>
      <c r="H121" s="17" t="s">
        <v>125</v>
      </c>
      <c r="I121" s="17" t="str">
        <f>VLOOKUP(A121,[1]Sheet2!$I$2:$O$496,6,FALSE)</f>
        <v>2025-07-08</v>
      </c>
    </row>
    <row r="122" spans="1:9" x14ac:dyDescent="0.25">
      <c r="A122" s="14" t="s">
        <v>510</v>
      </c>
      <c r="B122" s="15" t="s">
        <v>511</v>
      </c>
      <c r="C122" s="15" t="str">
        <f>VLOOKUP(A122,[1]Sheet2!$I$2:$O$496,5,FALSE)</f>
        <v>2025-01-21</v>
      </c>
      <c r="D122" s="17" t="s">
        <v>28</v>
      </c>
      <c r="E122" s="17" t="str">
        <f>VLOOKUP(A122,[1]Sheet2!$I$2:$O$496,3,FALSE)</f>
        <v>KPB3</v>
      </c>
      <c r="F122" s="17" t="s">
        <v>512</v>
      </c>
      <c r="G122" s="17">
        <f>VLOOKUP(A122,[1]Sheet2!$I$2:$O$496,4,FALSE)</f>
        <v>4634</v>
      </c>
      <c r="H122" s="17" t="s">
        <v>154</v>
      </c>
      <c r="I122" s="17" t="str">
        <f>VLOOKUP(A122,[1]Sheet2!$I$2:$O$496,6,FALSE)</f>
        <v>2025-07-18</v>
      </c>
    </row>
    <row r="123" spans="1:9" x14ac:dyDescent="0.25">
      <c r="A123" s="14" t="s">
        <v>428</v>
      </c>
      <c r="B123" s="15" t="s">
        <v>292</v>
      </c>
      <c r="C123" s="15" t="str">
        <f>VLOOKUP(A123,[1]Sheet2!$I$2:$O$496,5,FALSE)</f>
        <v>1970-01-01</v>
      </c>
      <c r="D123" s="17" t="s">
        <v>15</v>
      </c>
      <c r="E123" s="17" t="str">
        <f>VLOOKUP(A123,[1]Sheet2!$I$2:$O$496,3,FALSE)</f>
        <v>KPB1</v>
      </c>
      <c r="F123" s="17" t="s">
        <v>429</v>
      </c>
      <c r="G123" s="17">
        <f>VLOOKUP(A123,[1]Sheet2!$I$2:$O$496,4,FALSE)</f>
        <v>479</v>
      </c>
      <c r="H123" s="17" t="s">
        <v>221</v>
      </c>
      <c r="I123" s="17" t="str">
        <f>VLOOKUP(A123,[1]Sheet2!$I$2:$O$496,6,FALSE)</f>
        <v>2025-07-31</v>
      </c>
    </row>
    <row r="124" spans="1:9" x14ac:dyDescent="0.25">
      <c r="A124" s="14" t="s">
        <v>614</v>
      </c>
      <c r="B124" s="15" t="s">
        <v>615</v>
      </c>
      <c r="C124" s="15" t="str">
        <f>VLOOKUP(A124,[1]Sheet2!$I$2:$O$496,5,FALSE)</f>
        <v>2024-11-14</v>
      </c>
      <c r="D124" s="17" t="s">
        <v>28</v>
      </c>
      <c r="E124" s="17" t="str">
        <f>VLOOKUP(A124,[1]Sheet2!$I$2:$O$496,3,FALSE)</f>
        <v>KPB3</v>
      </c>
      <c r="F124" s="17" t="s">
        <v>616</v>
      </c>
      <c r="G124" s="17">
        <f>VLOOKUP(A124,[1]Sheet2!$I$2:$O$496,4,FALSE)</f>
        <v>4832</v>
      </c>
      <c r="H124" s="17" t="s">
        <v>125</v>
      </c>
      <c r="I124" s="17" t="str">
        <f>VLOOKUP(A124,[1]Sheet2!$I$2:$O$496,6,FALSE)</f>
        <v>2025-07-08</v>
      </c>
    </row>
    <row r="125" spans="1:9" x14ac:dyDescent="0.25">
      <c r="A125" s="14" t="s">
        <v>301</v>
      </c>
      <c r="B125" s="15" t="s">
        <v>289</v>
      </c>
      <c r="C125" s="15" t="str">
        <f>VLOOKUP(A125,[1]Sheet2!$I$2:$O$496,5,FALSE)</f>
        <v>1970-01-01</v>
      </c>
      <c r="D125" s="17" t="s">
        <v>15</v>
      </c>
      <c r="E125" s="17" t="str">
        <f>VLOOKUP(A125,[1]Sheet2!$I$2:$O$496,3,FALSE)</f>
        <v>KPB1</v>
      </c>
      <c r="F125" s="17" t="s">
        <v>302</v>
      </c>
      <c r="G125" s="17">
        <f>VLOOKUP(A125,[1]Sheet2!$I$2:$O$496,4,FALSE)</f>
        <v>484</v>
      </c>
      <c r="H125" s="17" t="s">
        <v>125</v>
      </c>
      <c r="I125" s="17" t="str">
        <f>VLOOKUP(A125,[1]Sheet2!$I$2:$O$496,6,FALSE)</f>
        <v>2025-07-08</v>
      </c>
    </row>
    <row r="126" spans="1:9" x14ac:dyDescent="0.25">
      <c r="A126" s="14" t="s">
        <v>605</v>
      </c>
      <c r="B126" s="15" t="s">
        <v>606</v>
      </c>
      <c r="C126" s="15" t="str">
        <f>VLOOKUP(A126,[1]Sheet2!$I$2:$O$496,5,FALSE)</f>
        <v>2025-06-03</v>
      </c>
      <c r="D126" s="17" t="s">
        <v>15</v>
      </c>
      <c r="E126" s="17" t="str">
        <f>VLOOKUP(A126,[1]Sheet2!$I$2:$O$496,3,FALSE)</f>
        <v>KPB1</v>
      </c>
      <c r="F126" s="17" t="s">
        <v>607</v>
      </c>
      <c r="G126" s="17">
        <f>VLOOKUP(A126,[1]Sheet2!$I$2:$O$496,4,FALSE)</f>
        <v>490</v>
      </c>
      <c r="H126" s="17" t="s">
        <v>104</v>
      </c>
      <c r="I126" s="17" t="str">
        <f>VLOOKUP(A126,[1]Sheet2!$I$2:$O$496,6,FALSE)</f>
        <v>2025-07-02</v>
      </c>
    </row>
    <row r="127" spans="1:9" x14ac:dyDescent="0.25">
      <c r="A127" s="14" t="s">
        <v>223</v>
      </c>
      <c r="B127" s="15" t="s">
        <v>168</v>
      </c>
      <c r="C127" s="15" t="str">
        <f>VLOOKUP(A127,[1]Sheet2!$I$2:$O$496,5,FALSE)</f>
        <v>1970-01-01</v>
      </c>
      <c r="D127" s="17" t="s">
        <v>28</v>
      </c>
      <c r="E127" s="17" t="str">
        <f>VLOOKUP(A127,[1]Sheet2!$I$2:$O$496,3,FALSE)</f>
        <v>KPB3</v>
      </c>
      <c r="F127" s="17" t="s">
        <v>224</v>
      </c>
      <c r="G127" s="17">
        <f>VLOOKUP(A127,[1]Sheet2!$I$2:$O$496,4,FALSE)</f>
        <v>4962</v>
      </c>
      <c r="H127" s="17" t="s">
        <v>140</v>
      </c>
      <c r="I127" s="17" t="str">
        <f>VLOOKUP(A127,[1]Sheet2!$I$2:$O$496,6,FALSE)</f>
        <v>2025-07-11</v>
      </c>
    </row>
    <row r="128" spans="1:9" x14ac:dyDescent="0.25">
      <c r="A128" s="14" t="s">
        <v>568</v>
      </c>
      <c r="B128" s="15" t="s">
        <v>111</v>
      </c>
      <c r="C128" s="15" t="str">
        <f>VLOOKUP(A128,[1]Sheet2!$I$2:$O$496,5,FALSE)</f>
        <v>2025-06-28</v>
      </c>
      <c r="D128" s="17" t="s">
        <v>15</v>
      </c>
      <c r="E128" s="17" t="str">
        <f>VLOOKUP(A128,[1]Sheet2!$I$2:$O$496,3,FALSE)</f>
        <v>KPB1</v>
      </c>
      <c r="F128" s="17" t="s">
        <v>569</v>
      </c>
      <c r="G128" s="17">
        <f>VLOOKUP(A128,[1]Sheet2!$I$2:$O$496,4,FALSE)</f>
        <v>501</v>
      </c>
      <c r="H128" s="17" t="s">
        <v>183</v>
      </c>
      <c r="I128" s="17" t="str">
        <f>VLOOKUP(A128,[1]Sheet2!$I$2:$O$496,6,FALSE)</f>
        <v>2025-07-23</v>
      </c>
    </row>
    <row r="129" spans="1:9" x14ac:dyDescent="0.25">
      <c r="A129" s="14" t="s">
        <v>640</v>
      </c>
      <c r="B129" s="15" t="s">
        <v>557</v>
      </c>
      <c r="C129" s="15" t="str">
        <f>VLOOKUP(A129,[1]Sheet2!$I$2:$O$496,5,FALSE)</f>
        <v>2025-05-13</v>
      </c>
      <c r="D129" s="17" t="s">
        <v>28</v>
      </c>
      <c r="E129" s="17" t="str">
        <f>VLOOKUP(A129,[1]Sheet2!$I$2:$O$496,3,FALSE)</f>
        <v>KPB3</v>
      </c>
      <c r="F129" s="17" t="s">
        <v>641</v>
      </c>
      <c r="G129" s="17">
        <f>VLOOKUP(A129,[1]Sheet2!$I$2:$O$496,4,FALSE)</f>
        <v>5027</v>
      </c>
      <c r="H129" s="17" t="s">
        <v>245</v>
      </c>
      <c r="I129" s="17" t="str">
        <f>VLOOKUP(A129,[1]Sheet2!$I$2:$O$496,6,FALSE)</f>
        <v>2025-07-19</v>
      </c>
    </row>
    <row r="130" spans="1:9" x14ac:dyDescent="0.25">
      <c r="A130" s="14" t="s">
        <v>657</v>
      </c>
      <c r="B130" s="15" t="s">
        <v>115</v>
      </c>
      <c r="C130" s="15" t="str">
        <f>VLOOKUP(A130,[1]Sheet2!$I$2:$O$496,5,FALSE)</f>
        <v>2025-06-17</v>
      </c>
      <c r="D130" s="17" t="s">
        <v>15</v>
      </c>
      <c r="E130" s="17" t="str">
        <f>VLOOKUP(A130,[1]Sheet2!$I$2:$O$496,3,FALSE)</f>
        <v>KPB1</v>
      </c>
      <c r="F130" s="17" t="s">
        <v>658</v>
      </c>
      <c r="G130" s="17">
        <f>VLOOKUP(A130,[1]Sheet2!$I$2:$O$496,4,FALSE)</f>
        <v>504</v>
      </c>
      <c r="H130" s="17" t="s">
        <v>192</v>
      </c>
      <c r="I130" s="17" t="str">
        <f>VLOOKUP(A130,[1]Sheet2!$I$2:$O$496,6,FALSE)</f>
        <v>2025-07-07</v>
      </c>
    </row>
    <row r="131" spans="1:9" x14ac:dyDescent="0.25">
      <c r="A131" s="14" t="s">
        <v>196</v>
      </c>
      <c r="B131" s="15" t="s">
        <v>197</v>
      </c>
      <c r="C131" s="15" t="str">
        <f>VLOOKUP(A131,[1]Sheet2!$I$2:$O$496,5,FALSE)</f>
        <v>2025-06-04</v>
      </c>
      <c r="D131" s="17" t="s">
        <v>15</v>
      </c>
      <c r="E131" s="17" t="str">
        <f>VLOOKUP(A131,[1]Sheet2!$I$2:$O$496,3,FALSE)</f>
        <v>KPB1</v>
      </c>
      <c r="F131" s="17" t="s">
        <v>198</v>
      </c>
      <c r="G131" s="17">
        <f>VLOOKUP(A131,[1]Sheet2!$I$2:$O$496,4,FALSE)</f>
        <v>509</v>
      </c>
      <c r="H131" s="17" t="s">
        <v>108</v>
      </c>
      <c r="I131" s="17" t="str">
        <f>VLOOKUP(A131,[1]Sheet2!$I$2:$O$496,6,FALSE)</f>
        <v>2025-07-04</v>
      </c>
    </row>
    <row r="132" spans="1:9" x14ac:dyDescent="0.25">
      <c r="A132" s="14" t="s">
        <v>424</v>
      </c>
      <c r="B132" s="15" t="s">
        <v>425</v>
      </c>
      <c r="C132" s="15" t="str">
        <f>VLOOKUP(A132,[1]Sheet2!$I$2:$O$496,5,FALSE)</f>
        <v>1970-01-01</v>
      </c>
      <c r="D132" s="17" t="s">
        <v>15</v>
      </c>
      <c r="E132" s="17" t="str">
        <f>VLOOKUP(A132,[1]Sheet2!$I$2:$O$496,3,FALSE)</f>
        <v>KPB1</v>
      </c>
      <c r="F132" s="17" t="s">
        <v>198</v>
      </c>
      <c r="G132" s="17">
        <f>VLOOKUP(A132,[1]Sheet2!$I$2:$O$496,4,FALSE)</f>
        <v>509</v>
      </c>
      <c r="H132" s="17" t="s">
        <v>218</v>
      </c>
      <c r="I132" s="17" t="str">
        <f>VLOOKUP(A132,[1]Sheet2!$I$2:$O$496,6,FALSE)</f>
        <v>2025-07-30</v>
      </c>
    </row>
    <row r="133" spans="1:9" x14ac:dyDescent="0.25">
      <c r="A133" s="14" t="s">
        <v>472</v>
      </c>
      <c r="B133" s="15" t="s">
        <v>464</v>
      </c>
      <c r="C133" s="15" t="str">
        <f>VLOOKUP(A133,[1]Sheet2!$I$2:$O$496,5,FALSE)</f>
        <v>2025-05-08</v>
      </c>
      <c r="D133" s="17" t="s">
        <v>21</v>
      </c>
      <c r="E133" s="17" t="str">
        <f>VLOOKUP(A133,[1]Sheet2!$I$2:$O$496,3,FALSE)</f>
        <v>KPB2</v>
      </c>
      <c r="F133" s="17" t="s">
        <v>473</v>
      </c>
      <c r="G133" s="17">
        <f>VLOOKUP(A133,[1]Sheet2!$I$2:$O$496,4,FALSE)</f>
        <v>512</v>
      </c>
      <c r="H133" s="17" t="s">
        <v>229</v>
      </c>
      <c r="I133" s="17" t="str">
        <f>VLOOKUP(A133,[1]Sheet2!$I$2:$O$496,6,FALSE)</f>
        <v>2025-07-25</v>
      </c>
    </row>
    <row r="134" spans="1:9" x14ac:dyDescent="0.25">
      <c r="A134" s="14" t="s">
        <v>419</v>
      </c>
      <c r="B134" s="15" t="s">
        <v>251</v>
      </c>
      <c r="C134" s="15" t="str">
        <f>VLOOKUP(A134,[1]Sheet2!$I$2:$O$496,5,FALSE)</f>
        <v>1970-01-01</v>
      </c>
      <c r="D134" s="17" t="s">
        <v>15</v>
      </c>
      <c r="E134" s="17" t="str">
        <f>VLOOKUP(A134,[1]Sheet2!$I$2:$O$496,3,FALSE)</f>
        <v>KPB1</v>
      </c>
      <c r="F134" s="17" t="s">
        <v>421</v>
      </c>
      <c r="G134" s="17">
        <f>VLOOKUP(A134,[1]Sheet2!$I$2:$O$496,4,FALSE)</f>
        <v>519</v>
      </c>
      <c r="H134" s="17" t="s">
        <v>420</v>
      </c>
      <c r="I134" s="17" t="str">
        <f>VLOOKUP(A134,[1]Sheet2!$I$2:$O$496,6,FALSE)</f>
        <v>2025-07-29</v>
      </c>
    </row>
    <row r="135" spans="1:9" x14ac:dyDescent="0.25">
      <c r="A135" s="14" t="s">
        <v>369</v>
      </c>
      <c r="B135" s="15" t="s">
        <v>144</v>
      </c>
      <c r="C135" s="15" t="str">
        <f>VLOOKUP(A135,[1]Sheet2!$I$2:$O$496,5,FALSE)</f>
        <v>2025-07-12</v>
      </c>
      <c r="D135" s="17" t="s">
        <v>15</v>
      </c>
      <c r="E135" s="17" t="str">
        <f>VLOOKUP(A135,[1]Sheet2!$I$2:$O$496,3,FALSE)</f>
        <v>KPB1</v>
      </c>
      <c r="F135" s="17" t="s">
        <v>370</v>
      </c>
      <c r="G135" s="17">
        <f>VLOOKUP(A135,[1]Sheet2!$I$2:$O$496,4,FALSE)</f>
        <v>533</v>
      </c>
      <c r="H135" s="17" t="s">
        <v>150</v>
      </c>
      <c r="I135" s="17" t="str">
        <f>VLOOKUP(A135,[1]Sheet2!$I$2:$O$496,6,FALSE)</f>
        <v>2025-07-17</v>
      </c>
    </row>
    <row r="136" spans="1:9" x14ac:dyDescent="0.25">
      <c r="A136" s="14" t="s">
        <v>769</v>
      </c>
      <c r="B136" s="15" t="s">
        <v>770</v>
      </c>
      <c r="C136" s="15" t="str">
        <f>VLOOKUP(A136,[1]Sheet2!$I$2:$O$496,5,FALSE)</f>
        <v>2025-02-05</v>
      </c>
      <c r="D136" s="17" t="s">
        <v>28</v>
      </c>
      <c r="E136" s="17" t="str">
        <f>VLOOKUP(A136,[1]Sheet2!$I$2:$O$496,3,FALSE)</f>
        <v>KPB3</v>
      </c>
      <c r="F136" s="17" t="s">
        <v>771</v>
      </c>
      <c r="G136" s="17">
        <f>VLOOKUP(A136,[1]Sheet2!$I$2:$O$496,4,FALSE)</f>
        <v>5356</v>
      </c>
      <c r="H136" s="17" t="s">
        <v>588</v>
      </c>
      <c r="I136" s="17" t="str">
        <f>VLOOKUP(A136,[1]Sheet2!$I$2:$O$496,6,FALSE)</f>
        <v>2025-07-27</v>
      </c>
    </row>
    <row r="137" spans="1:9" x14ac:dyDescent="0.25">
      <c r="A137" s="14" t="s">
        <v>623</v>
      </c>
      <c r="B137" s="15" t="s">
        <v>118</v>
      </c>
      <c r="C137" s="15" t="str">
        <f>VLOOKUP(A137,[1]Sheet2!$I$2:$O$496,5,FALSE)</f>
        <v>2025-06-05</v>
      </c>
      <c r="D137" s="17" t="s">
        <v>15</v>
      </c>
      <c r="E137" s="17" t="str">
        <f>VLOOKUP(A137,[1]Sheet2!$I$2:$O$496,3,FALSE)</f>
        <v>KPB1</v>
      </c>
      <c r="F137" s="17" t="s">
        <v>624</v>
      </c>
      <c r="G137" s="17">
        <f>VLOOKUP(A137,[1]Sheet2!$I$2:$O$496,4,FALSE)</f>
        <v>536</v>
      </c>
      <c r="H137" s="17" t="s">
        <v>104</v>
      </c>
      <c r="I137" s="17" t="str">
        <f>VLOOKUP(A137,[1]Sheet2!$I$2:$O$496,6,FALSE)</f>
        <v>2025-07-02</v>
      </c>
    </row>
    <row r="138" spans="1:9" x14ac:dyDescent="0.25">
      <c r="A138" s="14" t="s">
        <v>240</v>
      </c>
      <c r="B138" s="15" t="s">
        <v>241</v>
      </c>
      <c r="C138" s="15" t="str">
        <f>VLOOKUP(A138,[1]Sheet2!$I$2:$O$496,5,FALSE)</f>
        <v>2024-10-04</v>
      </c>
      <c r="D138" s="17" t="s">
        <v>23</v>
      </c>
      <c r="E138" s="17" t="str">
        <f>VLOOKUP(A138,[1]Sheet2!$I$2:$O$496,3,FALSE)</f>
        <v>KPB4</v>
      </c>
      <c r="F138" s="17" t="s">
        <v>242</v>
      </c>
      <c r="G138" s="17">
        <f>VLOOKUP(A138,[1]Sheet2!$I$2:$O$496,4,FALSE)</f>
        <v>5384</v>
      </c>
      <c r="H138" s="17" t="s">
        <v>183</v>
      </c>
      <c r="I138" s="17" t="str">
        <f>VLOOKUP(A138,[1]Sheet2!$I$2:$O$496,6,FALSE)</f>
        <v>2025-07-23</v>
      </c>
    </row>
    <row r="139" spans="1:9" x14ac:dyDescent="0.25">
      <c r="A139" s="14" t="s">
        <v>740</v>
      </c>
      <c r="B139" s="15" t="s">
        <v>136</v>
      </c>
      <c r="C139" s="15" t="str">
        <f>VLOOKUP(A139,[1]Sheet2!$I$2:$O$496,5,FALSE)</f>
        <v>2025-05-10</v>
      </c>
      <c r="D139" s="17" t="s">
        <v>15</v>
      </c>
      <c r="E139" s="17" t="str">
        <f>VLOOKUP(A139,[1]Sheet2!$I$2:$O$496,3,FALSE)</f>
        <v>KPB1</v>
      </c>
      <c r="F139" s="17" t="s">
        <v>741</v>
      </c>
      <c r="G139" s="17">
        <f>VLOOKUP(A139,[1]Sheet2!$I$2:$O$496,4,FALSE)</f>
        <v>545</v>
      </c>
      <c r="H139" s="17" t="s">
        <v>125</v>
      </c>
      <c r="I139" s="17" t="str">
        <f>VLOOKUP(A139,[1]Sheet2!$I$2:$O$496,6,FALSE)</f>
        <v>2025-07-08</v>
      </c>
    </row>
    <row r="140" spans="1:9" x14ac:dyDescent="0.25">
      <c r="A140" s="14" t="s">
        <v>504</v>
      </c>
      <c r="B140" s="15" t="s">
        <v>505</v>
      </c>
      <c r="C140" s="15" t="str">
        <f>VLOOKUP(A140,[1]Sheet2!$I$2:$O$496,5,FALSE)</f>
        <v>2024-12-03</v>
      </c>
      <c r="D140" s="17" t="s">
        <v>28</v>
      </c>
      <c r="E140" s="17" t="str">
        <f>VLOOKUP(A140,[1]Sheet2!$I$2:$O$496,3,FALSE)</f>
        <v>KPB3</v>
      </c>
      <c r="F140" s="17" t="s">
        <v>506</v>
      </c>
      <c r="G140" s="17">
        <f>VLOOKUP(A140,[1]Sheet2!$I$2:$O$496,4,FALSE)</f>
        <v>5486</v>
      </c>
      <c r="H140" s="17" t="s">
        <v>112</v>
      </c>
      <c r="I140" s="17" t="str">
        <f>VLOOKUP(A140,[1]Sheet2!$I$2:$O$496,6,FALSE)</f>
        <v>2025-07-05</v>
      </c>
    </row>
    <row r="141" spans="1:9" x14ac:dyDescent="0.25">
      <c r="A141" s="14" t="s">
        <v>377</v>
      </c>
      <c r="B141" s="15" t="s">
        <v>206</v>
      </c>
      <c r="C141" s="15" t="str">
        <f>VLOOKUP(A141,[1]Sheet2!$I$2:$O$496,5,FALSE)</f>
        <v>2025-06-21</v>
      </c>
      <c r="D141" s="17" t="s">
        <v>15</v>
      </c>
      <c r="E141" s="17" t="str">
        <f>VLOOKUP(A141,[1]Sheet2!$I$2:$O$496,3,FALSE)</f>
        <v>KPB1</v>
      </c>
      <c r="F141" s="17" t="s">
        <v>378</v>
      </c>
      <c r="G141" s="17">
        <f>VLOOKUP(A141,[1]Sheet2!$I$2:$O$496,4,FALSE)</f>
        <v>550</v>
      </c>
      <c r="H141" s="17" t="s">
        <v>245</v>
      </c>
      <c r="I141" s="17" t="str">
        <f>VLOOKUP(A141,[1]Sheet2!$I$2:$O$496,6,FALSE)</f>
        <v>2025-07-19</v>
      </c>
    </row>
    <row r="142" spans="1:9" x14ac:dyDescent="0.25">
      <c r="A142" s="14" t="s">
        <v>713</v>
      </c>
      <c r="B142" s="15" t="s">
        <v>714</v>
      </c>
      <c r="C142" s="15" t="str">
        <f>VLOOKUP(A142,[1]Sheet2!$I$2:$O$496,5,FALSE)</f>
        <v>2025-02-17</v>
      </c>
      <c r="D142" s="17" t="s">
        <v>23</v>
      </c>
      <c r="E142" s="17" t="str">
        <f>VLOOKUP(A142,[1]Sheet2!$I$2:$O$496,3,FALSE)</f>
        <v>KPB4</v>
      </c>
      <c r="F142" s="17" t="s">
        <v>715</v>
      </c>
      <c r="G142" s="17">
        <f>VLOOKUP(A142,[1]Sheet2!$I$2:$O$496,4,FALSE)</f>
        <v>5538</v>
      </c>
      <c r="H142" s="17" t="s">
        <v>245</v>
      </c>
      <c r="I142" s="17" t="str">
        <f>VLOOKUP(A142,[1]Sheet2!$I$2:$O$496,6,FALSE)</f>
        <v>2025-07-19</v>
      </c>
    </row>
    <row r="143" spans="1:9" x14ac:dyDescent="0.25">
      <c r="A143" s="14" t="s">
        <v>720</v>
      </c>
      <c r="B143" s="15" t="s">
        <v>289</v>
      </c>
      <c r="C143" s="15" t="str">
        <f>VLOOKUP(A143,[1]Sheet2!$I$2:$O$496,5,FALSE)</f>
        <v>1970-01-01</v>
      </c>
      <c r="D143" s="17" t="s">
        <v>15</v>
      </c>
      <c r="E143" s="17" t="str">
        <f>VLOOKUP(A143,[1]Sheet2!$I$2:$O$496,3,FALSE)</f>
        <v>KPB1</v>
      </c>
      <c r="F143" s="17" t="s">
        <v>721</v>
      </c>
      <c r="G143" s="17">
        <f>VLOOKUP(A143,[1]Sheet2!$I$2:$O$496,4,FALSE)</f>
        <v>562</v>
      </c>
      <c r="H143" s="17" t="s">
        <v>112</v>
      </c>
      <c r="I143" s="17" t="str">
        <f>VLOOKUP(A143,[1]Sheet2!$I$2:$O$496,6,FALSE)</f>
        <v>2025-07-05</v>
      </c>
    </row>
    <row r="144" spans="1:9" x14ac:dyDescent="0.25">
      <c r="A144" s="14" t="s">
        <v>181</v>
      </c>
      <c r="B144" s="15" t="s">
        <v>182</v>
      </c>
      <c r="C144" s="15" t="str">
        <f>VLOOKUP(A144,[1]Sheet2!$I$2:$O$496,5,FALSE)</f>
        <v>2024-09-13</v>
      </c>
      <c r="D144" s="17" t="s">
        <v>23</v>
      </c>
      <c r="E144" s="17" t="str">
        <f>VLOOKUP(A144,[1]Sheet2!$I$2:$O$496,3,FALSE)</f>
        <v>KPB4</v>
      </c>
      <c r="F144" s="17" t="s">
        <v>184</v>
      </c>
      <c r="G144" s="17">
        <f>VLOOKUP(A144,[1]Sheet2!$I$2:$O$496,4,FALSE)</f>
        <v>5659</v>
      </c>
      <c r="H144" s="17" t="s">
        <v>183</v>
      </c>
      <c r="I144" s="17" t="str">
        <f>VLOOKUP(A144,[1]Sheet2!$I$2:$O$496,6,FALSE)</f>
        <v>2025-07-23</v>
      </c>
    </row>
    <row r="145" spans="1:9" x14ac:dyDescent="0.25">
      <c r="A145" s="14" t="s">
        <v>102</v>
      </c>
      <c r="B145" s="15" t="s">
        <v>103</v>
      </c>
      <c r="C145" s="15" t="str">
        <f>VLOOKUP(A145,[1]Sheet2!$I$2:$O$496,5,FALSE)</f>
        <v>2025-05-24</v>
      </c>
      <c r="D145" s="17" t="s">
        <v>15</v>
      </c>
      <c r="E145" s="17" t="str">
        <f>VLOOKUP(A145,[1]Sheet2!$I$2:$O$496,3,FALSE)</f>
        <v>KPB1</v>
      </c>
      <c r="F145" s="17" t="s">
        <v>105</v>
      </c>
      <c r="G145" s="17">
        <f>VLOOKUP(A145,[1]Sheet2!$I$2:$O$496,4,FALSE)</f>
        <v>568</v>
      </c>
      <c r="H145" s="17" t="s">
        <v>104</v>
      </c>
      <c r="I145" s="17" t="str">
        <f>VLOOKUP(A145,[1]Sheet2!$I$2:$O$496,6,FALSE)</f>
        <v>2025-07-02</v>
      </c>
    </row>
    <row r="146" spans="1:9" x14ac:dyDescent="0.25">
      <c r="A146" s="14" t="s">
        <v>766</v>
      </c>
      <c r="B146" s="15" t="s">
        <v>767</v>
      </c>
      <c r="C146" s="15" t="str">
        <f>VLOOKUP(A146,[1]Sheet2!$I$2:$O$496,5,FALSE)</f>
        <v>2025-01-16</v>
      </c>
      <c r="D146" s="17" t="s">
        <v>28</v>
      </c>
      <c r="E146" s="17" t="str">
        <f>VLOOKUP(A146,[1]Sheet2!$I$2:$O$496,3,FALSE)</f>
        <v>KPB3</v>
      </c>
      <c r="F146" s="17" t="s">
        <v>768</v>
      </c>
      <c r="G146" s="17">
        <f>VLOOKUP(A146,[1]Sheet2!$I$2:$O$496,4,FALSE)</f>
        <v>5709</v>
      </c>
      <c r="H146" s="17" t="s">
        <v>183</v>
      </c>
      <c r="I146" s="17" t="str">
        <f>VLOOKUP(A146,[1]Sheet2!$I$2:$O$496,6,FALSE)</f>
        <v>2025-07-23</v>
      </c>
    </row>
    <row r="147" spans="1:9" x14ac:dyDescent="0.25">
      <c r="A147" s="14" t="s">
        <v>296</v>
      </c>
      <c r="B147" s="15" t="s">
        <v>267</v>
      </c>
      <c r="C147" s="15" t="str">
        <f>VLOOKUP(A147,[1]Sheet2!$I$2:$O$496,5,FALSE)</f>
        <v>1970-01-01</v>
      </c>
      <c r="D147" s="17" t="s">
        <v>15</v>
      </c>
      <c r="E147" s="17" t="str">
        <f>VLOOKUP(A147,[1]Sheet2!$I$2:$O$496,3,FALSE)</f>
        <v>KPB1</v>
      </c>
      <c r="F147" s="17" t="s">
        <v>297</v>
      </c>
      <c r="G147" s="17">
        <f>VLOOKUP(A147,[1]Sheet2!$I$2:$O$496,4,FALSE)</f>
        <v>576</v>
      </c>
      <c r="H147" s="17" t="s">
        <v>192</v>
      </c>
      <c r="I147" s="17" t="str">
        <f>VLOOKUP(A147,[1]Sheet2!$I$2:$O$496,6,FALSE)</f>
        <v>2025-07-07</v>
      </c>
    </row>
    <row r="148" spans="1:9" x14ac:dyDescent="0.25">
      <c r="A148" s="14" t="s">
        <v>759</v>
      </c>
      <c r="B148" s="15" t="s">
        <v>144</v>
      </c>
      <c r="C148" s="15" t="str">
        <f>VLOOKUP(A148,[1]Sheet2!$I$2:$O$496,5,FALSE)</f>
        <v>2025-07-12</v>
      </c>
      <c r="D148" s="17" t="s">
        <v>15</v>
      </c>
      <c r="E148" s="17" t="str">
        <f>VLOOKUP(A148,[1]Sheet2!$I$2:$O$496,3,FALSE)</f>
        <v>KPB1</v>
      </c>
      <c r="F148" s="17" t="s">
        <v>760</v>
      </c>
      <c r="G148" s="17">
        <f>VLOOKUP(A148,[1]Sheet2!$I$2:$O$496,4,FALSE)</f>
        <v>586</v>
      </c>
      <c r="H148" s="17" t="s">
        <v>218</v>
      </c>
      <c r="I148" s="17" t="str">
        <f>VLOOKUP(A148,[1]Sheet2!$I$2:$O$496,6,FALSE)</f>
        <v>2025-07-30</v>
      </c>
    </row>
    <row r="149" spans="1:9" x14ac:dyDescent="0.25">
      <c r="A149" s="14" t="s">
        <v>593</v>
      </c>
      <c r="B149" s="15" t="s">
        <v>594</v>
      </c>
      <c r="C149" s="15" t="str">
        <f>VLOOKUP(A149,[1]Sheet2!$I$2:$O$496,5,FALSE)</f>
        <v>2025-02-10</v>
      </c>
      <c r="D149" s="17" t="s">
        <v>28</v>
      </c>
      <c r="E149" s="17" t="str">
        <f>VLOOKUP(A149,[1]Sheet2!$I$2:$O$496,3,FALSE)</f>
        <v>KPB3</v>
      </c>
      <c r="F149" s="17" t="s">
        <v>595</v>
      </c>
      <c r="G149" s="17">
        <f>VLOOKUP(A149,[1]Sheet2!$I$2:$O$496,4,FALSE)</f>
        <v>5860</v>
      </c>
      <c r="H149" s="17" t="s">
        <v>154</v>
      </c>
      <c r="I149" s="17" t="str">
        <f>VLOOKUP(A149,[1]Sheet2!$I$2:$O$496,6,FALSE)</f>
        <v>2025-07-18</v>
      </c>
    </row>
    <row r="150" spans="1:9" x14ac:dyDescent="0.25">
      <c r="A150" s="14" t="s">
        <v>701</v>
      </c>
      <c r="B150" s="15" t="s">
        <v>702</v>
      </c>
      <c r="C150" s="15" t="str">
        <f>VLOOKUP(A150,[1]Sheet2!$I$2:$O$496,5,FALSE)</f>
        <v>2025-01-31</v>
      </c>
      <c r="D150" s="17" t="s">
        <v>28</v>
      </c>
      <c r="E150" s="17" t="str">
        <f>VLOOKUP(A150,[1]Sheet2!$I$2:$O$496,3,FALSE)</f>
        <v>KPB3</v>
      </c>
      <c r="F150" s="17" t="s">
        <v>703</v>
      </c>
      <c r="G150" s="17">
        <f>VLOOKUP(A150,[1]Sheet2!$I$2:$O$496,4,FALSE)</f>
        <v>5866</v>
      </c>
      <c r="H150" s="17" t="s">
        <v>192</v>
      </c>
      <c r="I150" s="17" t="str">
        <f>VLOOKUP(A150,[1]Sheet2!$I$2:$O$496,6,FALSE)</f>
        <v>2025-07-07</v>
      </c>
    </row>
    <row r="151" spans="1:9" x14ac:dyDescent="0.25">
      <c r="A151" s="14" t="s">
        <v>519</v>
      </c>
      <c r="B151" s="15" t="s">
        <v>520</v>
      </c>
      <c r="C151" s="15" t="str">
        <f>VLOOKUP(A151,[1]Sheet2!$I$2:$O$496,5,FALSE)</f>
        <v>2025-04-15</v>
      </c>
      <c r="D151" s="17" t="s">
        <v>28</v>
      </c>
      <c r="E151" s="17" t="str">
        <f>VLOOKUP(A151,[1]Sheet2!$I$2:$O$496,3,FALSE)</f>
        <v>KPB3</v>
      </c>
      <c r="F151" s="17" t="s">
        <v>521</v>
      </c>
      <c r="G151" s="17">
        <f>VLOOKUP(A151,[1]Sheet2!$I$2:$O$496,4,FALSE)</f>
        <v>5881</v>
      </c>
      <c r="H151" s="17" t="s">
        <v>157</v>
      </c>
      <c r="I151" s="17" t="str">
        <f>VLOOKUP(A151,[1]Sheet2!$I$2:$O$496,6,FALSE)</f>
        <v>2025-07-26</v>
      </c>
    </row>
    <row r="152" spans="1:9" x14ac:dyDescent="0.25">
      <c r="A152" s="14" t="s">
        <v>379</v>
      </c>
      <c r="B152" s="15" t="s">
        <v>121</v>
      </c>
      <c r="C152" s="15" t="str">
        <f>VLOOKUP(A152,[1]Sheet2!$I$2:$O$496,5,FALSE)</f>
        <v>1970-01-01</v>
      </c>
      <c r="D152" s="17" t="s">
        <v>15</v>
      </c>
      <c r="E152" s="17" t="str">
        <f>VLOOKUP(A152,[1]Sheet2!$I$2:$O$496,3,FALSE)</f>
        <v>KPB1</v>
      </c>
      <c r="F152" s="17" t="s">
        <v>380</v>
      </c>
      <c r="G152" s="17">
        <f>VLOOKUP(A152,[1]Sheet2!$I$2:$O$496,4,FALSE)</f>
        <v>591</v>
      </c>
      <c r="H152" s="17" t="s">
        <v>245</v>
      </c>
      <c r="I152" s="17" t="str">
        <f>VLOOKUP(A152,[1]Sheet2!$I$2:$O$496,6,FALSE)</f>
        <v>2025-07-19</v>
      </c>
    </row>
    <row r="153" spans="1:9" x14ac:dyDescent="0.25">
      <c r="A153" s="14" t="s">
        <v>142</v>
      </c>
      <c r="B153" s="15" t="s">
        <v>143</v>
      </c>
      <c r="C153" s="15" t="str">
        <f>VLOOKUP(A153,[1]Sheet2!$I$2:$O$496,5,FALSE)</f>
        <v>2025-05-09</v>
      </c>
      <c r="D153" s="17" t="s">
        <v>15</v>
      </c>
      <c r="E153" s="17" t="str">
        <f>VLOOKUP(A153,[1]Sheet2!$I$2:$O$496,3,FALSE)</f>
        <v>KPB1</v>
      </c>
      <c r="F153" s="17" t="s">
        <v>145</v>
      </c>
      <c r="G153" s="17">
        <f>VLOOKUP(A153,[1]Sheet2!$I$2:$O$496,4,FALSE)</f>
        <v>598</v>
      </c>
      <c r="H153" s="17" t="s">
        <v>144</v>
      </c>
      <c r="I153" s="17" t="str">
        <f>VLOOKUP(A153,[1]Sheet2!$I$2:$O$496,6,FALSE)</f>
        <v>2025-07-12</v>
      </c>
    </row>
    <row r="154" spans="1:9" x14ac:dyDescent="0.25">
      <c r="A154" s="14" t="s">
        <v>403</v>
      </c>
      <c r="B154" s="15" t="s">
        <v>153</v>
      </c>
      <c r="C154" s="15" t="str">
        <f>VLOOKUP(A154,[1]Sheet2!$I$2:$O$496,5,FALSE)</f>
        <v>2025-06-13</v>
      </c>
      <c r="D154" s="17" t="s">
        <v>15</v>
      </c>
      <c r="E154" s="17" t="str">
        <f>VLOOKUP(A154,[1]Sheet2!$I$2:$O$496,3,FALSE)</f>
        <v>KPB1</v>
      </c>
      <c r="F154" s="17" t="s">
        <v>404</v>
      </c>
      <c r="G154" s="17">
        <f>VLOOKUP(A154,[1]Sheet2!$I$2:$O$496,4,FALSE)</f>
        <v>611</v>
      </c>
      <c r="H154" s="17" t="s">
        <v>183</v>
      </c>
      <c r="I154" s="17" t="str">
        <f>VLOOKUP(A154,[1]Sheet2!$I$2:$O$496,6,FALSE)</f>
        <v>2025-07-23</v>
      </c>
    </row>
    <row r="155" spans="1:9" x14ac:dyDescent="0.25">
      <c r="A155" s="14" t="s">
        <v>566</v>
      </c>
      <c r="B155" s="15" t="s">
        <v>131</v>
      </c>
      <c r="C155" s="15" t="str">
        <f>VLOOKUP(A155,[1]Sheet2!$I$2:$O$496,5,FALSE)</f>
        <v>2025-07-10</v>
      </c>
      <c r="D155" s="17" t="s">
        <v>15</v>
      </c>
      <c r="E155" s="17" t="str">
        <f>VLOOKUP(A155,[1]Sheet2!$I$2:$O$496,3,FALSE)</f>
        <v>KPB1</v>
      </c>
      <c r="F155" s="17" t="s">
        <v>567</v>
      </c>
      <c r="G155" s="17">
        <f>VLOOKUP(A155,[1]Sheet2!$I$2:$O$496,4,FALSE)</f>
        <v>615</v>
      </c>
      <c r="H155" s="17" t="s">
        <v>183</v>
      </c>
      <c r="I155" s="17" t="str">
        <f>VLOOKUP(A155,[1]Sheet2!$I$2:$O$496,6,FALSE)</f>
        <v>2025-07-23</v>
      </c>
    </row>
    <row r="156" spans="1:9" x14ac:dyDescent="0.25">
      <c r="A156" s="14" t="s">
        <v>356</v>
      </c>
      <c r="B156" s="15" t="s">
        <v>260</v>
      </c>
      <c r="C156" s="15" t="str">
        <f>VLOOKUP(A156,[1]Sheet2!$I$2:$O$496,5,FALSE)</f>
        <v>2025-06-24</v>
      </c>
      <c r="D156" s="17" t="s">
        <v>15</v>
      </c>
      <c r="E156" s="17" t="str">
        <f>VLOOKUP(A156,[1]Sheet2!$I$2:$O$496,3,FALSE)</f>
        <v>KPB1</v>
      </c>
      <c r="F156" s="17" t="s">
        <v>309</v>
      </c>
      <c r="G156" s="17">
        <f>VLOOKUP(A156,[1]Sheet2!$I$2:$O$496,4,FALSE)</f>
        <v>616</v>
      </c>
      <c r="H156" s="17" t="s">
        <v>212</v>
      </c>
      <c r="I156" s="17" t="str">
        <f>VLOOKUP(A156,[1]Sheet2!$I$2:$O$496,6,FALSE)</f>
        <v>2025-07-15</v>
      </c>
    </row>
    <row r="157" spans="1:9" x14ac:dyDescent="0.25">
      <c r="A157" s="14" t="s">
        <v>407</v>
      </c>
      <c r="B157" s="15" t="s">
        <v>115</v>
      </c>
      <c r="C157" s="15" t="str">
        <f>VLOOKUP(A157,[1]Sheet2!$I$2:$O$496,5,FALSE)</f>
        <v>2025-06-17</v>
      </c>
      <c r="D157" s="17" t="s">
        <v>15</v>
      </c>
      <c r="E157" s="17" t="str">
        <f>VLOOKUP(A157,[1]Sheet2!$I$2:$O$496,3,FALSE)</f>
        <v>KPB1</v>
      </c>
      <c r="F157" s="17" t="s">
        <v>398</v>
      </c>
      <c r="G157" s="17">
        <f>VLOOKUP(A157,[1]Sheet2!$I$2:$O$496,4,FALSE)</f>
        <v>620</v>
      </c>
      <c r="H157" s="17" t="s">
        <v>183</v>
      </c>
      <c r="I157" s="17" t="str">
        <f>VLOOKUP(A157,[1]Sheet2!$I$2:$O$496,6,FALSE)</f>
        <v>2025-07-23</v>
      </c>
    </row>
    <row r="158" spans="1:9" x14ac:dyDescent="0.25">
      <c r="A158" s="14" t="s">
        <v>560</v>
      </c>
      <c r="B158" s="15" t="s">
        <v>267</v>
      </c>
      <c r="C158" s="15" t="str">
        <f>VLOOKUP(A158,[1]Sheet2!$I$2:$O$496,5,FALSE)</f>
        <v>1970-01-01</v>
      </c>
      <c r="D158" s="17" t="s">
        <v>15</v>
      </c>
      <c r="E158" s="17" t="str">
        <f>VLOOKUP(A158,[1]Sheet2!$I$2:$O$496,3,FALSE)</f>
        <v>KPB1</v>
      </c>
      <c r="F158" s="17" t="s">
        <v>561</v>
      </c>
      <c r="G158" s="17">
        <f>VLOOKUP(A158,[1]Sheet2!$I$2:$O$496,4,FALSE)</f>
        <v>624</v>
      </c>
      <c r="H158" s="17" t="s">
        <v>352</v>
      </c>
      <c r="I158" s="17" t="str">
        <f>VLOOKUP(A158,[1]Sheet2!$I$2:$O$496,6,FALSE)</f>
        <v>2025-07-13</v>
      </c>
    </row>
    <row r="159" spans="1:9" x14ac:dyDescent="0.25">
      <c r="A159" s="14" t="s">
        <v>185</v>
      </c>
      <c r="B159" s="15" t="s">
        <v>118</v>
      </c>
      <c r="C159" s="15" t="str">
        <f>VLOOKUP(A159,[1]Sheet2!$I$2:$O$496,5,FALSE)</f>
        <v>1970-01-01</v>
      </c>
      <c r="D159" s="17" t="s">
        <v>15</v>
      </c>
      <c r="E159" s="17" t="str">
        <f>VLOOKUP(A159,[1]Sheet2!$I$2:$O$496,3,FALSE)</f>
        <v>KPB1</v>
      </c>
      <c r="F159" s="17" t="s">
        <v>186</v>
      </c>
      <c r="G159" s="17">
        <f>VLOOKUP(A159,[1]Sheet2!$I$2:$O$496,4,FALSE)</f>
        <v>639</v>
      </c>
      <c r="H159" s="17" t="s">
        <v>112</v>
      </c>
      <c r="I159" s="17" t="str">
        <f>VLOOKUP(A159,[1]Sheet2!$I$2:$O$496,6,FALSE)</f>
        <v>2025-07-05</v>
      </c>
    </row>
    <row r="160" spans="1:9" x14ac:dyDescent="0.25">
      <c r="A160" s="14" t="s">
        <v>537</v>
      </c>
      <c r="B160" s="15" t="s">
        <v>278</v>
      </c>
      <c r="C160" s="15" t="str">
        <f>VLOOKUP(A160,[1]Sheet2!$I$2:$O$496,5,FALSE)</f>
        <v>2025-06-09</v>
      </c>
      <c r="D160" s="17" t="s">
        <v>15</v>
      </c>
      <c r="E160" s="17" t="str">
        <f>VLOOKUP(A160,[1]Sheet2!$I$2:$O$496,3,FALSE)</f>
        <v>KPB1</v>
      </c>
      <c r="F160" s="17" t="s">
        <v>538</v>
      </c>
      <c r="G160" s="17">
        <f>VLOOKUP(A160,[1]Sheet2!$I$2:$O$496,4,FALSE)</f>
        <v>643</v>
      </c>
      <c r="H160" s="17" t="s">
        <v>108</v>
      </c>
      <c r="I160" s="17" t="str">
        <f>VLOOKUP(A160,[1]Sheet2!$I$2:$O$496,6,FALSE)</f>
        <v>2025-07-04</v>
      </c>
    </row>
    <row r="161" spans="1:9" x14ac:dyDescent="0.25">
      <c r="A161" s="14" t="s">
        <v>539</v>
      </c>
      <c r="B161" s="15" t="s">
        <v>283</v>
      </c>
      <c r="C161" s="15" t="str">
        <f>VLOOKUP(A161,[1]Sheet2!$I$2:$O$496,5,FALSE)</f>
        <v>1970-01-01</v>
      </c>
      <c r="D161" s="17" t="s">
        <v>15</v>
      </c>
      <c r="E161" s="17" t="str">
        <f>VLOOKUP(A161,[1]Sheet2!$I$2:$O$496,3,FALSE)</f>
        <v>KPB1</v>
      </c>
      <c r="F161" s="17" t="s">
        <v>540</v>
      </c>
      <c r="G161" s="17">
        <f>VLOOKUP(A161,[1]Sheet2!$I$2:$O$496,4,FALSE)</f>
        <v>658</v>
      </c>
      <c r="H161" s="17" t="s">
        <v>112</v>
      </c>
      <c r="I161" s="17" t="str">
        <f>VLOOKUP(A161,[1]Sheet2!$I$2:$O$496,6,FALSE)</f>
        <v>2025-07-05</v>
      </c>
    </row>
    <row r="162" spans="1:9" x14ac:dyDescent="0.25">
      <c r="A162" s="14" t="s">
        <v>722</v>
      </c>
      <c r="B162" s="15" t="s">
        <v>283</v>
      </c>
      <c r="C162" s="15" t="str">
        <f>VLOOKUP(A162,[1]Sheet2!$I$2:$O$496,5,FALSE)</f>
        <v>1970-01-01</v>
      </c>
      <c r="D162" s="17" t="s">
        <v>15</v>
      </c>
      <c r="E162" s="17" t="str">
        <f>VLOOKUP(A162,[1]Sheet2!$I$2:$O$496,3,FALSE)</f>
        <v>KPB1</v>
      </c>
      <c r="F162" s="17" t="s">
        <v>723</v>
      </c>
      <c r="G162" s="17">
        <f>VLOOKUP(A162,[1]Sheet2!$I$2:$O$496,4,FALSE)</f>
        <v>671</v>
      </c>
      <c r="H162" s="17" t="s">
        <v>112</v>
      </c>
      <c r="I162" s="17" t="str">
        <f>VLOOKUP(A162,[1]Sheet2!$I$2:$O$496,6,FALSE)</f>
        <v>2025-07-05</v>
      </c>
    </row>
    <row r="163" spans="1:9" x14ac:dyDescent="0.25">
      <c r="A163" s="14" t="s">
        <v>220</v>
      </c>
      <c r="B163" s="15" t="s">
        <v>192</v>
      </c>
      <c r="C163" s="15" t="str">
        <f>VLOOKUP(A163,[1]Sheet2!$I$2:$O$496,5,FALSE)</f>
        <v>2025-07-07</v>
      </c>
      <c r="D163" s="17" t="s">
        <v>15</v>
      </c>
      <c r="E163" s="17" t="str">
        <f>VLOOKUP(A163,[1]Sheet2!$I$2:$O$496,3,FALSE)</f>
        <v>KPB1</v>
      </c>
      <c r="F163" s="17" t="s">
        <v>222</v>
      </c>
      <c r="G163" s="17">
        <f>VLOOKUP(A163,[1]Sheet2!$I$2:$O$496,4,FALSE)</f>
        <v>674</v>
      </c>
      <c r="H163" s="17" t="s">
        <v>221</v>
      </c>
      <c r="I163" s="17" t="str">
        <f>VLOOKUP(A163,[1]Sheet2!$I$2:$O$496,6,FALSE)</f>
        <v>2025-07-31</v>
      </c>
    </row>
    <row r="164" spans="1:9" x14ac:dyDescent="0.25">
      <c r="A164" s="14" t="s">
        <v>417</v>
      </c>
      <c r="B164" s="15" t="s">
        <v>147</v>
      </c>
      <c r="C164" s="15" t="str">
        <f>VLOOKUP(A164,[1]Sheet2!$I$2:$O$496,5,FALSE)</f>
        <v>1970-01-01</v>
      </c>
      <c r="D164" s="17" t="s">
        <v>15</v>
      </c>
      <c r="E164" s="17" t="str">
        <f>VLOOKUP(A164,[1]Sheet2!$I$2:$O$496,3,FALSE)</f>
        <v>KPB1</v>
      </c>
      <c r="F164" s="17" t="s">
        <v>418</v>
      </c>
      <c r="G164" s="17">
        <f>VLOOKUP(A164,[1]Sheet2!$I$2:$O$496,4,FALSE)</f>
        <v>697</v>
      </c>
      <c r="H164" s="17" t="s">
        <v>179</v>
      </c>
      <c r="I164" s="17" t="str">
        <f>VLOOKUP(A164,[1]Sheet2!$I$2:$O$496,6,FALSE)</f>
        <v>2025-07-28</v>
      </c>
    </row>
    <row r="165" spans="1:9" x14ac:dyDescent="0.25">
      <c r="A165" s="14" t="s">
        <v>746</v>
      </c>
      <c r="B165" s="15" t="s">
        <v>292</v>
      </c>
      <c r="C165" s="15" t="str">
        <f>VLOOKUP(A165,[1]Sheet2!$I$2:$O$496,5,FALSE)</f>
        <v>2025-06-18</v>
      </c>
      <c r="D165" s="17" t="s">
        <v>15</v>
      </c>
      <c r="E165" s="17" t="str">
        <f>VLOOKUP(A165,[1]Sheet2!$I$2:$O$496,3,FALSE)</f>
        <v>KPB1</v>
      </c>
      <c r="F165" s="17" t="s">
        <v>747</v>
      </c>
      <c r="G165" s="17">
        <f>VLOOKUP(A165,[1]Sheet2!$I$2:$O$496,4,FALSE)</f>
        <v>713</v>
      </c>
      <c r="H165" s="17" t="s">
        <v>140</v>
      </c>
      <c r="I165" s="17" t="str">
        <f>VLOOKUP(A165,[1]Sheet2!$I$2:$O$496,6,FALSE)</f>
        <v>2025-07-11</v>
      </c>
    </row>
    <row r="166" spans="1:9" x14ac:dyDescent="0.25">
      <c r="A166" s="14" t="s">
        <v>298</v>
      </c>
      <c r="B166" s="15" t="s">
        <v>299</v>
      </c>
      <c r="C166" s="15" t="str">
        <f>VLOOKUP(A166,[1]Sheet2!$I$2:$O$496,5,FALSE)</f>
        <v>2025-06-07</v>
      </c>
      <c r="D166" s="17" t="s">
        <v>15</v>
      </c>
      <c r="E166" s="17" t="str">
        <f>VLOOKUP(A166,[1]Sheet2!$I$2:$O$496,3,FALSE)</f>
        <v>KPB1</v>
      </c>
      <c r="F166" s="17" t="s">
        <v>300</v>
      </c>
      <c r="G166" s="17">
        <f>VLOOKUP(A166,[1]Sheet2!$I$2:$O$496,4,FALSE)</f>
        <v>723</v>
      </c>
      <c r="H166" s="17" t="s">
        <v>125</v>
      </c>
      <c r="I166" s="17" t="str">
        <f>VLOOKUP(A166,[1]Sheet2!$I$2:$O$496,6,FALSE)</f>
        <v>2025-07-08</v>
      </c>
    </row>
    <row r="167" spans="1:9" x14ac:dyDescent="0.25">
      <c r="A167" s="14" t="s">
        <v>736</v>
      </c>
      <c r="B167" s="15" t="s">
        <v>289</v>
      </c>
      <c r="C167" s="15" t="str">
        <f>VLOOKUP(A167,[1]Sheet2!$I$2:$O$496,5,FALSE)</f>
        <v>2025-05-20</v>
      </c>
      <c r="D167" s="17" t="s">
        <v>15</v>
      </c>
      <c r="E167" s="17" t="str">
        <f>VLOOKUP(A167,[1]Sheet2!$I$2:$O$496,3,FALSE)</f>
        <v>KPB1</v>
      </c>
      <c r="F167" s="17" t="s">
        <v>737</v>
      </c>
      <c r="G167" s="17">
        <f>VLOOKUP(A167,[1]Sheet2!$I$2:$O$496,4,FALSE)</f>
        <v>728</v>
      </c>
      <c r="H167" s="17" t="s">
        <v>192</v>
      </c>
      <c r="I167" s="17" t="str">
        <f>VLOOKUP(A167,[1]Sheet2!$I$2:$O$496,6,FALSE)</f>
        <v>2025-07-07</v>
      </c>
    </row>
    <row r="168" spans="1:9" x14ac:dyDescent="0.25">
      <c r="A168" s="14" t="s">
        <v>660</v>
      </c>
      <c r="B168" s="15" t="s">
        <v>575</v>
      </c>
      <c r="C168" s="15" t="str">
        <f>VLOOKUP(A168,[1]Sheet2!$I$2:$O$496,5,FALSE)</f>
        <v>2025-06-26</v>
      </c>
      <c r="D168" s="17" t="s">
        <v>15</v>
      </c>
      <c r="E168" s="17" t="str">
        <f>VLOOKUP(A168,[1]Sheet2!$I$2:$O$496,3,FALSE)</f>
        <v>KPB1</v>
      </c>
      <c r="F168" s="17" t="s">
        <v>661</v>
      </c>
      <c r="G168" s="17">
        <f>VLOOKUP(A168,[1]Sheet2!$I$2:$O$496,4,FALSE)</f>
        <v>731</v>
      </c>
      <c r="H168" s="17" t="s">
        <v>125</v>
      </c>
      <c r="I168" s="17" t="str">
        <f>VLOOKUP(A168,[1]Sheet2!$I$2:$O$496,6,FALSE)</f>
        <v>2025-07-08</v>
      </c>
    </row>
    <row r="169" spans="1:9" x14ac:dyDescent="0.25">
      <c r="A169" s="14" t="s">
        <v>310</v>
      </c>
      <c r="B169" s="15" t="s">
        <v>124</v>
      </c>
      <c r="C169" s="15" t="str">
        <f>VLOOKUP(A169,[1]Sheet2!$I$2:$O$496,5,FALSE)</f>
        <v>2025-06-16</v>
      </c>
      <c r="D169" s="17" t="s">
        <v>15</v>
      </c>
      <c r="E169" s="17" t="str">
        <f>VLOOKUP(A169,[1]Sheet2!$I$2:$O$496,3,FALSE)</f>
        <v>KPB1</v>
      </c>
      <c r="F169" s="17" t="s">
        <v>311</v>
      </c>
      <c r="G169" s="17">
        <f>VLOOKUP(A169,[1]Sheet2!$I$2:$O$496,4,FALSE)</f>
        <v>733</v>
      </c>
      <c r="H169" s="17" t="s">
        <v>131</v>
      </c>
      <c r="I169" s="17" t="str">
        <f>VLOOKUP(A169,[1]Sheet2!$I$2:$O$496,6,FALSE)</f>
        <v>2025-07-09</v>
      </c>
    </row>
    <row r="170" spans="1:9" x14ac:dyDescent="0.25">
      <c r="A170" s="14" t="s">
        <v>650</v>
      </c>
      <c r="B170" s="15" t="s">
        <v>606</v>
      </c>
      <c r="C170" s="15" t="str">
        <f>VLOOKUP(A170,[1]Sheet2!$I$2:$O$496,5,FALSE)</f>
        <v>2025-06-03</v>
      </c>
      <c r="D170" s="17" t="s">
        <v>15</v>
      </c>
      <c r="E170" s="17" t="str">
        <f>VLOOKUP(A170,[1]Sheet2!$I$2:$O$496,3,FALSE)</f>
        <v>KPB1</v>
      </c>
      <c r="F170" s="17" t="s">
        <v>651</v>
      </c>
      <c r="G170" s="17">
        <f>VLOOKUP(A170,[1]Sheet2!$I$2:$O$496,4,FALSE)</f>
        <v>735</v>
      </c>
      <c r="H170" s="17" t="s">
        <v>104</v>
      </c>
      <c r="I170" s="17" t="str">
        <f>VLOOKUP(A170,[1]Sheet2!$I$2:$O$496,6,FALSE)</f>
        <v>2025-07-02</v>
      </c>
    </row>
    <row r="171" spans="1:9" x14ac:dyDescent="0.25">
      <c r="A171" s="14" t="s">
        <v>625</v>
      </c>
      <c r="B171" s="15" t="s">
        <v>289</v>
      </c>
      <c r="C171" s="15" t="str">
        <f>VLOOKUP(A171,[1]Sheet2!$I$2:$O$496,5,FALSE)</f>
        <v>2025-05-20</v>
      </c>
      <c r="D171" s="17" t="s">
        <v>15</v>
      </c>
      <c r="E171" s="17" t="str">
        <f>VLOOKUP(A171,[1]Sheet2!$I$2:$O$496,3,FALSE)</f>
        <v>KPB1</v>
      </c>
      <c r="F171" s="17" t="s">
        <v>626</v>
      </c>
      <c r="G171" s="17">
        <f>VLOOKUP(A171,[1]Sheet2!$I$2:$O$496,4,FALSE)</f>
        <v>736</v>
      </c>
      <c r="H171" s="17" t="s">
        <v>195</v>
      </c>
      <c r="I171" s="17" t="str">
        <f>VLOOKUP(A171,[1]Sheet2!$I$2:$O$496,6,FALSE)</f>
        <v>2025-07-03</v>
      </c>
    </row>
    <row r="172" spans="1:9" x14ac:dyDescent="0.25">
      <c r="A172" s="14" t="s">
        <v>665</v>
      </c>
      <c r="B172" s="15" t="s">
        <v>254</v>
      </c>
      <c r="C172" s="15" t="str">
        <f>VLOOKUP(A172,[1]Sheet2!$I$2:$O$496,5,FALSE)</f>
        <v>2025-06-02</v>
      </c>
      <c r="D172" s="17" t="s">
        <v>15</v>
      </c>
      <c r="E172" s="17" t="str">
        <f>VLOOKUP(A172,[1]Sheet2!$I$2:$O$496,3,FALSE)</f>
        <v>KPB1</v>
      </c>
      <c r="F172" s="17" t="s">
        <v>666</v>
      </c>
      <c r="G172" s="17">
        <f>VLOOKUP(A172,[1]Sheet2!$I$2:$O$496,4,FALSE)</f>
        <v>740</v>
      </c>
      <c r="H172" s="17" t="s">
        <v>131</v>
      </c>
      <c r="I172" s="17" t="str">
        <f>VLOOKUP(A172,[1]Sheet2!$I$2:$O$496,6,FALSE)</f>
        <v>2025-07-09</v>
      </c>
    </row>
    <row r="173" spans="1:9" x14ac:dyDescent="0.25">
      <c r="A173" s="14" t="s">
        <v>742</v>
      </c>
      <c r="B173" s="15" t="s">
        <v>313</v>
      </c>
      <c r="C173" s="15" t="str">
        <f>VLOOKUP(A173,[1]Sheet2!$I$2:$O$496,5,FALSE)</f>
        <v>1970-01-01</v>
      </c>
      <c r="D173" s="17" t="s">
        <v>15</v>
      </c>
      <c r="E173" s="17" t="str">
        <f>VLOOKUP(A173,[1]Sheet2!$I$2:$O$496,3,FALSE)</f>
        <v>KPB1</v>
      </c>
      <c r="F173" s="17" t="s">
        <v>743</v>
      </c>
      <c r="G173" s="17">
        <f>VLOOKUP(A173,[1]Sheet2!$I$2:$O$496,4,FALSE)</f>
        <v>747</v>
      </c>
      <c r="H173" s="17" t="s">
        <v>125</v>
      </c>
      <c r="I173" s="17" t="str">
        <f>VLOOKUP(A173,[1]Sheet2!$I$2:$O$496,6,FALSE)</f>
        <v>2025-07-08</v>
      </c>
    </row>
    <row r="174" spans="1:9" x14ac:dyDescent="0.25">
      <c r="A174" s="14" t="s">
        <v>531</v>
      </c>
      <c r="B174" s="15" t="s">
        <v>283</v>
      </c>
      <c r="C174" s="15" t="str">
        <f>VLOOKUP(A174,[1]Sheet2!$I$2:$O$496,5,FALSE)</f>
        <v>2025-05-30</v>
      </c>
      <c r="D174" s="17" t="s">
        <v>15</v>
      </c>
      <c r="E174" s="17" t="str">
        <f>VLOOKUP(A174,[1]Sheet2!$I$2:$O$496,3,FALSE)</f>
        <v>KPB1</v>
      </c>
      <c r="F174" s="17" t="s">
        <v>532</v>
      </c>
      <c r="G174" s="17">
        <f>VLOOKUP(A174,[1]Sheet2!$I$2:$O$496,4,FALSE)</f>
        <v>749</v>
      </c>
      <c r="H174" s="17" t="s">
        <v>104</v>
      </c>
      <c r="I174" s="17" t="str">
        <f>VLOOKUP(A174,[1]Sheet2!$I$2:$O$496,6,FALSE)</f>
        <v>2025-07-02</v>
      </c>
    </row>
    <row r="175" spans="1:9" x14ac:dyDescent="0.25">
      <c r="A175" s="14" t="s">
        <v>228</v>
      </c>
      <c r="B175" s="15" t="s">
        <v>131</v>
      </c>
      <c r="C175" s="15" t="str">
        <f>VLOOKUP(A175,[1]Sheet2!$I$2:$O$496,5,FALSE)</f>
        <v>2025-07-11</v>
      </c>
      <c r="D175" s="17" t="s">
        <v>15</v>
      </c>
      <c r="E175" s="17" t="str">
        <f>VLOOKUP(A175,[1]Sheet2!$I$2:$O$496,3,FALSE)</f>
        <v>KPB1</v>
      </c>
      <c r="F175" s="17" t="s">
        <v>230</v>
      </c>
      <c r="G175" s="17">
        <f>VLOOKUP(A175,[1]Sheet2!$I$2:$O$496,4,FALSE)</f>
        <v>754</v>
      </c>
      <c r="H175" s="17" t="s">
        <v>229</v>
      </c>
      <c r="I175" s="17" t="str">
        <f>VLOOKUP(A175,[1]Sheet2!$I$2:$O$496,6,FALSE)</f>
        <v>2025-07-25</v>
      </c>
    </row>
    <row r="176" spans="1:9" x14ac:dyDescent="0.25">
      <c r="A176" s="14" t="s">
        <v>117</v>
      </c>
      <c r="B176" s="15" t="s">
        <v>118</v>
      </c>
      <c r="C176" s="15" t="str">
        <f>VLOOKUP(A176,[1]Sheet2!$I$2:$O$496,5,FALSE)</f>
        <v>2025-06-05</v>
      </c>
      <c r="D176" s="17" t="s">
        <v>15</v>
      </c>
      <c r="E176" s="17" t="str">
        <f>VLOOKUP(A176,[1]Sheet2!$I$2:$O$496,3,FALSE)</f>
        <v>KPB1</v>
      </c>
      <c r="F176" s="17" t="s">
        <v>119</v>
      </c>
      <c r="G176" s="17">
        <f>VLOOKUP(A176,[1]Sheet2!$I$2:$O$496,4,FALSE)</f>
        <v>767</v>
      </c>
      <c r="H176" s="17" t="s">
        <v>112</v>
      </c>
      <c r="I176" s="17" t="str">
        <f>VLOOKUP(A176,[1]Sheet2!$I$2:$O$496,6,FALSE)</f>
        <v>2025-07-05</v>
      </c>
    </row>
    <row r="177" spans="1:9" x14ac:dyDescent="0.25">
      <c r="A177" s="14" t="s">
        <v>305</v>
      </c>
      <c r="B177" s="15" t="s">
        <v>299</v>
      </c>
      <c r="C177" s="15" t="str">
        <f>VLOOKUP(A177,[1]Sheet2!$I$2:$O$496,5,FALSE)</f>
        <v>2025-06-07</v>
      </c>
      <c r="D177" s="17" t="s">
        <v>15</v>
      </c>
      <c r="E177" s="17" t="str">
        <f>VLOOKUP(A177,[1]Sheet2!$I$2:$O$496,3,FALSE)</f>
        <v>KPB1</v>
      </c>
      <c r="F177" s="17" t="s">
        <v>306</v>
      </c>
      <c r="G177" s="17">
        <f>VLOOKUP(A177,[1]Sheet2!$I$2:$O$496,4,FALSE)</f>
        <v>773</v>
      </c>
      <c r="H177" s="17" t="s">
        <v>125</v>
      </c>
      <c r="I177" s="17" t="str">
        <f>VLOOKUP(A177,[1]Sheet2!$I$2:$O$496,6,FALSE)</f>
        <v>2025-07-08</v>
      </c>
    </row>
    <row r="178" spans="1:9" x14ac:dyDescent="0.25">
      <c r="A178" s="14" t="s">
        <v>373</v>
      </c>
      <c r="B178" s="15" t="s">
        <v>206</v>
      </c>
      <c r="C178" s="15" t="str">
        <f>VLOOKUP(A178,[1]Sheet2!$I$2:$O$496,5,FALSE)</f>
        <v>2025-06-21</v>
      </c>
      <c r="D178" s="17" t="s">
        <v>15</v>
      </c>
      <c r="E178" s="17" t="str">
        <f>VLOOKUP(A178,[1]Sheet2!$I$2:$O$496,3,FALSE)</f>
        <v>KPB1</v>
      </c>
      <c r="F178" s="17" t="s">
        <v>374</v>
      </c>
      <c r="G178" s="17">
        <f>VLOOKUP(A178,[1]Sheet2!$I$2:$O$496,4,FALSE)</f>
        <v>783</v>
      </c>
      <c r="H178" s="17" t="s">
        <v>150</v>
      </c>
      <c r="I178" s="17" t="str">
        <f>VLOOKUP(A178,[1]Sheet2!$I$2:$O$496,6,FALSE)</f>
        <v>2025-07-17</v>
      </c>
    </row>
    <row r="179" spans="1:9" x14ac:dyDescent="0.25">
      <c r="A179" s="14" t="s">
        <v>572</v>
      </c>
      <c r="B179" s="15" t="s">
        <v>140</v>
      </c>
      <c r="C179" s="15" t="str">
        <f>VLOOKUP(A179,[1]Sheet2!$I$2:$O$496,5,FALSE)</f>
        <v>1970-01-01</v>
      </c>
      <c r="D179" s="17" t="s">
        <v>15</v>
      </c>
      <c r="E179" s="17" t="str">
        <f>VLOOKUP(A179,[1]Sheet2!$I$2:$O$496,3,FALSE)</f>
        <v>KPB1</v>
      </c>
      <c r="F179" s="17" t="s">
        <v>573</v>
      </c>
      <c r="G179" s="17">
        <f>VLOOKUP(A179,[1]Sheet2!$I$2:$O$496,4,FALSE)</f>
        <v>784</v>
      </c>
      <c r="H179" s="17" t="s">
        <v>157</v>
      </c>
      <c r="I179" s="17" t="str">
        <f>VLOOKUP(A179,[1]Sheet2!$I$2:$O$496,6,FALSE)</f>
        <v>2025-07-26</v>
      </c>
    </row>
    <row r="180" spans="1:9" x14ac:dyDescent="0.25">
      <c r="A180" s="14" t="s">
        <v>672</v>
      </c>
      <c r="B180" s="15" t="s">
        <v>124</v>
      </c>
      <c r="C180" s="15" t="str">
        <f>VLOOKUP(A180,[1]Sheet2!$I$2:$O$496,5,FALSE)</f>
        <v>2025-06-10</v>
      </c>
      <c r="D180" s="17" t="s">
        <v>15</v>
      </c>
      <c r="E180" s="17" t="str">
        <f>VLOOKUP(A180,[1]Sheet2!$I$2:$O$496,3,FALSE)</f>
        <v>KPB1</v>
      </c>
      <c r="F180" s="17" t="s">
        <v>573</v>
      </c>
      <c r="G180" s="17">
        <f>VLOOKUP(A180,[1]Sheet2!$I$2:$O$496,4,FALSE)</f>
        <v>784</v>
      </c>
      <c r="H180" s="17" t="s">
        <v>393</v>
      </c>
      <c r="I180" s="17" t="str">
        <f>VLOOKUP(A180,[1]Sheet2!$I$2:$O$496,6,FALSE)</f>
        <v>2025-07-22</v>
      </c>
    </row>
    <row r="181" spans="1:9" x14ac:dyDescent="0.25">
      <c r="A181" s="14" t="s">
        <v>205</v>
      </c>
      <c r="B181" s="15" t="s">
        <v>206</v>
      </c>
      <c r="C181" s="15" t="str">
        <f>VLOOKUP(A181,[1]Sheet2!$I$2:$O$496,5,FALSE)</f>
        <v>1970-01-01</v>
      </c>
      <c r="D181" s="17" t="s">
        <v>15</v>
      </c>
      <c r="E181" s="17" t="str">
        <f>VLOOKUP(A181,[1]Sheet2!$I$2:$O$496,3,FALSE)</f>
        <v>KPB1</v>
      </c>
      <c r="F181" s="17" t="s">
        <v>207</v>
      </c>
      <c r="G181" s="17">
        <f>VLOOKUP(A181,[1]Sheet2!$I$2:$O$496,4,FALSE)</f>
        <v>788</v>
      </c>
      <c r="H181" s="17" t="s">
        <v>140</v>
      </c>
      <c r="I181" s="17" t="str">
        <f>VLOOKUP(A181,[1]Sheet2!$I$2:$O$496,6,FALSE)</f>
        <v>2025-07-11</v>
      </c>
    </row>
    <row r="182" spans="1:9" x14ac:dyDescent="0.25">
      <c r="A182" s="14" t="s">
        <v>533</v>
      </c>
      <c r="B182" s="15" t="s">
        <v>461</v>
      </c>
      <c r="C182" s="15" t="str">
        <f>VLOOKUP(A182,[1]Sheet2!$I$2:$O$496,5,FALSE)</f>
        <v>1970-01-01</v>
      </c>
      <c r="D182" s="17" t="s">
        <v>15</v>
      </c>
      <c r="E182" s="17" t="str">
        <f>VLOOKUP(A182,[1]Sheet2!$I$2:$O$496,3,FALSE)</f>
        <v>KPB1</v>
      </c>
      <c r="F182" s="17" t="s">
        <v>534</v>
      </c>
      <c r="G182" s="17">
        <f>VLOOKUP(A182,[1]Sheet2!$I$2:$O$496,4,FALSE)</f>
        <v>789</v>
      </c>
      <c r="H182" s="17" t="s">
        <v>104</v>
      </c>
      <c r="I182" s="17" t="str">
        <f>VLOOKUP(A182,[1]Sheet2!$I$2:$O$496,6,FALSE)</f>
        <v>2025-07-02</v>
      </c>
    </row>
    <row r="183" spans="1:9" x14ac:dyDescent="0.25">
      <c r="A183" s="14" t="s">
        <v>387</v>
      </c>
      <c r="B183" s="15" t="s">
        <v>260</v>
      </c>
      <c r="C183" s="15" t="str">
        <f>VLOOKUP(A183,[1]Sheet2!$I$2:$O$496,5,FALSE)</f>
        <v>2025-06-24</v>
      </c>
      <c r="D183" s="17" t="s">
        <v>15</v>
      </c>
      <c r="E183" s="17" t="str">
        <f>VLOOKUP(A183,[1]Sheet2!$I$2:$O$496,3,FALSE)</f>
        <v>KPB1</v>
      </c>
      <c r="F183" s="17" t="s">
        <v>388</v>
      </c>
      <c r="G183" s="17">
        <f>VLOOKUP(A183,[1]Sheet2!$I$2:$O$496,4,FALSE)</f>
        <v>804</v>
      </c>
      <c r="H183" s="17" t="s">
        <v>245</v>
      </c>
      <c r="I183" s="17" t="str">
        <f>VLOOKUP(A183,[1]Sheet2!$I$2:$O$496,6,FALSE)</f>
        <v>2025-07-19</v>
      </c>
    </row>
    <row r="184" spans="1:9" x14ac:dyDescent="0.25">
      <c r="A184" s="14" t="s">
        <v>156</v>
      </c>
      <c r="B184" s="15" t="s">
        <v>104</v>
      </c>
      <c r="C184" s="15" t="str">
        <f>VLOOKUP(A184,[1]Sheet2!$I$2:$O$496,5,FALSE)</f>
        <v>2025-07-02</v>
      </c>
      <c r="D184" s="17" t="s">
        <v>15</v>
      </c>
      <c r="E184" s="17" t="str">
        <f>VLOOKUP(A184,[1]Sheet2!$I$2:$O$496,3,FALSE)</f>
        <v>KPB1</v>
      </c>
      <c r="F184" s="17" t="s">
        <v>158</v>
      </c>
      <c r="G184" s="17">
        <f>VLOOKUP(A184,[1]Sheet2!$I$2:$O$496,4,FALSE)</f>
        <v>805</v>
      </c>
      <c r="H184" s="17" t="s">
        <v>157</v>
      </c>
      <c r="I184" s="17" t="str">
        <f>VLOOKUP(A184,[1]Sheet2!$I$2:$O$496,6,FALSE)</f>
        <v>2025-07-26</v>
      </c>
    </row>
    <row r="185" spans="1:9" x14ac:dyDescent="0.25">
      <c r="A185" s="14" t="s">
        <v>201</v>
      </c>
      <c r="B185" s="15" t="s">
        <v>202</v>
      </c>
      <c r="C185" s="15" t="str">
        <f>VLOOKUP(A185,[1]Sheet2!$I$2:$O$496,5,FALSE)</f>
        <v>1970-01-01</v>
      </c>
      <c r="D185" s="17" t="s">
        <v>15</v>
      </c>
      <c r="E185" s="17" t="str">
        <f>VLOOKUP(A185,[1]Sheet2!$I$2:$O$496,3,FALSE)</f>
        <v>KPB1</v>
      </c>
      <c r="F185" s="17" t="s">
        <v>158</v>
      </c>
      <c r="G185" s="17">
        <f>VLOOKUP(A185,[1]Sheet2!$I$2:$O$496,4,FALSE)</f>
        <v>805</v>
      </c>
      <c r="H185" s="17" t="s">
        <v>112</v>
      </c>
      <c r="I185" s="17" t="str">
        <f>VLOOKUP(A185,[1]Sheet2!$I$2:$O$496,6,FALSE)</f>
        <v>2025-07-05</v>
      </c>
    </row>
    <row r="186" spans="1:9" x14ac:dyDescent="0.25">
      <c r="A186" s="14" t="s">
        <v>744</v>
      </c>
      <c r="B186" s="15" t="s">
        <v>147</v>
      </c>
      <c r="C186" s="15" t="str">
        <f>VLOOKUP(A186,[1]Sheet2!$I$2:$O$496,5,FALSE)</f>
        <v>2025-05-20</v>
      </c>
      <c r="D186" s="17" t="s">
        <v>15</v>
      </c>
      <c r="E186" s="17" t="str">
        <f>VLOOKUP(A186,[1]Sheet2!$I$2:$O$496,3,FALSE)</f>
        <v>KPB1</v>
      </c>
      <c r="F186" s="17" t="s">
        <v>745</v>
      </c>
      <c r="G186" s="17">
        <f>VLOOKUP(A186,[1]Sheet2!$I$2:$O$496,4,FALSE)</f>
        <v>806</v>
      </c>
      <c r="H186" s="17" t="s">
        <v>125</v>
      </c>
      <c r="I186" s="17" t="str">
        <f>VLOOKUP(A186,[1]Sheet2!$I$2:$O$496,6,FALSE)</f>
        <v>2025-07-08</v>
      </c>
    </row>
    <row r="187" spans="1:9" x14ac:dyDescent="0.25">
      <c r="A187" s="14" t="s">
        <v>328</v>
      </c>
      <c r="B187" s="15" t="s">
        <v>130</v>
      </c>
      <c r="C187" s="15" t="str">
        <f>VLOOKUP(A187,[1]Sheet2!$I$2:$O$496,5,FALSE)</f>
        <v>1970-01-01</v>
      </c>
      <c r="D187" s="17" t="s">
        <v>15</v>
      </c>
      <c r="E187" s="17" t="str">
        <f>VLOOKUP(A187,[1]Sheet2!$I$2:$O$496,3,FALSE)</f>
        <v>KPB1</v>
      </c>
      <c r="F187" s="17" t="s">
        <v>329</v>
      </c>
      <c r="G187" s="17">
        <f>VLOOKUP(A187,[1]Sheet2!$I$2:$O$496,4,FALSE)</f>
        <v>827</v>
      </c>
      <c r="H187" s="17" t="s">
        <v>140</v>
      </c>
      <c r="I187" s="17" t="str">
        <f>VLOOKUP(A187,[1]Sheet2!$I$2:$O$496,6,FALSE)</f>
        <v>2025-07-11</v>
      </c>
    </row>
    <row r="188" spans="1:9" x14ac:dyDescent="0.25">
      <c r="A188" s="14" t="s">
        <v>513</v>
      </c>
      <c r="B188" s="15" t="s">
        <v>514</v>
      </c>
      <c r="C188" s="15" t="str">
        <f>VLOOKUP(A188,[1]Sheet2!$I$2:$O$496,5,FALSE)</f>
        <v>2024-11-30</v>
      </c>
      <c r="D188" s="17" t="s">
        <v>28</v>
      </c>
      <c r="E188" s="17" t="str">
        <f>VLOOKUP(A188,[1]Sheet2!$I$2:$O$496,3,FALSE)</f>
        <v>KPB3</v>
      </c>
      <c r="F188" s="17" t="s">
        <v>329</v>
      </c>
      <c r="G188" s="17">
        <f>VLOOKUP(A188,[1]Sheet2!$I$2:$O$496,4,FALSE)</f>
        <v>827</v>
      </c>
      <c r="H188" s="17" t="s">
        <v>245</v>
      </c>
      <c r="I188" s="17" t="str">
        <f>VLOOKUP(A188,[1]Sheet2!$I$2:$O$496,6,FALSE)</f>
        <v>2025-07-19</v>
      </c>
    </row>
    <row r="189" spans="1:9" x14ac:dyDescent="0.25">
      <c r="A189" s="14" t="s">
        <v>655</v>
      </c>
      <c r="B189" s="15" t="s">
        <v>118</v>
      </c>
      <c r="C189" s="15" t="str">
        <f>VLOOKUP(A189,[1]Sheet2!$I$2:$O$496,5,FALSE)</f>
        <v>2025-06-05</v>
      </c>
      <c r="D189" s="17" t="s">
        <v>15</v>
      </c>
      <c r="E189" s="17" t="str">
        <f>VLOOKUP(A189,[1]Sheet2!$I$2:$O$496,3,FALSE)</f>
        <v>KPB1</v>
      </c>
      <c r="F189" s="17" t="s">
        <v>656</v>
      </c>
      <c r="G189" s="17">
        <f>VLOOKUP(A189,[1]Sheet2!$I$2:$O$496,4,FALSE)</f>
        <v>829</v>
      </c>
      <c r="H189" s="17" t="s">
        <v>112</v>
      </c>
      <c r="I189" s="17" t="str">
        <f>VLOOKUP(A189,[1]Sheet2!$I$2:$O$496,6,FALSE)</f>
        <v>2025-07-05</v>
      </c>
    </row>
    <row r="190" spans="1:9" x14ac:dyDescent="0.25">
      <c r="A190" s="14" t="s">
        <v>391</v>
      </c>
      <c r="B190" s="15" t="s">
        <v>392</v>
      </c>
      <c r="C190" s="15" t="str">
        <f>VLOOKUP(A190,[1]Sheet2!$I$2:$O$496,5,FALSE)</f>
        <v>1970-01-01</v>
      </c>
      <c r="D190" s="17" t="s">
        <v>15</v>
      </c>
      <c r="E190" s="17" t="str">
        <f>VLOOKUP(A190,[1]Sheet2!$I$2:$O$496,3,FALSE)</f>
        <v>KPB1</v>
      </c>
      <c r="F190" s="17" t="s">
        <v>394</v>
      </c>
      <c r="G190" s="17">
        <f>VLOOKUP(A190,[1]Sheet2!$I$2:$O$496,4,FALSE)</f>
        <v>833</v>
      </c>
      <c r="H190" s="17" t="s">
        <v>393</v>
      </c>
      <c r="I190" s="17" t="str">
        <f>VLOOKUP(A190,[1]Sheet2!$I$2:$O$496,6,FALSE)</f>
        <v>2025-07-22</v>
      </c>
    </row>
    <row r="191" spans="1:9" x14ac:dyDescent="0.25">
      <c r="A191" s="14" t="s">
        <v>756</v>
      </c>
      <c r="B191" s="15" t="s">
        <v>308</v>
      </c>
      <c r="C191" s="15" t="str">
        <f>VLOOKUP(A191,[1]Sheet2!$I$2:$O$496,5,FALSE)</f>
        <v>1970-01-01</v>
      </c>
      <c r="D191" s="17" t="s">
        <v>15</v>
      </c>
      <c r="E191" s="17" t="str">
        <f>VLOOKUP(A191,[1]Sheet2!$I$2:$O$496,3,FALSE)</f>
        <v>KPB1</v>
      </c>
      <c r="F191" s="17" t="s">
        <v>757</v>
      </c>
      <c r="G191" s="17">
        <f>VLOOKUP(A191,[1]Sheet2!$I$2:$O$496,4,FALSE)</f>
        <v>834</v>
      </c>
      <c r="H191" s="17" t="s">
        <v>229</v>
      </c>
      <c r="I191" s="17" t="str">
        <f>VLOOKUP(A191,[1]Sheet2!$I$2:$O$496,6,FALSE)</f>
        <v>2025-07-25</v>
      </c>
    </row>
    <row r="192" spans="1:9" x14ac:dyDescent="0.25">
      <c r="A192" s="14" t="s">
        <v>627</v>
      </c>
      <c r="B192" s="15" t="s">
        <v>143</v>
      </c>
      <c r="C192" s="15" t="str">
        <f>VLOOKUP(A192,[1]Sheet2!$I$2:$O$496,5,FALSE)</f>
        <v>2025-05-09</v>
      </c>
      <c r="D192" s="17" t="s">
        <v>15</v>
      </c>
      <c r="E192" s="17" t="str">
        <f>VLOOKUP(A192,[1]Sheet2!$I$2:$O$496,3,FALSE)</f>
        <v>KPB1</v>
      </c>
      <c r="F192" s="17" t="s">
        <v>628</v>
      </c>
      <c r="G192" s="17">
        <f>VLOOKUP(A192,[1]Sheet2!$I$2:$O$496,4,FALSE)</f>
        <v>837</v>
      </c>
      <c r="H192" s="17" t="s">
        <v>195</v>
      </c>
      <c r="I192" s="17" t="str">
        <f>VLOOKUP(A192,[1]Sheet2!$I$2:$O$496,6,FALSE)</f>
        <v>2025-07-03</v>
      </c>
    </row>
    <row r="193" spans="1:9" x14ac:dyDescent="0.25">
      <c r="A193" s="14" t="s">
        <v>580</v>
      </c>
      <c r="B193" s="15" t="s">
        <v>431</v>
      </c>
      <c r="C193" s="15" t="str">
        <f>VLOOKUP(A193,[1]Sheet2!$I$2:$O$496,5,FALSE)</f>
        <v>1970-01-01</v>
      </c>
      <c r="D193" s="17" t="s">
        <v>21</v>
      </c>
      <c r="E193" s="17" t="str">
        <f>VLOOKUP(A193,[1]Sheet2!$I$2:$O$496,3,FALSE)</f>
        <v>KPB2</v>
      </c>
      <c r="F193" s="17" t="s">
        <v>427</v>
      </c>
      <c r="G193" s="17">
        <f>VLOOKUP(A193,[1]Sheet2!$I$2:$O$496,4,FALSE)</f>
        <v>838</v>
      </c>
      <c r="H193" s="17" t="s">
        <v>140</v>
      </c>
      <c r="I193" s="17" t="str">
        <f>VLOOKUP(A193,[1]Sheet2!$I$2:$O$496,6,FALSE)</f>
        <v>2025-07-11</v>
      </c>
    </row>
    <row r="194" spans="1:9" x14ac:dyDescent="0.25">
      <c r="A194" s="14" t="s">
        <v>667</v>
      </c>
      <c r="B194" s="15" t="s">
        <v>392</v>
      </c>
      <c r="C194" s="15" t="str">
        <f>VLOOKUP(A194,[1]Sheet2!$I$2:$O$496,5,FALSE)</f>
        <v>2025-06-23</v>
      </c>
      <c r="D194" s="17" t="s">
        <v>15</v>
      </c>
      <c r="E194" s="17" t="str">
        <f>VLOOKUP(A194,[1]Sheet2!$I$2:$O$496,3,FALSE)</f>
        <v>KPB1</v>
      </c>
      <c r="F194" s="17" t="s">
        <v>668</v>
      </c>
      <c r="G194" s="17">
        <f>VLOOKUP(A194,[1]Sheet2!$I$2:$O$496,4,FALSE)</f>
        <v>851</v>
      </c>
      <c r="H194" s="17" t="s">
        <v>140</v>
      </c>
      <c r="I194" s="17" t="str">
        <f>VLOOKUP(A194,[1]Sheet2!$I$2:$O$496,6,FALSE)</f>
        <v>2025-07-11</v>
      </c>
    </row>
    <row r="195" spans="1:9" x14ac:dyDescent="0.25">
      <c r="A195" s="14" t="s">
        <v>682</v>
      </c>
      <c r="B195" s="15" t="s">
        <v>111</v>
      </c>
      <c r="C195" s="15" t="str">
        <f>VLOOKUP(A195,[1]Sheet2!$I$2:$O$496,5,FALSE)</f>
        <v>2025-06-28</v>
      </c>
      <c r="D195" s="17" t="s">
        <v>15</v>
      </c>
      <c r="E195" s="17" t="str">
        <f>VLOOKUP(A195,[1]Sheet2!$I$2:$O$496,3,FALSE)</f>
        <v>KPB1</v>
      </c>
      <c r="F195" s="17" t="s">
        <v>683</v>
      </c>
      <c r="G195" s="17">
        <f>VLOOKUP(A195,[1]Sheet2!$I$2:$O$496,4,FALSE)</f>
        <v>859</v>
      </c>
      <c r="H195" s="17" t="s">
        <v>221</v>
      </c>
      <c r="I195" s="17" t="str">
        <f>VLOOKUP(A195,[1]Sheet2!$I$2:$O$496,6,FALSE)</f>
        <v>2025-07-31</v>
      </c>
    </row>
    <row r="196" spans="1:9" x14ac:dyDescent="0.25">
      <c r="A196" s="14" t="s">
        <v>718</v>
      </c>
      <c r="B196" s="15" t="s">
        <v>292</v>
      </c>
      <c r="C196" s="15" t="str">
        <f>VLOOKUP(A196,[1]Sheet2!$I$2:$O$496,5,FALSE)</f>
        <v>2025-06-16</v>
      </c>
      <c r="D196" s="17" t="s">
        <v>15</v>
      </c>
      <c r="E196" s="17" t="str">
        <f>VLOOKUP(A196,[1]Sheet2!$I$2:$O$496,3,FALSE)</f>
        <v>KPB1</v>
      </c>
      <c r="F196" s="17" t="s">
        <v>719</v>
      </c>
      <c r="G196" s="17">
        <f>VLOOKUP(A196,[1]Sheet2!$I$2:$O$496,4,FALSE)</f>
        <v>869</v>
      </c>
      <c r="H196" s="17" t="s">
        <v>112</v>
      </c>
      <c r="I196" s="17" t="str">
        <f>VLOOKUP(A196,[1]Sheet2!$I$2:$O$496,6,FALSE)</f>
        <v>2025-07-05</v>
      </c>
    </row>
    <row r="197" spans="1:9" x14ac:dyDescent="0.25">
      <c r="A197" s="14" t="s">
        <v>549</v>
      </c>
      <c r="B197" s="15" t="s">
        <v>124</v>
      </c>
      <c r="C197" s="15" t="str">
        <f>VLOOKUP(A197,[1]Sheet2!$I$2:$O$496,5,FALSE)</f>
        <v>1970-01-01</v>
      </c>
      <c r="D197" s="17" t="s">
        <v>15</v>
      </c>
      <c r="E197" s="17" t="str">
        <f>VLOOKUP(A197,[1]Sheet2!$I$2:$O$496,3,FALSE)</f>
        <v>KPB1</v>
      </c>
      <c r="F197" s="17" t="s">
        <v>550</v>
      </c>
      <c r="G197" s="17">
        <f>VLOOKUP(A197,[1]Sheet2!$I$2:$O$496,4,FALSE)</f>
        <v>871</v>
      </c>
      <c r="H197" s="17" t="s">
        <v>140</v>
      </c>
      <c r="I197" s="17" t="str">
        <f>VLOOKUP(A197,[1]Sheet2!$I$2:$O$496,6,FALSE)</f>
        <v>2025-07-11</v>
      </c>
    </row>
    <row r="198" spans="1:9" x14ac:dyDescent="0.25">
      <c r="A198" s="14" t="s">
        <v>677</v>
      </c>
      <c r="B198" s="15" t="s">
        <v>111</v>
      </c>
      <c r="C198" s="15" t="str">
        <f>VLOOKUP(A198,[1]Sheet2!$I$2:$O$496,5,FALSE)</f>
        <v>1970-01-01</v>
      </c>
      <c r="D198" s="17" t="s">
        <v>15</v>
      </c>
      <c r="E198" s="17" t="str">
        <f>VLOOKUP(A198,[1]Sheet2!$I$2:$O$496,3,FALSE)</f>
        <v>KPB1</v>
      </c>
      <c r="F198" s="17" t="s">
        <v>678</v>
      </c>
      <c r="G198" s="17">
        <f>VLOOKUP(A198,[1]Sheet2!$I$2:$O$496,4,FALSE)</f>
        <v>874</v>
      </c>
      <c r="H198" s="17" t="s">
        <v>179</v>
      </c>
      <c r="I198" s="17" t="str">
        <f>VLOOKUP(A198,[1]Sheet2!$I$2:$O$496,6,FALSE)</f>
        <v>2025-07-28</v>
      </c>
    </row>
    <row r="199" spans="1:9" x14ac:dyDescent="0.25">
      <c r="A199" s="14" t="s">
        <v>422</v>
      </c>
      <c r="B199" s="15" t="s">
        <v>108</v>
      </c>
      <c r="C199" s="15" t="str">
        <f>VLOOKUP(A199,[1]Sheet2!$I$2:$O$496,5,FALSE)</f>
        <v>1970-01-01</v>
      </c>
      <c r="D199" s="17" t="s">
        <v>15</v>
      </c>
      <c r="E199" s="17" t="str">
        <f>VLOOKUP(A199,[1]Sheet2!$I$2:$O$496,3,FALSE)</f>
        <v>KPB1</v>
      </c>
      <c r="F199" s="17" t="s">
        <v>423</v>
      </c>
      <c r="G199" s="17">
        <f>VLOOKUP(A199,[1]Sheet2!$I$2:$O$496,4,FALSE)</f>
        <v>880</v>
      </c>
      <c r="H199" s="17" t="s">
        <v>420</v>
      </c>
      <c r="I199" s="17" t="str">
        <f>VLOOKUP(A199,[1]Sheet2!$I$2:$O$496,6,FALSE)</f>
        <v>2025-07-29</v>
      </c>
    </row>
    <row r="200" spans="1:9" x14ac:dyDescent="0.25">
      <c r="A200" s="14" t="s">
        <v>752</v>
      </c>
      <c r="B200" s="15" t="s">
        <v>606</v>
      </c>
      <c r="C200" s="15" t="str">
        <f>VLOOKUP(A200,[1]Sheet2!$I$2:$O$496,5,FALSE)</f>
        <v>2025-06-03</v>
      </c>
      <c r="D200" s="17" t="s">
        <v>15</v>
      </c>
      <c r="E200" s="17" t="str">
        <f>VLOOKUP(A200,[1]Sheet2!$I$2:$O$496,3,FALSE)</f>
        <v>KPB1</v>
      </c>
      <c r="F200" s="17" t="s">
        <v>753</v>
      </c>
      <c r="G200" s="17">
        <f>VLOOKUP(A200,[1]Sheet2!$I$2:$O$496,4,FALSE)</f>
        <v>884</v>
      </c>
      <c r="H200" s="17" t="s">
        <v>154</v>
      </c>
      <c r="I200" s="17" t="str">
        <f>VLOOKUP(A200,[1]Sheet2!$I$2:$O$496,6,FALSE)</f>
        <v>2025-07-18</v>
      </c>
    </row>
    <row r="201" spans="1:9" x14ac:dyDescent="0.25">
      <c r="A201" s="14" t="s">
        <v>336</v>
      </c>
      <c r="B201" s="15" t="s">
        <v>299</v>
      </c>
      <c r="C201" s="15" t="str">
        <f>VLOOKUP(A201,[1]Sheet2!$I$2:$O$496,5,FALSE)</f>
        <v>2025-06-07</v>
      </c>
      <c r="D201" s="17" t="s">
        <v>15</v>
      </c>
      <c r="E201" s="17" t="str">
        <f>VLOOKUP(A201,[1]Sheet2!$I$2:$O$496,3,FALSE)</f>
        <v>KPB1</v>
      </c>
      <c r="F201" s="17" t="s">
        <v>337</v>
      </c>
      <c r="G201" s="17">
        <f>VLOOKUP(A201,[1]Sheet2!$I$2:$O$496,4,FALSE)</f>
        <v>891</v>
      </c>
      <c r="H201" s="17" t="s">
        <v>144</v>
      </c>
      <c r="I201" s="17" t="str">
        <f>VLOOKUP(A201,[1]Sheet2!$I$2:$O$496,6,FALSE)</f>
        <v>2025-07-12</v>
      </c>
    </row>
    <row r="202" spans="1:9" x14ac:dyDescent="0.25">
      <c r="A202" s="14" t="s">
        <v>681</v>
      </c>
      <c r="B202" s="15" t="s">
        <v>292</v>
      </c>
      <c r="C202" s="15" t="str">
        <f>VLOOKUP(A202,[1]Sheet2!$I$2:$O$496,5,FALSE)</f>
        <v>1970-01-01</v>
      </c>
      <c r="D202" s="17" t="s">
        <v>15</v>
      </c>
      <c r="E202" s="17" t="str">
        <f>VLOOKUP(A202,[1]Sheet2!$I$2:$O$496,3,FALSE)</f>
        <v>KPB1</v>
      </c>
      <c r="F202" s="17" t="s">
        <v>636</v>
      </c>
      <c r="G202" s="17">
        <f>VLOOKUP(A202,[1]Sheet2!$I$2:$O$496,4,FALSE)</f>
        <v>892</v>
      </c>
      <c r="H202" s="17" t="s">
        <v>218</v>
      </c>
      <c r="I202" s="17" t="str">
        <f>VLOOKUP(A202,[1]Sheet2!$I$2:$O$496,6,FALSE)</f>
        <v>2025-07-30</v>
      </c>
    </row>
    <row r="203" spans="1:9" x14ac:dyDescent="0.25">
      <c r="A203" s="14" t="s">
        <v>543</v>
      </c>
      <c r="B203" s="15" t="s">
        <v>121</v>
      </c>
      <c r="C203" s="15" t="str">
        <f>VLOOKUP(A203,[1]Sheet2!$I$2:$O$496,5,FALSE)</f>
        <v>2025-06-20</v>
      </c>
      <c r="D203" s="17" t="s">
        <v>15</v>
      </c>
      <c r="E203" s="17" t="str">
        <f>VLOOKUP(A203,[1]Sheet2!$I$2:$O$496,3,FALSE)</f>
        <v>KPB1</v>
      </c>
      <c r="F203" s="17" t="s">
        <v>544</v>
      </c>
      <c r="G203" s="17">
        <f>VLOOKUP(A203,[1]Sheet2!$I$2:$O$496,4,FALSE)</f>
        <v>901</v>
      </c>
      <c r="H203" s="17" t="s">
        <v>192</v>
      </c>
      <c r="I203" s="17" t="str">
        <f>VLOOKUP(A203,[1]Sheet2!$I$2:$O$496,6,FALSE)</f>
        <v>2025-07-07</v>
      </c>
    </row>
    <row r="204" spans="1:9" x14ac:dyDescent="0.25">
      <c r="A204" s="14" t="s">
        <v>256</v>
      </c>
      <c r="B204" s="15" t="s">
        <v>257</v>
      </c>
      <c r="C204" s="15" t="str">
        <f>VLOOKUP(A204,[1]Sheet2!$I$2:$O$496,5,FALSE)</f>
        <v>2025-05-15</v>
      </c>
      <c r="D204" s="17" t="s">
        <v>15</v>
      </c>
      <c r="E204" s="17" t="str">
        <f>VLOOKUP(A204,[1]Sheet2!$I$2:$O$496,3,FALSE)</f>
        <v>KPB1</v>
      </c>
      <c r="F204" s="17" t="s">
        <v>258</v>
      </c>
      <c r="G204" s="17">
        <f>VLOOKUP(A204,[1]Sheet2!$I$2:$O$496,4,FALSE)</f>
        <v>902</v>
      </c>
      <c r="H204" s="17" t="s">
        <v>104</v>
      </c>
      <c r="I204" s="17" t="str">
        <f>VLOOKUP(A204,[1]Sheet2!$I$2:$O$496,6,FALSE)</f>
        <v>2025-07-02</v>
      </c>
    </row>
    <row r="205" spans="1:9" x14ac:dyDescent="0.25">
      <c r="A205" s="14" t="s">
        <v>468</v>
      </c>
      <c r="B205" s="15" t="s">
        <v>469</v>
      </c>
      <c r="C205" s="15" t="str">
        <f>VLOOKUP(A205,[1]Sheet2!$I$2:$O$496,5,FALSE)</f>
        <v>2025-04-16</v>
      </c>
      <c r="D205" s="17" t="s">
        <v>21</v>
      </c>
      <c r="E205" s="17" t="str">
        <f>VLOOKUP(A205,[1]Sheet2!$I$2:$O$496,3,FALSE)</f>
        <v>KPB2</v>
      </c>
      <c r="F205" s="17" t="s">
        <v>470</v>
      </c>
      <c r="G205" s="17">
        <f>VLOOKUP(A205,[1]Sheet2!$I$2:$O$496,4,FALSE)</f>
        <v>904</v>
      </c>
      <c r="H205" s="17" t="s">
        <v>411</v>
      </c>
      <c r="I205" s="17" t="str">
        <f>VLOOKUP(A205,[1]Sheet2!$I$2:$O$496,6,FALSE)</f>
        <v>2025-07-24</v>
      </c>
    </row>
    <row r="206" spans="1:9" x14ac:dyDescent="0.25">
      <c r="A206" s="14" t="s">
        <v>385</v>
      </c>
      <c r="B206" s="15" t="s">
        <v>251</v>
      </c>
      <c r="C206" s="15" t="str">
        <f>VLOOKUP(A206,[1]Sheet2!$I$2:$O$496,5,FALSE)</f>
        <v>2025-07-01</v>
      </c>
      <c r="D206" s="17" t="s">
        <v>15</v>
      </c>
      <c r="E206" s="17" t="str">
        <f>VLOOKUP(A206,[1]Sheet2!$I$2:$O$496,3,FALSE)</f>
        <v>KPB1</v>
      </c>
      <c r="F206" s="17" t="s">
        <v>386</v>
      </c>
      <c r="G206" s="17">
        <f>VLOOKUP(A206,[1]Sheet2!$I$2:$O$496,4,FALSE)</f>
        <v>907</v>
      </c>
      <c r="H206" s="17" t="s">
        <v>245</v>
      </c>
      <c r="I206" s="17" t="str">
        <f>VLOOKUP(A206,[1]Sheet2!$I$2:$O$496,6,FALSE)</f>
        <v>2025-07-19</v>
      </c>
    </row>
    <row r="207" spans="1:9" x14ac:dyDescent="0.25">
      <c r="A207" s="14" t="s">
        <v>275</v>
      </c>
      <c r="B207" s="15" t="s">
        <v>143</v>
      </c>
      <c r="C207" s="15" t="str">
        <f>VLOOKUP(A207,[1]Sheet2!$I$2:$O$496,5,FALSE)</f>
        <v>2025-05-09</v>
      </c>
      <c r="D207" s="17" t="s">
        <v>15</v>
      </c>
      <c r="E207" s="17" t="str">
        <f>VLOOKUP(A207,[1]Sheet2!$I$2:$O$496,3,FALSE)</f>
        <v>KPB1</v>
      </c>
      <c r="F207" s="17" t="s">
        <v>276</v>
      </c>
      <c r="G207" s="17">
        <f>VLOOKUP(A207,[1]Sheet2!$I$2:$O$496,4,FALSE)</f>
        <v>917</v>
      </c>
      <c r="H207" s="17" t="s">
        <v>108</v>
      </c>
      <c r="I207" s="17" t="str">
        <f>VLOOKUP(A207,[1]Sheet2!$I$2:$O$496,6,FALSE)</f>
        <v>2025-07-04</v>
      </c>
    </row>
    <row r="208" spans="1:9" x14ac:dyDescent="0.25">
      <c r="A208" s="14" t="s">
        <v>675</v>
      </c>
      <c r="B208" s="15" t="s">
        <v>131</v>
      </c>
      <c r="C208" s="15" t="str">
        <f>VLOOKUP(A208,[1]Sheet2!$I$2:$O$496,5,FALSE)</f>
        <v>1970-01-01</v>
      </c>
      <c r="D208" s="17" t="s">
        <v>15</v>
      </c>
      <c r="E208" s="17" t="str">
        <f>VLOOKUP(A208,[1]Sheet2!$I$2:$O$496,3,FALSE)</f>
        <v>KPB1</v>
      </c>
      <c r="F208" s="17" t="s">
        <v>676</v>
      </c>
      <c r="G208" s="17">
        <f>VLOOKUP(A208,[1]Sheet2!$I$2:$O$496,4,FALSE)</f>
        <v>929</v>
      </c>
      <c r="H208" s="17" t="s">
        <v>157</v>
      </c>
      <c r="I208" s="17" t="str">
        <f>VLOOKUP(A208,[1]Sheet2!$I$2:$O$496,6,FALSE)</f>
        <v>2025-07-26</v>
      </c>
    </row>
    <row r="209" spans="1:9" x14ac:dyDescent="0.25">
      <c r="A209" s="14" t="s">
        <v>410</v>
      </c>
      <c r="B209" s="15" t="s">
        <v>115</v>
      </c>
      <c r="C209" s="15" t="str">
        <f>VLOOKUP(A209,[1]Sheet2!$I$2:$O$496,5,FALSE)</f>
        <v>1970-01-01</v>
      </c>
      <c r="D209" s="17" t="s">
        <v>15</v>
      </c>
      <c r="E209" s="17" t="str">
        <f>VLOOKUP(A209,[1]Sheet2!$I$2:$O$496,3,FALSE)</f>
        <v>KPB1</v>
      </c>
      <c r="F209" s="17" t="s">
        <v>412</v>
      </c>
      <c r="G209" s="17">
        <f>VLOOKUP(A209,[1]Sheet2!$I$2:$O$496,4,FALSE)</f>
        <v>934</v>
      </c>
      <c r="H209" s="17" t="s">
        <v>411</v>
      </c>
      <c r="I209" s="17" t="str">
        <f>VLOOKUP(A209,[1]Sheet2!$I$2:$O$496,6,FALSE)</f>
        <v>2025-07-24</v>
      </c>
    </row>
    <row r="210" spans="1:9" x14ac:dyDescent="0.25">
      <c r="A210" s="14" t="s">
        <v>282</v>
      </c>
      <c r="B210" s="15" t="s">
        <v>283</v>
      </c>
      <c r="C210" s="15" t="str">
        <f>VLOOKUP(A210,[1]Sheet2!$I$2:$O$496,5,FALSE)</f>
        <v>1970-01-01</v>
      </c>
      <c r="D210" s="17" t="s">
        <v>15</v>
      </c>
      <c r="E210" s="17" t="str">
        <f>VLOOKUP(A210,[1]Sheet2!$I$2:$O$496,3,FALSE)</f>
        <v>KPB1</v>
      </c>
      <c r="F210" s="17" t="s">
        <v>284</v>
      </c>
      <c r="G210" s="17">
        <f>VLOOKUP(A210,[1]Sheet2!$I$2:$O$496,4,FALSE)</f>
        <v>936</v>
      </c>
      <c r="H210" s="17" t="s">
        <v>112</v>
      </c>
      <c r="I210" s="17" t="str">
        <f>VLOOKUP(A210,[1]Sheet2!$I$2:$O$496,6,FALSE)</f>
        <v>2025-07-05</v>
      </c>
    </row>
    <row r="211" spans="1:9" x14ac:dyDescent="0.25">
      <c r="A211" s="14" t="s">
        <v>629</v>
      </c>
      <c r="B211" s="15" t="s">
        <v>630</v>
      </c>
      <c r="C211" s="15" t="str">
        <f>VLOOKUP(A211,[1]Sheet2!$I$2:$O$496,5,FALSE)</f>
        <v>2025-05-13</v>
      </c>
      <c r="D211" s="17" t="s">
        <v>15</v>
      </c>
      <c r="E211" s="17" t="str">
        <f>VLOOKUP(A211,[1]Sheet2!$I$2:$O$496,3,FALSE)</f>
        <v>KPB1</v>
      </c>
      <c r="F211" s="17" t="s">
        <v>284</v>
      </c>
      <c r="G211" s="17">
        <f>VLOOKUP(A211,[1]Sheet2!$I$2:$O$496,4,FALSE)</f>
        <v>936</v>
      </c>
      <c r="H211" s="17" t="s">
        <v>125</v>
      </c>
      <c r="I211" s="17" t="str">
        <f>VLOOKUP(A211,[1]Sheet2!$I$2:$O$496,6,FALSE)</f>
        <v>2025-07-08</v>
      </c>
    </row>
    <row r="212" spans="1:9" x14ac:dyDescent="0.25">
      <c r="A212" s="14" t="s">
        <v>653</v>
      </c>
      <c r="B212" s="15" t="s">
        <v>197</v>
      </c>
      <c r="C212" s="15" t="str">
        <f>VLOOKUP(A212,[1]Sheet2!$I$2:$O$496,5,FALSE)</f>
        <v>1970-01-01</v>
      </c>
      <c r="D212" s="17" t="s">
        <v>15</v>
      </c>
      <c r="E212" s="17" t="str">
        <f>VLOOKUP(A212,[1]Sheet2!$I$2:$O$496,3,FALSE)</f>
        <v>KPB1</v>
      </c>
      <c r="F212" s="17" t="s">
        <v>654</v>
      </c>
      <c r="G212" s="17">
        <f>VLOOKUP(A212,[1]Sheet2!$I$2:$O$496,4,FALSE)</f>
        <v>944</v>
      </c>
      <c r="H212" s="17" t="s">
        <v>108</v>
      </c>
      <c r="I212" s="17" t="str">
        <f>VLOOKUP(A212,[1]Sheet2!$I$2:$O$496,6,FALSE)</f>
        <v>2025-07-04</v>
      </c>
    </row>
    <row r="213" spans="1:9" x14ac:dyDescent="0.25">
      <c r="A213" s="14" t="s">
        <v>277</v>
      </c>
      <c r="B213" s="15" t="s">
        <v>278</v>
      </c>
      <c r="C213" s="15" t="str">
        <f>VLOOKUP(A213,[1]Sheet2!$I$2:$O$496,5,FALSE)</f>
        <v>1970-01-01</v>
      </c>
      <c r="D213" s="17" t="s">
        <v>15</v>
      </c>
      <c r="E213" s="17" t="str">
        <f>VLOOKUP(A213,[1]Sheet2!$I$2:$O$496,3,FALSE)</f>
        <v>KPB1</v>
      </c>
      <c r="F213" s="17" t="s">
        <v>279</v>
      </c>
      <c r="G213" s="17">
        <f>VLOOKUP(A213,[1]Sheet2!$I$2:$O$496,4,FALSE)</f>
        <v>947</v>
      </c>
      <c r="H213" s="17" t="s">
        <v>112</v>
      </c>
      <c r="I213" s="17" t="str">
        <f>VLOOKUP(A213,[1]Sheet2!$I$2:$O$496,6,FALSE)</f>
        <v>2025-07-05</v>
      </c>
    </row>
    <row r="214" spans="1:9" x14ac:dyDescent="0.25">
      <c r="A214" s="14" t="s">
        <v>453</v>
      </c>
      <c r="B214" s="15" t="s">
        <v>454</v>
      </c>
      <c r="C214" s="15" t="str">
        <f>VLOOKUP(A214,[1]Sheet2!$I$2:$O$496,5,FALSE)</f>
        <v>1970-01-01</v>
      </c>
      <c r="D214" s="17" t="s">
        <v>21</v>
      </c>
      <c r="E214" s="17" t="str">
        <f>VLOOKUP(A214,[1]Sheet2!$I$2:$O$496,3,FALSE)</f>
        <v>KPB2</v>
      </c>
      <c r="F214" s="17" t="s">
        <v>279</v>
      </c>
      <c r="G214" s="17">
        <f>VLOOKUP(A214,[1]Sheet2!$I$2:$O$496,4,FALSE)</f>
        <v>947</v>
      </c>
      <c r="H214" s="17" t="s">
        <v>144</v>
      </c>
      <c r="I214" s="17" t="str">
        <f>VLOOKUP(A214,[1]Sheet2!$I$2:$O$496,6,FALSE)</f>
        <v>2025-07-12</v>
      </c>
    </row>
    <row r="215" spans="1:9" x14ac:dyDescent="0.25">
      <c r="A215" s="14" t="s">
        <v>507</v>
      </c>
      <c r="B215" s="15" t="s">
        <v>508</v>
      </c>
      <c r="C215" s="15" t="str">
        <f>VLOOKUP(A215,[1]Sheet2!$I$2:$O$496,5,FALSE)</f>
        <v>2025-01-14</v>
      </c>
      <c r="D215" s="17" t="s">
        <v>28</v>
      </c>
      <c r="E215" s="17" t="str">
        <f>VLOOKUP(A215,[1]Sheet2!$I$2:$O$496,3,FALSE)</f>
        <v>KPB3</v>
      </c>
      <c r="F215" s="17" t="s">
        <v>509</v>
      </c>
      <c r="G215" s="17">
        <f>VLOOKUP(A215,[1]Sheet2!$I$2:$O$496,4,FALSE)</f>
        <v>957</v>
      </c>
      <c r="H215" s="17" t="s">
        <v>212</v>
      </c>
      <c r="I215" s="17" t="str">
        <f>VLOOKUP(A215,[1]Sheet2!$I$2:$O$496,6,FALSE)</f>
        <v>2025-07-15</v>
      </c>
    </row>
    <row r="216" spans="1:9" x14ac:dyDescent="0.25">
      <c r="A216" s="14" t="s">
        <v>375</v>
      </c>
      <c r="B216" s="15" t="s">
        <v>111</v>
      </c>
      <c r="C216" s="15" t="str">
        <f>VLOOKUP(A216,[1]Sheet2!$I$2:$O$496,5,FALSE)</f>
        <v>2025-06-28</v>
      </c>
      <c r="D216" s="17" t="s">
        <v>15</v>
      </c>
      <c r="E216" s="17" t="str">
        <f>VLOOKUP(A216,[1]Sheet2!$I$2:$O$496,3,FALSE)</f>
        <v>KPB1</v>
      </c>
      <c r="F216" s="17" t="s">
        <v>376</v>
      </c>
      <c r="G216" s="17">
        <f>VLOOKUP(A216,[1]Sheet2!$I$2:$O$496,4,FALSE)</f>
        <v>961</v>
      </c>
      <c r="H216" s="17" t="s">
        <v>154</v>
      </c>
      <c r="I216" s="17" t="str">
        <f>VLOOKUP(A216,[1]Sheet2!$I$2:$O$496,6,FALSE)</f>
        <v>2025-07-18</v>
      </c>
    </row>
    <row r="217" spans="1:9" x14ac:dyDescent="0.25">
      <c r="A217" s="14" t="s">
        <v>312</v>
      </c>
      <c r="B217" s="15" t="s">
        <v>313</v>
      </c>
      <c r="C217" s="15" t="str">
        <f>VLOOKUP(A217,[1]Sheet2!$I$2:$O$496,5,FALSE)</f>
        <v>2025-06-19</v>
      </c>
      <c r="D217" s="17" t="s">
        <v>15</v>
      </c>
      <c r="E217" s="17" t="str">
        <f>VLOOKUP(A217,[1]Sheet2!$I$2:$O$496,3,FALSE)</f>
        <v>KPB1</v>
      </c>
      <c r="F217" s="17" t="s">
        <v>314</v>
      </c>
      <c r="G217" s="17">
        <f>VLOOKUP(A217,[1]Sheet2!$I$2:$O$496,4,FALSE)</f>
        <v>962</v>
      </c>
      <c r="H217" s="17" t="s">
        <v>137</v>
      </c>
      <c r="I217" s="17" t="str">
        <f>VLOOKUP(A217,[1]Sheet2!$I$2:$O$496,6,FALSE)</f>
        <v>2025-07-10</v>
      </c>
    </row>
    <row r="218" spans="1:9" x14ac:dyDescent="0.25">
      <c r="A218" s="14" t="s">
        <v>734</v>
      </c>
      <c r="B218" s="15" t="s">
        <v>461</v>
      </c>
      <c r="C218" s="15" t="str">
        <f>VLOOKUP(A218,[1]Sheet2!$I$2:$O$496,5,FALSE)</f>
        <v>2025-05-16</v>
      </c>
      <c r="D218" s="17" t="s">
        <v>15</v>
      </c>
      <c r="E218" s="17" t="str">
        <f>VLOOKUP(A218,[1]Sheet2!$I$2:$O$496,3,FALSE)</f>
        <v>KPB1</v>
      </c>
      <c r="F218" s="17" t="s">
        <v>735</v>
      </c>
      <c r="G218" s="17">
        <f>VLOOKUP(A218,[1]Sheet2!$I$2:$O$496,4,FALSE)</f>
        <v>965</v>
      </c>
      <c r="H218" s="17" t="s">
        <v>108</v>
      </c>
      <c r="I218" s="17" t="str">
        <f>VLOOKUP(A218,[1]Sheet2!$I$2:$O$496,6,FALSE)</f>
        <v>2025-07-04</v>
      </c>
    </row>
    <row r="219" spans="1:9" x14ac:dyDescent="0.25">
      <c r="A219" s="14" t="s">
        <v>253</v>
      </c>
      <c r="B219" s="15" t="s">
        <v>254</v>
      </c>
      <c r="C219" s="15" t="str">
        <f>VLOOKUP(A219,[1]Sheet2!$I$2:$O$496,5,FALSE)</f>
        <v>2025-06-02</v>
      </c>
      <c r="D219" s="17" t="s">
        <v>15</v>
      </c>
      <c r="E219" s="17" t="str">
        <f>VLOOKUP(A219,[1]Sheet2!$I$2:$O$496,3,FALSE)</f>
        <v>KPB1</v>
      </c>
      <c r="F219" s="17" t="s">
        <v>255</v>
      </c>
      <c r="G219" s="17">
        <f>VLOOKUP(A219,[1]Sheet2!$I$2:$O$496,4,FALSE)</f>
        <v>967</v>
      </c>
      <c r="H219" s="17" t="s">
        <v>104</v>
      </c>
      <c r="I219" s="17" t="str">
        <f>VLOOKUP(A219,[1]Sheet2!$I$2:$O$496,6,FALSE)</f>
        <v>2025-07-02</v>
      </c>
    </row>
    <row r="220" spans="1:9" x14ac:dyDescent="0.25">
      <c r="A220" s="14" t="s">
        <v>371</v>
      </c>
      <c r="B220" s="15" t="s">
        <v>267</v>
      </c>
      <c r="C220" s="15" t="str">
        <f>VLOOKUP(A220,[1]Sheet2!$I$2:$O$496,5,FALSE)</f>
        <v>2025-06-12</v>
      </c>
      <c r="D220" s="17" t="s">
        <v>15</v>
      </c>
      <c r="E220" s="17" t="str">
        <f>VLOOKUP(A220,[1]Sheet2!$I$2:$O$496,3,FALSE)</f>
        <v>KPB1</v>
      </c>
      <c r="F220" s="17" t="s">
        <v>372</v>
      </c>
      <c r="G220" s="17">
        <f>VLOOKUP(A220,[1]Sheet2!$I$2:$O$496,4,FALSE)</f>
        <v>971</v>
      </c>
      <c r="H220" s="17" t="s">
        <v>150</v>
      </c>
      <c r="I220" s="17" t="str">
        <f>VLOOKUP(A220,[1]Sheet2!$I$2:$O$496,6,FALSE)</f>
        <v>2025-07-17</v>
      </c>
    </row>
    <row r="221" spans="1:9" x14ac:dyDescent="0.25">
      <c r="A221" s="14" t="s">
        <v>716</v>
      </c>
      <c r="B221" s="15" t="s">
        <v>454</v>
      </c>
      <c r="C221" s="15" t="str">
        <f>VLOOKUP(A221,[1]Sheet2!$I$2:$O$496,5,FALSE)</f>
        <v>2025-04-22</v>
      </c>
      <c r="D221" s="17" t="s">
        <v>23</v>
      </c>
      <c r="E221" s="17" t="str">
        <f>VLOOKUP(A221,[1]Sheet2!$I$2:$O$496,3,FALSE)</f>
        <v>KPB4</v>
      </c>
      <c r="F221" s="17" t="s">
        <v>717</v>
      </c>
      <c r="G221" s="17">
        <f>VLOOKUP(A221,[1]Sheet2!$I$2:$O$496,4,FALSE)</f>
        <v>9728</v>
      </c>
      <c r="H221" s="17" t="s">
        <v>157</v>
      </c>
      <c r="I221" s="17" t="str">
        <f>VLOOKUP(A221,[1]Sheet2!$I$2:$O$496,6,FALSE)</f>
        <v>2025-07-26</v>
      </c>
    </row>
    <row r="222" spans="1:9" x14ac:dyDescent="0.25">
      <c r="A222" s="14" t="s">
        <v>754</v>
      </c>
      <c r="B222" s="15" t="s">
        <v>188</v>
      </c>
      <c r="C222" s="15" t="str">
        <f>VLOOKUP(A222,[1]Sheet2!$I$2:$O$496,5,FALSE)</f>
        <v>1970-01-01</v>
      </c>
      <c r="D222" s="17" t="s">
        <v>15</v>
      </c>
      <c r="E222" s="17" t="str">
        <f>VLOOKUP(A222,[1]Sheet2!$I$2:$O$496,3,FALSE)</f>
        <v>KPB1</v>
      </c>
      <c r="F222" s="17" t="s">
        <v>755</v>
      </c>
      <c r="G222" s="17">
        <f>VLOOKUP(A222,[1]Sheet2!$I$2:$O$496,4,FALSE)</f>
        <v>979</v>
      </c>
      <c r="H222" s="17" t="s">
        <v>411</v>
      </c>
      <c r="I222" s="17" t="str">
        <f>VLOOKUP(A222,[1]Sheet2!$I$2:$O$496,6,FALSE)</f>
        <v>2025-07-24</v>
      </c>
    </row>
    <row r="223" spans="1:9" x14ac:dyDescent="0.25">
      <c r="A223" s="14" t="s">
        <v>662</v>
      </c>
      <c r="B223" s="15" t="s">
        <v>663</v>
      </c>
      <c r="C223" s="15" t="str">
        <f>VLOOKUP(A223,[1]Sheet2!$I$2:$O$496,5,FALSE)</f>
        <v>1970-01-01</v>
      </c>
      <c r="D223" s="17" t="s">
        <v>15</v>
      </c>
      <c r="E223" s="17" t="str">
        <f>VLOOKUP(A223,[1]Sheet2!$I$2:$O$496,3,FALSE)</f>
        <v>KPB1</v>
      </c>
      <c r="F223" s="17" t="s">
        <v>664</v>
      </c>
      <c r="G223" s="17">
        <f>VLOOKUP(A223,[1]Sheet2!$I$2:$O$496,4,FALSE)</f>
        <v>984</v>
      </c>
      <c r="H223" s="17" t="s">
        <v>131</v>
      </c>
      <c r="I223" s="17" t="str">
        <f>VLOOKUP(A223,[1]Sheet2!$I$2:$O$496,6,FALSE)</f>
        <v>2025-07-09</v>
      </c>
    </row>
    <row r="224" spans="1:9" x14ac:dyDescent="0.25">
      <c r="A224" s="14" t="s">
        <v>556</v>
      </c>
      <c r="B224" s="15" t="s">
        <v>557</v>
      </c>
      <c r="C224" s="15" t="str">
        <f>VLOOKUP(A224,[1]Sheet2!$I$2:$O$496,5,FALSE)</f>
        <v>1970-01-01</v>
      </c>
      <c r="D224" s="17" t="s">
        <v>15</v>
      </c>
      <c r="E224" s="17" t="str">
        <f>VLOOKUP(A224,[1]Sheet2!$I$2:$O$496,3,FALSE)</f>
        <v>KPB1</v>
      </c>
      <c r="F224" s="17" t="s">
        <v>558</v>
      </c>
      <c r="G224" s="17">
        <f>VLOOKUP(A224,[1]Sheet2!$I$2:$O$496,4,FALSE)</f>
        <v>988</v>
      </c>
      <c r="H224" s="17" t="s">
        <v>144</v>
      </c>
      <c r="I224" s="17" t="str">
        <f>VLOOKUP(A224,[1]Sheet2!$I$2:$O$496,6,FALSE)</f>
        <v>2025-07-12</v>
      </c>
    </row>
    <row r="225" spans="1:9" x14ac:dyDescent="0.25">
      <c r="A225" s="14" t="s">
        <v>383</v>
      </c>
      <c r="B225" s="15" t="s">
        <v>111</v>
      </c>
      <c r="C225" s="15" t="str">
        <f>VLOOKUP(A225,[1]Sheet2!$I$2:$O$496,5,FALSE)</f>
        <v>2025-06-28</v>
      </c>
      <c r="D225" s="17" t="s">
        <v>15</v>
      </c>
      <c r="E225" s="17" t="str">
        <f>VLOOKUP(A225,[1]Sheet2!$I$2:$O$496,3,FALSE)</f>
        <v>KPB1</v>
      </c>
      <c r="F225" s="17" t="s">
        <v>384</v>
      </c>
      <c r="G225" s="17">
        <f>VLOOKUP(A225,[1]Sheet2!$I$2:$O$496,4,FALSE)</f>
        <v>993</v>
      </c>
      <c r="H225" s="17" t="s">
        <v>245</v>
      </c>
      <c r="I225" s="17" t="str">
        <f>VLOOKUP(A225,[1]Sheet2!$I$2:$O$496,6,FALSE)</f>
        <v>2025-07-19</v>
      </c>
    </row>
  </sheetData>
  <autoFilter ref="A1:I225" xr:uid="{CBC52E84-38E5-4A57-B3CD-1DAEBA4C7D8B}"/>
  <conditionalFormatting sqref="G1">
    <cfRule type="duplicateValues" dxfId="1" priority="2"/>
  </conditionalFormatting>
  <conditionalFormatting sqref="G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Report Rekap KPB</vt:lpstr>
      <vt:lpstr>Report Detail KPB</vt:lpstr>
      <vt:lpstr>Sheet1</vt:lpstr>
      <vt:lpstr>'Report Detail KPB'!Print_Area</vt:lpstr>
      <vt:lpstr>'Report Rekap KPB'!Print_Area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ASUS</dc:creator>
  <dc:description/>
  <cp:lastModifiedBy>Kevin William</cp:lastModifiedBy>
  <dcterms:created xsi:type="dcterms:W3CDTF">2025-08-29T01:56:17Z</dcterms:created>
  <dcterms:modified xsi:type="dcterms:W3CDTF">2025-10-08T08:34:38Z</dcterms:modified>
</cp:coreProperties>
</file>